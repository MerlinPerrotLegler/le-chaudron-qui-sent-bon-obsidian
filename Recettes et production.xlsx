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860" windowWidth="41120" windowHeight="25720" tabRatio="600" firstSheet="0" activeTab="5" autoFilterDateGrouping="1"/>
  </bookViews>
  <sheets>
    <sheet xmlns:r="http://schemas.openxmlformats.org/officeDocument/2006/relationships" name="Produit" sheetId="1" state="visible" r:id="rId1"/>
    <sheet xmlns:r="http://schemas.openxmlformats.org/officeDocument/2006/relationships" name="Ingredients" sheetId="2" state="visible" r:id="rId2"/>
    <sheet xmlns:r="http://schemas.openxmlformats.org/officeDocument/2006/relationships" name="Recette Epice" sheetId="3" state="visible" r:id="rId3"/>
    <sheet xmlns:r="http://schemas.openxmlformats.org/officeDocument/2006/relationships" name="Production" sheetId="4" state="visible" r:id="rId4"/>
    <sheet xmlns:r="http://schemas.openxmlformats.org/officeDocument/2006/relationships" name="Conditionnement" sheetId="5" state="visible" r:id="rId5"/>
    <sheet xmlns:r="http://schemas.openxmlformats.org/officeDocument/2006/relationships" name="Concurence" sheetId="6" state="visible" r:id="rId6"/>
    <sheet xmlns:r="http://schemas.openxmlformats.org/officeDocument/2006/relationships" name="Temporaire" sheetId="7" state="visible" r:id="rId7"/>
    <sheet xmlns:r="http://schemas.openxmlformats.org/officeDocument/2006/relationships" name="Log" sheetId="8" state="visible" r:id="rId8"/>
  </sheets>
  <definedNames>
    <definedName name="Couleur" localSheetId="2">'Recette Epice'!#REF!</definedName>
    <definedName name="_xlnm._FilterDatabase" localSheetId="7" hidden="1">'Log'!$A$1:$I$1218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* #,##0.00_)\ &quot;€&quot;_ ;_ * \(#,##0.00\)\ &quot;€&quot;_ ;_ * &quot;-&quot;??_)\ &quot;€&quot;_ ;_ @_ "/>
    <numFmt numFmtId="165" formatCode="0.0"/>
    <numFmt numFmtId="166" formatCode="_-* #,##0\ [$€-40C]_-;\-* #,##0\ [$€-40C]_-;_-* &quot;-&quot;??\ [$€-40C]_-;_-@_-"/>
    <numFmt numFmtId="167" formatCode="_-* #,##0.00\ [$€-40C]_-;\-* #,##0.00\ [$€-40C]_-;_-* &quot;-&quot;??\ [$€-40C]_-;_-@_-"/>
    <numFmt numFmtId="168" formatCode="#,##0.00\ &quot;€&quot;_);[Red]\(#,##0.00\ &quot;€&quot;\)"/>
  </numFmts>
  <fonts count="21"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ptos Narrow"/>
      <family val="2"/>
      <color rgb="FF000000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2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b val="1"/>
      <sz val="12"/>
      <scheme val="minor"/>
    </font>
    <font>
      <name val="Aptos Narrow"/>
      <family val="2"/>
      <b val="1"/>
      <color theme="1" tint="0.1499984740745262"/>
      <sz val="12"/>
      <scheme val="minor"/>
    </font>
    <font>
      <name val="Aptos Narrow"/>
      <family val="2"/>
      <color theme="1"/>
      <sz val="8"/>
      <scheme val="minor"/>
    </font>
    <font>
      <name val="Aptos Narrow"/>
      <b val="1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rgb="FF010101"/>
      <sz val="12"/>
      <scheme val="minor"/>
    </font>
    <font>
      <name val="Helvetica Neue"/>
      <family val="2"/>
      <color rgb="FF010101"/>
      <sz val="12"/>
    </font>
    <font>
      <name val="Aptos Narrow"/>
      <b val="1"/>
      <color rgb="FF010101"/>
      <sz val="12"/>
      <scheme val="minor"/>
    </font>
    <font>
      <name val="Aptos Narrow"/>
      <color theme="1"/>
      <sz val="12"/>
      <scheme val="minor"/>
    </font>
    <font>
      <name val="Aptos Narrow"/>
      <color rgb="FF010101"/>
      <sz val="12"/>
      <scheme val="minor"/>
    </font>
    <font>
      <name val="Aptos Narrow"/>
      <color theme="0"/>
      <sz val="12"/>
      <scheme val="minor"/>
    </font>
    <font>
      <name val="Aptos"/>
      <color rgb="FF000000"/>
      <sz val="12"/>
    </font>
    <font>
      <name val="Aptos Narrow"/>
      <color rgb="FF000000"/>
      <sz val="12"/>
    </font>
    <font>
      <name val="Aptos Narrow"/>
      <family val="2"/>
      <color theme="0"/>
      <sz val="12"/>
      <scheme val="minor"/>
    </font>
  </fonts>
  <fills count="204">
    <fill>
      <patternFill/>
    </fill>
    <fill>
      <patternFill patternType="gray125"/>
    </fill>
    <fill>
      <patternFill patternType="solid">
        <fgColor rgb="FFFFFD78"/>
        <bgColor indexed="64"/>
      </patternFill>
    </fill>
    <fill>
      <patternFill patternType="solid">
        <fgColor rgb="FFD5FC79"/>
        <bgColor indexed="64"/>
      </patternFill>
    </fill>
    <fill>
      <patternFill patternType="solid">
        <fgColor rgb="FFD883FF"/>
        <bgColor indexed="64"/>
      </patternFill>
    </fill>
    <fill>
      <patternFill patternType="solid">
        <fgColor rgb="FFFFD579"/>
        <bgColor indexed="64"/>
      </patternFill>
    </fill>
    <fill>
      <patternFill patternType="solid">
        <fgColor rgb="FF76D6FF"/>
        <bgColor indexed="64"/>
      </patternFill>
    </fill>
    <fill>
      <patternFill patternType="solid">
        <fgColor rgb="FF73FDD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  <fill>
      <patternFill patternType="solid">
        <fgColor rgb="FF73FEFF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rgb="FFE19CAD"/>
        <bgColor indexed="64"/>
      </patternFill>
    </fill>
    <fill>
      <patternFill patternType="solid">
        <fgColor rgb="FFF8C3FB"/>
        <bgColor indexed="64"/>
      </patternFill>
    </fill>
    <fill>
      <patternFill patternType="solid">
        <fgColor rgb="FFFBD4AC"/>
        <bgColor indexed="64"/>
      </patternFill>
    </fill>
    <fill>
      <patternFill patternType="solid">
        <fgColor rgb="FFF8B5C6"/>
        <bgColor indexed="64"/>
      </patternFill>
    </fill>
    <fill>
      <patternFill patternType="solid">
        <fgColor rgb="FF9DB9DA"/>
        <bgColor indexed="64"/>
      </patternFill>
    </fill>
    <fill>
      <patternFill patternType="solid">
        <fgColor rgb="FFE1B4C7"/>
        <bgColor indexed="64"/>
      </patternFill>
    </fill>
    <fill>
      <patternFill patternType="solid">
        <fgColor rgb="FFE9AFA1"/>
        <bgColor indexed="64"/>
      </patternFill>
    </fill>
    <fill>
      <patternFill patternType="solid">
        <fgColor rgb="FFEBCEC1"/>
        <bgColor indexed="64"/>
      </patternFill>
    </fill>
    <fill>
      <patternFill patternType="solid">
        <fgColor rgb="FFF4C1D5"/>
        <bgColor indexed="64"/>
      </patternFill>
    </fill>
    <fill>
      <patternFill patternType="solid">
        <fgColor rgb="FFDDBDB2"/>
        <bgColor indexed="64"/>
      </patternFill>
    </fill>
    <fill>
      <patternFill patternType="solid">
        <fgColor rgb="FFECACA9"/>
        <bgColor indexed="64"/>
      </patternFill>
    </fill>
    <fill>
      <patternFill patternType="solid">
        <fgColor rgb="FF9EC8D2"/>
        <bgColor indexed="64"/>
      </patternFill>
    </fill>
    <fill>
      <patternFill patternType="solid">
        <fgColor rgb="FFE3BEC9"/>
        <bgColor indexed="64"/>
      </patternFill>
    </fill>
    <fill>
      <patternFill patternType="solid">
        <fgColor rgb="FFE6A9A2"/>
        <bgColor indexed="64"/>
      </patternFill>
    </fill>
    <fill>
      <patternFill patternType="solid">
        <fgColor rgb="FFA8AFB8"/>
        <bgColor indexed="64"/>
      </patternFill>
    </fill>
    <fill>
      <patternFill patternType="solid">
        <fgColor rgb="FFDFB8AC"/>
        <bgColor indexed="64"/>
      </patternFill>
    </fill>
    <fill>
      <patternFill patternType="solid">
        <fgColor rgb="FFDFB5C5"/>
        <bgColor indexed="64"/>
      </patternFill>
    </fill>
    <fill>
      <patternFill patternType="solid">
        <fgColor rgb="FFE7B1AB"/>
        <bgColor indexed="64"/>
      </patternFill>
    </fill>
    <fill>
      <patternFill patternType="solid">
        <fgColor rgb="FFF8C9E5"/>
        <bgColor indexed="64"/>
      </patternFill>
    </fill>
    <fill>
      <patternFill patternType="solid">
        <fgColor rgb="FFEEC6B7"/>
        <bgColor indexed="64"/>
      </patternFill>
    </fill>
    <fill>
      <patternFill patternType="solid">
        <fgColor rgb="FFE8DFE5"/>
        <bgColor indexed="64"/>
      </patternFill>
    </fill>
    <fill>
      <patternFill patternType="solid">
        <fgColor rgb="FFE5A6D8"/>
        <bgColor indexed="64"/>
      </patternFill>
    </fill>
    <fill>
      <patternFill patternType="solid">
        <fgColor rgb="FFF09ED8"/>
        <bgColor indexed="64"/>
      </patternFill>
    </fill>
    <fill>
      <patternFill patternType="solid">
        <fgColor rgb="FFF79DA2"/>
        <bgColor indexed="64"/>
      </patternFill>
    </fill>
    <fill>
      <patternFill patternType="solid">
        <fgColor rgb="FFE3AFAE"/>
        <bgColor indexed="64"/>
      </patternFill>
    </fill>
    <fill>
      <patternFill patternType="solid">
        <fgColor rgb="FFF2DAC1"/>
        <bgColor indexed="64"/>
      </patternFill>
    </fill>
    <fill>
      <patternFill patternType="solid">
        <fgColor rgb="FFE8A7B8"/>
        <bgColor indexed="64"/>
      </patternFill>
    </fill>
    <fill>
      <patternFill patternType="solid">
        <fgColor rgb="FFE09DAE"/>
        <bgColor indexed="64"/>
      </patternFill>
    </fill>
    <fill>
      <patternFill patternType="solid">
        <fgColor rgb="FFFEADFE"/>
        <bgColor indexed="64"/>
      </patternFill>
    </fill>
    <fill>
      <patternFill patternType="solid">
        <fgColor rgb="FFECE8F0"/>
        <bgColor indexed="64"/>
      </patternFill>
    </fill>
    <fill>
      <patternFill patternType="solid">
        <fgColor rgb="FFC5A8D1"/>
        <bgColor indexed="64"/>
      </patternFill>
    </fill>
    <fill>
      <patternFill patternType="solid">
        <fgColor rgb="FFE5A0BC"/>
        <bgColor indexed="64"/>
      </patternFill>
    </fill>
    <fill>
      <patternFill patternType="solid">
        <fgColor rgb="FFE8D0ED"/>
        <bgColor indexed="64"/>
      </patternFill>
    </fill>
    <fill>
      <patternFill patternType="solid">
        <fgColor rgb="FFECC9A5"/>
        <bgColor indexed="64"/>
      </patternFill>
    </fill>
    <fill>
      <patternFill patternType="solid">
        <fgColor rgb="FFA0ABD0"/>
        <bgColor indexed="64"/>
      </patternFill>
    </fill>
    <fill>
      <patternFill patternType="solid">
        <fgColor rgb="FFF99DAE"/>
        <bgColor indexed="64"/>
      </patternFill>
    </fill>
    <fill>
      <patternFill patternType="solid">
        <fgColor rgb="FFA3C6B0"/>
        <bgColor indexed="64"/>
      </patternFill>
    </fill>
    <fill>
      <patternFill patternType="solid">
        <fgColor rgb="FFEEF2C8"/>
        <bgColor indexed="64"/>
      </patternFill>
    </fill>
    <fill>
      <patternFill patternType="solid">
        <fgColor rgb="FFBDE3A6"/>
        <bgColor indexed="64"/>
      </patternFill>
    </fill>
    <fill>
      <patternFill patternType="solid">
        <fgColor rgb="FFD3A8C0"/>
        <bgColor indexed="64"/>
      </patternFill>
    </fill>
    <fill>
      <patternFill patternType="solid">
        <fgColor rgb="FFFEB8B4"/>
        <bgColor indexed="64"/>
      </patternFill>
    </fill>
    <fill>
      <patternFill patternType="solid">
        <fgColor rgb="FFAEC5C5"/>
        <bgColor indexed="64"/>
      </patternFill>
    </fill>
    <fill>
      <patternFill patternType="solid">
        <fgColor rgb="FFFBAAB0"/>
        <bgColor indexed="64"/>
      </patternFill>
    </fill>
    <fill>
      <patternFill patternType="solid">
        <fgColor rgb="FFE1CCAC"/>
        <bgColor indexed="64"/>
      </patternFill>
    </fill>
    <fill>
      <patternFill patternType="solid">
        <fgColor rgb="FFB5CABD"/>
        <bgColor indexed="64"/>
      </patternFill>
    </fill>
    <fill>
      <patternFill patternType="solid">
        <fgColor rgb="FFCBF6FA"/>
        <bgColor indexed="64"/>
      </patternFill>
    </fill>
    <fill>
      <patternFill patternType="solid">
        <fgColor rgb="FF9CD0A5"/>
        <bgColor indexed="64"/>
      </patternFill>
    </fill>
    <fill>
      <patternFill patternType="solid">
        <fgColor rgb="FFAAA9F7"/>
        <bgColor indexed="64"/>
      </patternFill>
    </fill>
    <fill>
      <patternFill patternType="solid">
        <fgColor rgb="FF9BEDE0"/>
        <bgColor indexed="64"/>
      </patternFill>
    </fill>
    <fill>
      <patternFill patternType="solid">
        <fgColor rgb="FFA2D6A2"/>
        <bgColor indexed="64"/>
      </patternFill>
    </fill>
    <fill>
      <patternFill patternType="solid">
        <fgColor rgb="FFADBDE8"/>
        <bgColor indexed="64"/>
      </patternFill>
    </fill>
    <fill>
      <patternFill patternType="solid">
        <fgColor rgb="FF9EADDC"/>
        <bgColor indexed="64"/>
      </patternFill>
    </fill>
    <fill>
      <patternFill patternType="solid">
        <fgColor rgb="FFA1F9FC"/>
        <bgColor indexed="64"/>
      </patternFill>
    </fill>
    <fill>
      <patternFill patternType="solid">
        <fgColor rgb="FFF59FAC"/>
        <bgColor indexed="64"/>
      </patternFill>
    </fill>
    <fill>
      <patternFill patternType="solid">
        <fgColor rgb="FFFCA09B"/>
        <bgColor indexed="64"/>
      </patternFill>
    </fill>
    <fill>
      <patternFill patternType="solid">
        <fgColor rgb="FFD3A3A4"/>
        <bgColor indexed="64"/>
      </patternFill>
    </fill>
    <fill>
      <patternFill patternType="solid">
        <fgColor rgb="FF9CB5FE"/>
        <bgColor indexed="64"/>
      </patternFill>
    </fill>
    <fill>
      <patternFill patternType="solid">
        <fgColor rgb="FFBFD0CF"/>
        <bgColor indexed="64"/>
      </patternFill>
    </fill>
    <fill>
      <patternFill patternType="solid">
        <fgColor rgb="FFAABAFD"/>
        <bgColor indexed="64"/>
      </patternFill>
    </fill>
    <fill>
      <patternFill patternType="solid">
        <fgColor rgb="FF9EA0AF"/>
        <bgColor indexed="64"/>
      </patternFill>
    </fill>
    <fill>
      <patternFill patternType="solid">
        <fgColor rgb="FFA1BDBF"/>
        <bgColor indexed="64"/>
      </patternFill>
    </fill>
    <fill>
      <patternFill patternType="solid">
        <fgColor rgb="FFE7FBB8"/>
        <bgColor indexed="64"/>
      </patternFill>
    </fill>
    <fill>
      <patternFill patternType="solid">
        <fgColor rgb="FFACFDAD"/>
        <bgColor indexed="64"/>
      </patternFill>
    </fill>
    <fill>
      <patternFill patternType="solid">
        <fgColor rgb="FFA9FCAA"/>
        <bgColor indexed="64"/>
      </patternFill>
    </fill>
    <fill>
      <patternFill patternType="solid">
        <fgColor rgb="FFAAFED6"/>
        <bgColor indexed="64"/>
      </patternFill>
    </fill>
    <fill>
      <patternFill patternType="solid">
        <fgColor rgb="FFD9BBB2"/>
        <bgColor indexed="64"/>
      </patternFill>
    </fill>
    <fill>
      <patternFill patternType="solid">
        <fgColor rgb="FFD6BDB6"/>
        <bgColor indexed="64"/>
      </patternFill>
    </fill>
    <fill>
      <patternFill patternType="solid">
        <fgColor rgb="FFB9BAFC"/>
        <bgColor indexed="64"/>
      </patternFill>
    </fill>
    <fill>
      <patternFill patternType="solid">
        <fgColor rgb="FFD8B8BD"/>
        <bgColor indexed="64"/>
      </patternFill>
    </fill>
    <fill>
      <patternFill patternType="solid">
        <fgColor rgb="FFBCB9CC"/>
        <bgColor indexed="64"/>
      </patternFill>
    </fill>
    <fill>
      <patternFill patternType="solid">
        <fgColor rgb="FFFDBDB2"/>
        <bgColor indexed="64"/>
      </patternFill>
    </fill>
    <fill>
      <patternFill patternType="solid">
        <fgColor rgb="FFB9B6A2"/>
        <bgColor indexed="64"/>
      </patternFill>
    </fill>
    <fill>
      <patternFill patternType="solid">
        <fgColor rgb="FFAEA09E"/>
        <bgColor indexed="64"/>
      </patternFill>
    </fill>
    <fill>
      <patternFill patternType="solid">
        <fgColor rgb="FFCCE3CE"/>
        <bgColor indexed="64"/>
      </patternFill>
    </fill>
    <fill>
      <patternFill patternType="solid">
        <fgColor rgb="FF9FAFAE"/>
        <bgColor indexed="64"/>
      </patternFill>
    </fill>
    <fill>
      <patternFill patternType="solid">
        <fgColor rgb="FFCCB7AA"/>
        <bgColor indexed="64"/>
      </patternFill>
    </fill>
    <fill>
      <patternFill patternType="solid">
        <fgColor rgb="FFF1C1BF"/>
        <bgColor indexed="64"/>
      </patternFill>
    </fill>
    <fill>
      <patternFill patternType="solid">
        <fgColor rgb="FFFABD9E"/>
        <bgColor indexed="64"/>
      </patternFill>
    </fill>
    <fill>
      <patternFill patternType="solid">
        <fgColor rgb="FFF1C4FB"/>
        <bgColor indexed="64"/>
      </patternFill>
    </fill>
    <fill>
      <patternFill patternType="solid">
        <fgColor rgb="FFF2C0AC"/>
        <bgColor indexed="64"/>
      </patternFill>
    </fill>
    <fill>
      <patternFill patternType="solid">
        <fgColor rgb="FFFBC79E"/>
        <bgColor indexed="64"/>
      </patternFill>
    </fill>
    <fill>
      <patternFill patternType="solid">
        <fgColor rgb="FF9ECCA2"/>
        <bgColor indexed="64"/>
      </patternFill>
    </fill>
    <fill>
      <patternFill patternType="solid">
        <fgColor rgb="FFC3E4AE"/>
        <bgColor indexed="64"/>
      </patternFill>
    </fill>
    <fill>
      <patternFill patternType="solid">
        <fgColor rgb="FFEEBEA7"/>
        <bgColor indexed="64"/>
      </patternFill>
    </fill>
    <fill>
      <patternFill patternType="solid">
        <fgColor rgb="FFF2BFCD"/>
        <bgColor indexed="64"/>
      </patternFill>
    </fill>
    <fill>
      <patternFill patternType="solid">
        <fgColor rgb="FFD8B9A7"/>
        <bgColor indexed="64"/>
      </patternFill>
    </fill>
    <fill>
      <patternFill patternType="solid">
        <fgColor rgb="FFF4EFCA"/>
        <bgColor indexed="64"/>
      </patternFill>
    </fill>
    <fill>
      <patternFill patternType="solid">
        <fgColor rgb="FFB2D9B6"/>
        <bgColor indexed="64"/>
      </patternFill>
    </fill>
    <fill>
      <patternFill patternType="solid">
        <fgColor rgb="FFD8C3A2"/>
        <bgColor indexed="64"/>
      </patternFill>
    </fill>
    <fill>
      <patternFill patternType="solid">
        <fgColor rgb="FFA4FDAC"/>
        <bgColor indexed="64"/>
      </patternFill>
    </fill>
    <fill>
      <patternFill patternType="solid">
        <fgColor rgb="FF9CC1AA"/>
        <bgColor indexed="64"/>
      </patternFill>
    </fill>
    <fill>
      <patternFill patternType="solid">
        <fgColor rgb="FFA0A2AD"/>
        <bgColor indexed="64"/>
      </patternFill>
    </fill>
    <fill>
      <patternFill patternType="solid">
        <fgColor rgb="FFA9FCFE"/>
        <bgColor indexed="64"/>
      </patternFill>
    </fill>
    <fill>
      <patternFill patternType="solid">
        <fgColor rgb="FFE2C2A7"/>
        <bgColor indexed="64"/>
      </patternFill>
    </fill>
    <fill>
      <patternFill patternType="solid">
        <fgColor rgb="FFA3A9AA"/>
        <bgColor indexed="64"/>
      </patternFill>
    </fill>
    <fill>
      <patternFill patternType="solid">
        <fgColor rgb="FFC4A7B0"/>
        <bgColor indexed="64"/>
      </patternFill>
    </fill>
    <fill>
      <patternFill patternType="solid">
        <fgColor rgb="FFB0AB9E"/>
        <bgColor indexed="64"/>
      </patternFill>
    </fill>
    <fill>
      <patternFill patternType="solid">
        <fgColor rgb="FFA9A6A0"/>
        <bgColor indexed="64"/>
      </patternFill>
    </fill>
    <fill>
      <patternFill patternType="solid">
        <fgColor rgb="FFB6A1A9"/>
        <bgColor indexed="64"/>
      </patternFill>
    </fill>
    <fill>
      <patternFill patternType="solid">
        <fgColor rgb="FFF3DBB8"/>
        <bgColor indexed="64"/>
      </patternFill>
    </fill>
    <fill>
      <patternFill patternType="solid">
        <fgColor rgb="FFB3A8ED"/>
        <bgColor indexed="64"/>
      </patternFill>
    </fill>
    <fill>
      <patternFill patternType="solid">
        <fgColor rgb="FFB4B6ED"/>
        <bgColor indexed="64"/>
      </patternFill>
    </fill>
    <fill>
      <patternFill patternType="solid">
        <fgColor rgb="FFEAC9F0"/>
        <bgColor indexed="64"/>
      </patternFill>
    </fill>
    <fill>
      <patternFill patternType="solid">
        <fgColor rgb="FFF2D3CC"/>
        <bgColor indexed="64"/>
      </patternFill>
    </fill>
    <fill>
      <patternFill patternType="solid">
        <fgColor rgb="FF9BC9C9"/>
        <bgColor indexed="64"/>
      </patternFill>
    </fill>
    <fill>
      <patternFill patternType="solid">
        <fgColor rgb="FFA2DDBB"/>
        <bgColor indexed="64"/>
      </patternFill>
    </fill>
    <fill>
      <patternFill patternType="solid">
        <fgColor rgb="FFBDDECD"/>
        <bgColor indexed="64"/>
      </patternFill>
    </fill>
    <fill>
      <patternFill patternType="solid">
        <fgColor rgb="FFEEBBFD"/>
        <bgColor indexed="64"/>
      </patternFill>
    </fill>
    <fill>
      <patternFill patternType="solid">
        <fgColor rgb="FFB8D8D6"/>
        <bgColor indexed="64"/>
      </patternFill>
    </fill>
    <fill>
      <patternFill patternType="solid">
        <fgColor rgb="FFF5C7B8"/>
        <bgColor indexed="64"/>
      </patternFill>
    </fill>
    <fill>
      <patternFill patternType="solid">
        <fgColor rgb="FF9ED5A7"/>
        <bgColor indexed="64"/>
      </patternFill>
    </fill>
    <fill>
      <patternFill patternType="solid">
        <fgColor rgb="FFF4D9B5"/>
        <bgColor indexed="64"/>
      </patternFill>
    </fill>
    <fill>
      <patternFill patternType="solid">
        <fgColor rgb="FFDEBEAC"/>
        <bgColor indexed="64"/>
      </patternFill>
    </fill>
    <fill>
      <patternFill patternType="solid">
        <fgColor rgb="FFA6B4A9"/>
        <bgColor indexed="64"/>
      </patternFill>
    </fill>
    <fill>
      <patternFill patternType="solid">
        <fgColor rgb="FFC8ADAA"/>
        <bgColor indexed="64"/>
      </patternFill>
    </fill>
    <fill>
      <patternFill patternType="solid">
        <fgColor rgb="FFB8A4D2"/>
        <bgColor indexed="64"/>
      </patternFill>
    </fill>
    <fill>
      <patternFill patternType="solid">
        <fgColor rgb="FFADFCAC"/>
        <bgColor indexed="64"/>
      </patternFill>
    </fill>
    <fill>
      <patternFill patternType="solid">
        <fgColor rgb="FFA7ACA4"/>
        <bgColor indexed="64"/>
      </patternFill>
    </fill>
    <fill>
      <patternFill patternType="solid">
        <fgColor rgb="FFAB9FB0"/>
        <bgColor indexed="64"/>
      </patternFill>
    </fill>
    <fill>
      <patternFill patternType="solid">
        <fgColor rgb="FFD9C7B0"/>
        <bgColor indexed="64"/>
      </patternFill>
    </fill>
    <fill>
      <patternFill patternType="solid">
        <fgColor rgb="FF9BD3A3"/>
        <bgColor indexed="64"/>
      </patternFill>
    </fill>
    <fill>
      <patternFill patternType="solid">
        <fgColor rgb="FFA8A59C"/>
        <bgColor indexed="64"/>
      </patternFill>
    </fill>
    <fill>
      <patternFill patternType="solid">
        <fgColor rgb="FFA7A8BB"/>
        <bgColor indexed="64"/>
      </patternFill>
    </fill>
    <fill>
      <patternFill patternType="solid">
        <fgColor rgb="FFA6A3B4"/>
        <bgColor indexed="64"/>
      </patternFill>
    </fill>
    <fill>
      <patternFill patternType="solid">
        <fgColor rgb="FFECE0CB"/>
        <bgColor indexed="64"/>
      </patternFill>
    </fill>
    <fill>
      <patternFill patternType="solid">
        <fgColor rgb="FF9CFC9B"/>
        <bgColor indexed="64"/>
      </patternFill>
    </fill>
    <fill>
      <patternFill patternType="solid">
        <fgColor rgb="FFC9A9F5"/>
        <bgColor indexed="64"/>
      </patternFill>
    </fill>
    <fill>
      <patternFill patternType="solid">
        <fgColor rgb="FFF5B3A2"/>
        <bgColor indexed="64"/>
      </patternFill>
    </fill>
    <fill>
      <patternFill patternType="solid">
        <fgColor rgb="FFB0C59E"/>
        <bgColor indexed="64"/>
      </patternFill>
    </fill>
    <fill>
      <patternFill patternType="solid">
        <fgColor rgb="FFB0A1B0"/>
        <bgColor indexed="64"/>
      </patternFill>
    </fill>
    <fill>
      <patternFill patternType="solid">
        <fgColor rgb="FFE69EA5"/>
        <bgColor indexed="64"/>
      </patternFill>
    </fill>
    <fill>
      <patternFill patternType="solid">
        <fgColor rgb="FFAFD9DD"/>
        <bgColor indexed="64"/>
      </patternFill>
    </fill>
    <fill>
      <patternFill patternType="solid">
        <fgColor rgb="FFD4CEF2"/>
        <bgColor indexed="64"/>
      </patternFill>
    </fill>
    <fill>
      <patternFill patternType="solid">
        <fgColor rgb="FFA4A09C"/>
        <bgColor indexed="64"/>
      </patternFill>
    </fill>
    <fill>
      <patternFill patternType="solid">
        <fgColor rgb="FFC9D9AF"/>
        <bgColor indexed="64"/>
      </patternFill>
    </fill>
    <fill>
      <patternFill patternType="solid">
        <fgColor rgb="FFC7ABBE"/>
        <bgColor indexed="64"/>
      </patternFill>
    </fill>
    <fill>
      <patternFill patternType="solid">
        <fgColor rgb="FFCEB99B"/>
        <bgColor indexed="64"/>
      </patternFill>
    </fill>
    <fill>
      <patternFill patternType="solid">
        <fgColor rgb="FFD6BCA9"/>
        <bgColor indexed="64"/>
      </patternFill>
    </fill>
    <fill>
      <patternFill patternType="solid">
        <fgColor rgb="FFABA8D0"/>
        <bgColor indexed="64"/>
      </patternFill>
    </fill>
    <fill>
      <patternFill patternType="solid">
        <fgColor rgb="FFDDE3A6"/>
        <bgColor indexed="64"/>
      </patternFill>
    </fill>
    <fill>
      <patternFill patternType="solid">
        <fgColor rgb="FFB8F99D"/>
        <bgColor indexed="64"/>
      </patternFill>
    </fill>
    <fill>
      <patternFill patternType="solid">
        <fgColor rgb="FFAA9C9B"/>
        <bgColor indexed="64"/>
      </patternFill>
    </fill>
    <fill>
      <patternFill patternType="solid">
        <fgColor rgb="FFCDABE2"/>
        <bgColor indexed="64"/>
      </patternFill>
    </fill>
    <fill>
      <patternFill patternType="solid">
        <fgColor rgb="FFBCA0A4"/>
        <bgColor indexed="64"/>
      </patternFill>
    </fill>
    <fill>
      <patternFill patternType="solid">
        <fgColor rgb="FFC5ACE8"/>
        <bgColor indexed="64"/>
      </patternFill>
    </fill>
    <fill>
      <patternFill patternType="solid">
        <fgColor rgb="FFE5D2FE"/>
        <bgColor indexed="64"/>
      </patternFill>
    </fill>
    <fill>
      <patternFill patternType="solid">
        <fgColor rgb="FFC7ECD7"/>
        <bgColor indexed="64"/>
      </patternFill>
    </fill>
    <fill>
      <patternFill patternType="solid">
        <fgColor rgb="FFA1B4A5"/>
        <bgColor indexed="64"/>
      </patternFill>
    </fill>
    <fill>
      <patternFill patternType="solid">
        <fgColor rgb="FFB6FCAC"/>
        <bgColor indexed="64"/>
      </patternFill>
    </fill>
    <fill>
      <patternFill patternType="solid">
        <fgColor rgb="FFABA9A9"/>
        <bgColor indexed="64"/>
      </patternFill>
    </fill>
    <fill>
      <patternFill patternType="solid">
        <fgColor rgb="FFE0B4BA"/>
        <bgColor indexed="64"/>
      </patternFill>
    </fill>
    <fill>
      <patternFill patternType="solid">
        <fgColor rgb="FFAAA49C"/>
        <bgColor indexed="64"/>
      </patternFill>
    </fill>
    <fill>
      <patternFill patternType="solid">
        <fgColor rgb="FFB6C6A5"/>
        <bgColor indexed="64"/>
      </patternFill>
    </fill>
    <fill>
      <patternFill patternType="solid">
        <fgColor rgb="FFE9D9B2"/>
        <bgColor indexed="64"/>
      </patternFill>
    </fill>
    <fill>
      <patternFill patternType="solid">
        <fgColor rgb="FFD0D0B7"/>
        <bgColor indexed="64"/>
      </patternFill>
    </fill>
    <fill>
      <patternFill patternType="solid">
        <fgColor rgb="FFA9A6AC"/>
        <bgColor indexed="64"/>
      </patternFill>
    </fill>
    <fill>
      <patternFill patternType="solid">
        <fgColor rgb="FFA9A6AA"/>
        <bgColor indexed="64"/>
      </patternFill>
    </fill>
    <fill>
      <patternFill patternType="solid">
        <fgColor rgb="FFD1F1DE"/>
        <bgColor indexed="64"/>
      </patternFill>
    </fill>
    <fill>
      <patternFill patternType="solid">
        <fgColor rgb="FFCBA9AB"/>
        <bgColor indexed="64"/>
      </patternFill>
    </fill>
    <fill>
      <patternFill patternType="solid">
        <fgColor rgb="FFB5AFFC"/>
        <bgColor indexed="64"/>
      </patternFill>
    </fill>
    <fill>
      <patternFill patternType="solid">
        <fgColor rgb="FFA6B2F9"/>
        <bgColor indexed="64"/>
      </patternFill>
    </fill>
    <fill>
      <patternFill patternType="solid">
        <fgColor rgb="FFB7D1E4"/>
        <bgColor indexed="64"/>
      </patternFill>
    </fill>
    <fill>
      <patternFill patternType="solid">
        <fgColor rgb="FFE0E7D6"/>
        <bgColor indexed="64"/>
      </patternFill>
    </fill>
    <fill>
      <patternFill patternType="solid">
        <fgColor rgb="FFA6B9E9"/>
        <bgColor indexed="64"/>
      </patternFill>
    </fill>
    <fill>
      <patternFill patternType="solid">
        <fgColor rgb="FFA8C5F6"/>
        <bgColor indexed="64"/>
      </patternFill>
    </fill>
    <fill>
      <patternFill patternType="solid">
        <fgColor rgb="FFA8C7F0"/>
        <bgColor indexed="64"/>
      </patternFill>
    </fill>
    <fill>
      <patternFill patternType="solid">
        <fgColor rgb="FFA5B1FE"/>
        <bgColor indexed="64"/>
      </patternFill>
    </fill>
    <fill>
      <patternFill patternType="solid">
        <fgColor rgb="FFB4D0F3"/>
        <bgColor indexed="64"/>
      </patternFill>
    </fill>
    <fill>
      <patternFill patternType="solid">
        <fgColor rgb="FFF2DEEE"/>
        <bgColor indexed="64"/>
      </patternFill>
    </fill>
    <fill>
      <patternFill patternType="solid">
        <fgColor rgb="FFFBE2D5"/>
        <bgColor rgb="FFFBE2D5"/>
      </patternFill>
    </fill>
    <fill>
      <patternFill patternType="solid">
        <fgColor rgb="FFEEC6B7"/>
        <bgColor rgb="FF000000"/>
      </patternFill>
    </fill>
    <fill>
      <patternFill patternType="solid">
        <fgColor rgb="FFA8AFB8"/>
        <bgColor rgb="FF000000"/>
      </patternFill>
    </fill>
    <fill>
      <patternFill patternType="solid">
        <fgColor rgb="FFE7B1AB"/>
        <bgColor rgb="FF000000"/>
      </patternFill>
    </fill>
    <fill>
      <patternFill patternType="solid">
        <fgColor rgb="FFF8C9E5"/>
        <bgColor rgb="FF000000"/>
      </patternFill>
    </fill>
    <fill>
      <patternFill patternType="solid">
        <fgColor rgb="FFC5A8D1"/>
        <bgColor rgb="FF000000"/>
      </patternFill>
    </fill>
    <fill>
      <patternFill patternType="solid">
        <fgColor rgb="FFBDE3A6"/>
        <bgColor rgb="FF000000"/>
      </patternFill>
    </fill>
    <fill>
      <patternFill patternType="solid">
        <fgColor rgb="FFD3A8C0"/>
        <bgColor rgb="FF000000"/>
      </patternFill>
    </fill>
    <fill>
      <patternFill patternType="solid">
        <fgColor rgb="FFAEC5C5"/>
        <bgColor rgb="FF000000"/>
      </patternFill>
    </fill>
    <fill>
      <patternFill patternType="solid">
        <fgColor rgb="FFB5CABD"/>
        <bgColor rgb="FF000000"/>
      </patternFill>
    </fill>
    <fill>
      <patternFill patternType="solid">
        <fgColor rgb="FFA2D6A2"/>
        <bgColor rgb="FF000000"/>
      </patternFill>
    </fill>
    <fill>
      <patternFill patternType="solid">
        <fgColor rgb="FF9EADDC"/>
        <bgColor rgb="FF000000"/>
      </patternFill>
    </fill>
    <fill>
      <patternFill patternType="solid">
        <fgColor rgb="FFAEB2F3"/>
        <bgColor indexed="64"/>
      </patternFill>
    </fill>
    <fill>
      <patternFill patternType="solid">
        <fgColor rgb="FFFCB2FD"/>
        <bgColor indexed="64"/>
      </patternFill>
    </fill>
    <fill>
      <patternFill patternType="solid">
        <fgColor rgb="FFA9BAB5"/>
        <bgColor indexed="64"/>
      </patternFill>
    </fill>
    <fill>
      <patternFill patternType="solid">
        <fgColor rgb="FFADB9D2"/>
        <bgColor indexed="64"/>
      </patternFill>
    </fill>
    <fill>
      <patternFill patternType="solid">
        <fgColor rgb="FF9DF3FB"/>
        <bgColor indexed="64"/>
      </patternFill>
    </fill>
    <fill>
      <patternFill patternType="solid">
        <fgColor rgb="FFA0A0A3"/>
        <bgColor indexed="64"/>
      </patternFill>
    </fill>
    <fill>
      <patternFill patternType="solid">
        <fgColor rgb="FFB5A7AE"/>
        <bgColor indexed="64"/>
      </patternFill>
    </fill>
    <fill>
      <patternFill patternType="solid">
        <fgColor rgb="FFA8B6A8"/>
        <bgColor indexed="64"/>
      </patternFill>
    </fill>
    <fill>
      <patternFill patternType="solid">
        <fgColor rgb="FFCDC1C4"/>
        <bgColor indexed="64"/>
      </patternFill>
    </fill>
    <fill>
      <patternFill patternType="solid">
        <fgColor rgb="FF76D6FF"/>
        <bgColor theme="8" tint="0.5999938962981048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D86DCD"/>
      </top>
      <bottom style="thin">
        <color rgb="FFD86DC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86DCD"/>
      </left>
      <right style="thin">
        <color indexed="64"/>
      </right>
      <top style="thin">
        <color rgb="FFD86DCD"/>
      </top>
      <bottom style="thin">
        <color rgb="FFD86DCD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rgb="FFD86DCD"/>
      </left>
      <right style="thin">
        <color indexed="64"/>
      </right>
      <top style="thin">
        <color rgb="FFD86DCD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4" fillId="0" borderId="0"/>
    <xf numFmtId="0" fontId="1" fillId="0" borderId="0"/>
    <xf numFmtId="44" fontId="4" fillId="0" borderId="0"/>
    <xf numFmtId="9" fontId="4" fillId="0" borderId="0"/>
  </cellStyleXfs>
  <cellXfs count="1090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1"/>
    <xf numFmtId="164" fontId="0" fillId="0" borderId="0" pivotButton="0" quotePrefix="0" xfId="2"/>
    <xf numFmtId="0" fontId="0" fillId="0" borderId="0" applyAlignment="1" pivotButton="0" quotePrefix="0" xfId="0">
      <alignment textRotation="45"/>
    </xf>
    <xf numFmtId="0" fontId="0" fillId="0" borderId="0" applyAlignment="1" pivotButton="0" quotePrefix="0" xfId="0">
      <alignment horizontal="center" vertical="top"/>
    </xf>
    <xf numFmtId="0" fontId="5" fillId="6" borderId="8" pivotButton="0" quotePrefix="0" xfId="0"/>
    <xf numFmtId="0" fontId="5" fillId="6" borderId="9" pivotButton="0" quotePrefix="0" xfId="0"/>
    <xf numFmtId="0" fontId="5" fillId="6" borderId="6" applyAlignment="1" pivotButton="0" quotePrefix="0" xfId="0">
      <alignment horizontal="center" vertical="top" textRotation="45"/>
    </xf>
    <xf numFmtId="0" fontId="5" fillId="6" borderId="12" applyAlignment="1" pivotButton="0" quotePrefix="0" xfId="0">
      <alignment horizontal="center" vertical="top" textRotation="45"/>
    </xf>
    <xf numFmtId="0" fontId="0" fillId="8" borderId="1" applyAlignment="1" pivotButton="0" quotePrefix="0" xfId="0">
      <alignment horizontal="center" vertical="top" textRotation="45"/>
    </xf>
    <xf numFmtId="0" fontId="0" fillId="8" borderId="0" pivotButton="0" quotePrefix="0" xfId="0"/>
    <xf numFmtId="0" fontId="0" fillId="8" borderId="1" applyAlignment="1" pivotButton="0" quotePrefix="0" xfId="0">
      <alignment horizontal="left" vertical="top" textRotation="45"/>
    </xf>
    <xf numFmtId="0" fontId="0" fillId="8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top" textRotation="45"/>
    </xf>
    <xf numFmtId="0" fontId="0" fillId="0" borderId="0" applyAlignment="1" pivotButton="0" quotePrefix="0" xfId="0">
      <alignment horizontal="left" vertical="top" textRotation="45" wrapText="1"/>
    </xf>
    <xf numFmtId="164" fontId="1" fillId="0" borderId="0" pivotButton="0" quotePrefix="0" xfId="1"/>
    <xf numFmtId="0" fontId="5" fillId="5" borderId="16" applyAlignment="1" pivotButton="0" quotePrefix="0" xfId="0">
      <alignment horizontal="center" vertical="top" textRotation="45"/>
    </xf>
    <xf numFmtId="0" fontId="5" fillId="5" borderId="8" applyAlignment="1" pivotButton="0" quotePrefix="0" xfId="0">
      <alignment horizontal="center" vertical="top" textRotation="45"/>
    </xf>
    <xf numFmtId="0" fontId="0" fillId="0" borderId="13" pivotButton="0" quotePrefix="0" xfId="0"/>
    <xf numFmtId="0" fontId="0" fillId="0" borderId="14" pivotButton="0" quotePrefix="0" xfId="0"/>
    <xf numFmtId="0" fontId="0" fillId="2" borderId="14" pivotButton="0" quotePrefix="0" xfId="0"/>
    <xf numFmtId="0" fontId="0" fillId="0" borderId="15" pivotButton="0" quotePrefix="0" xfId="0"/>
    <xf numFmtId="0" fontId="2" fillId="0" borderId="13" pivotButton="0" quotePrefix="0" xfId="0"/>
    <xf numFmtId="0" fontId="6" fillId="9" borderId="11" applyAlignment="1" pivotButton="0" quotePrefix="0" xfId="0">
      <alignment horizontal="right" vertical="top" textRotation="45"/>
    </xf>
    <xf numFmtId="0" fontId="8" fillId="2" borderId="11" applyAlignment="1" pivotButton="0" quotePrefix="0" xfId="0">
      <alignment horizontal="right" vertical="top" textRotation="45"/>
    </xf>
    <xf numFmtId="0" fontId="0" fillId="0" borderId="4" pivotButton="0" quotePrefix="0" xfId="0"/>
    <xf numFmtId="165" fontId="0" fillId="0" borderId="4" pivotButton="0" quotePrefix="0" xfId="0"/>
    <xf numFmtId="0" fontId="3" fillId="3" borderId="1" applyAlignment="1" pivotButton="0" quotePrefix="0" xfId="0">
      <alignment horizontal="center" vertical="top" textRotation="45" wrapText="1"/>
    </xf>
    <xf numFmtId="166" fontId="10" fillId="3" borderId="7" applyAlignment="1" pivotButton="0" quotePrefix="0" xfId="0">
      <alignment horizontal="center" vertical="top" textRotation="45" wrapText="1"/>
    </xf>
    <xf numFmtId="0" fontId="10" fillId="3" borderId="11" applyAlignment="1" pivotButton="0" quotePrefix="0" xfId="0">
      <alignment horizontal="center" vertical="top" textRotation="45"/>
    </xf>
    <xf numFmtId="0" fontId="10" fillId="7" borderId="10" applyAlignment="1" pivotButton="0" quotePrefix="0" xfId="0">
      <alignment horizontal="center" vertical="top" textRotation="45" wrapText="1"/>
    </xf>
    <xf numFmtId="0" fontId="10" fillId="11" borderId="10" applyAlignment="1" pivotButton="0" quotePrefix="0" xfId="0">
      <alignment horizontal="center" vertical="top" textRotation="45" wrapText="1"/>
    </xf>
    <xf numFmtId="0" fontId="10" fillId="6" borderId="11" applyAlignment="1" pivotButton="0" quotePrefix="0" xfId="0">
      <alignment horizontal="center" vertical="top" textRotation="45"/>
    </xf>
    <xf numFmtId="0" fontId="10" fillId="4" borderId="11" applyAlignment="1" pivotButton="0" quotePrefix="0" xfId="0">
      <alignment horizontal="center" vertical="top" textRotation="45"/>
    </xf>
    <xf numFmtId="0" fontId="10" fillId="12" borderId="11" applyAlignment="1" pivotButton="0" quotePrefix="0" xfId="0">
      <alignment horizontal="center" vertical="top" textRotation="45"/>
    </xf>
    <xf numFmtId="0" fontId="7" fillId="2" borderId="20" applyAlignment="1" pivotButton="0" quotePrefix="0" xfId="0">
      <alignment horizontal="center" vertical="top" textRotation="45"/>
    </xf>
    <xf numFmtId="166" fontId="7" fillId="2" borderId="22" applyAlignment="1" pivotButton="0" quotePrefix="0" xfId="0">
      <alignment horizontal="center" vertical="top" textRotation="45"/>
    </xf>
    <xf numFmtId="166" fontId="7" fillId="5" borderId="11" applyAlignment="1" pivotButton="0" quotePrefix="0" xfId="0">
      <alignment horizontal="center" vertical="top" textRotation="45"/>
    </xf>
    <xf numFmtId="166" fontId="10" fillId="7" borderId="7" applyAlignment="1" pivotButton="0" quotePrefix="0" xfId="0">
      <alignment horizontal="center" vertical="top" textRotation="45" wrapText="1"/>
    </xf>
    <xf numFmtId="166" fontId="10" fillId="11" borderId="7" applyAlignment="1" pivotButton="0" quotePrefix="0" xfId="0">
      <alignment horizontal="center" vertical="top" textRotation="45" wrapText="1"/>
    </xf>
    <xf numFmtId="166" fontId="10" fillId="6" borderId="11" applyAlignment="1" pivotButton="0" quotePrefix="0" xfId="0">
      <alignment horizontal="center" vertical="top" textRotation="45"/>
    </xf>
    <xf numFmtId="166" fontId="10" fillId="4" borderId="11" applyAlignment="1" pivotButton="0" quotePrefix="0" xfId="0">
      <alignment horizontal="center" vertical="top" textRotation="45"/>
    </xf>
    <xf numFmtId="166" fontId="10" fillId="12" borderId="11" applyAlignment="1" pivotButton="0" quotePrefix="0" xfId="0">
      <alignment horizontal="center" vertical="top" textRotation="45"/>
    </xf>
    <xf numFmtId="166" fontId="10" fillId="3" borderId="18" applyAlignment="1" pivotButton="0" quotePrefix="0" xfId="0">
      <alignment horizontal="center" vertical="top" textRotation="45"/>
    </xf>
    <xf numFmtId="0" fontId="3" fillId="7" borderId="1" applyAlignment="1" pivotButton="0" quotePrefix="0" xfId="0">
      <alignment horizontal="center" vertical="top" textRotation="45" wrapText="1"/>
    </xf>
    <xf numFmtId="0" fontId="3" fillId="11" borderId="1" applyAlignment="1" pivotButton="0" quotePrefix="0" xfId="0">
      <alignment horizontal="center" vertical="top" textRotation="45" wrapText="1"/>
    </xf>
    <xf numFmtId="0" fontId="3" fillId="6" borderId="11" applyAlignment="1" pivotButton="0" quotePrefix="0" xfId="0">
      <alignment horizontal="center" vertical="top" textRotation="45"/>
    </xf>
    <xf numFmtId="0" fontId="3" fillId="4" borderId="11" applyAlignment="1" pivotButton="0" quotePrefix="0" xfId="0">
      <alignment horizontal="center" vertical="top" textRotation="45"/>
    </xf>
    <xf numFmtId="0" fontId="3" fillId="12" borderId="11" applyAlignment="1" pivotButton="0" quotePrefix="0" xfId="0">
      <alignment horizontal="center" vertical="top" textRotation="45"/>
    </xf>
    <xf numFmtId="0" fontId="3" fillId="3" borderId="11" applyAlignment="1" pivotButton="0" quotePrefix="0" xfId="0">
      <alignment horizontal="center" vertical="top" textRotation="45"/>
    </xf>
    <xf numFmtId="0" fontId="3" fillId="2" borderId="21" applyAlignment="1" pivotButton="0" quotePrefix="0" xfId="0">
      <alignment horizontal="center" vertical="top" textRotation="45"/>
    </xf>
    <xf numFmtId="0" fontId="3" fillId="5" borderId="11" applyAlignment="1" pivotButton="0" quotePrefix="0" xfId="0">
      <alignment horizontal="center" vertical="top" textRotation="45"/>
    </xf>
    <xf numFmtId="0" fontId="7" fillId="5" borderId="19" applyAlignment="1" pivotButton="0" quotePrefix="0" xfId="0">
      <alignment horizontal="center" vertical="top" textRotation="45"/>
    </xf>
    <xf numFmtId="0" fontId="9" fillId="8" borderId="0" applyAlignment="1" pivotButton="0" quotePrefix="0" xfId="0">
      <alignment horizontal="left"/>
    </xf>
    <xf numFmtId="0" fontId="12" fillId="13" borderId="4" pivotButton="0" quotePrefix="0" xfId="0"/>
    <xf numFmtId="0" fontId="12" fillId="14" borderId="4" pivotButton="0" quotePrefix="0" xfId="0"/>
    <xf numFmtId="0" fontId="12" fillId="15" borderId="4" pivotButton="0" quotePrefix="0" xfId="0"/>
    <xf numFmtId="0" fontId="12" fillId="16" borderId="4" pivotButton="0" quotePrefix="0" xfId="0"/>
    <xf numFmtId="0" fontId="12" fillId="17" borderId="4" pivotButton="0" quotePrefix="0" xfId="0"/>
    <xf numFmtId="0" fontId="12" fillId="18" borderId="4" pivotButton="0" quotePrefix="0" xfId="0"/>
    <xf numFmtId="0" fontId="12" fillId="19" borderId="4" pivotButton="0" quotePrefix="0" xfId="0"/>
    <xf numFmtId="0" fontId="12" fillId="20" borderId="4" pivotButton="0" quotePrefix="0" xfId="0"/>
    <xf numFmtId="0" fontId="12" fillId="21" borderId="4" pivotButton="0" quotePrefix="0" xfId="0"/>
    <xf numFmtId="0" fontId="12" fillId="22" borderId="4" pivotButton="0" quotePrefix="0" xfId="0"/>
    <xf numFmtId="0" fontId="12" fillId="23" borderId="4" pivotButton="0" quotePrefix="0" xfId="0"/>
    <xf numFmtId="0" fontId="12" fillId="24" borderId="4" pivotButton="0" quotePrefix="0" xfId="0"/>
    <xf numFmtId="0" fontId="12" fillId="25" borderId="4" pivotButton="0" quotePrefix="0" xfId="0"/>
    <xf numFmtId="0" fontId="12" fillId="26" borderId="4" pivotButton="0" quotePrefix="0" xfId="0"/>
    <xf numFmtId="0" fontId="12" fillId="27" borderId="4" pivotButton="0" quotePrefix="0" xfId="0"/>
    <xf numFmtId="0" fontId="12" fillId="28" borderId="4" pivotButton="0" quotePrefix="0" xfId="0"/>
    <xf numFmtId="0" fontId="12" fillId="29" borderId="4" pivotButton="0" quotePrefix="0" xfId="0"/>
    <xf numFmtId="0" fontId="12" fillId="30" borderId="4" pivotButton="0" quotePrefix="0" xfId="0"/>
    <xf numFmtId="0" fontId="12" fillId="31" borderId="4" pivotButton="0" quotePrefix="0" xfId="0"/>
    <xf numFmtId="0" fontId="12" fillId="32" borderId="4" pivotButton="0" quotePrefix="0" xfId="0"/>
    <xf numFmtId="0" fontId="12" fillId="33" borderId="4" pivotButton="0" quotePrefix="0" xfId="0"/>
    <xf numFmtId="0" fontId="12" fillId="34" borderId="4" pivotButton="0" quotePrefix="0" xfId="0"/>
    <xf numFmtId="0" fontId="12" fillId="35" borderId="4" pivotButton="0" quotePrefix="0" xfId="0"/>
    <xf numFmtId="0" fontId="12" fillId="36" borderId="4" pivotButton="0" quotePrefix="0" xfId="0"/>
    <xf numFmtId="0" fontId="12" fillId="37" borderId="4" pivotButton="0" quotePrefix="0" xfId="0"/>
    <xf numFmtId="0" fontId="12" fillId="38" borderId="4" pivotButton="0" quotePrefix="0" xfId="0"/>
    <xf numFmtId="0" fontId="12" fillId="39" borderId="4" pivotButton="0" quotePrefix="0" xfId="0"/>
    <xf numFmtId="0" fontId="12" fillId="40" borderId="4" pivotButton="0" quotePrefix="0" xfId="0"/>
    <xf numFmtId="0" fontId="12" fillId="41" borderId="4" pivotButton="0" quotePrefix="0" xfId="0"/>
    <xf numFmtId="0" fontId="12" fillId="42" borderId="4" pivotButton="0" quotePrefix="0" xfId="0"/>
    <xf numFmtId="0" fontId="12" fillId="43" borderId="4" pivotButton="0" quotePrefix="0" xfId="0"/>
    <xf numFmtId="0" fontId="12" fillId="44" borderId="4" pivotButton="0" quotePrefix="0" xfId="0"/>
    <xf numFmtId="0" fontId="12" fillId="45" borderId="4" pivotButton="0" quotePrefix="0" xfId="0"/>
    <xf numFmtId="0" fontId="12" fillId="46" borderId="4" pivotButton="0" quotePrefix="0" xfId="0"/>
    <xf numFmtId="0" fontId="12" fillId="47" borderId="4" pivotButton="0" quotePrefix="0" xfId="0"/>
    <xf numFmtId="0" fontId="14" fillId="48" borderId="4" pivotButton="0" quotePrefix="0" xfId="0"/>
    <xf numFmtId="0" fontId="12" fillId="48" borderId="4" pivotButton="0" quotePrefix="0" xfId="0"/>
    <xf numFmtId="0" fontId="14" fillId="49" borderId="4" pivotButton="0" quotePrefix="0" xfId="0"/>
    <xf numFmtId="0" fontId="12" fillId="49" borderId="4" pivotButton="0" quotePrefix="0" xfId="0"/>
    <xf numFmtId="0" fontId="12" fillId="50" borderId="4" pivotButton="0" quotePrefix="0" xfId="0"/>
    <xf numFmtId="0" fontId="12" fillId="51" borderId="4" pivotButton="0" quotePrefix="0" xfId="0"/>
    <xf numFmtId="0" fontId="12" fillId="52" borderId="4" pivotButton="0" quotePrefix="0" xfId="0"/>
    <xf numFmtId="0" fontId="12" fillId="53" borderId="4" pivotButton="0" quotePrefix="0" xfId="0"/>
    <xf numFmtId="0" fontId="12" fillId="54" borderId="4" pivotButton="0" quotePrefix="0" xfId="0"/>
    <xf numFmtId="0" fontId="12" fillId="55" borderId="4" pivotButton="0" quotePrefix="0" xfId="0"/>
    <xf numFmtId="0" fontId="12" fillId="56" borderId="4" pivotButton="0" quotePrefix="0" xfId="0"/>
    <xf numFmtId="0" fontId="12" fillId="57" borderId="4" pivotButton="0" quotePrefix="0" xfId="0"/>
    <xf numFmtId="0" fontId="12" fillId="58" borderId="4" pivotButton="0" quotePrefix="0" xfId="0"/>
    <xf numFmtId="0" fontId="12" fillId="59" borderId="4" pivotButton="0" quotePrefix="0" xfId="0"/>
    <xf numFmtId="0" fontId="12" fillId="60" borderId="4" pivotButton="0" quotePrefix="0" xfId="0"/>
    <xf numFmtId="0" fontId="12" fillId="61" borderId="4" pivotButton="0" quotePrefix="0" xfId="0"/>
    <xf numFmtId="0" fontId="12" fillId="62" borderId="4" pivotButton="0" quotePrefix="0" xfId="0"/>
    <xf numFmtId="0" fontId="12" fillId="63" borderId="4" pivotButton="0" quotePrefix="0" xfId="0"/>
    <xf numFmtId="0" fontId="12" fillId="64" borderId="4" pivotButton="0" quotePrefix="0" xfId="0"/>
    <xf numFmtId="0" fontId="12" fillId="65" borderId="4" pivotButton="0" quotePrefix="0" xfId="0"/>
    <xf numFmtId="0" fontId="12" fillId="66" borderId="4" pivotButton="0" quotePrefix="0" xfId="0"/>
    <xf numFmtId="0" fontId="12" fillId="67" borderId="0" pivotButton="0" quotePrefix="0" xfId="0"/>
    <xf numFmtId="0" fontId="12" fillId="68" borderId="0" pivotButton="0" quotePrefix="0" xfId="0"/>
    <xf numFmtId="0" fontId="12" fillId="69" borderId="0" pivotButton="0" quotePrefix="0" xfId="0"/>
    <xf numFmtId="0" fontId="12" fillId="70" borderId="0" pivotButton="0" quotePrefix="0" xfId="0"/>
    <xf numFmtId="0" fontId="12" fillId="71" borderId="0" pivotButton="0" quotePrefix="0" xfId="0"/>
    <xf numFmtId="0" fontId="12" fillId="72" borderId="0" pivotButton="0" quotePrefix="0" xfId="0"/>
    <xf numFmtId="0" fontId="12" fillId="73" borderId="0" pivotButton="0" quotePrefix="0" xfId="0"/>
    <xf numFmtId="0" fontId="12" fillId="74" borderId="0" pivotButton="0" quotePrefix="0" xfId="0"/>
    <xf numFmtId="0" fontId="12" fillId="75" borderId="0" pivotButton="0" quotePrefix="0" xfId="0"/>
    <xf numFmtId="0" fontId="12" fillId="76" borderId="0" pivotButton="0" quotePrefix="0" xfId="0"/>
    <xf numFmtId="0" fontId="12" fillId="77" borderId="0" pivotButton="0" quotePrefix="0" xfId="0"/>
    <xf numFmtId="0" fontId="12" fillId="78" borderId="0" pivotButton="0" quotePrefix="0" xfId="0"/>
    <xf numFmtId="0" fontId="12" fillId="79" borderId="0" pivotButton="0" quotePrefix="0" xfId="0"/>
    <xf numFmtId="0" fontId="12" fillId="80" borderId="0" pivotButton="0" quotePrefix="0" xfId="0"/>
    <xf numFmtId="0" fontId="12" fillId="81" borderId="0" pivotButton="0" quotePrefix="0" xfId="0"/>
    <xf numFmtId="0" fontId="12" fillId="82" borderId="0" pivotButton="0" quotePrefix="0" xfId="0"/>
    <xf numFmtId="0" fontId="12" fillId="83" borderId="0" pivotButton="0" quotePrefix="0" xfId="0"/>
    <xf numFmtId="0" fontId="12" fillId="84" borderId="0" pivotButton="0" quotePrefix="0" xfId="0"/>
    <xf numFmtId="0" fontId="12" fillId="85" borderId="0" pivotButton="0" quotePrefix="0" xfId="0"/>
    <xf numFmtId="0" fontId="12" fillId="86" borderId="0" pivotButton="0" quotePrefix="0" xfId="0"/>
    <xf numFmtId="0" fontId="12" fillId="87" borderId="0" pivotButton="0" quotePrefix="0" xfId="0"/>
    <xf numFmtId="0" fontId="12" fillId="88" borderId="0" pivotButton="0" quotePrefix="0" xfId="0"/>
    <xf numFmtId="0" fontId="12" fillId="89" borderId="0" pivotButton="0" quotePrefix="0" xfId="0"/>
    <xf numFmtId="0" fontId="12" fillId="90" borderId="0" pivotButton="0" quotePrefix="0" xfId="0"/>
    <xf numFmtId="0" fontId="12" fillId="91" borderId="0" pivotButton="0" quotePrefix="0" xfId="0"/>
    <xf numFmtId="0" fontId="12" fillId="92" borderId="0" pivotButton="0" quotePrefix="0" xfId="0"/>
    <xf numFmtId="0" fontId="12" fillId="93" borderId="0" pivotButton="0" quotePrefix="0" xfId="0"/>
    <xf numFmtId="0" fontId="12" fillId="94" borderId="0" pivotButton="0" quotePrefix="0" xfId="0"/>
    <xf numFmtId="0" fontId="12" fillId="95" borderId="0" pivotButton="0" quotePrefix="0" xfId="0"/>
    <xf numFmtId="0" fontId="12" fillId="96" borderId="0" pivotButton="0" quotePrefix="0" xfId="0"/>
    <xf numFmtId="0" fontId="12" fillId="97" borderId="0" pivotButton="0" quotePrefix="0" xfId="0"/>
    <xf numFmtId="0" fontId="12" fillId="98" borderId="0" pivotButton="0" quotePrefix="0" xfId="0"/>
    <xf numFmtId="0" fontId="12" fillId="99" borderId="0" pivotButton="0" quotePrefix="0" xfId="0"/>
    <xf numFmtId="0" fontId="12" fillId="100" borderId="0" pivotButton="0" quotePrefix="0" xfId="0"/>
    <xf numFmtId="0" fontId="12" fillId="101" borderId="0" pivotButton="0" quotePrefix="0" xfId="0"/>
    <xf numFmtId="0" fontId="12" fillId="102" borderId="0" pivotButton="0" quotePrefix="0" xfId="0"/>
    <xf numFmtId="0" fontId="12" fillId="103" borderId="0" pivotButton="0" quotePrefix="0" xfId="0"/>
    <xf numFmtId="0" fontId="12" fillId="104" borderId="0" pivotButton="0" quotePrefix="0" xfId="0"/>
    <xf numFmtId="0" fontId="12" fillId="105" borderId="0" pivotButton="0" quotePrefix="0" xfId="0"/>
    <xf numFmtId="0" fontId="12" fillId="106" borderId="0" pivotButton="0" quotePrefix="0" xfId="0"/>
    <xf numFmtId="0" fontId="12" fillId="107" borderId="0" pivotButton="0" quotePrefix="0" xfId="0"/>
    <xf numFmtId="0" fontId="12" fillId="108" borderId="0" pivotButton="0" quotePrefix="0" xfId="0"/>
    <xf numFmtId="0" fontId="12" fillId="109" borderId="0" pivotButton="0" quotePrefix="0" xfId="0"/>
    <xf numFmtId="0" fontId="12" fillId="110" borderId="0" pivotButton="0" quotePrefix="0" xfId="0"/>
    <xf numFmtId="0" fontId="12" fillId="111" borderId="0" pivotButton="0" quotePrefix="0" xfId="0"/>
    <xf numFmtId="0" fontId="12" fillId="112" borderId="0" pivotButton="0" quotePrefix="0" xfId="0"/>
    <xf numFmtId="0" fontId="12" fillId="113" borderId="0" pivotButton="0" quotePrefix="0" xfId="0"/>
    <xf numFmtId="0" fontId="12" fillId="114" borderId="0" pivotButton="0" quotePrefix="0" xfId="0"/>
    <xf numFmtId="0" fontId="12" fillId="116" borderId="0" pivotButton="0" quotePrefix="0" xfId="0"/>
    <xf numFmtId="0" fontId="12" fillId="117" borderId="0" pivotButton="0" quotePrefix="0" xfId="0"/>
    <xf numFmtId="0" fontId="12" fillId="118" borderId="0" pivotButton="0" quotePrefix="0" xfId="0"/>
    <xf numFmtId="0" fontId="12" fillId="119" borderId="0" pivotButton="0" quotePrefix="0" xfId="0"/>
    <xf numFmtId="0" fontId="12" fillId="120" borderId="0" pivotButton="0" quotePrefix="0" xfId="0"/>
    <xf numFmtId="0" fontId="12" fillId="121" borderId="0" pivotButton="0" quotePrefix="0" xfId="0"/>
    <xf numFmtId="0" fontId="12" fillId="122" borderId="0" pivotButton="0" quotePrefix="0" xfId="0"/>
    <xf numFmtId="0" fontId="12" fillId="123" borderId="0" pivotButton="0" quotePrefix="0" xfId="0"/>
    <xf numFmtId="0" fontId="12" fillId="124" borderId="0" pivotButton="0" quotePrefix="0" xfId="0"/>
    <xf numFmtId="0" fontId="12" fillId="125" borderId="0" pivotButton="0" quotePrefix="0" xfId="0"/>
    <xf numFmtId="0" fontId="12" fillId="126" borderId="0" pivotButton="0" quotePrefix="0" xfId="0"/>
    <xf numFmtId="0" fontId="12" fillId="127" borderId="0" pivotButton="0" quotePrefix="0" xfId="0"/>
    <xf numFmtId="0" fontId="12" fillId="128" borderId="0" pivotButton="0" quotePrefix="0" xfId="0"/>
    <xf numFmtId="0" fontId="12" fillId="129" borderId="0" pivotButton="0" quotePrefix="0" xfId="0"/>
    <xf numFmtId="0" fontId="12" fillId="130" borderId="0" pivotButton="0" quotePrefix="0" xfId="0"/>
    <xf numFmtId="0" fontId="12" fillId="131" borderId="0" pivotButton="0" quotePrefix="0" xfId="0"/>
    <xf numFmtId="0" fontId="12" fillId="132" borderId="0" pivotButton="0" quotePrefix="0" xfId="0"/>
    <xf numFmtId="0" fontId="12" fillId="133" borderId="0" pivotButton="0" quotePrefix="0" xfId="0"/>
    <xf numFmtId="0" fontId="12" fillId="134" borderId="0" pivotButton="0" quotePrefix="0" xfId="0"/>
    <xf numFmtId="0" fontId="12" fillId="135" borderId="0" pivotButton="0" quotePrefix="0" xfId="0"/>
    <xf numFmtId="2" fontId="12" fillId="13" borderId="4" pivotButton="0" quotePrefix="0" xfId="0"/>
    <xf numFmtId="2" fontId="12" fillId="14" borderId="4" pivotButton="0" quotePrefix="0" xfId="0"/>
    <xf numFmtId="2" fontId="12" fillId="15" borderId="4" pivotButton="0" quotePrefix="0" xfId="0"/>
    <xf numFmtId="2" fontId="12" fillId="16" borderId="4" pivotButton="0" quotePrefix="0" xfId="0"/>
    <xf numFmtId="2" fontId="12" fillId="17" borderId="4" pivotButton="0" quotePrefix="0" xfId="0"/>
    <xf numFmtId="2" fontId="12" fillId="18" borderId="4" pivotButton="0" quotePrefix="0" xfId="0"/>
    <xf numFmtId="2" fontId="12" fillId="19" borderId="4" pivotButton="0" quotePrefix="0" xfId="0"/>
    <xf numFmtId="2" fontId="12" fillId="20" borderId="4" pivotButton="0" quotePrefix="0" xfId="0"/>
    <xf numFmtId="2" fontId="12" fillId="21" borderId="4" pivotButton="0" quotePrefix="0" xfId="0"/>
    <xf numFmtId="2" fontId="12" fillId="22" borderId="4" pivotButton="0" quotePrefix="0" xfId="0"/>
    <xf numFmtId="2" fontId="12" fillId="23" borderId="4" pivotButton="0" quotePrefix="0" xfId="0"/>
    <xf numFmtId="2" fontId="12" fillId="24" borderId="4" pivotButton="0" quotePrefix="0" xfId="0"/>
    <xf numFmtId="2" fontId="12" fillId="25" borderId="4" pivotButton="0" quotePrefix="0" xfId="0"/>
    <xf numFmtId="2" fontId="12" fillId="26" borderId="4" pivotButton="0" quotePrefix="0" xfId="0"/>
    <xf numFmtId="2" fontId="12" fillId="27" borderId="4" pivotButton="0" quotePrefix="0" xfId="0"/>
    <xf numFmtId="2" fontId="12" fillId="28" borderId="4" pivotButton="0" quotePrefix="0" xfId="0"/>
    <xf numFmtId="2" fontId="12" fillId="29" borderId="4" pivotButton="0" quotePrefix="0" xfId="0"/>
    <xf numFmtId="2" fontId="12" fillId="30" borderId="4" pivotButton="0" quotePrefix="0" xfId="0"/>
    <xf numFmtId="2" fontId="12" fillId="31" borderId="4" pivotButton="0" quotePrefix="0" xfId="0"/>
    <xf numFmtId="2" fontId="12" fillId="32" borderId="4" pivotButton="0" quotePrefix="0" xfId="0"/>
    <xf numFmtId="2" fontId="12" fillId="33" borderId="4" pivotButton="0" quotePrefix="0" xfId="0"/>
    <xf numFmtId="2" fontId="12" fillId="34" borderId="4" pivotButton="0" quotePrefix="0" xfId="0"/>
    <xf numFmtId="2" fontId="12" fillId="35" borderId="4" pivotButton="0" quotePrefix="0" xfId="0"/>
    <xf numFmtId="2" fontId="12" fillId="36" borderId="4" pivotButton="0" quotePrefix="0" xfId="0"/>
    <xf numFmtId="2" fontId="12" fillId="37" borderId="4" pivotButton="0" quotePrefix="0" xfId="0"/>
    <xf numFmtId="2" fontId="12" fillId="38" borderId="4" pivotButton="0" quotePrefix="0" xfId="0"/>
    <xf numFmtId="2" fontId="12" fillId="39" borderId="4" pivotButton="0" quotePrefix="0" xfId="0"/>
    <xf numFmtId="2" fontId="12" fillId="40" borderId="4" pivotButton="0" quotePrefix="0" xfId="0"/>
    <xf numFmtId="2" fontId="12" fillId="41" borderId="4" pivotButton="0" quotePrefix="0" xfId="0"/>
    <xf numFmtId="2" fontId="12" fillId="42" borderId="4" pivotButton="0" quotePrefix="0" xfId="0"/>
    <xf numFmtId="2" fontId="12" fillId="43" borderId="4" pivotButton="0" quotePrefix="0" xfId="0"/>
    <xf numFmtId="2" fontId="12" fillId="44" borderId="4" pivotButton="0" quotePrefix="0" xfId="0"/>
    <xf numFmtId="2" fontId="12" fillId="45" borderId="4" pivotButton="0" quotePrefix="0" xfId="0"/>
    <xf numFmtId="2" fontId="13" fillId="45" borderId="4" pivotButton="0" quotePrefix="0" xfId="0"/>
    <xf numFmtId="2" fontId="12" fillId="46" borderId="4" pivotButton="0" quotePrefix="0" xfId="0"/>
    <xf numFmtId="2" fontId="12" fillId="47" borderId="4" pivotButton="0" quotePrefix="0" xfId="0"/>
    <xf numFmtId="2" fontId="14" fillId="48" borderId="4" pivotButton="0" quotePrefix="0" xfId="0"/>
    <xf numFmtId="2" fontId="14" fillId="49" borderId="4" pivotButton="0" quotePrefix="0" xfId="0"/>
    <xf numFmtId="2" fontId="12" fillId="50" borderId="4" pivotButton="0" quotePrefix="0" xfId="0"/>
    <xf numFmtId="2" fontId="12" fillId="51" borderId="4" pivotButton="0" quotePrefix="0" xfId="0"/>
    <xf numFmtId="2" fontId="12" fillId="52" borderId="4" pivotButton="0" quotePrefix="0" xfId="0"/>
    <xf numFmtId="2" fontId="12" fillId="53" borderId="4" pivotButton="0" quotePrefix="0" xfId="0"/>
    <xf numFmtId="2" fontId="12" fillId="54" borderId="4" pivotButton="0" quotePrefix="0" xfId="0"/>
    <xf numFmtId="2" fontId="12" fillId="55" borderId="4" pivotButton="0" quotePrefix="0" xfId="0"/>
    <xf numFmtId="2" fontId="12" fillId="56" borderId="4" pivotButton="0" quotePrefix="0" xfId="0"/>
    <xf numFmtId="2" fontId="12" fillId="57" borderId="4" pivotButton="0" quotePrefix="0" xfId="0"/>
    <xf numFmtId="2" fontId="12" fillId="58" borderId="4" pivotButton="0" quotePrefix="0" xfId="0"/>
    <xf numFmtId="2" fontId="12" fillId="59" borderId="4" pivotButton="0" quotePrefix="0" xfId="0"/>
    <xf numFmtId="2" fontId="12" fillId="60" borderId="4" pivotButton="0" quotePrefix="0" xfId="0"/>
    <xf numFmtId="2" fontId="12" fillId="61" borderId="4" pivotButton="0" quotePrefix="0" xfId="0"/>
    <xf numFmtId="2" fontId="12" fillId="62" borderId="4" pivotButton="0" quotePrefix="0" xfId="0"/>
    <xf numFmtId="2" fontId="12" fillId="63" borderId="4" pivotButton="0" quotePrefix="0" xfId="0"/>
    <xf numFmtId="2" fontId="12" fillId="64" borderId="4" pivotButton="0" quotePrefix="0" xfId="0"/>
    <xf numFmtId="2" fontId="12" fillId="65" borderId="4" pivotButton="0" quotePrefix="0" xfId="0"/>
    <xf numFmtId="2" fontId="12" fillId="66" borderId="4" pivotButton="0" quotePrefix="0" xfId="0"/>
    <xf numFmtId="1" fontId="12" fillId="67" borderId="0" pivotButton="0" quotePrefix="0" xfId="0"/>
    <xf numFmtId="1" fontId="12" fillId="68" borderId="0" pivotButton="0" quotePrefix="0" xfId="0"/>
    <xf numFmtId="1" fontId="12" fillId="69" borderId="0" pivotButton="0" quotePrefix="0" xfId="0"/>
    <xf numFmtId="1" fontId="12" fillId="134" borderId="0" pivotButton="0" quotePrefix="0" xfId="0"/>
    <xf numFmtId="1" fontId="12" fillId="70" borderId="0" pivotButton="0" quotePrefix="0" xfId="0"/>
    <xf numFmtId="1" fontId="12" fillId="71" borderId="0" pivotButton="0" quotePrefix="0" xfId="0"/>
    <xf numFmtId="1" fontId="12" fillId="72" borderId="0" pivotButton="0" quotePrefix="0" xfId="0"/>
    <xf numFmtId="1" fontId="12" fillId="73" borderId="0" pivotButton="0" quotePrefix="0" xfId="0"/>
    <xf numFmtId="1" fontId="12" fillId="74" borderId="0" pivotButton="0" quotePrefix="0" xfId="0"/>
    <xf numFmtId="1" fontId="12" fillId="75" borderId="0" pivotButton="0" quotePrefix="0" xfId="0"/>
    <xf numFmtId="1" fontId="12" fillId="76" borderId="0" pivotButton="0" quotePrefix="0" xfId="0"/>
    <xf numFmtId="1" fontId="12" fillId="133" borderId="0" pivotButton="0" quotePrefix="0" xfId="0"/>
    <xf numFmtId="1" fontId="12" fillId="77" borderId="0" pivotButton="0" quotePrefix="0" xfId="0"/>
    <xf numFmtId="1" fontId="12" fillId="78" borderId="0" pivotButton="0" quotePrefix="0" xfId="0"/>
    <xf numFmtId="1" fontId="12" fillId="79" borderId="0" pivotButton="0" quotePrefix="0" xfId="0"/>
    <xf numFmtId="1" fontId="12" fillId="80" borderId="0" pivotButton="0" quotePrefix="0" xfId="0"/>
    <xf numFmtId="1" fontId="12" fillId="81" borderId="0" pivotButton="0" quotePrefix="0" xfId="0"/>
    <xf numFmtId="1" fontId="12" fillId="82" borderId="0" pivotButton="0" quotePrefix="0" xfId="0"/>
    <xf numFmtId="1" fontId="12" fillId="83" borderId="0" pivotButton="0" quotePrefix="0" xfId="0"/>
    <xf numFmtId="1" fontId="12" fillId="84" borderId="0" pivotButton="0" quotePrefix="0" xfId="0"/>
    <xf numFmtId="1" fontId="12" fillId="85" borderId="0" pivotButton="0" quotePrefix="0" xfId="0"/>
    <xf numFmtId="1" fontId="12" fillId="86" borderId="0" pivotButton="0" quotePrefix="0" xfId="0"/>
    <xf numFmtId="1" fontId="12" fillId="87" borderId="0" pivotButton="0" quotePrefix="0" xfId="0"/>
    <xf numFmtId="1" fontId="12" fillId="88" borderId="0" pivotButton="0" quotePrefix="0" xfId="0"/>
    <xf numFmtId="1" fontId="12" fillId="89" borderId="0" pivotButton="0" quotePrefix="0" xfId="0"/>
    <xf numFmtId="1" fontId="12" fillId="90" borderId="0" pivotButton="0" quotePrefix="0" xfId="0"/>
    <xf numFmtId="1" fontId="12" fillId="91" borderId="0" pivotButton="0" quotePrefix="0" xfId="0"/>
    <xf numFmtId="1" fontId="12" fillId="92" borderId="0" pivotButton="0" quotePrefix="0" xfId="0"/>
    <xf numFmtId="1" fontId="12" fillId="93" borderId="0" pivotButton="0" quotePrefix="0" xfId="0"/>
    <xf numFmtId="1" fontId="12" fillId="94" borderId="0" pivotButton="0" quotePrefix="0" xfId="0"/>
    <xf numFmtId="1" fontId="12" fillId="95" borderId="0" pivotButton="0" quotePrefix="0" xfId="0"/>
    <xf numFmtId="1" fontId="12" fillId="96" borderId="0" pivotButton="0" quotePrefix="0" xfId="0"/>
    <xf numFmtId="1" fontId="12" fillId="97" borderId="0" pivotButton="0" quotePrefix="0" xfId="0"/>
    <xf numFmtId="1" fontId="12" fillId="98" borderId="0" pivotButton="0" quotePrefix="0" xfId="0"/>
    <xf numFmtId="1" fontId="12" fillId="99" borderId="0" pivotButton="0" quotePrefix="0" xfId="0"/>
    <xf numFmtId="1" fontId="12" fillId="100" borderId="0" pivotButton="0" quotePrefix="0" xfId="0"/>
    <xf numFmtId="1" fontId="12" fillId="101" borderId="0" pivotButton="0" quotePrefix="0" xfId="0"/>
    <xf numFmtId="1" fontId="12" fillId="102" borderId="0" pivotButton="0" quotePrefix="0" xfId="0"/>
    <xf numFmtId="1" fontId="12" fillId="103" borderId="0" pivotButton="0" quotePrefix="0" xfId="0"/>
    <xf numFmtId="1" fontId="12" fillId="104" borderId="0" pivotButton="0" quotePrefix="0" xfId="0"/>
    <xf numFmtId="1" fontId="12" fillId="105" borderId="0" pivotButton="0" quotePrefix="0" xfId="0"/>
    <xf numFmtId="1" fontId="12" fillId="135" borderId="0" pivotButton="0" quotePrefix="0" xfId="0"/>
    <xf numFmtId="1" fontId="12" fillId="106" borderId="0" pivotButton="0" quotePrefix="0" xfId="0"/>
    <xf numFmtId="1" fontId="12" fillId="107" borderId="0" pivotButton="0" quotePrefix="0" xfId="0"/>
    <xf numFmtId="1" fontId="12" fillId="108" borderId="0" pivotButton="0" quotePrefix="0" xfId="0"/>
    <xf numFmtId="1" fontId="12" fillId="109" borderId="0" pivotButton="0" quotePrefix="0" xfId="0"/>
    <xf numFmtId="1" fontId="12" fillId="110" borderId="0" pivotButton="0" quotePrefix="0" xfId="0"/>
    <xf numFmtId="1" fontId="12" fillId="111" borderId="0" pivotButton="0" quotePrefix="0" xfId="0"/>
    <xf numFmtId="1" fontId="12" fillId="112" borderId="0" pivotButton="0" quotePrefix="0" xfId="0"/>
    <xf numFmtId="1" fontId="12" fillId="113" borderId="0" pivotButton="0" quotePrefix="0" xfId="0"/>
    <xf numFmtId="1" fontId="12" fillId="114" borderId="0" pivotButton="0" quotePrefix="0" xfId="0"/>
    <xf numFmtId="1" fontId="12" fillId="115" borderId="0" pivotButton="0" quotePrefix="0" xfId="0"/>
    <xf numFmtId="1" fontId="12" fillId="116" borderId="0" pivotButton="0" quotePrefix="0" xfId="0"/>
    <xf numFmtId="1" fontId="12" fillId="117" borderId="0" pivotButton="0" quotePrefix="0" xfId="0"/>
    <xf numFmtId="1" fontId="12" fillId="118" borderId="0" pivotButton="0" quotePrefix="0" xfId="0"/>
    <xf numFmtId="1" fontId="12" fillId="119" borderId="0" pivotButton="0" quotePrefix="0" xfId="0"/>
    <xf numFmtId="1" fontId="12" fillId="120" borderId="0" pivotButton="0" quotePrefix="0" xfId="0"/>
    <xf numFmtId="1" fontId="12" fillId="121" borderId="0" pivotButton="0" quotePrefix="0" xfId="0"/>
    <xf numFmtId="1" fontId="12" fillId="122" borderId="0" pivotButton="0" quotePrefix="0" xfId="0"/>
    <xf numFmtId="1" fontId="12" fillId="123" borderId="0" pivotButton="0" quotePrefix="0" xfId="0"/>
    <xf numFmtId="1" fontId="12" fillId="124" borderId="0" pivotButton="0" quotePrefix="0" xfId="0"/>
    <xf numFmtId="1" fontId="12" fillId="125" borderId="0" pivotButton="0" quotePrefix="0" xfId="0"/>
    <xf numFmtId="1" fontId="12" fillId="126" borderId="0" pivotButton="0" quotePrefix="0" xfId="0"/>
    <xf numFmtId="1" fontId="12" fillId="127" borderId="0" pivotButton="0" quotePrefix="0" xfId="0"/>
    <xf numFmtId="1" fontId="12" fillId="128" borderId="0" pivotButton="0" quotePrefix="0" xfId="0"/>
    <xf numFmtId="1" fontId="12" fillId="129" borderId="0" pivotButton="0" quotePrefix="0" xfId="0"/>
    <xf numFmtId="1" fontId="12" fillId="130" borderId="0" pivotButton="0" quotePrefix="0" xfId="0"/>
    <xf numFmtId="1" fontId="12" fillId="131" borderId="0" pivotButton="0" quotePrefix="0" xfId="0"/>
    <xf numFmtId="1" fontId="12" fillId="132" borderId="0" pivotButton="0" quotePrefix="0" xfId="0"/>
    <xf numFmtId="1" fontId="0" fillId="0" borderId="0" pivotButton="0" quotePrefix="0" xfId="0"/>
    <xf numFmtId="0" fontId="12" fillId="136" borderId="0" pivotButton="0" quotePrefix="0" xfId="0"/>
    <xf numFmtId="1" fontId="12" fillId="136" borderId="0" pivotButton="0" quotePrefix="0" xfId="0"/>
    <xf numFmtId="0" fontId="12" fillId="137" borderId="0" pivotButton="0" quotePrefix="0" xfId="0"/>
    <xf numFmtId="1" fontId="12" fillId="137" borderId="0" pivotButton="0" quotePrefix="0" xfId="0"/>
    <xf numFmtId="0" fontId="12" fillId="138" borderId="0" pivotButton="0" quotePrefix="0" xfId="0"/>
    <xf numFmtId="1" fontId="12" fillId="138" borderId="0" pivotButton="0" quotePrefix="0" xfId="0"/>
    <xf numFmtId="0" fontId="12" fillId="139" borderId="0" pivotButton="0" quotePrefix="0" xfId="0"/>
    <xf numFmtId="1" fontId="12" fillId="139" borderId="0" pivotButton="0" quotePrefix="0" xfId="0"/>
    <xf numFmtId="0" fontId="12" fillId="140" borderId="0" pivotButton="0" quotePrefix="0" xfId="0"/>
    <xf numFmtId="1" fontId="12" fillId="140" borderId="0" pivotButton="0" quotePrefix="0" xfId="0"/>
    <xf numFmtId="0" fontId="12" fillId="141" borderId="0" pivotButton="0" quotePrefix="0" xfId="0"/>
    <xf numFmtId="1" fontId="12" fillId="141" borderId="0" pivotButton="0" quotePrefix="0" xfId="0"/>
    <xf numFmtId="0" fontId="12" fillId="142" borderId="0" pivotButton="0" quotePrefix="0" xfId="0"/>
    <xf numFmtId="1" fontId="12" fillId="142" borderId="0" pivotButton="0" quotePrefix="0" xfId="0"/>
    <xf numFmtId="0" fontId="12" fillId="143" borderId="0" pivotButton="0" quotePrefix="0" xfId="0"/>
    <xf numFmtId="1" fontId="12" fillId="143" borderId="0" pivotButton="0" quotePrefix="0" xfId="0"/>
    <xf numFmtId="0" fontId="12" fillId="144" borderId="0" pivotButton="0" quotePrefix="0" xfId="0"/>
    <xf numFmtId="1" fontId="12" fillId="144" borderId="0" pivotButton="0" quotePrefix="0" xfId="0"/>
    <xf numFmtId="0" fontId="12" fillId="145" borderId="0" pivotButton="0" quotePrefix="0" xfId="0"/>
    <xf numFmtId="1" fontId="12" fillId="145" borderId="0" pivotButton="0" quotePrefix="0" xfId="0"/>
    <xf numFmtId="0" fontId="12" fillId="146" borderId="0" pivotButton="0" quotePrefix="0" xfId="0"/>
    <xf numFmtId="1" fontId="12" fillId="146" borderId="0" pivotButton="0" quotePrefix="0" xfId="0"/>
    <xf numFmtId="0" fontId="12" fillId="147" borderId="0" pivotButton="0" quotePrefix="0" xfId="0"/>
    <xf numFmtId="1" fontId="12" fillId="147" borderId="0" pivotButton="0" quotePrefix="0" xfId="0"/>
    <xf numFmtId="0" fontId="12" fillId="148" borderId="0" pivotButton="0" quotePrefix="0" xfId="0"/>
    <xf numFmtId="1" fontId="12" fillId="148" borderId="0" pivotButton="0" quotePrefix="0" xfId="0"/>
    <xf numFmtId="0" fontId="12" fillId="149" borderId="0" pivotButton="0" quotePrefix="0" xfId="0"/>
    <xf numFmtId="1" fontId="12" fillId="149" borderId="0" pivotButton="0" quotePrefix="0" xfId="0"/>
    <xf numFmtId="0" fontId="12" fillId="150" borderId="0" pivotButton="0" quotePrefix="0" xfId="0"/>
    <xf numFmtId="1" fontId="12" fillId="150" borderId="0" pivotButton="0" quotePrefix="0" xfId="0"/>
    <xf numFmtId="0" fontId="12" fillId="151" borderId="0" pivotButton="0" quotePrefix="0" xfId="0"/>
    <xf numFmtId="1" fontId="12" fillId="151" borderId="0" pivotButton="0" quotePrefix="0" xfId="0"/>
    <xf numFmtId="0" fontId="12" fillId="152" borderId="0" pivotButton="0" quotePrefix="0" xfId="0"/>
    <xf numFmtId="1" fontId="12" fillId="152" borderId="0" pivotButton="0" quotePrefix="0" xfId="0"/>
    <xf numFmtId="0" fontId="12" fillId="153" borderId="0" pivotButton="0" quotePrefix="0" xfId="0"/>
    <xf numFmtId="1" fontId="12" fillId="153" borderId="0" pivotButton="0" quotePrefix="0" xfId="0"/>
    <xf numFmtId="0" fontId="12" fillId="154" borderId="0" pivotButton="0" quotePrefix="0" xfId="0"/>
    <xf numFmtId="1" fontId="12" fillId="154" borderId="0" pivotButton="0" quotePrefix="0" xfId="0"/>
    <xf numFmtId="0" fontId="12" fillId="155" borderId="0" pivotButton="0" quotePrefix="0" xfId="0"/>
    <xf numFmtId="1" fontId="12" fillId="155" borderId="0" pivotButton="0" quotePrefix="0" xfId="0"/>
    <xf numFmtId="0" fontId="12" fillId="156" borderId="0" pivotButton="0" quotePrefix="0" xfId="0"/>
    <xf numFmtId="1" fontId="12" fillId="156" borderId="0" pivotButton="0" quotePrefix="0" xfId="0"/>
    <xf numFmtId="0" fontId="12" fillId="157" borderId="0" pivotButton="0" quotePrefix="0" xfId="0"/>
    <xf numFmtId="1" fontId="12" fillId="157" borderId="0" pivotButton="0" quotePrefix="0" xfId="0"/>
    <xf numFmtId="0" fontId="12" fillId="158" borderId="0" pivotButton="0" quotePrefix="0" xfId="0"/>
    <xf numFmtId="1" fontId="12" fillId="158" borderId="0" pivotButton="0" quotePrefix="0" xfId="0"/>
    <xf numFmtId="165" fontId="12" fillId="67" borderId="0" pivotButton="0" quotePrefix="0" xfId="0"/>
    <xf numFmtId="165" fontId="12" fillId="68" borderId="0" pivotButton="0" quotePrefix="0" xfId="0"/>
    <xf numFmtId="165" fontId="12" fillId="69" borderId="0" pivotButton="0" quotePrefix="0" xfId="0"/>
    <xf numFmtId="165" fontId="12" fillId="134" borderId="0" pivotButton="0" quotePrefix="0" xfId="0"/>
    <xf numFmtId="165" fontId="12" fillId="70" borderId="0" pivotButton="0" quotePrefix="0" xfId="0"/>
    <xf numFmtId="165" fontId="12" fillId="71" borderId="0" pivotButton="0" quotePrefix="0" xfId="0"/>
    <xf numFmtId="165" fontId="12" fillId="72" borderId="0" pivotButton="0" quotePrefix="0" xfId="0"/>
    <xf numFmtId="165" fontId="12" fillId="73" borderId="0" pivotButton="0" quotePrefix="0" xfId="0"/>
    <xf numFmtId="165" fontId="12" fillId="74" borderId="0" pivotButton="0" quotePrefix="0" xfId="0"/>
    <xf numFmtId="165" fontId="12" fillId="75" borderId="0" pivotButton="0" quotePrefix="0" xfId="0"/>
    <xf numFmtId="165" fontId="12" fillId="76" borderId="0" pivotButton="0" quotePrefix="0" xfId="0"/>
    <xf numFmtId="165" fontId="12" fillId="136" borderId="0" pivotButton="0" quotePrefix="0" xfId="0"/>
    <xf numFmtId="165" fontId="12" fillId="133" borderId="0" pivotButton="0" quotePrefix="0" xfId="0"/>
    <xf numFmtId="165" fontId="12" fillId="137" borderId="0" pivotButton="0" quotePrefix="0" xfId="0"/>
    <xf numFmtId="165" fontId="12" fillId="77" borderId="0" pivotButton="0" quotePrefix="0" xfId="0"/>
    <xf numFmtId="165" fontId="12" fillId="78" borderId="0" pivotButton="0" quotePrefix="0" xfId="0"/>
    <xf numFmtId="165" fontId="12" fillId="79" borderId="0" pivotButton="0" quotePrefix="0" xfId="0"/>
    <xf numFmtId="165" fontId="12" fillId="80" borderId="0" pivotButton="0" quotePrefix="0" xfId="0"/>
    <xf numFmtId="165" fontId="12" fillId="81" borderId="0" pivotButton="0" quotePrefix="0" xfId="0"/>
    <xf numFmtId="165" fontId="12" fillId="82" borderId="0" pivotButton="0" quotePrefix="0" xfId="0"/>
    <xf numFmtId="165" fontId="12" fillId="83" borderId="0" pivotButton="0" quotePrefix="0" xfId="0"/>
    <xf numFmtId="165" fontId="12" fillId="138" borderId="0" pivotButton="0" quotePrefix="0" xfId="0"/>
    <xf numFmtId="165" fontId="12" fillId="139" borderId="0" pivotButton="0" quotePrefix="0" xfId="0"/>
    <xf numFmtId="165" fontId="12" fillId="140" borderId="0" pivotButton="0" quotePrefix="0" xfId="0"/>
    <xf numFmtId="165" fontId="12" fillId="141" borderId="0" pivotButton="0" quotePrefix="0" xfId="0"/>
    <xf numFmtId="165" fontId="12" fillId="84" borderId="0" pivotButton="0" quotePrefix="0" xfId="0"/>
    <xf numFmtId="165" fontId="12" fillId="85" borderId="0" pivotButton="0" quotePrefix="0" xfId="0"/>
    <xf numFmtId="165" fontId="12" fillId="86" borderId="0" pivotButton="0" quotePrefix="0" xfId="0"/>
    <xf numFmtId="165" fontId="12" fillId="87" borderId="0" pivotButton="0" quotePrefix="0" xfId="0"/>
    <xf numFmtId="165" fontId="12" fillId="88" borderId="0" pivotButton="0" quotePrefix="0" xfId="0"/>
    <xf numFmtId="165" fontId="12" fillId="89" borderId="0" pivotButton="0" quotePrefix="0" xfId="0"/>
    <xf numFmtId="165" fontId="12" fillId="90" borderId="0" pivotButton="0" quotePrefix="0" xfId="0"/>
    <xf numFmtId="165" fontId="12" fillId="91" borderId="0" pivotButton="0" quotePrefix="0" xfId="0"/>
    <xf numFmtId="165" fontId="12" fillId="92" borderId="0" pivotButton="0" quotePrefix="0" xfId="0"/>
    <xf numFmtId="165" fontId="12" fillId="93" borderId="0" pivotButton="0" quotePrefix="0" xfId="0"/>
    <xf numFmtId="165" fontId="12" fillId="94" borderId="0" pivotButton="0" quotePrefix="0" xfId="0"/>
    <xf numFmtId="165" fontId="12" fillId="95" borderId="0" pivotButton="0" quotePrefix="0" xfId="0"/>
    <xf numFmtId="165" fontId="12" fillId="96" borderId="0" pivotButton="0" quotePrefix="0" xfId="0"/>
    <xf numFmtId="165" fontId="12" fillId="97" borderId="0" pivotButton="0" quotePrefix="0" xfId="0"/>
    <xf numFmtId="165" fontId="12" fillId="142" borderId="0" pivotButton="0" quotePrefix="0" xfId="0"/>
    <xf numFmtId="165" fontId="12" fillId="143" borderId="0" pivotButton="0" quotePrefix="0" xfId="0"/>
    <xf numFmtId="165" fontId="12" fillId="98" borderId="0" pivotButton="0" quotePrefix="0" xfId="0"/>
    <xf numFmtId="165" fontId="12" fillId="99" borderId="0" pivotButton="0" quotePrefix="0" xfId="0"/>
    <xf numFmtId="165" fontId="12" fillId="100" borderId="0" pivotButton="0" quotePrefix="0" xfId="0"/>
    <xf numFmtId="165" fontId="12" fillId="144" borderId="0" pivotButton="0" quotePrefix="0" xfId="0"/>
    <xf numFmtId="165" fontId="12" fillId="101" borderId="0" pivotButton="0" quotePrefix="0" xfId="0"/>
    <xf numFmtId="165" fontId="12" fillId="145" borderId="0" pivotButton="0" quotePrefix="0" xfId="0"/>
    <xf numFmtId="165" fontId="12" fillId="102" borderId="0" pivotButton="0" quotePrefix="0" xfId="0"/>
    <xf numFmtId="165" fontId="12" fillId="103" borderId="0" pivotButton="0" quotePrefix="0" xfId="0"/>
    <xf numFmtId="165" fontId="12" fillId="104" borderId="0" pivotButton="0" quotePrefix="0" xfId="0"/>
    <xf numFmtId="165" fontId="12" fillId="105" borderId="0" pivotButton="0" quotePrefix="0" xfId="0"/>
    <xf numFmtId="165" fontId="12" fillId="135" borderId="0" pivotButton="0" quotePrefix="0" xfId="0"/>
    <xf numFmtId="165" fontId="12" fillId="106" borderId="0" pivotButton="0" quotePrefix="0" xfId="0"/>
    <xf numFmtId="165" fontId="12" fillId="146" borderId="0" pivotButton="0" quotePrefix="0" xfId="0"/>
    <xf numFmtId="165" fontId="12" fillId="107" borderId="0" pivotButton="0" quotePrefix="0" xfId="0"/>
    <xf numFmtId="165" fontId="12" fillId="108" borderId="0" pivotButton="0" quotePrefix="0" xfId="0"/>
    <xf numFmtId="165" fontId="12" fillId="147" borderId="0" pivotButton="0" quotePrefix="0" xfId="0"/>
    <xf numFmtId="165" fontId="12" fillId="109" borderId="0" pivotButton="0" quotePrefix="0" xfId="0"/>
    <xf numFmtId="165" fontId="12" fillId="110" borderId="0" pivotButton="0" quotePrefix="0" xfId="0"/>
    <xf numFmtId="165" fontId="12" fillId="111" borderId="0" pivotButton="0" quotePrefix="0" xfId="0"/>
    <xf numFmtId="165" fontId="12" fillId="112" borderId="0" pivotButton="0" quotePrefix="0" xfId="0"/>
    <xf numFmtId="165" fontId="12" fillId="148" borderId="0" pivotButton="0" quotePrefix="0" xfId="0"/>
    <xf numFmtId="165" fontId="12" fillId="113" borderId="0" pivotButton="0" quotePrefix="0" xfId="0"/>
    <xf numFmtId="165" fontId="12" fillId="114" borderId="0" pivotButton="0" quotePrefix="0" xfId="0"/>
    <xf numFmtId="165" fontId="12" fillId="115" borderId="0" pivotButton="0" quotePrefix="0" xfId="0"/>
    <xf numFmtId="165" fontId="12" fillId="116" borderId="0" pivotButton="0" quotePrefix="0" xfId="0"/>
    <xf numFmtId="165" fontId="12" fillId="117" borderId="0" pivotButton="0" quotePrefix="0" xfId="0"/>
    <xf numFmtId="165" fontId="12" fillId="118" borderId="0" pivotButton="0" quotePrefix="0" xfId="0"/>
    <xf numFmtId="165" fontId="12" fillId="149" borderId="0" pivotButton="0" quotePrefix="0" xfId="0"/>
    <xf numFmtId="165" fontId="12" fillId="119" borderId="0" pivotButton="0" quotePrefix="0" xfId="0"/>
    <xf numFmtId="165" fontId="12" fillId="120" borderId="0" pivotButton="0" quotePrefix="0" xfId="0"/>
    <xf numFmtId="165" fontId="12" fillId="121" borderId="0" pivotButton="0" quotePrefix="0" xfId="0"/>
    <xf numFmtId="165" fontId="12" fillId="150" borderId="0" pivotButton="0" quotePrefix="0" xfId="0"/>
    <xf numFmtId="165" fontId="12" fillId="151" borderId="0" pivotButton="0" quotePrefix="0" xfId="0"/>
    <xf numFmtId="165" fontId="12" fillId="122" borderId="0" pivotButton="0" quotePrefix="0" xfId="0"/>
    <xf numFmtId="165" fontId="12" fillId="123" borderId="0" pivotButton="0" quotePrefix="0" xfId="0"/>
    <xf numFmtId="165" fontId="12" fillId="124" borderId="0" pivotButton="0" quotePrefix="0" xfId="0"/>
    <xf numFmtId="165" fontId="12" fillId="125" borderId="0" pivotButton="0" quotePrefix="0" xfId="0"/>
    <xf numFmtId="165" fontId="12" fillId="152" borderId="0" pivotButton="0" quotePrefix="0" xfId="0"/>
    <xf numFmtId="165" fontId="12" fillId="126" borderId="0" pivotButton="0" quotePrefix="0" xfId="0"/>
    <xf numFmtId="165" fontId="12" fillId="153" borderId="0" pivotButton="0" quotePrefix="0" xfId="0"/>
    <xf numFmtId="165" fontId="12" fillId="127" borderId="0" pivotButton="0" quotePrefix="0" xfId="0"/>
    <xf numFmtId="165" fontId="12" fillId="128" borderId="0" pivotButton="0" quotePrefix="0" xfId="0"/>
    <xf numFmtId="165" fontId="12" fillId="129" borderId="0" pivotButton="0" quotePrefix="0" xfId="0"/>
    <xf numFmtId="165" fontId="12" fillId="154" borderId="0" pivotButton="0" quotePrefix="0" xfId="0"/>
    <xf numFmtId="165" fontId="12" fillId="155" borderId="0" pivotButton="0" quotePrefix="0" xfId="0"/>
    <xf numFmtId="165" fontId="12" fillId="130" borderId="0" pivotButton="0" quotePrefix="0" xfId="0"/>
    <xf numFmtId="165" fontId="12" fillId="131" borderId="0" pivotButton="0" quotePrefix="0" xfId="0"/>
    <xf numFmtId="165" fontId="12" fillId="156" borderId="0" pivotButton="0" quotePrefix="0" xfId="0"/>
    <xf numFmtId="165" fontId="12" fillId="132" borderId="0" pivotButton="0" quotePrefix="0" xfId="0"/>
    <xf numFmtId="165" fontId="12" fillId="157" borderId="0" pivotButton="0" quotePrefix="0" xfId="0"/>
    <xf numFmtId="165" fontId="12" fillId="158" borderId="0" pivotButton="0" quotePrefix="0" xfId="0"/>
    <xf numFmtId="0" fontId="0" fillId="0" borderId="2" pivotButton="0" quotePrefix="0" xfId="0"/>
    <xf numFmtId="0" fontId="15" fillId="0" borderId="25" pivotButton="0" quotePrefix="0" xfId="0"/>
    <xf numFmtId="0" fontId="12" fillId="159" borderId="4" pivotButton="0" quotePrefix="0" xfId="0"/>
    <xf numFmtId="2" fontId="12" fillId="159" borderId="4" pivotButton="0" quotePrefix="0" xfId="0"/>
    <xf numFmtId="0" fontId="12" fillId="60" borderId="0" pivotButton="0" quotePrefix="0" xfId="0"/>
    <xf numFmtId="0" fontId="12" fillId="61" borderId="0" pivotButton="0" quotePrefix="0" xfId="0"/>
    <xf numFmtId="0" fontId="12" fillId="62" borderId="0" pivotButton="0" quotePrefix="0" xfId="0"/>
    <xf numFmtId="0" fontId="12" fillId="63" borderId="0" pivotButton="0" quotePrefix="0" xfId="0"/>
    <xf numFmtId="165" fontId="10" fillId="3" borderId="4" pivotButton="0" quotePrefix="0" xfId="0"/>
    <xf numFmtId="165" fontId="10" fillId="7" borderId="1" applyAlignment="1" pivotButton="0" quotePrefix="0" xfId="0">
      <alignment horizontal="center" vertical="top" textRotation="45" wrapText="1"/>
    </xf>
    <xf numFmtId="165" fontId="10" fillId="7" borderId="4" pivotButton="0" quotePrefix="0" xfId="0"/>
    <xf numFmtId="165" fontId="10" fillId="7" borderId="8" pivotButton="0" quotePrefix="0" xfId="0"/>
    <xf numFmtId="165" fontId="7" fillId="3" borderId="1" applyAlignment="1" pivotButton="0" quotePrefix="0" xfId="0">
      <alignment horizontal="center" vertical="top" textRotation="45" wrapText="1"/>
    </xf>
    <xf numFmtId="165" fontId="10" fillId="11" borderId="1" applyAlignment="1" pivotButton="0" quotePrefix="0" xfId="0">
      <alignment horizontal="center" vertical="top" textRotation="45" wrapText="1"/>
    </xf>
    <xf numFmtId="165" fontId="10" fillId="11" borderId="4" pivotButton="0" quotePrefix="0" xfId="0"/>
    <xf numFmtId="165" fontId="10" fillId="6" borderId="11" applyAlignment="1" pivotButton="0" quotePrefix="0" xfId="0">
      <alignment horizontal="center" vertical="top" textRotation="45"/>
    </xf>
    <xf numFmtId="165" fontId="10" fillId="6" borderId="4" pivotButton="0" quotePrefix="0" xfId="0"/>
    <xf numFmtId="165" fontId="10" fillId="4" borderId="11" applyAlignment="1" pivotButton="0" quotePrefix="0" xfId="0">
      <alignment horizontal="center" vertical="top" textRotation="45"/>
    </xf>
    <xf numFmtId="165" fontId="10" fillId="4" borderId="4" pivotButton="0" quotePrefix="0" xfId="0"/>
    <xf numFmtId="165" fontId="10" fillId="12" borderId="11" applyAlignment="1" pivotButton="0" quotePrefix="0" xfId="0">
      <alignment horizontal="center" vertical="top" textRotation="45"/>
    </xf>
    <xf numFmtId="165" fontId="10" fillId="12" borderId="4" pivotButton="0" quotePrefix="0" xfId="0"/>
    <xf numFmtId="165" fontId="10" fillId="3" borderId="11" applyAlignment="1" pivotButton="0" quotePrefix="0" xfId="0">
      <alignment horizontal="center" vertical="top" textRotation="45"/>
    </xf>
    <xf numFmtId="165" fontId="7" fillId="2" borderId="21" applyAlignment="1" pivotButton="0" quotePrefix="0" xfId="0">
      <alignment horizontal="center" vertical="top" textRotation="45"/>
    </xf>
    <xf numFmtId="165" fontId="10" fillId="2" borderId="4" pivotButton="0" quotePrefix="0" xfId="0"/>
    <xf numFmtId="165" fontId="7" fillId="5" borderId="11" applyAlignment="1" pivotButton="0" quotePrefix="0" xfId="0">
      <alignment horizontal="center" vertical="top" textRotation="45"/>
    </xf>
    <xf numFmtId="165" fontId="10" fillId="5" borderId="4" pivotButton="0" quotePrefix="0" xfId="0"/>
    <xf numFmtId="0" fontId="14" fillId="115" borderId="0" pivotButton="0" quotePrefix="0" xfId="0"/>
    <xf numFmtId="0" fontId="12" fillId="160" borderId="0" pivotButton="0" quotePrefix="0" xfId="0"/>
    <xf numFmtId="165" fontId="12" fillId="160" borderId="0" pivotButton="0" quotePrefix="0" xfId="0"/>
    <xf numFmtId="1" fontId="12" fillId="160" borderId="0" pivotButton="0" quotePrefix="0" xfId="0"/>
    <xf numFmtId="0" fontId="12" fillId="161" borderId="0" pivotButton="0" quotePrefix="0" xfId="0"/>
    <xf numFmtId="165" fontId="12" fillId="161" borderId="0" pivotButton="0" quotePrefix="0" xfId="0"/>
    <xf numFmtId="1" fontId="12" fillId="161" borderId="0" pivotButton="0" quotePrefix="0" xfId="0"/>
    <xf numFmtId="0" fontId="12" fillId="162" borderId="0" pivotButton="0" quotePrefix="0" xfId="0"/>
    <xf numFmtId="165" fontId="12" fillId="162" borderId="0" pivotButton="0" quotePrefix="0" xfId="0"/>
    <xf numFmtId="1" fontId="12" fillId="162" borderId="0" pivotButton="0" quotePrefix="0" xfId="0"/>
    <xf numFmtId="0" fontId="12" fillId="163" borderId="0" pivotButton="0" quotePrefix="0" xfId="0"/>
    <xf numFmtId="165" fontId="12" fillId="163" borderId="0" pivotButton="0" quotePrefix="0" xfId="0"/>
    <xf numFmtId="1" fontId="12" fillId="163" borderId="0" pivotButton="0" quotePrefix="0" xfId="0"/>
    <xf numFmtId="0" fontId="12" fillId="164" borderId="0" pivotButton="0" quotePrefix="0" xfId="0"/>
    <xf numFmtId="165" fontId="12" fillId="164" borderId="0" pivotButton="0" quotePrefix="0" xfId="0"/>
    <xf numFmtId="1" fontId="12" fillId="164" borderId="0" pivotButton="0" quotePrefix="0" xfId="0"/>
    <xf numFmtId="0" fontId="12" fillId="165" borderId="0" pivotButton="0" quotePrefix="0" xfId="0"/>
    <xf numFmtId="165" fontId="12" fillId="165" borderId="0" pivotButton="0" quotePrefix="0" xfId="0"/>
    <xf numFmtId="1" fontId="12" fillId="165" borderId="0" pivotButton="0" quotePrefix="0" xfId="0"/>
    <xf numFmtId="0" fontId="12" fillId="166" borderId="0" pivotButton="0" quotePrefix="0" xfId="0"/>
    <xf numFmtId="165" fontId="12" fillId="166" borderId="0" pivotButton="0" quotePrefix="0" xfId="0"/>
    <xf numFmtId="1" fontId="12" fillId="166" borderId="0" pivotButton="0" quotePrefix="0" xfId="0"/>
    <xf numFmtId="0" fontId="12" fillId="167" borderId="0" pivotButton="0" quotePrefix="0" xfId="0"/>
    <xf numFmtId="165" fontId="12" fillId="167" borderId="0" pivotButton="0" quotePrefix="0" xfId="0"/>
    <xf numFmtId="1" fontId="12" fillId="167" borderId="0" pivotButton="0" quotePrefix="0" xfId="0"/>
    <xf numFmtId="0" fontId="12" fillId="168" borderId="0" pivotButton="0" quotePrefix="0" xfId="0"/>
    <xf numFmtId="165" fontId="12" fillId="168" borderId="0" pivotButton="0" quotePrefix="0" xfId="0"/>
    <xf numFmtId="1" fontId="12" fillId="168" borderId="0" pivotButton="0" quotePrefix="0" xfId="0"/>
    <xf numFmtId="0" fontId="12" fillId="169" borderId="0" pivotButton="0" quotePrefix="0" xfId="0"/>
    <xf numFmtId="165" fontId="12" fillId="169" borderId="0" pivotButton="0" quotePrefix="0" xfId="0"/>
    <xf numFmtId="1" fontId="12" fillId="169" borderId="0" pivotButton="0" quotePrefix="0" xfId="0"/>
    <xf numFmtId="0" fontId="12" fillId="170" borderId="0" pivotButton="0" quotePrefix="0" xfId="0"/>
    <xf numFmtId="165" fontId="12" fillId="170" borderId="0" pivotButton="0" quotePrefix="0" xfId="0"/>
    <xf numFmtId="1" fontId="12" fillId="170" borderId="0" pivotButton="0" quotePrefix="0" xfId="0"/>
    <xf numFmtId="0" fontId="12" fillId="171" borderId="0" pivotButton="0" quotePrefix="0" xfId="0"/>
    <xf numFmtId="165" fontId="12" fillId="171" borderId="0" pivotButton="0" quotePrefix="0" xfId="0"/>
    <xf numFmtId="1" fontId="12" fillId="171" borderId="0" pivotButton="0" quotePrefix="0" xfId="0"/>
    <xf numFmtId="0" fontId="12" fillId="172" borderId="0" pivotButton="0" quotePrefix="0" xfId="0"/>
    <xf numFmtId="165" fontId="12" fillId="172" borderId="0" pivotButton="0" quotePrefix="0" xfId="0"/>
    <xf numFmtId="1" fontId="12" fillId="172" borderId="0" pivotButton="0" quotePrefix="0" xfId="0"/>
    <xf numFmtId="0" fontId="12" fillId="173" borderId="0" pivotButton="0" quotePrefix="0" xfId="0"/>
    <xf numFmtId="165" fontId="12" fillId="173" borderId="0" pivotButton="0" quotePrefix="0" xfId="0"/>
    <xf numFmtId="1" fontId="12" fillId="173" borderId="0" pivotButton="0" quotePrefix="0" xfId="0"/>
    <xf numFmtId="0" fontId="12" fillId="174" borderId="4" pivotButton="0" quotePrefix="0" xfId="0"/>
    <xf numFmtId="2" fontId="12" fillId="174" borderId="4" pivotButton="0" quotePrefix="0" xfId="0"/>
    <xf numFmtId="165" fontId="10" fillId="7" borderId="17" pivotButton="0" quotePrefix="0" xfId="0"/>
    <xf numFmtId="165" fontId="10" fillId="11" borderId="17" pivotButton="0" quotePrefix="0" xfId="0"/>
    <xf numFmtId="165" fontId="10" fillId="6" borderId="17" pivotButton="0" quotePrefix="0" xfId="0"/>
    <xf numFmtId="165" fontId="10" fillId="4" borderId="17" pivotButton="0" quotePrefix="0" xfId="0"/>
    <xf numFmtId="165" fontId="10" fillId="12" borderId="17" pivotButton="0" quotePrefix="0" xfId="0"/>
    <xf numFmtId="165" fontId="10" fillId="3" borderId="17" pivotButton="0" quotePrefix="0" xfId="0"/>
    <xf numFmtId="165" fontId="10" fillId="2" borderId="17" pivotButton="0" quotePrefix="0" xfId="0"/>
    <xf numFmtId="165" fontId="10" fillId="5" borderId="17" pivotButton="0" quotePrefix="0" xfId="0"/>
    <xf numFmtId="0" fontId="12" fillId="175" borderId="4" pivotButton="0" quotePrefix="0" xfId="0"/>
    <xf numFmtId="2" fontId="12" fillId="175" borderId="4" pivotButton="0" quotePrefix="0" xfId="0"/>
    <xf numFmtId="0" fontId="12" fillId="176" borderId="4" pivotButton="0" quotePrefix="0" xfId="0"/>
    <xf numFmtId="2" fontId="12" fillId="176" borderId="4" pivotButton="0" quotePrefix="0" xfId="0"/>
    <xf numFmtId="0" fontId="12" fillId="177" borderId="17" pivotButton="0" quotePrefix="0" xfId="0"/>
    <xf numFmtId="0" fontId="12" fillId="177" borderId="4" pivotButton="0" quotePrefix="0" xfId="0"/>
    <xf numFmtId="2" fontId="12" fillId="177" borderId="4" pivotButton="0" quotePrefix="0" xfId="0"/>
    <xf numFmtId="0" fontId="12" fillId="178" borderId="17" pivotButton="0" quotePrefix="0" xfId="0"/>
    <xf numFmtId="0" fontId="12" fillId="178" borderId="4" pivotButton="0" quotePrefix="0" xfId="0"/>
    <xf numFmtId="2" fontId="12" fillId="178" borderId="4" pivotButton="0" quotePrefix="0" xfId="0"/>
    <xf numFmtId="0" fontId="12" fillId="178" borderId="0" pivotButton="0" quotePrefix="0" xfId="0"/>
    <xf numFmtId="0" fontId="12" fillId="179" borderId="4" pivotButton="0" quotePrefix="0" xfId="0"/>
    <xf numFmtId="2" fontId="12" fillId="179" borderId="4" pivotButton="0" quotePrefix="0" xfId="0"/>
    <xf numFmtId="0" fontId="12" fillId="180" borderId="4" pivotButton="0" quotePrefix="0" xfId="0"/>
    <xf numFmtId="2" fontId="12" fillId="180" borderId="4" pivotButton="0" quotePrefix="0" xfId="0"/>
    <xf numFmtId="0" fontId="0" fillId="8" borderId="17" applyAlignment="1" pivotButton="0" quotePrefix="0" xfId="0">
      <alignment horizontal="left"/>
    </xf>
    <xf numFmtId="9" fontId="0" fillId="0" borderId="0" applyAlignment="1" pivotButton="0" quotePrefix="0" xfId="3">
      <alignment horizontal="left" vertical="top" textRotation="45"/>
    </xf>
    <xf numFmtId="9" fontId="0" fillId="0" borderId="0" pivotButton="0" quotePrefix="0" xfId="3"/>
    <xf numFmtId="0" fontId="12" fillId="181" borderId="4" pivotButton="0" quotePrefix="0" xfId="0"/>
    <xf numFmtId="2" fontId="12" fillId="181" borderId="4" pivotButton="0" quotePrefix="0" xfId="0"/>
    <xf numFmtId="2" fontId="13" fillId="181" borderId="4" pivotButton="0" quotePrefix="0" xfId="0"/>
    <xf numFmtId="0" fontId="2" fillId="182" borderId="27" pivotButton="0" quotePrefix="0" xfId="0"/>
    <xf numFmtId="0" fontId="12" fillId="36" borderId="17" pivotButton="0" quotePrefix="0" xfId="0"/>
    <xf numFmtId="0" fontId="12" fillId="66" borderId="17" pivotButton="0" quotePrefix="0" xfId="0"/>
    <xf numFmtId="0" fontId="12" fillId="62" borderId="17" pivotButton="0" quotePrefix="0" xfId="0"/>
    <xf numFmtId="0" fontId="12" fillId="63" borderId="17" pivotButton="0" quotePrefix="0" xfId="0"/>
    <xf numFmtId="0" fontId="12" fillId="64" borderId="17" pivotButton="0" quotePrefix="0" xfId="0"/>
    <xf numFmtId="0" fontId="12" fillId="65" borderId="17" pivotButton="0" quotePrefix="0" xfId="0"/>
    <xf numFmtId="0" fontId="12" fillId="194" borderId="4" pivotButton="0" quotePrefix="0" xfId="0"/>
    <xf numFmtId="2" fontId="12" fillId="194" borderId="4" pivotButton="0" quotePrefix="0" xfId="0"/>
    <xf numFmtId="0" fontId="12" fillId="195" borderId="4" pivotButton="0" quotePrefix="0" xfId="0"/>
    <xf numFmtId="2" fontId="12" fillId="195" borderId="4" pivotButton="0" quotePrefix="0" xfId="0"/>
    <xf numFmtId="0" fontId="12" fillId="8" borderId="0" applyAlignment="1" pivotButton="0" quotePrefix="0" xfId="0">
      <alignment horizontal="left"/>
    </xf>
    <xf numFmtId="2" fontId="0" fillId="0" borderId="0" pivotButton="0" quotePrefix="0" xfId="0"/>
    <xf numFmtId="0" fontId="12" fillId="187" borderId="4" pivotButton="0" quotePrefix="0" xfId="0"/>
    <xf numFmtId="0" fontId="12" fillId="192" borderId="4" pivotButton="0" quotePrefix="0" xfId="0"/>
    <xf numFmtId="0" fontId="12" fillId="193" borderId="4" pivotButton="0" quotePrefix="0" xfId="0"/>
    <xf numFmtId="0" fontId="12" fillId="191" borderId="4" pivotButton="0" quotePrefix="0" xfId="0"/>
    <xf numFmtId="0" fontId="12" fillId="184" borderId="4" pivotButton="0" quotePrefix="0" xfId="0"/>
    <xf numFmtId="0" fontId="12" fillId="27" borderId="26" pivotButton="0" quotePrefix="0" xfId="0"/>
    <xf numFmtId="0" fontId="12" fillId="183" borderId="4" pivotButton="0" quotePrefix="0" xfId="0"/>
    <xf numFmtId="2" fontId="5" fillId="2" borderId="3" applyAlignment="1" pivotButton="0" quotePrefix="0" xfId="0">
      <alignment horizontal="center" vertical="top" textRotation="45"/>
    </xf>
    <xf numFmtId="2" fontId="5" fillId="2" borderId="5" applyAlignment="1" pivotButton="0" quotePrefix="0" xfId="0">
      <alignment horizontal="center" vertical="top" textRotation="45"/>
    </xf>
    <xf numFmtId="165" fontId="10" fillId="3" borderId="8" pivotButton="0" quotePrefix="0" xfId="0"/>
    <xf numFmtId="165" fontId="10" fillId="7" borderId="9" pivotButton="0" quotePrefix="0" xfId="0"/>
    <xf numFmtId="165" fontId="10" fillId="11" borderId="8" pivotButton="0" quotePrefix="0" xfId="0"/>
    <xf numFmtId="165" fontId="10" fillId="11" borderId="2" pivotButton="0" quotePrefix="0" xfId="0"/>
    <xf numFmtId="165" fontId="10" fillId="2" borderId="23" pivotButton="0" quotePrefix="0" xfId="0"/>
    <xf numFmtId="165" fontId="10" fillId="2" borderId="25" pivotButton="0" quotePrefix="0" xfId="0"/>
    <xf numFmtId="0" fontId="5" fillId="5" borderId="5" applyAlignment="1" pivotButton="0" quotePrefix="0" xfId="0">
      <alignment horizontal="center" vertical="top" textRotation="45" wrapText="1"/>
    </xf>
    <xf numFmtId="165" fontId="3" fillId="7" borderId="4" pivotButton="0" quotePrefix="0" xfId="0"/>
    <xf numFmtId="165" fontId="3" fillId="7" borderId="17" pivotButton="0" quotePrefix="0" xfId="0"/>
    <xf numFmtId="165" fontId="3" fillId="7" borderId="2" pivotButton="0" quotePrefix="0" xfId="0"/>
    <xf numFmtId="165" fontId="3" fillId="11" borderId="4" pivotButton="0" quotePrefix="0" xfId="0"/>
    <xf numFmtId="165" fontId="3" fillId="11" borderId="17" pivotButton="0" quotePrefix="0" xfId="0"/>
    <xf numFmtId="165" fontId="3" fillId="11" borderId="2" pivotButton="0" quotePrefix="0" xfId="0"/>
    <xf numFmtId="165" fontId="3" fillId="6" borderId="4" pivotButton="0" quotePrefix="0" xfId="0"/>
    <xf numFmtId="165" fontId="3" fillId="6" borderId="17" pivotButton="0" quotePrefix="0" xfId="0"/>
    <xf numFmtId="165" fontId="3" fillId="3" borderId="4" pivotButton="0" quotePrefix="0" xfId="0"/>
    <xf numFmtId="165" fontId="3" fillId="3" borderId="17" pivotButton="0" quotePrefix="0" xfId="0"/>
    <xf numFmtId="165" fontId="3" fillId="3" borderId="2" pivotButton="0" quotePrefix="0" xfId="0"/>
    <xf numFmtId="165" fontId="10" fillId="3" borderId="9" pivotButton="0" quotePrefix="0" xfId="0"/>
    <xf numFmtId="165" fontId="10" fillId="11" borderId="9" pivotButton="0" quotePrefix="0" xfId="0"/>
    <xf numFmtId="165" fontId="3" fillId="4" borderId="4" pivotButton="0" quotePrefix="0" xfId="0"/>
    <xf numFmtId="165" fontId="3" fillId="12" borderId="4" pivotButton="0" quotePrefix="0" xfId="0"/>
    <xf numFmtId="165" fontId="10" fillId="3" borderId="2" pivotButton="0" quotePrefix="0" xfId="0"/>
    <xf numFmtId="165" fontId="3" fillId="2" borderId="4" pivotButton="0" quotePrefix="0" xfId="0"/>
    <xf numFmtId="165" fontId="10" fillId="2" borderId="24" pivotButton="0" quotePrefix="0" xfId="0"/>
    <xf numFmtId="165" fontId="3" fillId="5" borderId="4" pivotButton="0" quotePrefix="0" xfId="0"/>
    <xf numFmtId="165" fontId="3" fillId="6" borderId="2" pivotButton="0" quotePrefix="0" xfId="0"/>
    <xf numFmtId="165" fontId="10" fillId="6" borderId="2" pivotButton="0" quotePrefix="0" xfId="0"/>
    <xf numFmtId="165" fontId="3" fillId="4" borderId="17" pivotButton="0" quotePrefix="0" xfId="0"/>
    <xf numFmtId="165" fontId="3" fillId="4" borderId="2" pivotButton="0" quotePrefix="0" xfId="0"/>
    <xf numFmtId="165" fontId="10" fillId="4" borderId="2" pivotButton="0" quotePrefix="0" xfId="0"/>
    <xf numFmtId="165" fontId="3" fillId="12" borderId="17" pivotButton="0" quotePrefix="0" xfId="0"/>
    <xf numFmtId="165" fontId="3" fillId="12" borderId="2" pivotButton="0" quotePrefix="0" xfId="0"/>
    <xf numFmtId="165" fontId="10" fillId="12" borderId="2" pivotButton="0" quotePrefix="0" xfId="0"/>
    <xf numFmtId="165" fontId="3" fillId="2" borderId="17" pivotButton="0" quotePrefix="0" xfId="0"/>
    <xf numFmtId="165" fontId="3" fillId="2" borderId="2" pivotButton="0" quotePrefix="0" xfId="0"/>
    <xf numFmtId="165" fontId="10" fillId="2" borderId="2" pivotButton="0" quotePrefix="0" xfId="0"/>
    <xf numFmtId="165" fontId="3" fillId="5" borderId="17" pivotButton="0" quotePrefix="0" xfId="0"/>
    <xf numFmtId="165" fontId="3" fillId="5" borderId="2" pivotButton="0" quotePrefix="0" xfId="0"/>
    <xf numFmtId="2" fontId="11" fillId="10" borderId="9" pivotButton="0" quotePrefix="0" xfId="0"/>
    <xf numFmtId="167" fontId="8" fillId="10" borderId="7" applyAlignment="1" pivotButton="0" quotePrefix="0" xfId="0">
      <alignment horizontal="center" vertical="top" textRotation="45" wrapText="1"/>
    </xf>
    <xf numFmtId="168" fontId="0" fillId="0" borderId="0" pivotButton="0" quotePrefix="0" xfId="0"/>
    <xf numFmtId="0" fontId="12" fillId="196" borderId="4" pivotButton="0" quotePrefix="0" xfId="0"/>
    <xf numFmtId="2" fontId="12" fillId="196" borderId="4" pivotButton="0" quotePrefix="0" xfId="0"/>
    <xf numFmtId="0" fontId="12" fillId="197" borderId="4" pivotButton="0" quotePrefix="0" xfId="0"/>
    <xf numFmtId="2" fontId="12" fillId="197" borderId="4" pivotButton="0" quotePrefix="0" xfId="0"/>
    <xf numFmtId="0" fontId="12" fillId="198" borderId="4" pivotButton="0" quotePrefix="0" xfId="0"/>
    <xf numFmtId="2" fontId="12" fillId="198" borderId="4" pivotButton="0" quotePrefix="0" xfId="0"/>
    <xf numFmtId="165" fontId="12" fillId="198" borderId="4" pivotButton="0" quotePrefix="0" xfId="0"/>
    <xf numFmtId="0" fontId="16" fillId="198" borderId="25" pivotButton="0" quotePrefix="0" xfId="0"/>
    <xf numFmtId="0" fontId="12" fillId="198" borderId="0" pivotButton="0" quotePrefix="0" xfId="0"/>
    <xf numFmtId="0" fontId="12" fillId="198" borderId="2" pivotButton="0" quotePrefix="0" xfId="0"/>
    <xf numFmtId="165" fontId="10" fillId="3" borderId="24" pivotButton="0" quotePrefix="0" xfId="0"/>
    <xf numFmtId="165" fontId="10" fillId="3" borderId="0" pivotButton="0" quotePrefix="0" xfId="0"/>
    <xf numFmtId="165" fontId="10" fillId="7" borderId="0" pivotButton="0" quotePrefix="0" xfId="0"/>
    <xf numFmtId="165" fontId="10" fillId="11" borderId="0" pivotButton="0" quotePrefix="0" xfId="0"/>
    <xf numFmtId="165" fontId="10" fillId="6" borderId="0" pivotButton="0" quotePrefix="0" xfId="0"/>
    <xf numFmtId="165" fontId="10" fillId="4" borderId="0" pivotButton="0" quotePrefix="0" xfId="0"/>
    <xf numFmtId="165" fontId="10" fillId="12" borderId="0" pivotButton="0" quotePrefix="0" xfId="0"/>
    <xf numFmtId="165" fontId="10" fillId="2" borderId="0" pivotButton="0" quotePrefix="0" xfId="0"/>
    <xf numFmtId="165" fontId="10" fillId="5" borderId="0" pivotButton="0" quotePrefix="0" xfId="0"/>
    <xf numFmtId="0" fontId="0" fillId="8" borderId="30" applyAlignment="1" pivotButton="0" quotePrefix="0" xfId="0">
      <alignment horizontal="left"/>
    </xf>
    <xf numFmtId="0" fontId="0" fillId="8" borderId="28" applyAlignment="1" pivotButton="0" quotePrefix="0" xfId="0">
      <alignment horizontal="left"/>
    </xf>
    <xf numFmtId="165" fontId="11" fillId="10" borderId="9" pivotButton="0" quotePrefix="0" xfId="0"/>
    <xf numFmtId="165" fontId="5" fillId="2" borderId="0" pivotButton="0" quotePrefix="0" xfId="0"/>
    <xf numFmtId="165" fontId="5" fillId="10" borderId="17" pivotButton="0" quotePrefix="0" xfId="0"/>
    <xf numFmtId="165" fontId="5" fillId="5" borderId="8" pivotButton="0" quotePrefix="0" xfId="0"/>
    <xf numFmtId="165" fontId="5" fillId="5" borderId="17" pivotButton="0" quotePrefix="0" xfId="0"/>
    <xf numFmtId="165" fontId="5" fillId="5" borderId="4" pivotButton="0" quotePrefix="0" xfId="0"/>
    <xf numFmtId="165" fontId="5" fillId="2" borderId="8" pivotButton="0" quotePrefix="0" xfId="0"/>
    <xf numFmtId="165" fontId="0" fillId="2" borderId="0" pivotButton="0" quotePrefix="0" xfId="0"/>
    <xf numFmtId="165" fontId="0" fillId="5" borderId="17" pivotButton="0" quotePrefix="0" xfId="0"/>
    <xf numFmtId="165" fontId="0" fillId="5" borderId="4" pivotButton="0" quotePrefix="0" xfId="0"/>
    <xf numFmtId="165" fontId="11" fillId="10" borderId="0" pivotButton="0" quotePrefix="0" xfId="0"/>
    <xf numFmtId="165" fontId="5" fillId="5" borderId="0" pivotButton="0" quotePrefix="0" xfId="0"/>
    <xf numFmtId="165" fontId="5" fillId="5" borderId="29" pivotButton="0" quotePrefix="0" xfId="0"/>
    <xf numFmtId="0" fontId="7" fillId="3" borderId="10" applyAlignment="1" pivotButton="0" quotePrefix="0" xfId="0">
      <alignment horizontal="center" vertical="top" textRotation="45" wrapText="1"/>
    </xf>
    <xf numFmtId="2" fontId="0" fillId="0" borderId="0" pivotButton="0" quotePrefix="0" xfId="2"/>
    <xf numFmtId="2" fontId="12" fillId="48" borderId="4" pivotButton="0" quotePrefix="0" xfId="0"/>
    <xf numFmtId="2" fontId="12" fillId="49" borderId="4" pivotButton="0" quotePrefix="0" xfId="0"/>
    <xf numFmtId="0" fontId="12" fillId="199" borderId="0" pivotButton="0" quotePrefix="0" xfId="0"/>
    <xf numFmtId="165" fontId="12" fillId="199" borderId="0" pivotButton="0" quotePrefix="0" xfId="0"/>
    <xf numFmtId="1" fontId="12" fillId="199" borderId="0" pivotButton="0" quotePrefix="0" xfId="0"/>
    <xf numFmtId="0" fontId="12" fillId="200" borderId="0" pivotButton="0" quotePrefix="0" xfId="0"/>
    <xf numFmtId="165" fontId="12" fillId="200" borderId="0" pivotButton="0" quotePrefix="0" xfId="0"/>
    <xf numFmtId="1" fontId="12" fillId="200" borderId="0" pivotButton="0" quotePrefix="0" xfId="0"/>
    <xf numFmtId="0" fontId="12" fillId="201" borderId="0" pivotButton="0" quotePrefix="0" xfId="0"/>
    <xf numFmtId="165" fontId="12" fillId="201" borderId="0" pivotButton="0" quotePrefix="0" xfId="0"/>
    <xf numFmtId="1" fontId="12" fillId="201" borderId="0" pivotButton="0" quotePrefix="0" xfId="0"/>
    <xf numFmtId="0" fontId="12" fillId="202" borderId="0" pivotButton="0" quotePrefix="0" xfId="0"/>
    <xf numFmtId="165" fontId="12" fillId="202" borderId="0" pivotButton="0" quotePrefix="0" xfId="0"/>
    <xf numFmtId="1" fontId="12" fillId="202" borderId="0" pivotButton="0" quotePrefix="0" xfId="0"/>
    <xf numFmtId="0" fontId="12" fillId="60" borderId="17" pivotButton="0" quotePrefix="0" xfId="0"/>
    <xf numFmtId="0" fontId="12" fillId="61" borderId="17" pivotButton="0" quotePrefix="0" xfId="0"/>
    <xf numFmtId="0" fontId="12" fillId="39" borderId="17" pivotButton="0" quotePrefix="0" xfId="0"/>
    <xf numFmtId="0" fontId="12" fillId="186" borderId="4" pivotButton="0" quotePrefix="0" xfId="0"/>
    <xf numFmtId="0" fontId="12" fillId="28" borderId="26" pivotButton="0" quotePrefix="0" xfId="0"/>
    <xf numFmtId="0" fontId="12" fillId="180" borderId="26" pivotButton="0" quotePrefix="0" xfId="0"/>
    <xf numFmtId="0" fontId="12" fillId="190" borderId="4" pivotButton="0" quotePrefix="0" xfId="0"/>
    <xf numFmtId="0" fontId="12" fillId="52" borderId="26" pivotButton="0" quotePrefix="0" xfId="0"/>
    <xf numFmtId="0" fontId="12" fillId="189" borderId="4" pivotButton="0" quotePrefix="0" xfId="0"/>
    <xf numFmtId="0" fontId="12" fillId="47" borderId="26" pivotButton="0" quotePrefix="0" xfId="0"/>
    <xf numFmtId="0" fontId="12" fillId="176" borderId="26" pivotButton="0" quotePrefix="0" xfId="0"/>
    <xf numFmtId="0" fontId="12" fillId="188" borderId="4" pivotButton="0" quotePrefix="0" xfId="0"/>
    <xf numFmtId="0" fontId="12" fillId="185" borderId="4" pivotButton="0" quotePrefix="0" xfId="0"/>
    <xf numFmtId="0" fontId="12" fillId="25" borderId="26" pivotButton="0" quotePrefix="0" xfId="0"/>
    <xf numFmtId="0" fontId="12" fillId="29" borderId="26" pivotButton="0" quotePrefix="0" xfId="0"/>
    <xf numFmtId="0" fontId="12" fillId="175" borderId="26" pivotButton="0" quotePrefix="0" xfId="0"/>
    <xf numFmtId="0" fontId="12" fillId="41" borderId="26" pivotButton="0" quotePrefix="0" xfId="0"/>
    <xf numFmtId="0" fontId="5" fillId="6" borderId="31" pivotButton="0" quotePrefix="0" xfId="0"/>
    <xf numFmtId="2" fontId="0" fillId="203" borderId="9" pivotButton="0" quotePrefix="0" xfId="0"/>
    <xf numFmtId="0" fontId="17" fillId="0" borderId="4" applyAlignment="1" pivotButton="0" quotePrefix="0" xfId="0">
      <alignment horizontal="center" vertical="top" textRotation="45"/>
    </xf>
    <xf numFmtId="165" fontId="17" fillId="0" borderId="4" applyAlignment="1" pivotButton="0" quotePrefix="0" xfId="0">
      <alignment horizontal="center" vertical="top" textRotation="45"/>
    </xf>
    <xf numFmtId="0" fontId="17" fillId="0" borderId="4" applyAlignment="1" pivotButton="0" quotePrefix="0" xfId="0">
      <alignment horizontal="center" vertical="top" textRotation="45" wrapText="1"/>
    </xf>
    <xf numFmtId="0" fontId="20" fillId="0" borderId="4" applyAlignment="1" pivotButton="0" quotePrefix="0" xfId="0">
      <alignment horizontal="center" vertical="top" textRotation="45"/>
    </xf>
    <xf numFmtId="0" fontId="17" fillId="0" borderId="2" applyAlignment="1" pivotButton="0" quotePrefix="0" xfId="0">
      <alignment horizontal="center" vertical="top" textRotation="45"/>
    </xf>
    <xf numFmtId="0" fontId="15" fillId="0" borderId="23" applyAlignment="1" pivotButton="0" quotePrefix="0" xfId="0">
      <alignment horizontal="center" vertical="top" textRotation="45"/>
    </xf>
    <xf numFmtId="2" fontId="12" fillId="13" borderId="2" pivotButton="0" quotePrefix="0" xfId="0"/>
    <xf numFmtId="2" fontId="16" fillId="13" borderId="25" pivotButton="0" quotePrefix="0" xfId="0"/>
    <xf numFmtId="2" fontId="12" fillId="13" borderId="0" pivotButton="0" quotePrefix="0" xfId="0"/>
    <xf numFmtId="2" fontId="12" fillId="196" borderId="2" pivotButton="0" quotePrefix="0" xfId="0"/>
    <xf numFmtId="2" fontId="16" fillId="196" borderId="25" pivotButton="0" quotePrefix="0" xfId="0"/>
    <xf numFmtId="2" fontId="12" fillId="196" borderId="0" pivotButton="0" quotePrefix="0" xfId="0"/>
    <xf numFmtId="2" fontId="12" fillId="14" borderId="2" pivotButton="0" quotePrefix="0" xfId="0"/>
    <xf numFmtId="2" fontId="16" fillId="14" borderId="25" pivotButton="0" quotePrefix="0" xfId="0"/>
    <xf numFmtId="2" fontId="12" fillId="14" borderId="0" pivotButton="0" quotePrefix="0" xfId="0"/>
    <xf numFmtId="2" fontId="12" fillId="15" borderId="2" pivotButton="0" quotePrefix="0" xfId="0"/>
    <xf numFmtId="2" fontId="16" fillId="15" borderId="25" pivotButton="0" quotePrefix="0" xfId="0"/>
    <xf numFmtId="2" fontId="12" fillId="15" borderId="0" pivotButton="0" quotePrefix="0" xfId="0"/>
    <xf numFmtId="2" fontId="12" fillId="16" borderId="2" pivotButton="0" quotePrefix="0" xfId="0"/>
    <xf numFmtId="2" fontId="16" fillId="16" borderId="25" pivotButton="0" quotePrefix="0" xfId="0"/>
    <xf numFmtId="2" fontId="12" fillId="16" borderId="0" pivotButton="0" quotePrefix="0" xfId="0"/>
    <xf numFmtId="2" fontId="12" fillId="17" borderId="2" pivotButton="0" quotePrefix="0" xfId="0"/>
    <xf numFmtId="2" fontId="16" fillId="17" borderId="25" pivotButton="0" quotePrefix="0" xfId="0"/>
    <xf numFmtId="2" fontId="12" fillId="17" borderId="0" pivotButton="0" quotePrefix="0" xfId="0"/>
    <xf numFmtId="2" fontId="12" fillId="18" borderId="2" pivotButton="0" quotePrefix="0" xfId="0"/>
    <xf numFmtId="2" fontId="16" fillId="18" borderId="25" pivotButton="0" quotePrefix="0" xfId="0"/>
    <xf numFmtId="2" fontId="12" fillId="18" borderId="0" pivotButton="0" quotePrefix="0" xfId="0"/>
    <xf numFmtId="2" fontId="12" fillId="19" borderId="2" pivotButton="0" quotePrefix="0" xfId="0"/>
    <xf numFmtId="2" fontId="16" fillId="19" borderId="25" pivotButton="0" quotePrefix="0" xfId="0"/>
    <xf numFmtId="2" fontId="12" fillId="19" borderId="0" pivotButton="0" quotePrefix="0" xfId="0"/>
    <xf numFmtId="2" fontId="12" fillId="198" borderId="2" pivotButton="0" quotePrefix="0" xfId="0"/>
    <xf numFmtId="2" fontId="16" fillId="198" borderId="25" pivotButton="0" quotePrefix="0" xfId="0"/>
    <xf numFmtId="2" fontId="12" fillId="198" borderId="0" pivotButton="0" quotePrefix="0" xfId="0"/>
    <xf numFmtId="2" fontId="12" fillId="197" borderId="2" pivotButton="0" quotePrefix="0" xfId="0"/>
    <xf numFmtId="2" fontId="16" fillId="197" borderId="25" pivotButton="0" quotePrefix="0" xfId="0"/>
    <xf numFmtId="2" fontId="12" fillId="197" borderId="0" pivotButton="0" quotePrefix="0" xfId="0"/>
    <xf numFmtId="2" fontId="12" fillId="20" borderId="2" pivotButton="0" quotePrefix="0" xfId="0"/>
    <xf numFmtId="2" fontId="16" fillId="20" borderId="25" pivotButton="0" quotePrefix="0" xfId="0"/>
    <xf numFmtId="2" fontId="12" fillId="20" borderId="0" pivotButton="0" quotePrefix="0" xfId="0"/>
    <xf numFmtId="2" fontId="12" fillId="21" borderId="2" pivotButton="0" quotePrefix="0" xfId="0"/>
    <xf numFmtId="2" fontId="16" fillId="21" borderId="25" pivotButton="0" quotePrefix="0" xfId="0"/>
    <xf numFmtId="2" fontId="12" fillId="21" borderId="0" pivotButton="0" quotePrefix="0" xfId="0"/>
    <xf numFmtId="2" fontId="12" fillId="22" borderId="2" pivotButton="0" quotePrefix="0" xfId="0"/>
    <xf numFmtId="2" fontId="16" fillId="22" borderId="25" pivotButton="0" quotePrefix="0" xfId="0"/>
    <xf numFmtId="2" fontId="12" fillId="22" borderId="0" pivotButton="0" quotePrefix="0" xfId="0"/>
    <xf numFmtId="2" fontId="12" fillId="23" borderId="2" pivotButton="0" quotePrefix="0" xfId="0"/>
    <xf numFmtId="2" fontId="16" fillId="23" borderId="25" pivotButton="0" quotePrefix="0" xfId="0"/>
    <xf numFmtId="2" fontId="12" fillId="23" borderId="0" pivotButton="0" quotePrefix="0" xfId="0"/>
    <xf numFmtId="2" fontId="12" fillId="24" borderId="2" pivotButton="0" quotePrefix="0" xfId="0"/>
    <xf numFmtId="2" fontId="16" fillId="24" borderId="25" pivotButton="0" quotePrefix="0" xfId="0"/>
    <xf numFmtId="2" fontId="12" fillId="24" borderId="0" pivotButton="0" quotePrefix="0" xfId="0"/>
    <xf numFmtId="2" fontId="12" fillId="25" borderId="2" pivotButton="0" quotePrefix="0" xfId="0"/>
    <xf numFmtId="2" fontId="16" fillId="25" borderId="25" pivotButton="0" quotePrefix="0" xfId="0"/>
    <xf numFmtId="2" fontId="12" fillId="25" borderId="0" pivotButton="0" quotePrefix="0" xfId="0"/>
    <xf numFmtId="2" fontId="12" fillId="26" borderId="2" pivotButton="0" quotePrefix="0" xfId="0"/>
    <xf numFmtId="2" fontId="16" fillId="26" borderId="25" pivotButton="0" quotePrefix="0" xfId="0"/>
    <xf numFmtId="2" fontId="12" fillId="26" borderId="0" pivotButton="0" quotePrefix="0" xfId="0"/>
    <xf numFmtId="2" fontId="12" fillId="27" borderId="2" pivotButton="0" quotePrefix="0" xfId="0"/>
    <xf numFmtId="2" fontId="16" fillId="27" borderId="25" pivotButton="0" quotePrefix="0" xfId="0"/>
    <xf numFmtId="2" fontId="12" fillId="27" borderId="0" pivotButton="0" quotePrefix="0" xfId="0"/>
    <xf numFmtId="2" fontId="12" fillId="28" borderId="2" pivotButton="0" quotePrefix="0" xfId="0"/>
    <xf numFmtId="2" fontId="16" fillId="28" borderId="25" pivotButton="0" quotePrefix="0" xfId="0"/>
    <xf numFmtId="2" fontId="12" fillId="28" borderId="0" pivotButton="0" quotePrefix="0" xfId="0"/>
    <xf numFmtId="2" fontId="12" fillId="29" borderId="2" pivotButton="0" quotePrefix="0" xfId="0"/>
    <xf numFmtId="2" fontId="16" fillId="29" borderId="25" pivotButton="0" quotePrefix="0" xfId="0"/>
    <xf numFmtId="2" fontId="12" fillId="29" borderId="0" pivotButton="0" quotePrefix="0" xfId="0"/>
    <xf numFmtId="2" fontId="12" fillId="30" borderId="2" pivotButton="0" quotePrefix="0" xfId="0"/>
    <xf numFmtId="2" fontId="16" fillId="30" borderId="25" pivotButton="0" quotePrefix="0" xfId="0"/>
    <xf numFmtId="2" fontId="12" fillId="30" borderId="0" pivotButton="0" quotePrefix="0" xfId="0"/>
    <xf numFmtId="2" fontId="12" fillId="31" borderId="2" pivotButton="0" quotePrefix="0" xfId="0"/>
    <xf numFmtId="2" fontId="16" fillId="31" borderId="25" pivotButton="0" quotePrefix="0" xfId="0"/>
    <xf numFmtId="2" fontId="12" fillId="31" borderId="0" pivotButton="0" quotePrefix="0" xfId="0"/>
    <xf numFmtId="2" fontId="12" fillId="32" borderId="2" pivotButton="0" quotePrefix="0" xfId="0"/>
    <xf numFmtId="2" fontId="16" fillId="32" borderId="25" pivotButton="0" quotePrefix="0" xfId="0"/>
    <xf numFmtId="2" fontId="12" fillId="32" borderId="0" pivotButton="0" quotePrefix="0" xfId="0"/>
    <xf numFmtId="2" fontId="12" fillId="33" borderId="2" pivotButton="0" quotePrefix="0" xfId="0"/>
    <xf numFmtId="2" fontId="16" fillId="33" borderId="25" pivotButton="0" quotePrefix="0" xfId="0"/>
    <xf numFmtId="2" fontId="12" fillId="33" borderId="0" pivotButton="0" quotePrefix="0" xfId="0"/>
    <xf numFmtId="2" fontId="12" fillId="34" borderId="2" pivotButton="0" quotePrefix="0" xfId="0"/>
    <xf numFmtId="2" fontId="16" fillId="34" borderId="25" pivotButton="0" quotePrefix="0" xfId="0"/>
    <xf numFmtId="2" fontId="12" fillId="34" borderId="0" pivotButton="0" quotePrefix="0" xfId="0"/>
    <xf numFmtId="2" fontId="12" fillId="35" borderId="2" pivotButton="0" quotePrefix="0" xfId="0"/>
    <xf numFmtId="2" fontId="16" fillId="35" borderId="25" pivotButton="0" quotePrefix="0" xfId="0"/>
    <xf numFmtId="2" fontId="12" fillId="35" borderId="0" pivotButton="0" quotePrefix="0" xfId="0"/>
    <xf numFmtId="2" fontId="12" fillId="36" borderId="2" pivotButton="0" quotePrefix="0" xfId="0"/>
    <xf numFmtId="2" fontId="16" fillId="36" borderId="25" pivotButton="0" quotePrefix="0" xfId="0"/>
    <xf numFmtId="2" fontId="12" fillId="36" borderId="0" pivotButton="0" quotePrefix="0" xfId="0"/>
    <xf numFmtId="2" fontId="12" fillId="37" borderId="2" pivotButton="0" quotePrefix="0" xfId="0"/>
    <xf numFmtId="2" fontId="16" fillId="37" borderId="25" pivotButton="0" quotePrefix="0" xfId="0"/>
    <xf numFmtId="2" fontId="12" fillId="37" borderId="0" pivotButton="0" quotePrefix="0" xfId="0"/>
    <xf numFmtId="2" fontId="12" fillId="38" borderId="2" pivotButton="0" quotePrefix="0" xfId="0"/>
    <xf numFmtId="2" fontId="16" fillId="38" borderId="25" pivotButton="0" quotePrefix="0" xfId="0"/>
    <xf numFmtId="2" fontId="12" fillId="38" borderId="0" pivotButton="0" quotePrefix="0" xfId="0"/>
    <xf numFmtId="2" fontId="12" fillId="39" borderId="2" pivotButton="0" quotePrefix="0" xfId="0"/>
    <xf numFmtId="2" fontId="16" fillId="39" borderId="25" pivotButton="0" quotePrefix="0" xfId="0"/>
    <xf numFmtId="2" fontId="12" fillId="39" borderId="0" pivotButton="0" quotePrefix="0" xfId="0"/>
    <xf numFmtId="2" fontId="12" fillId="40" borderId="2" pivotButton="0" quotePrefix="0" xfId="0"/>
    <xf numFmtId="2" fontId="16" fillId="40" borderId="25" pivotButton="0" quotePrefix="0" xfId="0"/>
    <xf numFmtId="2" fontId="12" fillId="40" borderId="0" pivotButton="0" quotePrefix="0" xfId="0"/>
    <xf numFmtId="2" fontId="12" fillId="41" borderId="2" pivotButton="0" quotePrefix="0" xfId="0"/>
    <xf numFmtId="2" fontId="16" fillId="41" borderId="25" pivotButton="0" quotePrefix="0" xfId="0"/>
    <xf numFmtId="2" fontId="12" fillId="41" borderId="0" pivotButton="0" quotePrefix="0" xfId="0"/>
    <xf numFmtId="2" fontId="12" fillId="42" borderId="2" pivotButton="0" quotePrefix="0" xfId="0"/>
    <xf numFmtId="2" fontId="16" fillId="42" borderId="25" pivotButton="0" quotePrefix="0" xfId="0"/>
    <xf numFmtId="2" fontId="12" fillId="42" borderId="0" pivotButton="0" quotePrefix="0" xfId="0"/>
    <xf numFmtId="2" fontId="12" fillId="159" borderId="2" pivotButton="0" quotePrefix="0" xfId="0"/>
    <xf numFmtId="2" fontId="16" fillId="159" borderId="25" pivotButton="0" quotePrefix="0" xfId="0"/>
    <xf numFmtId="2" fontId="12" fillId="159" borderId="0" pivotButton="0" quotePrefix="0" xfId="0"/>
    <xf numFmtId="2" fontId="12" fillId="43" borderId="2" pivotButton="0" quotePrefix="0" xfId="0"/>
    <xf numFmtId="2" fontId="16" fillId="43" borderId="25" pivotButton="0" quotePrefix="0" xfId="0"/>
    <xf numFmtId="2" fontId="12" fillId="43" borderId="0" pivotButton="0" quotePrefix="0" xfId="0"/>
    <xf numFmtId="2" fontId="12" fillId="43" borderId="24" pivotButton="0" quotePrefix="0" xfId="0"/>
    <xf numFmtId="2" fontId="12" fillId="44" borderId="2" pivotButton="0" quotePrefix="0" xfId="0"/>
    <xf numFmtId="2" fontId="16" fillId="44" borderId="25" pivotButton="0" quotePrefix="0" xfId="0"/>
    <xf numFmtId="2" fontId="12" fillId="44" borderId="0" pivotButton="0" quotePrefix="0" xfId="0"/>
    <xf numFmtId="2" fontId="12" fillId="45" borderId="2" pivotButton="0" quotePrefix="0" xfId="0"/>
    <xf numFmtId="2" fontId="16" fillId="45" borderId="25" pivotButton="0" quotePrefix="0" xfId="0"/>
    <xf numFmtId="2" fontId="12" fillId="45" borderId="0" pivotButton="0" quotePrefix="0" xfId="0"/>
    <xf numFmtId="2" fontId="12" fillId="181" borderId="2" pivotButton="0" quotePrefix="0" xfId="0"/>
    <xf numFmtId="2" fontId="16" fillId="181" borderId="25" pivotButton="0" quotePrefix="0" xfId="0"/>
    <xf numFmtId="2" fontId="12" fillId="181" borderId="0" pivotButton="0" quotePrefix="0" xfId="0"/>
    <xf numFmtId="2" fontId="12" fillId="46" borderId="2" pivotButton="0" quotePrefix="0" xfId="0"/>
    <xf numFmtId="2" fontId="16" fillId="46" borderId="25" pivotButton="0" quotePrefix="0" xfId="0"/>
    <xf numFmtId="2" fontId="12" fillId="46" borderId="0" pivotButton="0" quotePrefix="0" xfId="0"/>
    <xf numFmtId="2" fontId="12" fillId="47" borderId="2" pivotButton="0" quotePrefix="0" xfId="0"/>
    <xf numFmtId="2" fontId="16" fillId="47" borderId="25" pivotButton="0" quotePrefix="0" xfId="0"/>
    <xf numFmtId="2" fontId="12" fillId="47" borderId="0" pivotButton="0" quotePrefix="0" xfId="0"/>
    <xf numFmtId="2" fontId="14" fillId="48" borderId="2" pivotButton="0" quotePrefix="0" xfId="0"/>
    <xf numFmtId="2" fontId="16" fillId="48" borderId="25" pivotButton="0" quotePrefix="0" xfId="0"/>
    <xf numFmtId="2" fontId="12" fillId="48" borderId="0" pivotButton="0" quotePrefix="0" xfId="0"/>
    <xf numFmtId="2" fontId="14" fillId="49" borderId="2" pivotButton="0" quotePrefix="0" xfId="0"/>
    <xf numFmtId="2" fontId="16" fillId="49" borderId="25" pivotButton="0" quotePrefix="0" xfId="0"/>
    <xf numFmtId="2" fontId="12" fillId="49" borderId="0" pivotButton="0" quotePrefix="0" xfId="0"/>
    <xf numFmtId="2" fontId="12" fillId="50" borderId="2" pivotButton="0" quotePrefix="0" xfId="0"/>
    <xf numFmtId="2" fontId="16" fillId="50" borderId="25" pivotButton="0" quotePrefix="0" xfId="0"/>
    <xf numFmtId="2" fontId="12" fillId="50" borderId="0" pivotButton="0" quotePrefix="0" xfId="0"/>
    <xf numFmtId="2" fontId="12" fillId="51" borderId="2" pivotButton="0" quotePrefix="0" xfId="0"/>
    <xf numFmtId="2" fontId="16" fillId="51" borderId="25" pivotButton="0" quotePrefix="0" xfId="0"/>
    <xf numFmtId="2" fontId="12" fillId="51" borderId="0" pivotButton="0" quotePrefix="0" xfId="0"/>
    <xf numFmtId="2" fontId="12" fillId="52" borderId="2" pivotButton="0" quotePrefix="0" xfId="0"/>
    <xf numFmtId="2" fontId="16" fillId="52" borderId="25" pivotButton="0" quotePrefix="0" xfId="0"/>
    <xf numFmtId="2" fontId="12" fillId="52" borderId="0" pivotButton="0" quotePrefix="0" xfId="0"/>
    <xf numFmtId="2" fontId="12" fillId="53" borderId="2" pivotButton="0" quotePrefix="0" xfId="0"/>
    <xf numFmtId="2" fontId="16" fillId="53" borderId="25" pivotButton="0" quotePrefix="0" xfId="0"/>
    <xf numFmtId="2" fontId="12" fillId="53" borderId="0" pivotButton="0" quotePrefix="0" xfId="0"/>
    <xf numFmtId="2" fontId="12" fillId="54" borderId="2" pivotButton="0" quotePrefix="0" xfId="0"/>
    <xf numFmtId="2" fontId="16" fillId="54" borderId="25" pivotButton="0" quotePrefix="0" xfId="0"/>
    <xf numFmtId="2" fontId="12" fillId="54" borderId="0" pivotButton="0" quotePrefix="0" xfId="0"/>
    <xf numFmtId="2" fontId="12" fillId="180" borderId="2" pivotButton="0" quotePrefix="0" xfId="0"/>
    <xf numFmtId="2" fontId="16" fillId="180" borderId="25" pivotButton="0" quotePrefix="0" xfId="0"/>
    <xf numFmtId="2" fontId="12" fillId="180" borderId="0" pivotButton="0" quotePrefix="0" xfId="0"/>
    <xf numFmtId="2" fontId="12" fillId="195" borderId="2" pivotButton="0" quotePrefix="0" xfId="0"/>
    <xf numFmtId="2" fontId="16" fillId="195" borderId="25" pivotButton="0" quotePrefix="0" xfId="0"/>
    <xf numFmtId="2" fontId="12" fillId="195" borderId="0" pivotButton="0" quotePrefix="0" xfId="0"/>
    <xf numFmtId="2" fontId="12" fillId="194" borderId="2" pivotButton="0" quotePrefix="0" xfId="0"/>
    <xf numFmtId="2" fontId="16" fillId="194" borderId="25" pivotButton="0" quotePrefix="0" xfId="0"/>
    <xf numFmtId="2" fontId="12" fillId="194" borderId="0" pivotButton="0" quotePrefix="0" xfId="0"/>
    <xf numFmtId="2" fontId="12" fillId="179" borderId="2" pivotButton="0" quotePrefix="0" xfId="0"/>
    <xf numFmtId="2" fontId="16" fillId="179" borderId="25" pivotButton="0" quotePrefix="0" xfId="0"/>
    <xf numFmtId="2" fontId="12" fillId="179" borderId="0" pivotButton="0" quotePrefix="0" xfId="0"/>
    <xf numFmtId="2" fontId="12" fillId="55" borderId="2" pivotButton="0" quotePrefix="0" xfId="0"/>
    <xf numFmtId="2" fontId="16" fillId="55" borderId="25" pivotButton="0" quotePrefix="0" xfId="0"/>
    <xf numFmtId="2" fontId="12" fillId="55" borderId="0" pivotButton="0" quotePrefix="0" xfId="0"/>
    <xf numFmtId="2" fontId="12" fillId="56" borderId="2" pivotButton="0" quotePrefix="0" xfId="0"/>
    <xf numFmtId="2" fontId="16" fillId="56" borderId="25" pivotButton="0" quotePrefix="0" xfId="0"/>
    <xf numFmtId="2" fontId="12" fillId="56" borderId="0" pivotButton="0" quotePrefix="0" xfId="0"/>
    <xf numFmtId="2" fontId="12" fillId="175" borderId="2" pivotButton="0" quotePrefix="0" xfId="0"/>
    <xf numFmtId="2" fontId="16" fillId="175" borderId="25" pivotButton="0" quotePrefix="0" xfId="0"/>
    <xf numFmtId="2" fontId="12" fillId="175" borderId="0" pivotButton="0" quotePrefix="0" xfId="0"/>
    <xf numFmtId="2" fontId="12" fillId="174" borderId="2" pivotButton="0" quotePrefix="0" xfId="0"/>
    <xf numFmtId="2" fontId="16" fillId="174" borderId="25" pivotButton="0" quotePrefix="0" xfId="0"/>
    <xf numFmtId="2" fontId="12" fillId="174" borderId="0" pivotButton="0" quotePrefix="0" xfId="0"/>
    <xf numFmtId="2" fontId="12" fillId="176" borderId="2" pivotButton="0" quotePrefix="0" xfId="0"/>
    <xf numFmtId="2" fontId="16" fillId="176" borderId="25" pivotButton="0" quotePrefix="0" xfId="0"/>
    <xf numFmtId="2" fontId="12" fillId="176" borderId="0" pivotButton="0" quotePrefix="0" xfId="0"/>
    <xf numFmtId="2" fontId="12" fillId="57" borderId="2" pivotButton="0" quotePrefix="0" xfId="0"/>
    <xf numFmtId="2" fontId="16" fillId="57" borderId="25" pivotButton="0" quotePrefix="0" xfId="0"/>
    <xf numFmtId="2" fontId="12" fillId="57" borderId="0" pivotButton="0" quotePrefix="0" xfId="0"/>
    <xf numFmtId="2" fontId="12" fillId="58" borderId="2" pivotButton="0" quotePrefix="0" xfId="0"/>
    <xf numFmtId="2" fontId="16" fillId="58" borderId="25" pivotButton="0" quotePrefix="0" xfId="0"/>
    <xf numFmtId="2" fontId="12" fillId="58" borderId="0" pivotButton="0" quotePrefix="0" xfId="0"/>
    <xf numFmtId="2" fontId="12" fillId="59" borderId="2" pivotButton="0" quotePrefix="0" xfId="0"/>
    <xf numFmtId="2" fontId="16" fillId="59" borderId="25" pivotButton="0" quotePrefix="0" xfId="0"/>
    <xf numFmtId="2" fontId="12" fillId="59" borderId="0" pivotButton="0" quotePrefix="0" xfId="0"/>
    <xf numFmtId="2" fontId="12" fillId="60" borderId="24" pivotButton="0" quotePrefix="0" xfId="0"/>
    <xf numFmtId="2" fontId="16" fillId="60" borderId="25" pivotButton="0" quotePrefix="0" xfId="0"/>
    <xf numFmtId="2" fontId="12" fillId="60" borderId="0" pivotButton="0" quotePrefix="0" xfId="0"/>
    <xf numFmtId="2" fontId="12" fillId="61" borderId="24" pivotButton="0" quotePrefix="0" xfId="0"/>
    <xf numFmtId="2" fontId="16" fillId="61" borderId="25" pivotButton="0" quotePrefix="0" xfId="0"/>
    <xf numFmtId="2" fontId="12" fillId="61" borderId="0" pivotButton="0" quotePrefix="0" xfId="0"/>
    <xf numFmtId="2" fontId="12" fillId="62" borderId="24" pivotButton="0" quotePrefix="0" xfId="0"/>
    <xf numFmtId="2" fontId="16" fillId="62" borderId="25" pivotButton="0" quotePrefix="0" xfId="0"/>
    <xf numFmtId="2" fontId="12" fillId="62" borderId="0" pivotButton="0" quotePrefix="0" xfId="0"/>
    <xf numFmtId="2" fontId="12" fillId="36" borderId="24" pivotButton="0" quotePrefix="0" xfId="0"/>
    <xf numFmtId="2" fontId="12" fillId="63" borderId="24" pivotButton="0" quotePrefix="0" xfId="0"/>
    <xf numFmtId="2" fontId="16" fillId="63" borderId="25" pivotButton="0" quotePrefix="0" xfId="0"/>
    <xf numFmtId="2" fontId="12" fillId="63" borderId="0" pivotButton="0" quotePrefix="0" xfId="0"/>
    <xf numFmtId="2" fontId="12" fillId="178" borderId="24" pivotButton="0" quotePrefix="0" xfId="0"/>
    <xf numFmtId="2" fontId="16" fillId="178" borderId="25" pivotButton="0" quotePrefix="0" xfId="0"/>
    <xf numFmtId="2" fontId="12" fillId="178" borderId="0" pivotButton="0" quotePrefix="0" xfId="0"/>
    <xf numFmtId="2" fontId="12" fillId="177" borderId="24" pivotButton="0" quotePrefix="0" xfId="0"/>
    <xf numFmtId="2" fontId="16" fillId="177" borderId="25" pivotButton="0" quotePrefix="0" xfId="0"/>
    <xf numFmtId="2" fontId="12" fillId="177" borderId="0" pivotButton="0" quotePrefix="0" xfId="0"/>
    <xf numFmtId="2" fontId="12" fillId="64" borderId="24" pivotButton="0" quotePrefix="0" xfId="0"/>
    <xf numFmtId="2" fontId="16" fillId="64" borderId="25" pivotButton="0" quotePrefix="0" xfId="0"/>
    <xf numFmtId="2" fontId="12" fillId="64" borderId="0" pivotButton="0" quotePrefix="0" xfId="0"/>
    <xf numFmtId="2" fontId="12" fillId="65" borderId="24" pivotButton="0" quotePrefix="0" xfId="0"/>
    <xf numFmtId="2" fontId="16" fillId="65" borderId="25" pivotButton="0" quotePrefix="0" xfId="0"/>
    <xf numFmtId="2" fontId="12" fillId="65" borderId="0" pivotButton="0" quotePrefix="0" xfId="0"/>
    <xf numFmtId="2" fontId="12" fillId="66" borderId="24" pivotButton="0" quotePrefix="0" xfId="0"/>
    <xf numFmtId="2" fontId="16" fillId="66" borderId="25" pivotButton="0" quotePrefix="0" xfId="0"/>
    <xf numFmtId="2" fontId="12" fillId="66" borderId="0" pivotButton="0" quotePrefix="0" xfId="0"/>
    <xf numFmtId="167" fontId="8" fillId="10" borderId="7" applyAlignment="1" pivotButton="0" quotePrefix="0" xfId="0">
      <alignment horizontal="center" vertical="top" textRotation="45" wrapText="1"/>
    </xf>
    <xf numFmtId="165" fontId="7" fillId="3" borderId="1" applyAlignment="1" pivotButton="0" quotePrefix="0" xfId="0">
      <alignment horizontal="center" vertical="top" textRotation="45" wrapText="1"/>
    </xf>
    <xf numFmtId="165" fontId="10" fillId="7" borderId="1" applyAlignment="1" pivotButton="0" quotePrefix="0" xfId="0">
      <alignment horizontal="center" vertical="top" textRotation="45" wrapText="1"/>
    </xf>
    <xf numFmtId="165" fontId="10" fillId="11" borderId="1" applyAlignment="1" pivotButton="0" quotePrefix="0" xfId="0">
      <alignment horizontal="center" vertical="top" textRotation="45" wrapText="1"/>
    </xf>
    <xf numFmtId="165" fontId="10" fillId="6" borderId="11" applyAlignment="1" pivotButton="0" quotePrefix="0" xfId="0">
      <alignment horizontal="center" vertical="top" textRotation="45"/>
    </xf>
    <xf numFmtId="165" fontId="10" fillId="4" borderId="11" applyAlignment="1" pivotButton="0" quotePrefix="0" xfId="0">
      <alignment horizontal="center" vertical="top" textRotation="45"/>
    </xf>
    <xf numFmtId="165" fontId="10" fillId="12" borderId="11" applyAlignment="1" pivotButton="0" quotePrefix="0" xfId="0">
      <alignment horizontal="center" vertical="top" textRotation="45"/>
    </xf>
    <xf numFmtId="165" fontId="10" fillId="3" borderId="11" applyAlignment="1" pivotButton="0" quotePrefix="0" xfId="0">
      <alignment horizontal="center" vertical="top" textRotation="45"/>
    </xf>
    <xf numFmtId="165" fontId="7" fillId="2" borderId="21" applyAlignment="1" pivotButton="0" quotePrefix="0" xfId="0">
      <alignment horizontal="center" vertical="top" textRotation="45"/>
    </xf>
    <xf numFmtId="165" fontId="7" fillId="5" borderId="11" applyAlignment="1" pivotButton="0" quotePrefix="0" xfId="0">
      <alignment horizontal="center" vertical="top" textRotation="45"/>
    </xf>
    <xf numFmtId="165" fontId="11" fillId="10" borderId="9" pivotButton="0" quotePrefix="0" xfId="0"/>
    <xf numFmtId="165" fontId="5" fillId="2" borderId="0" pivotButton="0" quotePrefix="0" xfId="0"/>
    <xf numFmtId="165" fontId="5" fillId="10" borderId="17" pivotButton="0" quotePrefix="0" xfId="0"/>
    <xf numFmtId="165" fontId="5" fillId="5" borderId="8" pivotButton="0" quotePrefix="0" xfId="0"/>
    <xf numFmtId="165" fontId="5" fillId="5" borderId="17" pivotButton="0" quotePrefix="0" xfId="0"/>
    <xf numFmtId="165" fontId="5" fillId="5" borderId="4" pivotButton="0" quotePrefix="0" xfId="0"/>
    <xf numFmtId="165" fontId="10" fillId="3" borderId="8" pivotButton="0" quotePrefix="0" xfId="0"/>
    <xf numFmtId="165" fontId="10" fillId="3" borderId="4" pivotButton="0" quotePrefix="0" xfId="0"/>
    <xf numFmtId="165" fontId="3" fillId="3" borderId="4" pivotButton="0" quotePrefix="0" xfId="0"/>
    <xf numFmtId="165" fontId="10" fillId="3" borderId="9" pivotButton="0" quotePrefix="0" xfId="0"/>
    <xf numFmtId="165" fontId="10" fillId="7" borderId="8" pivotButton="0" quotePrefix="0" xfId="0"/>
    <xf numFmtId="165" fontId="10" fillId="7" borderId="4" pivotButton="0" quotePrefix="0" xfId="0"/>
    <xf numFmtId="165" fontId="3" fillId="7" borderId="4" pivotButton="0" quotePrefix="0" xfId="0"/>
    <xf numFmtId="165" fontId="10" fillId="7" borderId="9" pivotButton="0" quotePrefix="0" xfId="0"/>
    <xf numFmtId="165" fontId="10" fillId="11" borderId="8" pivotButton="0" quotePrefix="0" xfId="0"/>
    <xf numFmtId="165" fontId="10" fillId="11" borderId="4" pivotButton="0" quotePrefix="0" xfId="0"/>
    <xf numFmtId="165" fontId="3" fillId="11" borderId="4" pivotButton="0" quotePrefix="0" xfId="0"/>
    <xf numFmtId="165" fontId="10" fillId="11" borderId="9" pivotButton="0" quotePrefix="0" xfId="0"/>
    <xf numFmtId="165" fontId="10" fillId="6" borderId="4" pivotButton="0" quotePrefix="0" xfId="0"/>
    <xf numFmtId="165" fontId="3" fillId="6" borderId="4" pivotButton="0" quotePrefix="0" xfId="0"/>
    <xf numFmtId="165" fontId="10" fillId="4" borderId="4" pivotButton="0" quotePrefix="0" xfId="0"/>
    <xf numFmtId="165" fontId="3" fillId="4" borderId="4" pivotButton="0" quotePrefix="0" xfId="0"/>
    <xf numFmtId="165" fontId="10" fillId="12" borderId="4" pivotButton="0" quotePrefix="0" xfId="0"/>
    <xf numFmtId="165" fontId="3" fillId="12" borderId="4" pivotButton="0" quotePrefix="0" xfId="0"/>
    <xf numFmtId="165" fontId="10" fillId="3" borderId="2" pivotButton="0" quotePrefix="0" xfId="0"/>
    <xf numFmtId="165" fontId="10" fillId="2" borderId="23" pivotButton="0" quotePrefix="0" xfId="0"/>
    <xf numFmtId="165" fontId="10" fillId="2" borderId="4" pivotButton="0" quotePrefix="0" xfId="0"/>
    <xf numFmtId="165" fontId="3" fillId="2" borderId="4" pivotButton="0" quotePrefix="0" xfId="0"/>
    <xf numFmtId="165" fontId="10" fillId="2" borderId="24" pivotButton="0" quotePrefix="0" xfId="0"/>
    <xf numFmtId="165" fontId="10" fillId="5" borderId="17" pivotButton="0" quotePrefix="0" xfId="0"/>
    <xf numFmtId="165" fontId="10" fillId="5" borderId="4" pivotButton="0" quotePrefix="0" xfId="0"/>
    <xf numFmtId="165" fontId="3" fillId="5" borderId="4" pivotButton="0" quotePrefix="0" xfId="0"/>
    <xf numFmtId="165" fontId="5" fillId="2" borderId="8" pivotButton="0" quotePrefix="0" xfId="0"/>
    <xf numFmtId="165" fontId="10" fillId="7" borderId="17" pivotButton="0" quotePrefix="0" xfId="0"/>
    <xf numFmtId="165" fontId="3" fillId="7" borderId="17" pivotButton="0" quotePrefix="0" xfId="0"/>
    <xf numFmtId="165" fontId="3" fillId="7" borderId="2" pivotButton="0" quotePrefix="0" xfId="0"/>
    <xf numFmtId="165" fontId="10" fillId="11" borderId="17" pivotButton="0" quotePrefix="0" xfId="0"/>
    <xf numFmtId="165" fontId="3" fillId="11" borderId="17" pivotButton="0" quotePrefix="0" xfId="0"/>
    <xf numFmtId="165" fontId="3" fillId="11" borderId="2" pivotButton="0" quotePrefix="0" xfId="0"/>
    <xf numFmtId="165" fontId="10" fillId="6" borderId="17" pivotButton="0" quotePrefix="0" xfId="0"/>
    <xf numFmtId="165" fontId="3" fillId="6" borderId="17" pivotButton="0" quotePrefix="0" xfId="0"/>
    <xf numFmtId="165" fontId="3" fillId="6" borderId="2" pivotButton="0" quotePrefix="0" xfId="0"/>
    <xf numFmtId="165" fontId="10" fillId="6" borderId="2" pivotButton="0" quotePrefix="0" xfId="0"/>
    <xf numFmtId="165" fontId="10" fillId="4" borderId="17" pivotButton="0" quotePrefix="0" xfId="0"/>
    <xf numFmtId="165" fontId="3" fillId="4" borderId="17" pivotButton="0" quotePrefix="0" xfId="0"/>
    <xf numFmtId="165" fontId="3" fillId="4" borderId="2" pivotButton="0" quotePrefix="0" xfId="0"/>
    <xf numFmtId="165" fontId="10" fillId="4" borderId="2" pivotButton="0" quotePrefix="0" xfId="0"/>
    <xf numFmtId="165" fontId="10" fillId="12" borderId="17" pivotButton="0" quotePrefix="0" xfId="0"/>
    <xf numFmtId="165" fontId="3" fillId="12" borderId="17" pivotButton="0" quotePrefix="0" xfId="0"/>
    <xf numFmtId="165" fontId="3" fillId="12" borderId="2" pivotButton="0" quotePrefix="0" xfId="0"/>
    <xf numFmtId="165" fontId="10" fillId="12" borderId="2" pivotButton="0" quotePrefix="0" xfId="0"/>
    <xf numFmtId="165" fontId="10" fillId="3" borderId="17" pivotButton="0" quotePrefix="0" xfId="0"/>
    <xf numFmtId="165" fontId="3" fillId="3" borderId="17" pivotButton="0" quotePrefix="0" xfId="0"/>
    <xf numFmtId="165" fontId="3" fillId="3" borderId="2" pivotButton="0" quotePrefix="0" xfId="0"/>
    <xf numFmtId="165" fontId="10" fillId="2" borderId="17" pivotButton="0" quotePrefix="0" xfId="0"/>
    <xf numFmtId="165" fontId="3" fillId="2" borderId="17" pivotButton="0" quotePrefix="0" xfId="0"/>
    <xf numFmtId="165" fontId="3" fillId="2" borderId="2" pivotButton="0" quotePrefix="0" xfId="0"/>
    <xf numFmtId="165" fontId="10" fillId="2" borderId="2" pivotButton="0" quotePrefix="0" xfId="0"/>
    <xf numFmtId="165" fontId="3" fillId="5" borderId="17" pivotButton="0" quotePrefix="0" xfId="0"/>
    <xf numFmtId="165" fontId="3" fillId="5" borderId="2" pivotButton="0" quotePrefix="0" xfId="0"/>
    <xf numFmtId="165" fontId="0" fillId="2" borderId="0" pivotButton="0" quotePrefix="0" xfId="0"/>
    <xf numFmtId="165" fontId="0" fillId="5" borderId="17" pivotButton="0" quotePrefix="0" xfId="0"/>
    <xf numFmtId="165" fontId="0" fillId="5" borderId="4" pivotButton="0" quotePrefix="0" xfId="0"/>
    <xf numFmtId="165" fontId="10" fillId="3" borderId="0" pivotButton="0" quotePrefix="0" xfId="0"/>
    <xf numFmtId="165" fontId="10" fillId="7" borderId="0" pivotButton="0" quotePrefix="0" xfId="0"/>
    <xf numFmtId="165" fontId="10" fillId="11" borderId="2" pivotButton="0" quotePrefix="0" xfId="0"/>
    <xf numFmtId="165" fontId="10" fillId="11" borderId="0" pivotButton="0" quotePrefix="0" xfId="0"/>
    <xf numFmtId="165" fontId="10" fillId="6" borderId="0" pivotButton="0" quotePrefix="0" xfId="0"/>
    <xf numFmtId="165" fontId="10" fillId="4" borderId="0" pivotButton="0" quotePrefix="0" xfId="0"/>
    <xf numFmtId="165" fontId="10" fillId="12" borderId="0" pivotButton="0" quotePrefix="0" xfId="0"/>
    <xf numFmtId="165" fontId="10" fillId="2" borderId="25" pivotButton="0" quotePrefix="0" xfId="0"/>
    <xf numFmtId="165" fontId="10" fillId="5" borderId="0" pivotButton="0" quotePrefix="0" xfId="0"/>
    <xf numFmtId="165" fontId="11" fillId="10" borderId="0" pivotButton="0" quotePrefix="0" xfId="0"/>
    <xf numFmtId="165" fontId="5" fillId="5" borderId="0" pivotButton="0" quotePrefix="0" xfId="0"/>
    <xf numFmtId="165" fontId="5" fillId="5" borderId="29" pivotButton="0" quotePrefix="0" xfId="0"/>
    <xf numFmtId="165" fontId="10" fillId="3" borderId="24" pivotButton="0" quotePrefix="0" xfId="0"/>
    <xf numFmtId="165" fontId="10" fillId="2" borderId="0" pivotButton="0" quotePrefix="0" xfId="0"/>
    <xf numFmtId="164" fontId="0" fillId="0" borderId="0" pivotButton="0" quotePrefix="0" xfId="2"/>
    <xf numFmtId="164" fontId="1" fillId="0" borderId="0" pivotButton="0" quotePrefix="0" xfId="1"/>
    <xf numFmtId="165" fontId="0" fillId="0" borderId="4" pivotButton="0" quotePrefix="0" xfId="0"/>
    <xf numFmtId="165" fontId="17" fillId="0" borderId="4" applyAlignment="1" pivotButton="0" quotePrefix="0" xfId="0">
      <alignment horizontal="center" vertical="top" textRotation="45"/>
    </xf>
    <xf numFmtId="165" fontId="12" fillId="198" borderId="4" pivotButton="0" quotePrefix="0" xfId="0"/>
    <xf numFmtId="165" fontId="12" fillId="157" borderId="0" pivotButton="0" quotePrefix="0" xfId="0"/>
    <xf numFmtId="165" fontId="12" fillId="201" borderId="0" pivotButton="0" quotePrefix="0" xfId="0"/>
    <xf numFmtId="165" fontId="12" fillId="88" borderId="0" pivotButton="0" quotePrefix="0" xfId="0"/>
    <xf numFmtId="165" fontId="12" fillId="154" borderId="0" pivotButton="0" quotePrefix="0" xfId="0"/>
    <xf numFmtId="165" fontId="12" fillId="87" borderId="0" pivotButton="0" quotePrefix="0" xfId="0"/>
    <xf numFmtId="165" fontId="12" fillId="138" borderId="0" pivotButton="0" quotePrefix="0" xfId="0"/>
    <xf numFmtId="165" fontId="12" fillId="83" borderId="0" pivotButton="0" quotePrefix="0" xfId="0"/>
    <xf numFmtId="165" fontId="12" fillId="117" borderId="0" pivotButton="0" quotePrefix="0" xfId="0"/>
    <xf numFmtId="165" fontId="12" fillId="94" borderId="0" pivotButton="0" quotePrefix="0" xfId="0"/>
    <xf numFmtId="165" fontId="12" fillId="82" borderId="0" pivotButton="0" quotePrefix="0" xfId="0"/>
    <xf numFmtId="165" fontId="12" fillId="115" borderId="0" pivotButton="0" quotePrefix="0" xfId="0"/>
    <xf numFmtId="165" fontId="12" fillId="113" borderId="0" pivotButton="0" quotePrefix="0" xfId="0"/>
    <xf numFmtId="165" fontId="12" fillId="120" borderId="0" pivotButton="0" quotePrefix="0" xfId="0"/>
    <xf numFmtId="165" fontId="12" fillId="91" borderId="0" pivotButton="0" quotePrefix="0" xfId="0"/>
    <xf numFmtId="165" fontId="12" fillId="202" borderId="0" pivotButton="0" quotePrefix="0" xfId="0"/>
    <xf numFmtId="165" fontId="12" fillId="109" borderId="0" pivotButton="0" quotePrefix="0" xfId="0"/>
    <xf numFmtId="165" fontId="12" fillId="131" borderId="0" pivotButton="0" quotePrefix="0" xfId="0"/>
    <xf numFmtId="165" fontId="12" fillId="130" borderId="0" pivotButton="0" quotePrefix="0" xfId="0"/>
    <xf numFmtId="165" fontId="12" fillId="73" borderId="0" pivotButton="0" quotePrefix="0" xfId="0"/>
    <xf numFmtId="165" fontId="12" fillId="200" borderId="0" pivotButton="0" quotePrefix="0" xfId="0"/>
    <xf numFmtId="165" fontId="12" fillId="116" borderId="0" pivotButton="0" quotePrefix="0" xfId="0"/>
    <xf numFmtId="165" fontId="12" fillId="110" borderId="0" pivotButton="0" quotePrefix="0" xfId="0"/>
    <xf numFmtId="165" fontId="12" fillId="67" borderId="0" pivotButton="0" quotePrefix="0" xfId="0"/>
    <xf numFmtId="165" fontId="12" fillId="85" borderId="0" pivotButton="0" quotePrefix="0" xfId="0"/>
    <xf numFmtId="165" fontId="12" fillId="125" borderId="0" pivotButton="0" quotePrefix="0" xfId="0"/>
    <xf numFmtId="165" fontId="12" fillId="118" borderId="0" pivotButton="0" quotePrefix="0" xfId="0"/>
    <xf numFmtId="165" fontId="12" fillId="84" borderId="0" pivotButton="0" quotePrefix="0" xfId="0"/>
    <xf numFmtId="165" fontId="12" fillId="93" borderId="0" pivotButton="0" quotePrefix="0" xfId="0"/>
    <xf numFmtId="165" fontId="12" fillId="149" borderId="0" pivotButton="0" quotePrefix="0" xfId="0"/>
    <xf numFmtId="165" fontId="12" fillId="122" borderId="0" pivotButton="0" quotePrefix="0" xfId="0"/>
    <xf numFmtId="165" fontId="12" fillId="156" borderId="0" pivotButton="0" quotePrefix="0" xfId="0"/>
    <xf numFmtId="165" fontId="12" fillId="134" borderId="0" pivotButton="0" quotePrefix="0" xfId="0"/>
    <xf numFmtId="165" fontId="12" fillId="75" borderId="0" pivotButton="0" quotePrefix="0" xfId="0"/>
    <xf numFmtId="165" fontId="12" fillId="90" borderId="0" pivotButton="0" quotePrefix="0" xfId="0"/>
    <xf numFmtId="165" fontId="12" fillId="80" borderId="0" pivotButton="0" quotePrefix="0" xfId="0"/>
    <xf numFmtId="165" fontId="12" fillId="132" borderId="0" pivotButton="0" quotePrefix="0" xfId="0"/>
    <xf numFmtId="165" fontId="12" fillId="123" borderId="0" pivotButton="0" quotePrefix="0" xfId="0"/>
    <xf numFmtId="165" fontId="12" fillId="124" borderId="0" pivotButton="0" quotePrefix="0" xfId="0"/>
    <xf numFmtId="165" fontId="12" fillId="68" borderId="0" pivotButton="0" quotePrefix="0" xfId="0"/>
    <xf numFmtId="165" fontId="12" fillId="69" borderId="0" pivotButton="0" quotePrefix="0" xfId="0"/>
    <xf numFmtId="165" fontId="12" fillId="70" borderId="0" pivotButton="0" quotePrefix="0" xfId="0"/>
    <xf numFmtId="165" fontId="12" fillId="71" borderId="0" pivotButton="0" quotePrefix="0" xfId="0"/>
    <xf numFmtId="165" fontId="12" fillId="72" borderId="0" pivotButton="0" quotePrefix="0" xfId="0"/>
    <xf numFmtId="165" fontId="12" fillId="74" borderId="0" pivotButton="0" quotePrefix="0" xfId="0"/>
    <xf numFmtId="165" fontId="12" fillId="76" borderId="0" pivotButton="0" quotePrefix="0" xfId="0"/>
    <xf numFmtId="165" fontId="12" fillId="136" borderId="0" pivotButton="0" quotePrefix="0" xfId="0"/>
    <xf numFmtId="165" fontId="12" fillId="133" borderId="0" pivotButton="0" quotePrefix="0" xfId="0"/>
    <xf numFmtId="165" fontId="12" fillId="137" borderId="0" pivotButton="0" quotePrefix="0" xfId="0"/>
    <xf numFmtId="165" fontId="12" fillId="77" borderId="0" pivotButton="0" quotePrefix="0" xfId="0"/>
    <xf numFmtId="165" fontId="12" fillId="78" borderId="0" pivotButton="0" quotePrefix="0" xfId="0"/>
    <xf numFmtId="165" fontId="12" fillId="79" borderId="0" pivotButton="0" quotePrefix="0" xfId="0"/>
    <xf numFmtId="165" fontId="12" fillId="81" borderId="0" pivotButton="0" quotePrefix="0" xfId="0"/>
    <xf numFmtId="165" fontId="12" fillId="139" borderId="0" pivotButton="0" quotePrefix="0" xfId="0"/>
    <xf numFmtId="165" fontId="12" fillId="140" borderId="0" pivotButton="0" quotePrefix="0" xfId="0"/>
    <xf numFmtId="165" fontId="12" fillId="141" borderId="0" pivotButton="0" quotePrefix="0" xfId="0"/>
    <xf numFmtId="165" fontId="12" fillId="86" borderId="0" pivotButton="0" quotePrefix="0" xfId="0"/>
    <xf numFmtId="165" fontId="12" fillId="89" borderId="0" pivotButton="0" quotePrefix="0" xfId="0"/>
    <xf numFmtId="165" fontId="12" fillId="92" borderId="0" pivotButton="0" quotePrefix="0" xfId="0"/>
    <xf numFmtId="165" fontId="12" fillId="95" borderId="0" pivotButton="0" quotePrefix="0" xfId="0"/>
    <xf numFmtId="165" fontId="12" fillId="96" borderId="0" pivotButton="0" quotePrefix="0" xfId="0"/>
    <xf numFmtId="165" fontId="12" fillId="97" borderId="0" pivotButton="0" quotePrefix="0" xfId="0"/>
    <xf numFmtId="165" fontId="12" fillId="142" borderId="0" pivotButton="0" quotePrefix="0" xfId="0"/>
    <xf numFmtId="165" fontId="12" fillId="143" borderId="0" pivotButton="0" quotePrefix="0" xfId="0"/>
    <xf numFmtId="165" fontId="12" fillId="98" borderId="0" pivotButton="0" quotePrefix="0" xfId="0"/>
    <xf numFmtId="165" fontId="12" fillId="99" borderId="0" pivotButton="0" quotePrefix="0" xfId="0"/>
    <xf numFmtId="165" fontId="12" fillId="100" borderId="0" pivotButton="0" quotePrefix="0" xfId="0"/>
    <xf numFmtId="165" fontId="12" fillId="144" borderId="0" pivotButton="0" quotePrefix="0" xfId="0"/>
    <xf numFmtId="165" fontId="12" fillId="101" borderId="0" pivotButton="0" quotePrefix="0" xfId="0"/>
    <xf numFmtId="165" fontId="12" fillId="145" borderId="0" pivotButton="0" quotePrefix="0" xfId="0"/>
    <xf numFmtId="165" fontId="12" fillId="102" borderId="0" pivotButton="0" quotePrefix="0" xfId="0"/>
    <xf numFmtId="165" fontId="12" fillId="103" borderId="0" pivotButton="0" quotePrefix="0" xfId="0"/>
    <xf numFmtId="165" fontId="12" fillId="104" borderId="0" pivotButton="0" quotePrefix="0" xfId="0"/>
    <xf numFmtId="165" fontId="12" fillId="105" borderId="0" pivotButton="0" quotePrefix="0" xfId="0"/>
    <xf numFmtId="165" fontId="12" fillId="135" borderId="0" pivotButton="0" quotePrefix="0" xfId="0"/>
    <xf numFmtId="165" fontId="12" fillId="106" borderId="0" pivotButton="0" quotePrefix="0" xfId="0"/>
    <xf numFmtId="165" fontId="12" fillId="146" borderId="0" pivotButton="0" quotePrefix="0" xfId="0"/>
    <xf numFmtId="165" fontId="12" fillId="107" borderId="0" pivotButton="0" quotePrefix="0" xfId="0"/>
    <xf numFmtId="165" fontId="12" fillId="108" borderId="0" pivotButton="0" quotePrefix="0" xfId="0"/>
    <xf numFmtId="165" fontId="12" fillId="147" borderId="0" pivotButton="0" quotePrefix="0" xfId="0"/>
    <xf numFmtId="165" fontId="12" fillId="111" borderId="0" pivotButton="0" quotePrefix="0" xfId="0"/>
    <xf numFmtId="165" fontId="12" fillId="112" borderId="0" pivotButton="0" quotePrefix="0" xfId="0"/>
    <xf numFmtId="165" fontId="12" fillId="148" borderId="0" pivotButton="0" quotePrefix="0" xfId="0"/>
    <xf numFmtId="165" fontId="12" fillId="114" borderId="0" pivotButton="0" quotePrefix="0" xfId="0"/>
    <xf numFmtId="165" fontId="12" fillId="119" borderId="0" pivotButton="0" quotePrefix="0" xfId="0"/>
    <xf numFmtId="165" fontId="12" fillId="121" borderId="0" pivotButton="0" quotePrefix="0" xfId="0"/>
    <xf numFmtId="165" fontId="12" fillId="150" borderId="0" pivotButton="0" quotePrefix="0" xfId="0"/>
    <xf numFmtId="165" fontId="12" fillId="151" borderId="0" pivotButton="0" quotePrefix="0" xfId="0"/>
    <xf numFmtId="165" fontId="12" fillId="152" borderId="0" pivotButton="0" quotePrefix="0" xfId="0"/>
    <xf numFmtId="165" fontId="12" fillId="126" borderId="0" pivotButton="0" quotePrefix="0" xfId="0"/>
    <xf numFmtId="165" fontId="12" fillId="153" borderId="0" pivotButton="0" quotePrefix="0" xfId="0"/>
    <xf numFmtId="165" fontId="12" fillId="127" borderId="0" pivotButton="0" quotePrefix="0" xfId="0"/>
    <xf numFmtId="165" fontId="12" fillId="128" borderId="0" pivotButton="0" quotePrefix="0" xfId="0"/>
    <xf numFmtId="165" fontId="12" fillId="129" borderId="0" pivotButton="0" quotePrefix="0" xfId="0"/>
    <xf numFmtId="165" fontId="12" fillId="155" borderId="0" pivotButton="0" quotePrefix="0" xfId="0"/>
    <xf numFmtId="165" fontId="12" fillId="158" borderId="0" pivotButton="0" quotePrefix="0" xfId="0"/>
    <xf numFmtId="165" fontId="12" fillId="160" borderId="0" pivotButton="0" quotePrefix="0" xfId="0"/>
    <xf numFmtId="165" fontId="12" fillId="161" borderId="0" pivotButton="0" quotePrefix="0" xfId="0"/>
    <xf numFmtId="165" fontId="12" fillId="162" borderId="0" pivotButton="0" quotePrefix="0" xfId="0"/>
    <xf numFmtId="165" fontId="12" fillId="163" borderId="0" pivotButton="0" quotePrefix="0" xfId="0"/>
    <xf numFmtId="165" fontId="12" fillId="164" borderId="0" pivotButton="0" quotePrefix="0" xfId="0"/>
    <xf numFmtId="165" fontId="12" fillId="165" borderId="0" pivotButton="0" quotePrefix="0" xfId="0"/>
    <xf numFmtId="165" fontId="12" fillId="166" borderId="0" pivotButton="0" quotePrefix="0" xfId="0"/>
    <xf numFmtId="165" fontId="12" fillId="167" borderId="0" pivotButton="0" quotePrefix="0" xfId="0"/>
    <xf numFmtId="165" fontId="12" fillId="168" borderId="0" pivotButton="0" quotePrefix="0" xfId="0"/>
    <xf numFmtId="165" fontId="12" fillId="169" borderId="0" pivotButton="0" quotePrefix="0" xfId="0"/>
    <xf numFmtId="165" fontId="12" fillId="170" borderId="0" pivotButton="0" quotePrefix="0" xfId="0"/>
    <xf numFmtId="165" fontId="12" fillId="171" borderId="0" pivotButton="0" quotePrefix="0" xfId="0"/>
    <xf numFmtId="165" fontId="12" fillId="172" borderId="0" pivotButton="0" quotePrefix="0" xfId="0"/>
    <xf numFmtId="165" fontId="12" fillId="173" borderId="0" pivotButton="0" quotePrefix="0" xfId="0"/>
    <xf numFmtId="165" fontId="12" fillId="199" borderId="0" pivotButton="0" quotePrefix="0" xfId="0"/>
    <xf numFmtId="168" fontId="0" fillId="0" borderId="0" pivotButton="0" quotePrefix="0" xfId="0"/>
  </cellXfs>
  <cellStyles count="4">
    <cellStyle name="Normal" xfId="0" builtinId="0"/>
    <cellStyle name="Lien hypertexte" xfId="1" builtinId="8"/>
    <cellStyle name="Monétaire" xfId="2" builtinId="4"/>
    <cellStyle name="Pourcentage" xfId="3" builtinId="5"/>
  </cellStyles>
  <dxfs count="130"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rgb="FF010101"/>
        <extend val="0"/>
        <sz val="12"/>
        <vertAlign val="baseline"/>
        <scheme val="minor"/>
      </font>
      <numFmt numFmtId="2" formatCode="0.00"/>
      <fill>
        <patternFill patternType="solid">
          <fgColor indexed="64"/>
          <bgColor rgb="FFE19CAD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b val="1"/>
      </font>
      <fill>
        <patternFill>
          <bgColor rgb="FFFF0000"/>
        </patternFill>
      </fill>
    </dxf>
    <dxf>
      <fill>
        <patternFill>
          <bgColor rgb="FFFFFD78"/>
        </patternFill>
      </fill>
    </dxf>
    <dxf>
      <fill>
        <patternFill>
          <bgColor theme="6" tint="0.3999450666829432"/>
        </patternFill>
      </fill>
    </dxf>
    <dxf>
      <font>
        <b val="1"/>
        <color theme="9" tint="-0.249946592608417"/>
      </font>
    </dxf>
    <dxf>
      <font>
        <b val="1"/>
        <color rgb="FFC00000"/>
      </font>
    </dxf>
    <dxf>
      <border>
        <left/>
        <right/>
        <top style="thin">
          <color theme="9"/>
        </top>
        <bottom/>
        <vertical/>
        <horizontal/>
      </border>
    </dxf>
    <dxf>
      <border>
        <left/>
        <right style="thin">
          <color theme="9"/>
        </right>
        <top style="thin">
          <color theme="9"/>
        </top>
        <bottom/>
        <vertical/>
        <horizontal/>
      </border>
    </dxf>
    <dxf>
      <border>
        <left/>
        <right/>
        <top style="thin">
          <color theme="9"/>
        </top>
        <bottom/>
        <vertical/>
        <horizontal/>
      </border>
    </dxf>
    <dxf>
      <border>
        <left/>
        <right/>
        <top style="thin">
          <color theme="9"/>
        </top>
        <bottom/>
        <vertical/>
        <horizontal/>
      </border>
    </dxf>
    <dxf>
      <border>
        <left/>
        <right/>
        <top style="thin">
          <color theme="9"/>
        </top>
        <bottom/>
        <vertical/>
        <horizontal/>
      </border>
    </dxf>
    <dxf>
      <border>
        <left/>
        <right/>
        <top style="thin">
          <color theme="9"/>
        </top>
        <bottom/>
        <vertical/>
        <horizontal/>
      </border>
    </dxf>
    <dxf>
      <border>
        <left/>
        <right/>
        <top style="thin">
          <color theme="9"/>
        </top>
        <bottom/>
        <vertical/>
        <horizontal/>
      </border>
    </dxf>
    <dxf>
      <border>
        <left/>
        <right/>
        <top style="thin">
          <color theme="9"/>
        </top>
        <bottom/>
        <vertical/>
        <horizontal/>
      </border>
    </dxf>
    <dxf>
      <border>
        <left/>
        <right/>
        <top style="thin">
          <color theme="9"/>
        </top>
        <bottom/>
        <vertical/>
        <horizontal/>
      </border>
    </dxf>
    <dxf>
      <fill>
        <patternFill patternType="solid">
          <fgColor indexed="64"/>
          <bgColor rgb="FFFFFD78"/>
        </patternFill>
      </fill>
      <border>
        <left/>
        <right/>
        <top style="thin">
          <color theme="9"/>
        </top>
        <bottom/>
        <vertical/>
        <horizontal/>
      </border>
    </dxf>
    <dxf>
      <border>
        <left/>
        <right/>
        <top style="thin">
          <color theme="9"/>
        </top>
        <bottom/>
        <vertical/>
        <horizontal/>
      </border>
    </dxf>
    <dxf>
      <border>
        <left/>
        <right/>
        <top style="thin">
          <color theme="9"/>
        </top>
        <bottom/>
        <vertical/>
        <horizontal/>
      </border>
    </dxf>
    <dxf>
      <border>
        <left/>
        <right/>
        <top style="thin">
          <color theme="9"/>
        </top>
        <bottom/>
        <vertical/>
        <horizontal/>
      </border>
    </dxf>
    <dxf>
      <border>
        <left/>
        <right/>
        <top style="thin">
          <color theme="9"/>
        </top>
        <bottom/>
        <vertical/>
        <horizontal/>
      </border>
    </dxf>
    <dxf>
      <border>
        <left style="thin">
          <color theme="9"/>
        </left>
        <right/>
        <top style="thin">
          <color theme="9"/>
        </top>
        <bottom/>
        <vertical/>
        <horizontal/>
      </border>
    </dxf>
    <dxf>
      <border outline="0">
        <top style="thin">
          <color theme="9"/>
        </top>
      </border>
    </dxf>
    <dxf>
      <border outline="0">
        <top style="thin">
          <color indexed="64"/>
        </top>
        <bottom style="thin">
          <color theme="9"/>
        </bottom>
      </border>
    </dxf>
    <dxf>
      <border outline="0"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2"/>
        <vertAlign val="baseline"/>
        <scheme val="minor"/>
      </font>
      <fill>
        <patternFill patternType="solid">
          <fgColor theme="9"/>
          <bgColor theme="9"/>
        </patternFill>
      </fill>
      <alignment horizontal="right" vertical="top" textRotation="45"/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010101"/>
      </font>
      <numFmt numFmtId="1" formatCode="0"/>
      <fill>
        <patternFill patternType="solid">
          <fgColor indexed="64"/>
          <bgColor rgb="FF9ECCA2"/>
        </patternFill>
      </fill>
    </dxf>
    <dxf>
      <font>
        <color rgb="FF010101"/>
      </font>
      <numFmt numFmtId="1" formatCode="0"/>
      <fill>
        <patternFill patternType="solid">
          <fgColor indexed="64"/>
          <bgColor rgb="FF9ECCA2"/>
        </patternFill>
      </fill>
    </dxf>
    <dxf>
      <font>
        <color rgb="FF010101"/>
      </font>
      <numFmt numFmtId="1" formatCode="0"/>
      <fill>
        <patternFill patternType="solid">
          <fgColor indexed="64"/>
          <bgColor rgb="FF9ECCA2"/>
        </patternFill>
      </fill>
    </dxf>
    <dxf>
      <font>
        <color rgb="FF010101"/>
      </font>
      <numFmt numFmtId="1" formatCode="0"/>
      <fill>
        <patternFill patternType="solid">
          <fgColor indexed="64"/>
          <bgColor rgb="FF9ECCA2"/>
        </patternFill>
      </fill>
    </dxf>
    <dxf>
      <font>
        <color rgb="FF010101"/>
      </font>
      <numFmt numFmtId="1" formatCode="0"/>
      <fill>
        <patternFill patternType="solid">
          <fgColor indexed="64"/>
          <bgColor rgb="FF9ECCA2"/>
        </patternFill>
      </fill>
    </dxf>
    <dxf>
      <font>
        <color rgb="FF010101"/>
      </font>
      <numFmt numFmtId="1" formatCode="0"/>
      <fill>
        <patternFill patternType="solid">
          <fgColor indexed="64"/>
          <bgColor rgb="FF9ECCA2"/>
        </patternFill>
      </fill>
    </dxf>
    <dxf>
      <font>
        <color rgb="FF010101"/>
      </font>
      <numFmt numFmtId="1" formatCode="0"/>
      <fill>
        <patternFill patternType="solid">
          <fgColor indexed="64"/>
          <bgColor rgb="FF9ECCA2"/>
        </patternFill>
      </fill>
    </dxf>
    <dxf>
      <font>
        <color rgb="FF010101"/>
      </font>
      <numFmt numFmtId="1" formatCode="0"/>
      <fill>
        <patternFill patternType="solid">
          <fgColor indexed="64"/>
          <bgColor rgb="FF9ECCA2"/>
        </patternFill>
      </fill>
    </dxf>
    <dxf>
      <font>
        <color rgb="FF010101"/>
      </font>
      <numFmt numFmtId="164" formatCode="0.0"/>
      <fill>
        <patternFill patternType="solid">
          <fgColor indexed="64"/>
          <bgColor rgb="FF9ECCA2"/>
        </patternFill>
      </fill>
    </dxf>
    <dxf>
      <font>
        <name val="Aptos Narrow"/>
        <family val="2"/>
        <strike val="0"/>
        <outline val="0"/>
        <shadow val="0"/>
        <condense val="0"/>
        <color rgb="FF010101"/>
        <extend val="0"/>
        <sz val="12"/>
        <vertAlign val="baseline"/>
        <scheme val="minor"/>
      </font>
      <fill>
        <patternFill patternType="solid">
          <fgColor indexed="64"/>
          <bgColor rgb="FF9ECCA2"/>
        </patternFill>
      </fill>
    </dxf>
    <dxf>
      <font>
        <color rgb="FF010101"/>
      </font>
      <fill>
        <patternFill patternType="solid">
          <fgColor indexed="64"/>
          <bgColor rgb="FF9ECCA2"/>
        </patternFill>
      </fill>
    </dxf>
    <dxf>
      <alignment horizontal="general" vertical="bottom" textRotation="45"/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</dxf>
    <dxf>
      <font>
        <name val="Aptos Narrow"/>
        <strike val="0"/>
        <outline val="0"/>
        <shadow val="0"/>
        <color rgb="FF010101"/>
        <sz val="12"/>
        <vertAlign val="baseline"/>
        <scheme val="minor"/>
      </font>
      <numFmt numFmtId="2" formatCode="0.00"/>
      <fill>
        <patternFill patternType="solid">
          <fgColor indexed="64"/>
          <bgColor rgb="FFE19CAD"/>
        </patternFill>
      </fill>
      <border outline="0">
        <left style="medium">
          <color indexed="64"/>
        </left>
        <right/>
        <top/>
        <bottom/>
      </border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  <border outline="0">
        <left style="thin">
          <color indexed="64"/>
        </left>
        <right style="medium">
          <color indexed="64"/>
        </right>
        <top/>
        <bottom/>
      </border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010101"/>
      </font>
      <fill>
        <patternFill patternType="solid">
          <fgColor indexed="64"/>
          <bgColor rgb="FFE19CAD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010101"/>
      </font>
      <numFmt numFmtId="2" formatCode="0.00"/>
      <fill>
        <patternFill patternType="solid">
          <fgColor indexed="64"/>
          <bgColor rgb="FFE19CAD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010101"/>
      </font>
      <fill>
        <patternFill patternType="solid">
          <fgColor indexed="64"/>
          <bgColor rgb="FFE19CAD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rgb="FF010101"/>
        <extend val="0"/>
        <sz val="12"/>
        <vertAlign val="baseline"/>
        <scheme val="minor"/>
      </font>
      <fill>
        <patternFill patternType="solid">
          <fgColor indexed="64"/>
          <bgColor rgb="FFE19CAD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010101"/>
      </font>
      <fill>
        <patternFill patternType="solid">
          <fgColor indexed="64"/>
          <bgColor rgb="FFE19CAD"/>
        </patternFill>
      </fill>
      <border outline="0">
        <left/>
        <right style="thin">
          <color indexed="64"/>
        </right>
        <top/>
        <bottom/>
      </border>
    </dxf>
    <dxf>
      <font>
        <color rgb="FF010101"/>
      </font>
      <fill>
        <patternFill patternType="solid">
          <fgColor indexed="64"/>
          <bgColor rgb="FFE19CAD"/>
        </patternFill>
      </fill>
    </dxf>
    <dxf>
      <font>
        <name val="Aptos Narrow"/>
        <strike val="0"/>
        <outline val="0"/>
        <shadow val="0"/>
        <color theme="0"/>
        <sz val="12"/>
        <vertAlign val="baseline"/>
        <scheme val="minor"/>
      </font>
      <alignment horizontal="center" vertical="center" textRotation="45"/>
      <border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2"/>
        <vertAlign val="baseline"/>
        <scheme val="minor"/>
      </font>
    </dxf>
    <dxf>
      <alignment horizontal="left" vertical="top" textRotation="45"/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FFD579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FFD579"/>
        </patternFill>
      </fill>
      <border outline="0">
        <left style="thin">
          <color indexed="64"/>
        </left>
        <right/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FFD579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FFD579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FFD579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FFD579"/>
        </patternFill>
      </fill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FFFD78"/>
        </patternFill>
      </fill>
      <border outline="0">
        <left style="thin">
          <color indexed="64"/>
        </left>
        <right/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FFFD78"/>
        </patternFill>
      </fill>
      <border outline="0">
        <left style="thin">
          <color indexed="64"/>
        </left>
        <right/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FFFD78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FFFD78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FFFD78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FFFD78"/>
        </patternFill>
      </fill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D5FC79"/>
        </patternFill>
      </fill>
      <border outline="0">
        <left style="thin">
          <color indexed="64"/>
        </left>
        <right style="medium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D5FC79"/>
        </patternFill>
      </fill>
      <border outline="0">
        <left style="thin">
          <color indexed="64"/>
        </left>
        <right/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D5FC79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D5FC79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D5FC79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D5FC79"/>
        </patternFill>
      </fill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FF8AD8"/>
        </patternFill>
      </fill>
      <border outline="0">
        <left style="thin">
          <color indexed="64"/>
        </left>
        <right/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FF8AD8"/>
        </patternFill>
      </fill>
      <border outline="0">
        <left style="thin">
          <color indexed="64"/>
        </left>
        <right/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FF8AD8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FF8AD8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FF8AD8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FF8AD8"/>
        </patternFill>
      </fill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D883FF"/>
        </patternFill>
      </fill>
      <border outline="0">
        <left style="thin">
          <color indexed="64"/>
        </left>
        <right/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D883FF"/>
        </patternFill>
      </fill>
      <border outline="0">
        <left style="thin">
          <color indexed="64"/>
        </left>
        <right/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D883FF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D883FF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D883FF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D883FF"/>
        </patternFill>
      </fill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76D6FF"/>
        </patternFill>
      </fill>
      <border outline="0">
        <left style="thin">
          <color indexed="64"/>
        </left>
        <right/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76D6FF"/>
        </patternFill>
      </fill>
      <border outline="0">
        <left style="thin">
          <color indexed="64"/>
        </left>
        <right/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76D6FF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76D6FF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76D6FF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76D6FF"/>
        </patternFill>
      </fill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73FEFF"/>
        </patternFill>
      </fill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73FEFF"/>
        </patternFill>
      </fill>
      <border outline="0">
        <left style="thin">
          <color indexed="64"/>
        </left>
        <right/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73FEFF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73FEFF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73FEFF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73FEFF"/>
        </patternFill>
      </fill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73FDD6"/>
        </patternFill>
      </fill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73FDD6"/>
        </patternFill>
      </fill>
      <border outline="0">
        <left style="thin">
          <color indexed="64"/>
        </left>
        <right/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73FDD6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73FDD6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73FDD6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73FDD6"/>
        </patternFill>
      </fill>
    </dxf>
    <dxf>
      <font>
        <name val="Aptos Narrow"/>
        <b val="1"/>
        <strike val="0"/>
        <outline val="0"/>
        <shadow val="0"/>
        <sz val="12"/>
        <vertAlign val="baseline"/>
        <scheme val="minor"/>
      </font>
      <numFmt numFmtId="164" formatCode="0.0"/>
      <border outline="0">
        <left style="thin">
          <color indexed="64"/>
        </left>
        <right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D5FC79"/>
        </patternFill>
      </fill>
      <border outline="0">
        <left style="thin">
          <color indexed="64"/>
        </left>
        <right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D5FC79"/>
        </patternFill>
      </fill>
      <border>
        <left style="thin">
          <color indexed="64"/>
        </left>
        <right style="thin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164" formatCode="0.0"/>
      <fill>
        <patternFill patternType="solid">
          <fgColor indexed="64"/>
          <bgColor rgb="FFD5FC79"/>
        </patternFill>
      </fill>
      <border outline="0">
        <left/>
        <right style="thin">
          <color indexed="64"/>
        </right>
        <top/>
        <bottom/>
      </border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D5FC79"/>
        </patternFill>
      </fill>
    </dxf>
    <dxf>
      <font>
        <name val="Aptos Narrow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D5FC79"/>
        </patternFill>
      </fill>
    </dxf>
    <dxf>
      <numFmt numFmtId="164" formatCode="0.0"/>
      <fill>
        <patternFill patternType="solid">
          <fgColor indexed="64"/>
          <bgColor rgb="FFFFD579"/>
        </patternFill>
      </fill>
      <border outline="0">
        <left style="thin">
          <color indexed="64"/>
        </left>
        <right style="thick">
          <color indexed="64"/>
        </right>
      </border>
    </dxf>
    <dxf>
      <numFmt numFmtId="164" formatCode="0.0"/>
      <fill>
        <patternFill patternType="solid">
          <fgColor indexed="64"/>
          <bgColor rgb="FFFFD579"/>
        </patternFill>
      </fill>
    </dxf>
    <dxf>
      <font>
        <name val="Aptos Narrow"/>
        <family val="2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rgb="FFFFD579"/>
        </patternFill>
      </fill>
      <border outline="0">
        <left style="thick">
          <color auto="1"/>
        </left>
        <right/>
        <top/>
        <bottom/>
      </border>
    </dxf>
    <dxf>
      <font>
        <name val="Aptos Narrow"/>
        <family val="2"/>
        <strike val="0"/>
        <outline val="0"/>
        <shadow val="0"/>
        <color auto="1"/>
        <sz val="12"/>
        <vertAlign val="baseline"/>
        <scheme val="minor"/>
      </font>
      <numFmt numFmtId="164" formatCode="0.0"/>
      <fill>
        <patternFill patternType="solid">
          <fgColor indexed="64"/>
          <bgColor theme="0"/>
        </patternFill>
      </fill>
      <border outline="0">
        <left/>
        <right style="thin">
          <color indexed="64"/>
        </right>
        <top/>
        <bottom/>
      </border>
    </dxf>
    <dxf>
      <numFmt numFmtId="164" formatCode="0.0"/>
      <fill>
        <patternFill>
          <fgColor indexed="64"/>
          <bgColor rgb="FFFFFD78"/>
        </patternFill>
      </fill>
      <border outline="0">
        <left style="thick">
          <color indexed="64"/>
        </left>
      </border>
    </dxf>
    <dxf>
      <font>
        <name val="Aptos Narrow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164" formatCode="0.0"/>
      <fill>
        <patternFill patternType="solid">
          <fgColor indexed="64"/>
          <bgColor theme="0"/>
        </patternFill>
      </fill>
      <border outline="0">
        <left style="thick">
          <color indexed="64"/>
        </left>
      </border>
    </dxf>
    <dxf>
      <numFmt numFmtId="0" formatCode="General"/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ont>
        <name val="Aptos Narrow"/>
        <family val="2"/>
        <strike val="0"/>
        <outline val="0"/>
        <shadow val="0"/>
        <color theme="1"/>
        <sz val="8"/>
        <vertAlign val="baseline"/>
        <scheme val="minor"/>
      </font>
      <fill>
        <patternFill patternType="solid">
          <fgColor indexed="64"/>
          <bgColor rgb="FF92D050"/>
        </patternFill>
      </fill>
      <alignment horizontal="left" vertical="bottom"/>
    </dxf>
    <dxf>
      <fill>
        <patternFill patternType="solid">
          <fgColor indexed="64"/>
          <bgColor rgb="FF92D050"/>
        </patternFill>
      </fill>
      <alignment horizontal="left"/>
    </dxf>
    <dxf>
      <border>
        <bottom style="thin">
          <color indexed="64"/>
        </bottom>
      </border>
    </dxf>
    <dxf>
      <alignment horizontal="center" vertical="top" textRotation="45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6</col>
      <colOff>0</colOff>
      <row>38</row>
      <rowOff>0</rowOff>
    </from>
    <to>
      <col>6</col>
      <colOff>406400</colOff>
      <row>39</row>
      <rowOff>127000</rowOff>
    </to>
    <pic>
      <nvPicPr>
        <cNvPr id="2" name="Image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388100" y="8572500"/>
          <a:ext cx="406400" cy="330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eauProduit" displayName="TableauProduit" ref="A1:BN71" headerRowCount="1" totalsRowShown="0" headerRowDxfId="129" headerRowBorderDxfId="128">
  <autoFilter ref="A1:BN71"/>
  <sortState ref="A2:BN71">
    <sortCondition descending="1" ref="M1:M71"/>
  </sortState>
  <tableColumns count="66">
    <tableColumn id="1" name="Recette" dataDxfId="127"/>
    <tableColumn id="14" name="ID" dataDxfId="126">
      <calculatedColumnFormula>TableauProduit[[#This Row],[Recette]]&amp;TableauProduit[[#This Row],[Conditionnement]]</calculatedColumnFormula>
    </tableColumn>
    <tableColumn id="27" name="Ratio travail" dataDxfId="125"/>
    <tableColumn id="3" name="Poids (g) / unite" dataDxfId="124">
      <calculatedColumnFormula>VLOOKUP(TableauProduit[[#This Row],[Recette]],Temporaire!A$1:B$25,2)</calculatedColumnFormula>
    </tableColumn>
    <tableColumn id="8" name="Conditionnement"/>
    <tableColumn id="9" name="Packaging / unite" dataDxfId="123">
      <calculatedColumnFormula>IFERROR(VLOOKUP(TableauProduit[[#This Row],[Conditionnement]],TableauConditionnement[[Nom]:[Contenance]],4,TRUE),"")</calculatedColumnFormula>
    </tableColumn>
    <tableColumn id="13" name="Prix Achat de plante par kg" dataDxfId="122">
      <calculatedColumnFormula>SUMIFS(TableauRecette[Prix d''achat / kg],TableauRecette[Recette],TableauProduit[[#This Row],[Recette]],TableauRecette[Conditionnement],TableauProduit[[#This Row],[Conditionnement]])</calculatedColumnFormula>
    </tableColumn>
    <tableColumn id="5" name="Prix de vente/U" dataDxfId="121"/>
    <tableColumn id="6" name="Prix de vente/kg" dataDxfId="120">
      <calculatedColumnFormula>1000*TableauProduit[[#This Row],[Prix de vente/U]]/TableauProduit[[#This Row],[Poids (g) / unite]]</calculatedColumnFormula>
    </tableColumn>
    <tableColumn id="2" name="Prix/kg (no BIO)" dataDxfId="119">
      <calculatedColumnFormula>SUMIFS(TableauConcurence[PRIX_KG],TableauConcurence[PRODUIT],TableauProduit[[#This Row],[Recette]],TableauConcurence[DISTRIBUTION],"magasin NON BIO")</calculatedColumnFormula>
    </tableColumn>
    <tableColumn id="11" name="Prix/kg (cook)" dataDxfId="118">
      <calculatedColumnFormula>SUMIFS(TableauConcurence[PRIX_KG],TableauConcurence[PRODUIT],TableauProduit[[#This Row],[Recette]],TableauConcurence[DISTRIBUTION],"magasin BIO")</calculatedColumnFormula>
    </tableColumn>
    <tableColumn id="12" name="Prix/kg (artisant)" dataDxfId="117">
      <calculatedColumnFormula>SUMIFS(TableauConcurence[PRIX_KG],TableauConcurence[PRODUIT],TableauProduit[[#This Row],[Recette]],TableauConcurence[DISTRIBUTION],"artisanale BIO")</calculatedColumnFormula>
    </tableColumn>
    <tableColumn id="17" name="Objectif de vente en unite N1" dataDxfId="116"/>
    <tableColumn id="4" name="Total (kg) N1" dataDxfId="115">
      <calculatedColumnFormula>TableauProduit[[#This Row],[Poids (g) / unite]]*TableauProduit[[#This Row],[Objectif de vente en unite N1]]/1000</calculatedColumnFormula>
    </tableColumn>
    <tableColumn id="15" name="Conditionnement N1" dataDxfId="114">
      <calculatedColumnFormula>TableauProduit[[#This Row],[Objectif de vente en unite N1]]*TableauProduit[[#This Row],[Packaging / unite]]</calculatedColumnFormula>
    </tableColumn>
    <tableColumn id="29" name="Achat par kg N1" dataDxfId="113">
      <calculatedColumnFormula>G2</calculatedColumnFormula>
    </tableColumn>
    <tableColumn id="16" name="Revenue brut N1" dataDxfId="112">
      <calculatedColumnFormula>TableauProduit[[#This Row],[Prix de vente/kg]]*TableauProduit[[#This Row],[Total (kg) N1]]-TableauProduit[[#This Row],[Achat par kg N1]]</calculatedColumnFormula>
    </tableColumn>
    <tableColumn id="7" name="Revenue net N1" dataDxfId="111">
      <calculatedColumnFormula>TableauProduit[[#This Row],[Revenue brut N1]]-TableauProduit[[#This Row],[Conditionnement N1]]</calculatedColumnFormula>
    </tableColumn>
    <tableColumn id="18" name="Objectif de vente en unite N2" dataDxfId="110"/>
    <tableColumn id="10" name="Total (kg) N2" dataDxfId="109">
      <calculatedColumnFormula>TableauProduit[[#This Row],[Poids (g) / unite]]*TableauProduit[[#This Row],[Objectif de vente en unite N1]]/1000</calculatedColumnFormula>
    </tableColumn>
    <tableColumn id="19" name="Conditionnement N2" dataDxfId="108">
      <calculatedColumnFormula>TableauProduit[[#This Row],[Objectif de vente en unite N1]]*TableauProduit[[#This Row],[Packaging / unite]]</calculatedColumnFormula>
    </tableColumn>
    <tableColumn id="30" name="Achat plante / kg de melange N2" dataDxfId="107">
      <calculatedColumnFormula>TableauProduit[[#This Row],[Prix Achat de plante par kg]]*TableauProduit[[#This Row],[Total (kg) N1]]</calculatedColumnFormula>
    </tableColumn>
    <tableColumn id="21" name="Revenue brut N2" dataDxfId="106">
      <calculatedColumnFormula>TableauProduit[[#This Row],[Prix de vente/kg]]*TableauProduit[[#This Row],[Total (kg) N1]]</calculatedColumnFormula>
    </tableColumn>
    <tableColumn id="31" name="Revenue net N2" dataDxfId="105">
      <calculatedColumnFormula>TableauProduit[[#This Row],[Revenue brut N1]]-TableauProduit[[#This Row],[Achat par kg N1]]-TableauProduit[[#This Row],[Conditionnement N1]]</calculatedColumnFormula>
    </tableColumn>
    <tableColumn id="22" name="Objectif de vente en unite N3" dataDxfId="104"/>
    <tableColumn id="23" name="Total (kg) N3" dataDxfId="103">
      <calculatedColumnFormula>TableauProduit[[#This Row],[Poids (g) / unite]]*TableauProduit[[#This Row],[Objectif de vente en unite N1]]/1000</calculatedColumnFormula>
    </tableColumn>
    <tableColumn id="24" name="Conditionnement N3" dataDxfId="102">
      <calculatedColumnFormula>TableauProduit[[#This Row],[Objectif de vente en unite N1]]*TableauProduit[[#This Row],[Packaging / unite]]</calculatedColumnFormula>
    </tableColumn>
    <tableColumn id="32" name="Achat plante / kg de melange N3" dataDxfId="101">
      <calculatedColumnFormula>TableauProduit[[#This Row],[Prix Achat de plante par kg]]*TableauProduit[[#This Row],[Total (kg) N1]]</calculatedColumnFormula>
    </tableColumn>
    <tableColumn id="25" name="Revenue brut N3" dataDxfId="100">
      <calculatedColumnFormula>TableauProduit[[#This Row],[Prix de vente/kg]]*TableauProduit[[#This Row],[Total (kg) N1]]</calculatedColumnFormula>
    </tableColumn>
    <tableColumn id="26" name="Revenue net N3" dataDxfId="99">
      <calculatedColumnFormula>TableauProduit[[#This Row],[Revenue brut N1]]-TableauProduit[[#This Row],[Achat par kg N1]]-TableauProduit[[#This Row],[Conditionnement N1]]</calculatedColumnFormula>
    </tableColumn>
    <tableColumn id="20" name="Objectif de vente en unite N4" dataDxfId="98"/>
    <tableColumn id="28" name="Total (kg) N4" dataDxfId="97">
      <calculatedColumnFormula>TableauProduit[[#This Row],[Poids (g) / unite]]*TableauProduit[[#This Row],[Objectif de vente en unite N1]]/1000</calculatedColumnFormula>
    </tableColumn>
    <tableColumn id="33" name="Conditionnement N4" dataDxfId="96">
      <calculatedColumnFormula>TableauProduit[[#This Row],[Objectif de vente en unite N1]]*TableauProduit[[#This Row],[Packaging / unite]]</calculatedColumnFormula>
    </tableColumn>
    <tableColumn id="34" name="Achat plante / kg de melange N4" dataDxfId="95">
      <calculatedColumnFormula>TableauProduit[[#This Row],[Prix Achat de plante par kg]]*TableauProduit[[#This Row],[Total (kg) N1]]</calculatedColumnFormula>
    </tableColumn>
    <tableColumn id="35" name="Revenue brut N4" dataDxfId="94">
      <calculatedColumnFormula>TableauProduit[[#This Row],[Prix de vente/kg]]*TableauProduit[[#This Row],[Total (kg) N1]]</calculatedColumnFormula>
    </tableColumn>
    <tableColumn id="36" name="Revenue net N4" dataDxfId="93">
      <calculatedColumnFormula>TableauProduit[[#This Row],[Revenue brut N1]]-TableauProduit[[#This Row],[Achat par kg N1]]-TableauProduit[[#This Row],[Conditionnement N1]]</calculatedColumnFormula>
    </tableColumn>
    <tableColumn id="37" name="Objectif de vente en unite N5" dataDxfId="92"/>
    <tableColumn id="38" name="Total (kg) N5" dataDxfId="91">
      <calculatedColumnFormula>TableauProduit[[#This Row],[Poids (g) / unite]]*TableauProduit[[#This Row],[Objectif de vente en unite N1]]/1000</calculatedColumnFormula>
    </tableColumn>
    <tableColumn id="39" name="Conditionnement N5" dataDxfId="90">
      <calculatedColumnFormula>TableauProduit[[#This Row],[Objectif de vente en unite N1]]*TableauProduit[[#This Row],[Packaging / unite]]</calculatedColumnFormula>
    </tableColumn>
    <tableColumn id="40" name="Achat plante / kg de melange N5" dataDxfId="89">
      <calculatedColumnFormula>TableauProduit[[#This Row],[Prix Achat de plante par kg]]*TableauProduit[[#This Row],[Total (kg) N1]]</calculatedColumnFormula>
    </tableColumn>
    <tableColumn id="41" name="Revenue brut N5" dataDxfId="88">
      <calculatedColumnFormula>TableauProduit[[#This Row],[Prix de vente/kg]]*TableauProduit[[#This Row],[Total (kg) N1]]</calculatedColumnFormula>
    </tableColumn>
    <tableColumn id="42" name="Revenue net N5" dataDxfId="87">
      <calculatedColumnFormula>TableauProduit[[#This Row],[Revenue brut N1]]-TableauProduit[[#This Row],[Achat par kg N1]]-TableauProduit[[#This Row],[Conditionnement N1]]</calculatedColumnFormula>
    </tableColumn>
    <tableColumn id="43" name="Objectif de vente en unite N6" dataDxfId="86"/>
    <tableColumn id="44" name="Total (kg) N6" dataDxfId="85">
      <calculatedColumnFormula>TableauProduit[[#This Row],[Poids (g) / unite]]*TableauProduit[[#This Row],[Objectif de vente en unite N1]]/1000</calculatedColumnFormula>
    </tableColumn>
    <tableColumn id="45" name="Conditionnement N6" dataDxfId="84">
      <calculatedColumnFormula>TableauProduit[[#This Row],[Objectif de vente en unite N1]]*TableauProduit[[#This Row],[Packaging / unite]]</calculatedColumnFormula>
    </tableColumn>
    <tableColumn id="46" name="Achat plante / kg de melange N6" dataDxfId="83">
      <calculatedColumnFormula>TableauProduit[[#This Row],[Prix Achat de plante par kg]]*TableauProduit[[#This Row],[Total (kg) N1]]</calculatedColumnFormula>
    </tableColumn>
    <tableColumn id="47" name="Revenue brut N6" dataDxfId="82">
      <calculatedColumnFormula>TableauProduit[[#This Row],[Prix de vente/kg]]*TableauProduit[[#This Row],[Total (kg) N1]]</calculatedColumnFormula>
    </tableColumn>
    <tableColumn id="48" name="Revenue net N6" dataDxfId="81">
      <calculatedColumnFormula>TableauProduit[[#This Row],[Revenue brut N1]]-TableauProduit[[#This Row],[Achat par kg N1]]-TableauProduit[[#This Row],[Conditionnement N1]]</calculatedColumnFormula>
    </tableColumn>
    <tableColumn id="49" name="Objectif de vente en unite N7" dataDxfId="80"/>
    <tableColumn id="50" name="Total (kg) N7" dataDxfId="79">
      <calculatedColumnFormula>TableauProduit[[#This Row],[Poids (g) / unite]]*TableauProduit[[#This Row],[Objectif de vente en unite N1]]/1000</calculatedColumnFormula>
    </tableColumn>
    <tableColumn id="51" name="Conditionnement N7" dataDxfId="78">
      <calculatedColumnFormula>TableauProduit[[#This Row],[Objectif de vente en unite N1]]*TableauProduit[[#This Row],[Packaging / unite]]</calculatedColumnFormula>
    </tableColumn>
    <tableColumn id="52" name="Achat plante / kg de melange N7" dataDxfId="77">
      <calculatedColumnFormula>TableauProduit[[#This Row],[Prix Achat de plante par kg]]*TableauProduit[[#This Row],[Total (kg) N1]]</calculatedColumnFormula>
    </tableColumn>
    <tableColumn id="53" name="Revenue brut N7" dataDxfId="76">
      <calculatedColumnFormula>TableauProduit[[#This Row],[Prix de vente/kg]]*TableauProduit[[#This Row],[Total (kg) N1]]</calculatedColumnFormula>
    </tableColumn>
    <tableColumn id="54" name="Revenue net N7" dataDxfId="75">
      <calculatedColumnFormula>TableauProduit[[#This Row],[Revenue brut N1]]-TableauProduit[[#This Row],[Achat par kg N1]]-TableauProduit[[#This Row],[Conditionnement N1]]</calculatedColumnFormula>
    </tableColumn>
    <tableColumn id="55" name="Objectif de vente en unite N8" dataDxfId="74"/>
    <tableColumn id="56" name="Total (kg) N8" dataDxfId="73">
      <calculatedColumnFormula>TableauProduit[[#This Row],[Poids (g) / unite]]*TableauProduit[[#This Row],[Objectif de vente en unite N1]]/1000</calculatedColumnFormula>
    </tableColumn>
    <tableColumn id="57" name="Conditionnement N8" dataDxfId="72">
      <calculatedColumnFormula>TableauProduit[[#This Row],[Objectif de vente en unite N1]]*TableauProduit[[#This Row],[Packaging / unite]]</calculatedColumnFormula>
    </tableColumn>
    <tableColumn id="58" name="Achat plante / kg de melange N8" dataDxfId="71">
      <calculatedColumnFormula>TableauProduit[[#This Row],[Prix Achat de plante par kg]]*TableauProduit[[#This Row],[Total (kg) N1]]</calculatedColumnFormula>
    </tableColumn>
    <tableColumn id="59" name="Revenue brut N8" dataDxfId="70">
      <calculatedColumnFormula>TableauProduit[[#This Row],[Prix de vente/kg]]*TableauProduit[[#This Row],[Total (kg) N1]]</calculatedColumnFormula>
    </tableColumn>
    <tableColumn id="60" name="Revenue net N8" dataDxfId="69">
      <calculatedColumnFormula>TableauProduit[[#This Row],[Revenue brut N1]]-TableauProduit[[#This Row],[Achat par kg N1]]-TableauProduit[[#This Row],[Conditionnement N1]]</calculatedColumnFormula>
    </tableColumn>
    <tableColumn id="61" name="Objectif de vente en unite N9" dataDxfId="68"/>
    <tableColumn id="62" name="Total (kg) N9" dataDxfId="67">
      <calculatedColumnFormula>TableauProduit[[#This Row],[Poids (g) / unite]]*TableauProduit[[#This Row],[Objectif de vente en unite N1]]/1000</calculatedColumnFormula>
    </tableColumn>
    <tableColumn id="63" name="Conditionnement N9" dataDxfId="66">
      <calculatedColumnFormula>TableauProduit[[#This Row],[Objectif de vente en unite N1]]*TableauProduit[[#This Row],[Packaging / unite]]</calculatedColumnFormula>
    </tableColumn>
    <tableColumn id="64" name="Achat plante / kg de melange N9" dataDxfId="65">
      <calculatedColumnFormula>TableauProduit[[#This Row],[Prix Achat de plante par kg]]*TableauProduit[[#This Row],[Total (kg) N1]]</calculatedColumnFormula>
    </tableColumn>
    <tableColumn id="65" name="Revenue brut N9" dataDxfId="64">
      <calculatedColumnFormula>TableauProduit[[#This Row],[Prix de vente/kg]]*TableauProduit[[#This Row],[Total (kg) N1]]</calculatedColumnFormula>
    </tableColumn>
    <tableColumn id="66" name="Revenue net N9" dataDxfId="63">
      <calculatedColumnFormula>TableauProduit[[#This Row],[Revenue brut N1]]-TableauProduit[[#This Row],[Achat par kg N1]]-TableauProduit[[#This Row],[Conditionnement N1]]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2" name="TableauIngredients" displayName="TableauIngredients" ref="A1:G166" headerRowCount="1" totalsRowShown="0" headerRowDxfId="62">
  <autoFilter ref="A1:G166"/>
  <sortState ref="A2:G160">
    <sortCondition ref="A1:A160"/>
  </sortState>
  <tableColumns count="7">
    <tableColumn id="1" name="Ingredients" dataDxfId="61">
      <calculatedColumnFormula>PROPER(TableauIngredients[[#This Row],[Ingredients]])</calculatedColumnFormula>
    </tableColumn>
    <tableColumn id="3" name="ratio sechage" dataCellStyle="Pourcentage">
      <calculatedColumnFormula>IF(IFERROR((100-TableauIngredients[[#This Row],[% eau]])/100, 1) &lt; 20,0.2)</calculatedColumnFormula>
    </tableColumn>
    <tableColumn id="4" name="% eau"/>
    <tableColumn id="7" name="Nom de la Production"/>
    <tableColumn id="2" name="Prix de vente"/>
    <tableColumn id="5" name="Prix d'achat (kg)" dataDxfId="60" dataCellStyle="Monétaire"/>
    <tableColumn id="6" name="Lien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id="3" name="TableauRecette" displayName="TableauRecette" ref="A1:T462" headerRowCount="1" totalsRowShown="0" headerRowDxfId="59" dataDxfId="58">
  <autoFilter ref="A1:T462"/>
  <sortState ref="A2:T462">
    <sortCondition ref="A1:A462"/>
  </sortState>
  <tableColumns count="20">
    <tableColumn id="1" name="Recette" dataDxfId="57"/>
    <tableColumn id="12" name="ID" dataDxfId="56">
      <calculatedColumnFormula>TableauRecette[[#This Row],[Recette]]&amp;TableauRecette[[#This Row],[Conditionnement]]</calculatedColumnFormula>
    </tableColumn>
    <tableColumn id="2" name="Ingredients" dataDxfId="55"/>
    <tableColumn id="3" name="Proportion" dataDxfId="54"/>
    <tableColumn id="4" name="Conditionnement" dataDxfId="53"/>
    <tableColumn id="5" name="poids / unite" dataDxfId="52">
      <calculatedColumnFormula>D2/SUMIFS(TableauRecette[Proportion],TableauRecette[Recette],TableauRecette[[#This Row],[Recette]],TableauRecette[Conditionnement],TableauRecette[[#This Row],[Conditionnement]])</calculatedColumnFormula>
    </tableColumn>
    <tableColumn id="6" name="Prix d'achat / kg" dataDxfId="2">
      <calculatedColumnFormula>_xlfn.XLOOKUP(TableauRecette[[#This Row],[Ingredients]],TableauIngredients[Ingredients],TableauIngredients[Prix d''achat (kg)],0)*TableauRecette[[#This Row],[poids / unite]]</calculatedColumnFormula>
    </tableColumn>
    <tableColumn id="10" name="Total Proportion" dataDxfId="0">
      <calculatedColumnFormula>SUMIFS(TableauRecette[Proportion],TableauRecette[Recette],TableauRecette[[#This Row],[Recette]],TableauRecette[Conditionnement],TableauRecette[[#This Row],[Conditionnement]])</calculatedColumnFormula>
    </tableColumn>
    <tableColumn id="11" name="Prix pour kg/ de melange" dataDxfId="1">
      <calculatedColumnFormula>TableauRecette[[#This Row],[Proportion]]*TableauRecette[[#This Row],[Prix d''achat / kg]]/TableauRecette[[#This Row],[Total Proportion]]</calculatedColumnFormula>
    </tableColumn>
    <tableColumn id="7" name="Pays" dataDxfId="51"/>
    <tableColumn id="8" name="Type" dataDxfId="50"/>
    <tableColumn id="9" name="kg / annee 1" dataDxfId="49">
      <calculatedColumnFormula>_xlfn.XLOOKUP(TableauRecette[[#This Row],[ID]],TableauProduit[ID],TableauProduit[Total (kg) N1],0,0,1)*TableauRecette[[#This Row],[poids / unite]]</calculatedColumnFormula>
    </tableColumn>
    <tableColumn id="28" name="kg / annee 2" dataDxfId="48">
      <calculatedColumnFormula>_xlfn.XLOOKUP(TableauRecette[[#This Row],[ID]],TableauProduit[ID],TableauProduit[Total (kg) N2],0,0,1)*TableauRecette[[#This Row],[poids / unite]]</calculatedColumnFormula>
    </tableColumn>
    <tableColumn id="29" name="kg / annee 3" dataDxfId="47">
      <calculatedColumnFormula>_xlfn.XLOOKUP(TableauRecette[[#This Row],[ID]],TableauProduit[ID],TableauProduit[Total (kg) N3],0,0,1)*TableauRecette[[#This Row],[poids / unite]]</calculatedColumnFormula>
    </tableColumn>
    <tableColumn id="30" name="kg / annee 4" dataDxfId="46">
      <calculatedColumnFormula>_xlfn.XLOOKUP(TableauRecette[[#This Row],[ID]],TableauProduit[ID],TableauProduit[Total (kg) N4],0,0,1)*TableauRecette[[#This Row],[poids / unite]]</calculatedColumnFormula>
    </tableColumn>
    <tableColumn id="31" name="kg / annee 5" dataDxfId="45">
      <calculatedColumnFormula>_xlfn.XLOOKUP(TableauRecette[[#This Row],[ID]],TableauProduit[ID],TableauProduit[Total (kg) N5],0,0,1)*TableauRecette[[#This Row],[poids / unite]]</calculatedColumnFormula>
    </tableColumn>
    <tableColumn id="32" name="kg / annee 6" dataDxfId="44">
      <calculatedColumnFormula>_xlfn.XLOOKUP(TableauRecette[[#This Row],[ID]],TableauProduit[ID],TableauProduit[Total (kg) N6],0,0,1)*TableauRecette[[#This Row],[poids / unite]]</calculatedColumnFormula>
    </tableColumn>
    <tableColumn id="33" name="kg / annee 7" dataDxfId="43">
      <calculatedColumnFormula>_xlfn.XLOOKUP(TableauRecette[[#This Row],[ID]],TableauProduit[ID],TableauProduit[Total (kg) N7],0,0,1)*TableauRecette[[#This Row],[poids / unite]]</calculatedColumnFormula>
    </tableColumn>
    <tableColumn id="34" name="kg / annee 8" dataDxfId="42">
      <calculatedColumnFormula>_xlfn.XLOOKUP(TableauRecette[[#This Row],[ID]],TableauProduit[ID],TableauProduit[Total (kg) N8],0,0,1)*TableauRecette[[#This Row],[poids / unite]]</calculatedColumnFormula>
    </tableColumn>
    <tableColumn id="35" name="kg / annee 9" dataDxfId="41">
      <calculatedColumnFormula>_xlfn.XLOOKUP(TableauRecette[[#This Row],[ID]],TableauProduit[ID],TableauProduit[Total (kg) N9],0,0,1)*TableauRecette[[#This Row],[poids / unite]]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TableauProduction" displayName="TableauProduction" ref="A1:J112" headerRowCount="1" totalsRowShown="0" headerRowDxfId="40" dataDxfId="39">
  <autoFilter ref="A1:J112"/>
  <sortState ref="A2:J112">
    <sortCondition descending="1" ref="B1:B112"/>
  </sortState>
  <tableColumns count="10">
    <tableColumn id="1" name="Produit" dataDxfId="38"/>
    <tableColumn id="3" name="annee 1" dataDxfId="37"/>
    <tableColumn id="7" name="annee 2" dataDxfId="36"/>
    <tableColumn id="8" name="annee 3" dataDxfId="35"/>
    <tableColumn id="9" name="annee 4" dataDxfId="34"/>
    <tableColumn id="10" name="poids / unite" dataDxfId="33"/>
    <tableColumn id="11" name="annee 6" dataDxfId="32"/>
    <tableColumn id="12" name="annee 7" dataDxfId="31"/>
    <tableColumn id="13" name="annee 8" dataDxfId="30"/>
    <tableColumn id="14" name="annee 9" dataDxfId="29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id="5" name="TableauConditionnement" displayName="TableauConditionnement" ref="A1:G21" headerRowCount="1" totalsRowShown="0">
  <autoFilter ref="A1:G21"/>
  <sortState ref="A2:G18">
    <sortCondition ref="A1:A19"/>
  </sortState>
  <tableColumns count="7">
    <tableColumn id="1" name="Nom"/>
    <tableColumn id="2" name="Bouchon"/>
    <tableColumn id="3" name="Verre"/>
    <tableColumn id="4" name="Total" dataDxfId="3"/>
    <tableColumn id="5" name="Contenance"/>
    <tableColumn id="6" name="Lien bouchon"/>
    <tableColumn id="7" name="Lien verre"/>
  </tableColumns>
  <tableStyleInfo name="TableStyleMedium13" showFirstColumn="0" showLastColumn="0" showRowStripes="1" showColumnStripes="0"/>
</table>
</file>

<file path=xl/tables/table6.xml><?xml version="1.0" encoding="utf-8"?>
<table xmlns="http://schemas.openxmlformats.org/spreadsheetml/2006/main" id="6" name="TableauConcurence" displayName="TableauConcurence" ref="A1:G168" headerRowCount="1" totalsRowShown="0">
  <sortState ref="A2:G103">
    <sortCondition ref="A1:A103"/>
  </sortState>
  <tableColumns count="7">
    <tableColumn id="1" name="PRODUIT"/>
    <tableColumn id="2" name="DISTRIBUTION"/>
    <tableColumn id="3" name="NOM"/>
    <tableColumn id="4" name="MARQUE"/>
    <tableColumn id="5" name="GRAMMAGE"/>
    <tableColumn id="6" name="PRIX"/>
    <tableColumn id="7" name="PRIX_K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Old" displayName="Old" ref="A1:O39" headerRowCount="1" totalsRowShown="0" headerRowDxfId="28" headerRowBorderDxfId="27" tableBorderDxfId="26" totalsRowBorderDxfId="25">
  <autoFilter ref="A1:O39"/>
  <tableColumns count="15">
    <tableColumn id="1" name="Recette" dataDxfId="24"/>
    <tableColumn id="2" name="Objectif en unite" dataDxfId="23"/>
    <tableColumn id="3" name="poids/unite (g)" dataDxfId="22"/>
    <tableColumn id="4" name="Total (kg)" dataDxfId="21"/>
    <tableColumn id="5" name="Prix de vente/U" dataDxfId="20"/>
    <tableColumn id="6" name="Prix de vente/kg" dataDxfId="19"/>
    <tableColumn id="7" name="Revenue brut" dataDxfId="18"/>
    <tableColumn id="8" name="Packaging" dataDxfId="17"/>
    <tableColumn id="9" name="Packaging/Unit" dataDxfId="16"/>
    <tableColumn id="10" name="PV/kg frais" dataDxfId="15"/>
    <tableColumn id="11" name="Prix/kg (cook)" dataDxfId="14"/>
    <tableColumn id="12" name="Prix/kg (artisant)" dataDxfId="13"/>
    <tableColumn id="13" name="Colonne2" dataDxfId="12"/>
    <tableColumn id="14" name="Colonne3" dataDxfId="11"/>
    <tableColumn id="15" name="Colonne4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parisbelleville01.lecodrive.com/boutique/amande-douce-decortiquee-bio-espagne/" TargetMode="External" Id="rId1"/><Relationship Type="http://schemas.openxmlformats.org/officeDocument/2006/relationships/hyperlink" Target="https://www.etsy.com/fr/listing/538432371/poudre-de-mangue-biologique-poudre?gpla=1&amp;gao=1&amp;" TargetMode="External" Id="rId2"/><Relationship Type="http://schemas.openxmlformats.org/officeDocument/2006/relationships/hyperlink" Target="https://vracbio.com/products/badiane-anis-etoile-bio-en-vrac?variant=31584511361139&amp;currency=EUR&amp;utm_medium=product_sync&amp;utm_source=google&amp;utm_content=sag_organic&amp;utm_campaign=sag_organic&amp;utm_campaign=gs-2020-05-12&amp;utm_source=google&amp;utm_medium=smart_campaign&amp;gad_source=1&amp;gclid=Cj0KCQjwwMqvBhCtARIsAIXsZpbzhzDINtZH-k_NigcEf1sWrPuGZLuWxNXCpnF2Jb13CK9238FySTMaAgwfEALw_wcB" TargetMode="External" Id="rId3"/><Relationship Type="http://schemas.openxmlformats.org/officeDocument/2006/relationships/hyperlink" Target="https://www.googleadservices.com/pagead/aclk?sa=L&amp;ai=DChcSEwi8_L7IkfSEAxWWtWgJHdrGBpYYABAFGgJ3Zg&amp;ase=2&amp;gclid=Cj0KCQjwwMqvBhCtARIsAIXsZpYLT1VmI5Kq1BaXTkjkzxCxD3tRu3FW4QihyZ5AVHNacB5EEIP-EacaAtVBEALw_wcB&amp;ohost=www.google.com&amp;cid=CAESV-D25s4w_xgCt61JSCPtz_-6MB53MwZOqMSR3C53fMpAlGsUxYYNIVZyeD-U7TQmjoP8BSO5N0eb6P53Wc_pyXFm3Td7A7f5dhB2yVtf84Fpc8W6xGvNkg&amp;sig=AOD64_1j_v1y63lx74Qe3EwzAJMUknrPPQ&amp;ctype=5&amp;q=&amp;nis=4&amp;ved=2ahUKEwii3bjIkfSEAxUTUKQEHfKUBKUQ9aACKAB6BAgBECM&amp;adurl=" TargetMode="External" Id="rId4"/><Relationship Type="http://schemas.openxmlformats.org/officeDocument/2006/relationships/hyperlink" Target="https://www.googleadservices.com/pagead/aclk?sa=L&amp;ai=DChcSEwichuSekfSEAxVyQUECHat2BNwYABAMGgJ3cw&amp;ase=2&amp;gclid=Cj0KCQjwwMqvBhCtARIsAIXsZpZmpmc8fHRm_JGzy1Gmr0JI0grkfyuAV2XraPO2cYJ_I7mDJZoaepwaAlFBEALw_wcB&amp;ohost=www.google.com&amp;cid=CAESV-D2fcXVl2hyBhRmKKHyR9Mar6Ywa7Gxq7dChedDWqueLOlHIrSO08ZTbW6I8tjACgEP8JedobbYSxK8ul5eMEPhhJEPba-FfAwg293CrvZFTOWQMeyZvg&amp;sig=AOD64_00twfFYjSyymtiLPJAcag4fPwi1w&amp;ctype=5&amp;q=&amp;nis=4&amp;ved=2ahUKEwjQud6ekfSEAxVXU6QEHZs-CdUQ9aACKAB6BAgEEBM&amp;adurl=" TargetMode="External" Id="rId5"/><Relationship Type="http://schemas.openxmlformats.org/officeDocument/2006/relationships/hyperlink" Target="https://www.etsy.com/fr/listing/1671728644/zeste-de-mandarine-sechee-biologique?gpla=1&amp;gao=1&amp;" TargetMode="External" Id="rId6"/><Relationship Type="http://schemas.openxmlformats.org/officeDocument/2006/relationships/hyperlink" Target="https://www.googleadservices.com/pagead/aclk?sa=L&amp;ai=DChcSEwjImt71kvSEAxX4qGgJHfm2DMsYABAOGgJ3Zg&amp;ase=2&amp;gclid=Cj0KCQjwwMqvBhCtARIsAIXsZpZzuxlLYPk3jEbz2sSJyN4bocZn-7fGZ1l02xJ2SChDI7pgp8LAST8aAnq9EALw_wcB&amp;ohost=www.google.com&amp;cid=CAESV-D2Uxx-XLqYE_XjwL-kVovH9HTLCB4KlP7kJAwkGppGskGIF94N5JykIfKxIhGF_WNbbGhZMrxjSTAQ4FwvjJubk8RCtjodMYrRsrubTeHFyJdngqwO-Q&amp;sig=AOD64_24hJKAn2HpOv8TAFHuCr4695zSpw&amp;ctype=5&amp;q=&amp;nis=4&amp;ved=2ahUKEwjbttj1kvSEAxXWSKQEHcVUBosQ9aACKAB6BAgBEBM&amp;adurl=" TargetMode="External" Id="rId7"/><Relationship Type="http://schemas.openxmlformats.org/officeDocument/2006/relationships/hyperlink" Target="https://thesdirect.com/products/girofle-clou-entier-bio?variant=42278504759535&amp;utm_medium=paidsearch&amp;utm_source=google&amp;utm_campaign=FR-PMC-Global&amp;utm_term=&amp;utm_content=&amp;gad_source=1&amp;gclid=Cj0KCQjwwMqvBhCtARIsAIXsZpYMcYHxWw4LzdPFYu1RLdfNCwEEgQ89WYbpA_kBagvr-9lOLjM_5DwaAt_uEALw_wcB" TargetMode="External" Id="rId8"/><Relationship Type="http://schemas.openxmlformats.org/officeDocument/2006/relationships/hyperlink" Target="https://thesdirect.com/products/coriandre-graine-entiere-bio-origine-france?variant=46717581754710" TargetMode="External" Id="rId9"/><Relationship Type="http://schemas.openxmlformats.org/officeDocument/2006/relationships/hyperlink" Target="https://thesdirect.com/products/grosssite-cumin-graine-poudre-bio-vente-en-gros?_pos=2&amp;_sid=3c51b5f81&amp;_ss=r" TargetMode="External" Id="rId10"/><Relationship Type="http://schemas.openxmlformats.org/officeDocument/2006/relationships/hyperlink" Target="https://thesdirect.com/products/cumin-noir-nigelle-graine-entiere-bio?_pos=1&amp;_sid=3c51b5f81&amp;_ss=r" TargetMode="External" Id="rId11"/><Relationship Type="http://schemas.openxmlformats.org/officeDocument/2006/relationships/hyperlink" Target="https://www.pharma5avenue.com/blog/mode-de-production-du-curcuma-longa-n63" TargetMode="External" Id="rId12"/><Relationship Type="http://schemas.openxmlformats.org/officeDocument/2006/relationships/hyperlink" Target="https://www.pharma5avenue.com/blog/mode-de-production-du-curcuma-longa-n63" TargetMode="External" Id="rId13"/><Relationship Type="http://schemas.openxmlformats.org/officeDocument/2006/relationships/hyperlink" Target="https://www.pharma5avenue.com/blog/mode-de-production-du-curcuma-longa-n63" TargetMode="External" Id="rId14"/><Relationship Type="http://schemas.openxmlformats.org/officeDocument/2006/relationships/hyperlink" Target="https://www.pharma5avenue.com/blog/mode-de-production-du-curcuma-longa-n63" TargetMode="External" Id="rId15"/><Relationship Type="http://schemas.openxmlformats.org/officeDocument/2006/relationships/hyperlink" Target="https://thesdirect.com/products/laurier-feuille-coupee-bio?_pos=1&amp;_sid=01cd0a848&amp;_ss=r" TargetMode="External" Id="rId16"/><Relationship Type="http://schemas.openxmlformats.org/officeDocument/2006/relationships/hyperlink" Target="https://thesdirect.com/products/gingembre-rhizome-poudre-bio?_pos=7&amp;_sid=90d482203&amp;_ss=r" TargetMode="External" Id="rId17"/><Relationship Type="http://schemas.openxmlformats.org/officeDocument/2006/relationships/hyperlink" Target="https://thesdirect.com/products/cardamome-fruit-entier-bio?_pos=1&amp;_sid=0d54a836c&amp;_ss=r" TargetMode="External" Id="rId18"/><Relationship Type="http://schemas.openxmlformats.org/officeDocument/2006/relationships/hyperlink" Target="https://thesdirect.com/products/carvi-graine-entiere-bio?_pos=1&amp;_sid=0340e6674&amp;_ss=r" TargetMode="External" Id="rId19"/><Relationship Type="http://schemas.openxmlformats.org/officeDocument/2006/relationships/hyperlink" Target="https://thesdirect.com/products/grosssite-cumin-graine-poudre-bio-vente-en-gros?_pos=2&amp;_sid=3c51b5f81&amp;_ss=r" TargetMode="External" Id="rId20"/><Relationship Type="http://schemas.openxmlformats.org/officeDocument/2006/relationships/hyperlink" Target="https://thesdirect.com/products/graine-de-fenugrec-bio-en-vrac?_pos=1&amp;_sid=e3b571ae1&amp;_ss=r" TargetMode="External" Id="rId21"/><Relationship Type="http://schemas.openxmlformats.org/officeDocument/2006/relationships/hyperlink" Target="https://thesdirect.com/products/graine-de-moutarde-jaune-bio-en-vrac?_pos=2&amp;_sid=ed731c47b&amp;_ss=r" TargetMode="External" Id="rId22"/><Relationship Type="http://schemas.openxmlformats.org/officeDocument/2006/relationships/hyperlink" Target="https://thesdirect.com/products/graine-de-moutarde-noir-bio-en-vrac?_pos=1&amp;_sid=ed731c47b&amp;_ss=r" TargetMode="External" Id="rId23"/><Relationship Type="http://schemas.openxmlformats.org/officeDocument/2006/relationships/hyperlink" Target="https://thesdirect.com/products/cumin-noir-nigelle-graine-entiere-bio?_pos=1&amp;_sid=952bb7c98&amp;_ss=r" TargetMode="External" Id="rId24"/><Relationship Type="http://schemas.openxmlformats.org/officeDocument/2006/relationships/hyperlink" Target="https://thesdirect.com/products/ortie-piquante-partie-aerienne-poudre-bio-origine-france?_pos=3&amp;_sid=da77c7ad6&amp;_ss=r" TargetMode="External" Id="rId25"/><Relationship Type="http://schemas.openxmlformats.org/officeDocument/2006/relationships/hyperlink" Target="https://thesdirect.com/products/harpagophytum-racine-coupee-bio?variant=46723154116950&amp;utm_medium=paidsearch&amp;utm_source=google&amp;utm_campaign=FR-PMC-Global&amp;utm_term=&amp;utm_content=&amp;gad_source=1" TargetMode="External" Id="rId26"/><Relationship Type="http://schemas.openxmlformats.org/officeDocument/2006/relationships/hyperlink" Target="https://www.etsy.com/fr/listing/897347569/tisane-en-vrac-helichrysum-immortelle" TargetMode="External" Id="rId27"/><Relationship Type="http://schemas.openxmlformats.org/officeDocument/2006/relationships/hyperlink" Target="https://www.googleadservices.com/pagead/aclk?sa=L&amp;ai=DChcSEwjImt71kvSEAxX4qGgJHfm2DMsYABAOGgJ3Zg&amp;ase=2&amp;gclid=Cj0KCQjwwMqvBhCtARIsAIXsZpZzuxlLYPk3jEbz2sSJyN4bocZn-7fGZ1l02xJ2SChDI7pgp8LAST8aAnq9EALw_wcB&amp;ohost=www.google.com&amp;cid=CAESV-D2Uxx-XLqYE_XjwL-kVovH9HTLCB4KlP7kJAwkGppGskGIF94N5JykIfKxIhGF_WNbbGhZMrxjSTAQ4FwvjJubk8RCtjodMYrRsrubTeHFyJdngqwO-Q&amp;sig=AOD64_24hJKAn2HpOv8TAFHuCr4695zSpw&amp;ctype=5&amp;q=&amp;nis=4&amp;ved=2ahUKEwjbttj1kvSEAxXWSKQEHcVUBosQ9aACKAB6BAgBEBM&amp;adurl=" TargetMode="External" Id="rId28"/><Relationship Type="http://schemas.openxmlformats.org/officeDocument/2006/relationships/hyperlink" Target="https://thesdirect.com/products/lavandin-fleur-entiere-bio-origine-france?variant=46723154575702" TargetMode="External" Id="rId29"/><Relationship Type="http://schemas.openxmlformats.org/officeDocument/2006/relationships/hyperlink" Target="https://www.autourduriz.com/sauces-asiatiques-bio/423-sauce-nuoc-mam-bio-veggie-3760275575203.html" TargetMode="External" Id="rId30"/><Relationship Type="http://schemas.openxmlformats.org/officeDocument/2006/relationships/hyperlink" Target="https://thesdirect.com/products/origan-vert-feuille-entiere-bio-origine-france?_pos=1&amp;_sid=92a128b15&amp;_ss=r" TargetMode="External" Id="rId31"/><Relationship Type="http://schemas.openxmlformats.org/officeDocument/2006/relationships/hyperlink" Target="https://www.capsicums.fr/piments/piment-mexicain-ancho-entier/" TargetMode="External" Id="rId32"/><Relationship Type="http://schemas.openxmlformats.org/officeDocument/2006/relationships/hyperlink" Target="https://occitanie.chambre-agriculture.fr/fileadmin/user_upload/Occitanie/076_Inst-Occitanie/Documents/Productions_techniques/Agriculture_biologique/Espace_ressource_bio/Maraichage_bio/ITK-LR-PoivronVenteDirecte.pdf" TargetMode="External" Id="rId33"/><Relationship Type="http://schemas.openxmlformats.org/officeDocument/2006/relationships/hyperlink" Target="https://occitanie.chambre-agriculture.fr/fileadmin/user_upload/Occitanie/076_Inst-Occitanie/Documents/Productions_techniques/Agriculture_biologique/Espace_ressource_bio/Maraichage_bio/ITK-LR-PoivronVenteDirecte.pdf" TargetMode="External" Id="rId34"/><Relationship Type="http://schemas.openxmlformats.org/officeDocument/2006/relationships/hyperlink" Target="https://occitanie.chambre-agriculture.fr/fileadmin/user_upload/Occitanie/076_Inst-Occitanie/Documents/Productions_techniques/Agriculture_biologique/Espace_ressource_bio/Maraichage_bio/ITK-LR-PoivronVenteDirecte.pdf" TargetMode="External" Id="rId35"/><Relationship Type="http://schemas.openxmlformats.org/officeDocument/2006/relationships/hyperlink" Target="https://www.autourduriz.com/sauces-asiatiques-vrac/332-shoyu-sauce-soja-5-l-3760275573025.html" TargetMode="External" Id="rId36"/><Relationship Type="http://schemas.openxmlformats.org/officeDocument/2006/relationships/hyperlink" Target="https://www.apiculture.net/sirop/7606-palette-sucre-de-canne-biologique-1080kg-alimentaire-54x20kg.html?kk=a4c626f-18e411b23ef-a3fee&amp;kgclid=CjwKCAjw48-vBhBbEiwAzqrZVI_0Pn7Eoe7X5_JvZvbTWxkK5E4ji2yIrkTdaQkY6n_lq79bD6I5HBoCb08QAvD_BwE&amp;utm_source=kelkoofr&amp;utm_medium=cpc&amp;utm_campaign=kelkooclick&amp;utm_term=Apiculture.net+-+Mat%C3%A9riel+apicole+fran%C3%A7a" TargetMode="External" Id="rId37"/><Relationship Type="http://schemas.openxmlformats.org/officeDocument/2006/relationships/drawing" Target="/xl/drawings/drawing1.xml" Id="rId38"/><Relationship Type="http://schemas.openxmlformats.org/officeDocument/2006/relationships/table" Target="/xl/tables/table2.xml" Id="rId39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bouteilles-et-bocaux.com/bouchon-pour-pot-a-epices-distributeur-plastique-pp-rouge-pour-col-gpi-38-400-100000230?referralCode=344f636f14874df59416c60d47218b06&amp;utm_medium=sea&amp;utm_source=google&amp;gad_source=1&amp;gclid=CjwKCAiAopuvBhBCEiwAm8jaMRvkyaCkj4LfwgUmeOXFwEVybp5GM9cMjo6i2XXHdi_SmUDOQN4bRRoCVVAQAvD_BwE" TargetMode="External" Id="rId1"/><Relationship Type="http://schemas.openxmlformats.org/officeDocument/2006/relationships/hyperlink" Target="https://www.packari.com/fr/Produits/Flacons-en-verre-col-large/Flacons-en-verre-brun-sans-fermeture/Flacon-comprim-s-en-verre-marron-col-large-100-ml-38-400-sans-bouchon.html" TargetMode="External" Id="rId2"/><Relationship Type="http://schemas.openxmlformats.org/officeDocument/2006/relationships/hyperlink" Target="https://www.bouteilles-et-bocaux.com/bouchon-pour-pot-a-epices-moulin-plastique-pp-noir-pour-col-gpi-38-400-100000220" TargetMode="External" Id="rId3"/><Relationship Type="http://schemas.openxmlformats.org/officeDocument/2006/relationships/hyperlink" Target="https://www.packari.com/fr/Produits/Flacons-en-verre-col-large/Flacons-en-verre-brun-sans-fermeture/Flacon-comprim-s-en-verre-marron-col-large-100-ml-38-400-sans-bouchon.html" TargetMode="External" Id="rId4"/><Relationship Type="http://schemas.openxmlformats.org/officeDocument/2006/relationships/hyperlink" Target="https://www.bouteilles-et-bocaux.com/pot-en-gres-270-ml-ceramique-blanc-col-couvercle-cloche-100035660?referralCode=344f636f14874df59416c60d47218b06&amp;utm_medium=sea&amp;utm_source=google&amp;gad_source=1&amp;gclid=CjwKCAiAopuvBhBCEiwAm8jaMYLe7_a0mGr35npPhJKfVuzxK0lpcyfagab4K3pMzvBsxnSqC3GYDhoCgu0QAvD_BwE" TargetMode="External" Id="rId5"/><Relationship Type="http://schemas.openxmlformats.org/officeDocument/2006/relationships/hyperlink" Target="https://www.bouteilles-et-bocaux.com/bocal-cylindrique-haut-212-ml-col-twist-off-to-53-100012480" TargetMode="External" Id="rId6"/><Relationship Type="http://schemas.openxmlformats.org/officeDocument/2006/relationships/hyperlink" Target="https://www.bouteilles-et-bocaux.com/bocal-cylindrique-haut-212-ml-col-twist-off-to-53-100012480" TargetMode="External" Id="rId7"/><Relationship Type="http://schemas.openxmlformats.org/officeDocument/2006/relationships/hyperlink" Target="https://www.bouteilles-et-bocaux.com/bouteille-en-verre-100-ml-tulipano-col-liege-100018170?referralCode=344f636f14874df59416c60d47218b06&amp;utm_medium=sea&amp;utm_source=google&amp;gad_source=1&amp;gclid=CjwKCAiAopuvBhBCEiwAm8jaMTskXVOIzZ5rIxKF0pqFc9jqHsHuFuUd6kJ7IRF1_elI1heMCZJ8WxoCAGwQAvD_BwE" TargetMode="External" Id="rId8"/><Relationship Type="http://schemas.openxmlformats.org/officeDocument/2006/relationships/hyperlink" Target="https://www.bouteilles-et-bocaux.com/bouteille-de-vinaigre-d-huile-250-ml-oleum-verre-vert-antique-col-dop-100034870?referralCode=344f636f14874df59416c60d47218b06&amp;utm_medium=sea&amp;utm_source=google&amp;gad_source=1&amp;gclid=CjwKCAiAopuvBhBCEiwAm8jaMeaR3q1S8hCLAwRtq5MXdAumMc4tNe8kzahJPqJxkQvjUHB9PdyHrRoCIKIQAvD_BwE" TargetMode="External" Id="rId9"/><Relationship Type="http://schemas.openxmlformats.org/officeDocument/2006/relationships/hyperlink" Target="https://www.bouteilles-et-bocaux.com/seau-2-5-l-plastique-pp-blanc-100015070?referralCode=344f636f14874df59416c60d47218b06&amp;configurator=%255B%257B%2522productId%2522%253A%25220nolid%2522%252C%2522groupId%2522%253A%25220%2522%257D%252C%257B%2522productId%2522%253A%25221nolid%2522%252C%2522groupId%2522%253A%25221%2522%257D%255D&amp;utm_medium=sea&amp;utm_source=google&amp;galt=Cj0KCQjwlZixBhCoARIsAIC745BA22oQIFzXcivfuWmhgVWGHKmhHv_wy2W8_eDHTHF86yHAjltRI4MaAmbVEALw_wcB&amp;gad_source=1&amp;gclid=Cj0KCQjwlZixBhCoARIsAIC745BA22oQIFzXcivfuWmhgVWGHKmhHv_wy2W8_eDHTHF86yHAjltRI4MaAmbVEALw_wcB" TargetMode="External" Id="rId10"/><Relationship Type="http://schemas.openxmlformats.org/officeDocument/2006/relationships/hyperlink" Target="https://www.bouteilles-et-bocaux.com/verrine-haute-350-ml-col-twist-off-to-82-100036140" TargetMode="External" Id="rId11"/><Relationship Type="http://schemas.openxmlformats.org/officeDocument/2006/relationships/hyperlink" Target="https://de.aliexpress.com/item/1005005532498174.html1007.40000.327270.0&amp;scm-url=1007.40000.327270.0&amp;pvid=d7f30d2d-9c81-4a76-abd9-d1b5dab0f6ac&amp;_t=gps-id:pcDetailTopMoreOtherSeller,scm-url:1007.40000.327270.0,pvid:d7f30d2d-9c81-4a76-abd9-d1b5dab0f6ac,tpp_buckets:668%232846%238115%232000&amp;pdp_npi=4%40dis%21EUR%215.38%211.88%21%21%2141.12%2114.39%21%402103890117096883118564836e954f%2112000033437633735%21rec%21FR%212461724979%21&amp;utparam-url=scene%3ApcDetailTopMoreOtherSeller%7Cquery_from%3A" TargetMode="External" Id="rId12"/><Relationship Type="http://schemas.openxmlformats.org/officeDocument/2006/relationships/hyperlink" Target="https://www.berlinpackaging.eu/fr/81/bouteilles-huile-d-olive/11010/bouteille-alex--olio-250-ml-bg-a-vis" TargetMode="External" Id="rId13"/><Relationship Type="http://schemas.openxmlformats.org/officeDocument/2006/relationships/hyperlink" Target="https://www.bouteilles-et-bocaux.com/bocal-cylindrique-262-ml-monza-col-deep-twist-off-dto-82-100033050" TargetMode="External" Id="rId14"/><Relationship Type="http://schemas.openxmlformats.org/officeDocument/2006/relationships/table" Target="/xl/tables/table5.xml" Id="rId1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 codeName="Feuil2">
    <outlinePr summaryBelow="1" summaryRight="1"/>
    <pageSetUpPr/>
  </sheetPr>
  <dimension ref="A1:BN71"/>
  <sheetViews>
    <sheetView zoomScale="144" workbookViewId="0">
      <pane ySplit="1" topLeftCell="A19" activePane="bottomLeft" state="frozen"/>
      <selection pane="bottomLeft" activeCell="G8" sqref="G8"/>
    </sheetView>
  </sheetViews>
  <sheetFormatPr baseColWidth="10" defaultColWidth="11" defaultRowHeight="16"/>
  <cols>
    <col width="26.6640625" bestFit="1" customWidth="1" min="1" max="1"/>
    <col width="24.83203125" bestFit="1" customWidth="1" min="2" max="2"/>
    <col width="10" bestFit="1" customWidth="1" min="3" max="3"/>
    <col width="5.33203125" customWidth="1" min="4" max="4"/>
    <col width="19.83203125" customWidth="1" min="5" max="5"/>
    <col width="5.6640625" customWidth="1" min="6" max="6"/>
    <col width="10.5" customWidth="1" min="7" max="7"/>
    <col width="7.6640625" customWidth="1" min="9" max="10"/>
    <col width="6" customWidth="1" min="11" max="11"/>
    <col width="6.33203125" customWidth="1" min="12" max="12"/>
    <col width="8.5" customWidth="1" min="13" max="13"/>
    <col width="7" customWidth="1" min="14" max="14"/>
    <col width="4.1640625" customWidth="1" min="15" max="15"/>
    <col width="4.5" customWidth="1" min="16" max="16"/>
    <col width="5.6640625" customWidth="1" min="17" max="17"/>
    <col width="11.5" customWidth="1" min="18" max="18"/>
    <col width="8.1640625" customWidth="1" min="19" max="19"/>
    <col width="7" customWidth="1" min="20" max="20"/>
    <col width="4" customWidth="1" min="21" max="22"/>
    <col width="4.5" customWidth="1" min="23" max="23"/>
    <col width="8.83203125" customWidth="1" min="24" max="24"/>
    <col width="7" customWidth="1" min="25" max="26"/>
    <col width="4" customWidth="1" min="27" max="28"/>
    <col width="4.5" customWidth="1" min="29" max="29"/>
    <col width="8.83203125" customWidth="1" min="30" max="30"/>
    <col width="7" customWidth="1" min="31" max="32"/>
    <col width="4" customWidth="1" min="33" max="34"/>
    <col width="4.5" customWidth="1" min="35" max="35"/>
    <col width="8.83203125" customWidth="1" min="36" max="36"/>
    <col width="7" customWidth="1" min="37" max="38"/>
    <col width="4" customWidth="1" min="39" max="40"/>
    <col width="4.5" customWidth="1" min="41" max="41"/>
    <col width="8.83203125" customWidth="1" min="42" max="42"/>
    <col width="7" customWidth="1" min="43" max="44"/>
    <col width="4" customWidth="1" min="45" max="46"/>
    <col width="4.5" customWidth="1" min="47" max="47"/>
    <col width="8.83203125" customWidth="1" min="48" max="48"/>
    <col width="7" customWidth="1" min="49" max="50"/>
    <col width="4" customWidth="1" min="51" max="52"/>
    <col width="4.5" customWidth="1" min="53" max="53"/>
    <col width="8.83203125" customWidth="1" min="54" max="54"/>
    <col width="7" customWidth="1" min="55" max="56"/>
    <col width="4" customWidth="1" min="57" max="58"/>
    <col width="4.5" customWidth="1" min="59" max="59"/>
    <col width="8.83203125" customWidth="1" min="60" max="60"/>
    <col width="7" customWidth="1" min="61" max="62"/>
    <col width="4" customWidth="1" min="63" max="64"/>
    <col width="4.5" customWidth="1" min="65" max="65"/>
    <col width="8.83203125" customWidth="1" min="66" max="66"/>
  </cols>
  <sheetData>
    <row r="1" ht="142" customFormat="1" customHeight="1" s="5">
      <c r="A1" s="12" t="inlineStr">
        <is>
          <t>Recette</t>
        </is>
      </c>
      <c r="B1" s="12" t="inlineStr">
        <is>
          <t>ID</t>
        </is>
      </c>
      <c r="C1" s="10" t="inlineStr">
        <is>
          <t>Ratio travail</t>
        </is>
      </c>
      <c r="D1" s="10" t="inlineStr">
        <is>
          <t>Poids (g) / unite</t>
        </is>
      </c>
      <c r="E1" s="8" t="inlineStr">
        <is>
          <t>Conditionnement</t>
        </is>
      </c>
      <c r="F1" s="9" t="inlineStr">
        <is>
          <t>Packaging / unite</t>
        </is>
      </c>
      <c r="G1" s="887" t="inlineStr">
        <is>
          <t>Prix Achat de plante par kg</t>
        </is>
      </c>
      <c r="H1" s="563" t="inlineStr">
        <is>
          <t>Prix de vente/U</t>
        </is>
      </c>
      <c r="I1" s="562" t="inlineStr">
        <is>
          <t>Prix de vente/kg</t>
        </is>
      </c>
      <c r="J1" s="18" t="inlineStr">
        <is>
          <t>Prix/kg (no BIO)</t>
        </is>
      </c>
      <c r="K1" s="17" t="inlineStr">
        <is>
          <t>Prix/kg (cook)</t>
        </is>
      </c>
      <c r="L1" s="570" t="inlineStr">
        <is>
          <t>Prix/kg (artisant)</t>
        </is>
      </c>
      <c r="M1" s="640" t="inlineStr">
        <is>
          <t>Objectif de vente en unite N1</t>
        </is>
      </c>
      <c r="N1" s="888" t="inlineStr">
        <is>
          <t>Total (kg) N1</t>
        </is>
      </c>
      <c r="O1" s="28" t="inlineStr">
        <is>
          <t>Conditionnement N1</t>
        </is>
      </c>
      <c r="P1" s="28" t="inlineStr">
        <is>
          <t>Achat par kg N1</t>
        </is>
      </c>
      <c r="Q1" s="28" t="inlineStr">
        <is>
          <t>Revenue brut N1</t>
        </is>
      </c>
      <c r="R1" s="29" t="inlineStr">
        <is>
          <t>Revenue net N1</t>
        </is>
      </c>
      <c r="S1" s="31" t="inlineStr">
        <is>
          <t>Objectif de vente en unite N2</t>
        </is>
      </c>
      <c r="T1" s="889" t="inlineStr">
        <is>
          <t>Total (kg) N2</t>
        </is>
      </c>
      <c r="U1" s="45" t="inlineStr">
        <is>
          <t>Conditionnement N2</t>
        </is>
      </c>
      <c r="V1" s="45" t="inlineStr">
        <is>
          <t>Achat plante / kg de melange N2</t>
        </is>
      </c>
      <c r="W1" s="45" t="inlineStr">
        <is>
          <t>Revenue brut N2</t>
        </is>
      </c>
      <c r="X1" s="39" t="inlineStr">
        <is>
          <t>Revenue net N2</t>
        </is>
      </c>
      <c r="Y1" s="32" t="inlineStr">
        <is>
          <t>Objectif de vente en unite N3</t>
        </is>
      </c>
      <c r="Z1" s="890" t="inlineStr">
        <is>
          <t>Total (kg) N3</t>
        </is>
      </c>
      <c r="AA1" s="46" t="inlineStr">
        <is>
          <t>Conditionnement N3</t>
        </is>
      </c>
      <c r="AB1" s="46" t="inlineStr">
        <is>
          <t>Achat plante / kg de melange N3</t>
        </is>
      </c>
      <c r="AC1" s="46" t="inlineStr">
        <is>
          <t>Revenue brut N3</t>
        </is>
      </c>
      <c r="AD1" s="40" t="inlineStr">
        <is>
          <t>Revenue net N3</t>
        </is>
      </c>
      <c r="AE1" s="33" t="inlineStr">
        <is>
          <t>Objectif de vente en unite N4</t>
        </is>
      </c>
      <c r="AF1" s="891" t="inlineStr">
        <is>
          <t>Total (kg) N4</t>
        </is>
      </c>
      <c r="AG1" s="47" t="inlineStr">
        <is>
          <t>Conditionnement N4</t>
        </is>
      </c>
      <c r="AH1" s="47" t="inlineStr">
        <is>
          <t>Achat plante / kg de melange N4</t>
        </is>
      </c>
      <c r="AI1" s="47" t="inlineStr">
        <is>
          <t>Revenue brut N4</t>
        </is>
      </c>
      <c r="AJ1" s="41" t="inlineStr">
        <is>
          <t>Revenue net N4</t>
        </is>
      </c>
      <c r="AK1" s="34" t="inlineStr">
        <is>
          <t>Objectif de vente en unite N5</t>
        </is>
      </c>
      <c r="AL1" s="892" t="inlineStr">
        <is>
          <t>Total (kg) N5</t>
        </is>
      </c>
      <c r="AM1" s="48" t="inlineStr">
        <is>
          <t>Conditionnement N5</t>
        </is>
      </c>
      <c r="AN1" s="48" t="inlineStr">
        <is>
          <t>Achat plante / kg de melange N5</t>
        </is>
      </c>
      <c r="AO1" s="48" t="inlineStr">
        <is>
          <t>Revenue brut N5</t>
        </is>
      </c>
      <c r="AP1" s="42" t="inlineStr">
        <is>
          <t>Revenue net N5</t>
        </is>
      </c>
      <c r="AQ1" s="35" t="inlineStr">
        <is>
          <t>Objectif de vente en unite N6</t>
        </is>
      </c>
      <c r="AR1" s="893" t="inlineStr">
        <is>
          <t>Total (kg) N6</t>
        </is>
      </c>
      <c r="AS1" s="49" t="inlineStr">
        <is>
          <t>Conditionnement N6</t>
        </is>
      </c>
      <c r="AT1" s="49" t="inlineStr">
        <is>
          <t>Achat plante / kg de melange N6</t>
        </is>
      </c>
      <c r="AU1" s="49" t="inlineStr">
        <is>
          <t>Revenue brut N6</t>
        </is>
      </c>
      <c r="AV1" s="43" t="inlineStr">
        <is>
          <t>Revenue net N6</t>
        </is>
      </c>
      <c r="AW1" s="30" t="inlineStr">
        <is>
          <t>Objectif de vente en unite N7</t>
        </is>
      </c>
      <c r="AX1" s="894" t="inlineStr">
        <is>
          <t>Total (kg) N7</t>
        </is>
      </c>
      <c r="AY1" s="50" t="inlineStr">
        <is>
          <t>Conditionnement N7</t>
        </is>
      </c>
      <c r="AZ1" s="50" t="inlineStr">
        <is>
          <t>Achat plante / kg de melange N7</t>
        </is>
      </c>
      <c r="BA1" s="50" t="inlineStr">
        <is>
          <t>Revenue brut N7</t>
        </is>
      </c>
      <c r="BB1" s="44" t="inlineStr">
        <is>
          <t>Revenue net N7</t>
        </is>
      </c>
      <c r="BC1" s="36" t="inlineStr">
        <is>
          <t>Objectif de vente en unite N8</t>
        </is>
      </c>
      <c r="BD1" s="895" t="inlineStr">
        <is>
          <t>Total (kg) N8</t>
        </is>
      </c>
      <c r="BE1" s="51" t="inlineStr">
        <is>
          <t>Conditionnement N8</t>
        </is>
      </c>
      <c r="BF1" s="51" t="inlineStr">
        <is>
          <t>Achat plante / kg de melange N8</t>
        </is>
      </c>
      <c r="BG1" s="51" t="inlineStr">
        <is>
          <t>Revenue brut N8</t>
        </is>
      </c>
      <c r="BH1" s="37" t="inlineStr">
        <is>
          <t>Revenue net N8</t>
        </is>
      </c>
      <c r="BI1" s="53" t="inlineStr">
        <is>
          <t>Objectif de vente en unite N9</t>
        </is>
      </c>
      <c r="BJ1" s="896" t="inlineStr">
        <is>
          <t>Total (kg) N9</t>
        </is>
      </c>
      <c r="BK1" s="52" t="inlineStr">
        <is>
          <t>Conditionnement N9</t>
        </is>
      </c>
      <c r="BL1" s="52" t="inlineStr">
        <is>
          <t>Achat plante / kg de melange N9</t>
        </is>
      </c>
      <c r="BM1" s="52" t="inlineStr">
        <is>
          <t>Revenue brut N9</t>
        </is>
      </c>
      <c r="BN1" s="38" t="inlineStr">
        <is>
          <t>Revenue net N9</t>
        </is>
      </c>
    </row>
    <row r="2">
      <c r="A2" s="13" t="inlineStr">
        <is>
          <t>Herbe de provence</t>
        </is>
      </c>
      <c r="B2" s="54">
        <f>TableauProduit[[#This Row],[Recette]]&amp;TableauProduit[[#This Row],[Conditionnement]]</f>
        <v/>
      </c>
      <c r="C2" s="11" t="n">
        <v>1</v>
      </c>
      <c r="D2" s="11" t="n">
        <v>80</v>
      </c>
      <c r="E2" s="6" t="inlineStr">
        <is>
          <t>Epice 200ml</t>
        </is>
      </c>
      <c r="F2" s="7">
        <f>IFERROR(VLOOKUP(TableauProduit[[#This Row],[Conditionnement]],TableauConditionnement[[Nom]:[Contenance]],4,FALSE),"")</f>
        <v/>
      </c>
      <c r="G2" s="897">
        <f>IFERROR(SUMIFS(TableauRecette[Prix d''achat / kg],TableauRecette[Recette],TableauProduit[[#This Row],[Recette]],TableauRecette[Conditionnement],TableauProduit[[#This Row],[Conditionnement]]),0)</f>
        <v/>
      </c>
      <c r="H2" s="898" t="n">
        <v>7.5</v>
      </c>
      <c r="I2" s="899">
        <f>1000*TableauProduit[[#This Row],[Prix de vente/U]]/TableauProduit[[#This Row],[Poids (g) / unite]]</f>
        <v/>
      </c>
      <c r="J2" s="900">
        <f>SUMIFS(TableauConcurence[PRIX_KG],TableauConcurence[PRODUIT],TableauProduit[[#This Row],[Recette]],TableauConcurence[DISTRIBUTION],"magasin NON BIO")</f>
        <v/>
      </c>
      <c r="K2" s="901">
        <f>SUMIFS(TableauConcurence[PRIX_KG],TableauConcurence[PRODUIT],TableauProduit[[#This Row],[Recette]],TableauConcurence[DISTRIBUTION],"magasin BIO")</f>
        <v/>
      </c>
      <c r="L2" s="902">
        <f>SUMIFS(TableauConcurence[PRIX_KG],TableauConcurence[PRODUIT],TableauProduit[[#This Row],[Recette]],TableauConcurence[DISTRIBUTION],"artisanale BIO")</f>
        <v/>
      </c>
      <c r="M2" s="903" t="n">
        <v>500</v>
      </c>
      <c r="N2" s="904">
        <f>TableauProduit[[#This Row],[Poids (g) / unite]]*TableauProduit[[#This Row],[Objectif de vente en unite N1]]/1000</f>
        <v/>
      </c>
      <c r="O2" s="905">
        <f>TableauProduit[[#This Row],[Objectif de vente en unite N1]]*TableauProduit[[#This Row],[Packaging / unite]]</f>
        <v/>
      </c>
      <c r="P2" s="905">
        <f>TableauProduit[[#This Row],[Prix Achat de plante par kg]]*TableauProduit[[#This Row],[Total (kg) N1]]</f>
        <v/>
      </c>
      <c r="Q2" s="905">
        <f>TableauProduit[[#This Row],[Prix de vente/kg]]*TableauProduit[[#This Row],[Total (kg) N1]]</f>
        <v/>
      </c>
      <c r="R2" s="906">
        <f>TableauProduit[[#This Row],[Revenue brut N1]]-TableauProduit[[#This Row],[Achat par kg N1]]-TableauProduit[[#This Row],[Conditionnement N1]]</f>
        <v/>
      </c>
      <c r="S2" s="907" t="n">
        <v>1000</v>
      </c>
      <c r="T2" s="908">
        <f>TableauProduit[[#This Row],[Poids (g) / unite]]*TableauProduit[[#This Row],[Objectif de vente en unite N2]]/1000</f>
        <v/>
      </c>
      <c r="U2" s="909">
        <f>TableauProduit[[#This Row],[Objectif de vente en unite N2]]*TableauProduit[[#This Row],[Packaging / unite]]</f>
        <v/>
      </c>
      <c r="V2" s="909">
        <f>TableauProduit[[#This Row],[Prix Achat de plante par kg]]*TableauProduit[[#This Row],[Total (kg) N2]]</f>
        <v/>
      </c>
      <c r="W2" s="909">
        <f>TableauProduit[[#This Row],[Prix de vente/kg]]*TableauProduit[[#This Row],[Total (kg) N2]]</f>
        <v/>
      </c>
      <c r="X2" s="910">
        <f>TableauProduit[[#This Row],[Revenue brut N2]]-TableauProduit[[#This Row],[Achat plante / kg de melange N2]]-TableauProduit[[#This Row],[Conditionnement N2]]</f>
        <v/>
      </c>
      <c r="Y2" s="911" t="n">
        <v>2400</v>
      </c>
      <c r="Z2" s="912">
        <f>TableauProduit[[#This Row],[Poids (g) / unite]]*TableauProduit[[#This Row],[Objectif de vente en unite N3]]/1000</f>
        <v/>
      </c>
      <c r="AA2" s="913">
        <f>TableauProduit[[#This Row],[Objectif de vente en unite N3]]*TableauProduit[[#This Row],[Packaging / unite]]</f>
        <v/>
      </c>
      <c r="AB2" s="913">
        <f>TableauProduit[[#This Row],[Prix Achat de plante par kg]]*TableauProduit[[#This Row],[Total (kg) N3]]</f>
        <v/>
      </c>
      <c r="AC2" s="913">
        <f>TableauProduit[[#This Row],[Prix de vente/kg]]*TableauProduit[[#This Row],[Total (kg) N3]]</f>
        <v/>
      </c>
      <c r="AD2" s="914">
        <f>TableauProduit[[#This Row],[Revenue brut N3]]-TableauProduit[[#This Row],[Achat plante / kg de melange N3]]-TableauProduit[[#This Row],[Conditionnement N3]]</f>
        <v/>
      </c>
      <c r="AE2" s="915" t="n">
        <v>2400</v>
      </c>
      <c r="AF2" s="915">
        <f>TableauProduit[[#This Row],[Poids (g) / unite]]*TableauProduit[[#This Row],[Objectif de vente en unite N4]]/1000</f>
        <v/>
      </c>
      <c r="AG2" s="916">
        <f>TableauProduit[[#This Row],[Objectif de vente en unite N4]]*TableauProduit[[#This Row],[Packaging / unite]]</f>
        <v/>
      </c>
      <c r="AH2" s="916">
        <f>TableauProduit[[#This Row],[Prix Achat de plante par kg]]*TableauProduit[[#This Row],[Total (kg) N4]]</f>
        <v/>
      </c>
      <c r="AI2" s="916">
        <f>TableauProduit[[#This Row],[Prix de vente/kg]]*TableauProduit[[#This Row],[Total (kg) N4]]</f>
        <v/>
      </c>
      <c r="AJ2" s="915">
        <f>TableauProduit[[#This Row],[Revenue brut N4]]-TableauProduit[[#This Row],[Achat plante / kg de melange N4]]-TableauProduit[[#This Row],[Conditionnement N4]]</f>
        <v/>
      </c>
      <c r="AK2" s="917" t="n">
        <v>2400</v>
      </c>
      <c r="AL2" s="917">
        <f>TableauProduit[[#This Row],[Poids (g) / unite]]*TableauProduit[[#This Row],[Objectif de vente en unite N5]]/1000</f>
        <v/>
      </c>
      <c r="AM2" s="918">
        <f>TableauProduit[[#This Row],[Objectif de vente en unite N5]]*TableauProduit[[#This Row],[Packaging / unite]]</f>
        <v/>
      </c>
      <c r="AN2" s="918">
        <f>TableauProduit[[#This Row],[Prix Achat de plante par kg]]*TableauProduit[[#This Row],[Total (kg) N5]]</f>
        <v/>
      </c>
      <c r="AO2" s="918">
        <f>TableauProduit[[#This Row],[Prix de vente/kg]]*TableauProduit[[#This Row],[Total (kg) N5]]</f>
        <v/>
      </c>
      <c r="AP2" s="917">
        <f>TableauProduit[[#This Row],[Revenue brut N5]]-TableauProduit[[#This Row],[Achat plante / kg de melange N5]]-TableauProduit[[#This Row],[Conditionnement N5]]</f>
        <v/>
      </c>
      <c r="AQ2" s="919" t="n">
        <v>2400</v>
      </c>
      <c r="AR2" s="919">
        <f>TableauProduit[[#This Row],[Poids (g) / unite]]*TableauProduit[[#This Row],[Objectif de vente en unite N6]]/1000</f>
        <v/>
      </c>
      <c r="AS2" s="920">
        <f>TableauProduit[[#This Row],[Objectif de vente en unite N6]]*TableauProduit[[#This Row],[Packaging / unite]]</f>
        <v/>
      </c>
      <c r="AT2" s="920">
        <f>TableauProduit[[#This Row],[Prix Achat de plante par kg]]*TableauProduit[[#This Row],[Total (kg) N6]]</f>
        <v/>
      </c>
      <c r="AU2" s="920">
        <f>TableauProduit[[#This Row],[Prix de vente/kg]]*TableauProduit[[#This Row],[Total (kg) N6]]</f>
        <v/>
      </c>
      <c r="AV2" s="919">
        <f>TableauProduit[[#This Row],[Revenue brut N6]]-TableauProduit[[#This Row],[Achat plante / kg de melange N6]]-TableauProduit[[#This Row],[Conditionnement N6]]</f>
        <v/>
      </c>
      <c r="AW2" s="904" t="n">
        <v>2400</v>
      </c>
      <c r="AX2" s="904">
        <f>TableauProduit[[#This Row],[Poids (g) / unite]]*TableauProduit[[#This Row],[Objectif de vente en unite N7]]/1000</f>
        <v/>
      </c>
      <c r="AY2" s="905">
        <f>TableauProduit[[#This Row],[Objectif de vente en unite N7]]*TableauProduit[[#This Row],[Packaging / unite]]</f>
        <v/>
      </c>
      <c r="AZ2" s="905">
        <f>TableauProduit[[#This Row],[Prix Achat de plante par kg]]*TableauProduit[[#This Row],[Total (kg) N7]]</f>
        <v/>
      </c>
      <c r="BA2" s="905">
        <f>TableauProduit[[#This Row],[Prix de vente/kg]]*TableauProduit[[#This Row],[Total (kg) N7]]</f>
        <v/>
      </c>
      <c r="BB2" s="921">
        <f>TableauProduit[[#This Row],[Revenue brut N7]]-TableauProduit[[#This Row],[Achat plante / kg de melange N7]]-TableauProduit[[#This Row],[Conditionnement N7]]</f>
        <v/>
      </c>
      <c r="BC2" s="922" t="n">
        <v>2400</v>
      </c>
      <c r="BD2" s="923">
        <f>TableauProduit[[#This Row],[Poids (g) / unite]]*TableauProduit[[#This Row],[Objectif de vente en unite N8]]/1000</f>
        <v/>
      </c>
      <c r="BE2" s="924">
        <f>TableauProduit[[#This Row],[Objectif de vente en unite N8]]*TableauProduit[[#This Row],[Packaging / unite]]</f>
        <v/>
      </c>
      <c r="BF2" s="924">
        <f>TableauProduit[[#This Row],[Prix Achat de plante par kg]]*TableauProduit[[#This Row],[Total (kg) N8]]</f>
        <v/>
      </c>
      <c r="BG2" s="924">
        <f>TableauProduit[[#This Row],[Prix de vente/kg]]*TableauProduit[[#This Row],[Total (kg) N8]]</f>
        <v/>
      </c>
      <c r="BH2" s="925">
        <f>TableauProduit[[#This Row],[Revenue brut N8]]-TableauProduit[[#This Row],[Achat plante / kg de melange N8]]-TableauProduit[[#This Row],[Conditionnement N8]]</f>
        <v/>
      </c>
      <c r="BI2" s="926" t="n">
        <v>2400</v>
      </c>
      <c r="BJ2" s="927">
        <f>TableauProduit[[#This Row],[Poids (g) / unite]]*TableauProduit[[#This Row],[Objectif de vente en unite N9]]/1000</f>
        <v/>
      </c>
      <c r="BK2" s="928">
        <f>TableauProduit[[#This Row],[Objectif de vente en unite N9]]*TableauProduit[[#This Row],[Packaging / unite]]</f>
        <v/>
      </c>
      <c r="BL2" s="928">
        <f>TableauProduit[[#This Row],[Prix Achat de plante par kg]]*TableauProduit[[#This Row],[Total (kg) N9]]</f>
        <v/>
      </c>
      <c r="BM2" s="928">
        <f>TableauProduit[[#This Row],[Prix de vente/kg]]*TableauProduit[[#This Row],[Total (kg) N9]]</f>
        <v/>
      </c>
      <c r="BN2" s="927">
        <f>TableauProduit[[#This Row],[Revenue brut N9]]-TableauProduit[[#This Row],[Achat plante / kg de melange N9]]-TableauProduit[[#This Row],[Conditionnement N9]]</f>
        <v/>
      </c>
    </row>
    <row r="3">
      <c r="A3" s="13" t="inlineStr">
        <is>
          <t>Moutarde à l'ancienne</t>
        </is>
      </c>
      <c r="B3" s="54">
        <f>TableauProduit[[#This Row],[Recette]]&amp;TableauProduit[[#This Row],[Conditionnement]]</f>
        <v/>
      </c>
      <c r="C3" s="11" t="n">
        <v>1</v>
      </c>
      <c r="D3" s="11" t="n">
        <v>250</v>
      </c>
      <c r="E3" s="6" t="inlineStr">
        <is>
          <t>Moutarde verre 265 ml</t>
        </is>
      </c>
      <c r="F3" s="7">
        <f>IFERROR(VLOOKUP(TableauProduit[[#This Row],[Conditionnement]],TableauConditionnement[[Nom]:[Contenance]],4,FALSE),"")</f>
        <v/>
      </c>
      <c r="G3" s="897">
        <f>IFERROR(SUMIFS(TableauRecette[Prix d''achat / kg],TableauRecette[Recette],TableauProduit[[#This Row],[Recette]],TableauRecette[Conditionnement],TableauProduit[[#This Row],[Conditionnement]]),0)</f>
        <v/>
      </c>
      <c r="H3" s="929" t="n">
        <v>5</v>
      </c>
      <c r="I3" s="899">
        <f>1000*TableauProduit[[#This Row],[Prix de vente/U]]/TableauProduit[[#This Row],[Poids (g) / unite]]</f>
        <v/>
      </c>
      <c r="J3" s="900">
        <f>SUMIFS(TableauConcurence[PRIX_KG],TableauConcurence[PRODUIT],TableauProduit[[#This Row],[Recette]],TableauConcurence[DISTRIBUTION],"magasin NON BIO")</f>
        <v/>
      </c>
      <c r="K3" s="901">
        <f>SUMIFS(TableauConcurence[PRIX_KG],TableauConcurence[PRODUIT],TableauProduit[[#This Row],[Recette]],TableauConcurence[DISTRIBUTION],"magasin BIO")</f>
        <v/>
      </c>
      <c r="L3" s="902">
        <f>SUMIFS(TableauConcurence[PRIX_KG],TableauConcurence[PRODUIT],TableauProduit[[#This Row],[Recette]],TableauConcurence[DISTRIBUTION],"artisanale BIO")</f>
        <v/>
      </c>
      <c r="M3" s="903" t="n">
        <v>500</v>
      </c>
      <c r="N3" s="904">
        <f>TableauProduit[[#This Row],[Poids (g) / unite]]*TableauProduit[[#This Row],[Objectif de vente en unite N1]]/1000</f>
        <v/>
      </c>
      <c r="O3" s="905">
        <f>TableauProduit[[#This Row],[Objectif de vente en unite N1]]*TableauProduit[[#This Row],[Packaging / unite]]</f>
        <v/>
      </c>
      <c r="P3" s="905">
        <f>TableauProduit[[#This Row],[Prix Achat de plante par kg]]*TableauProduit[[#This Row],[Total (kg) N1]]</f>
        <v/>
      </c>
      <c r="Q3" s="905">
        <f>TableauProduit[[#This Row],[Prix de vente/kg]]*TableauProduit[[#This Row],[Total (kg) N1]]</f>
        <v/>
      </c>
      <c r="R3" s="906">
        <f>TableauProduit[[#This Row],[Revenue brut N1]]-TableauProduit[[#This Row],[Achat par kg N1]]-TableauProduit[[#This Row],[Conditionnement N1]]</f>
        <v/>
      </c>
      <c r="S3" s="907" t="n">
        <v>1000</v>
      </c>
      <c r="T3" s="930">
        <f>TableauProduit[[#This Row],[Poids (g) / unite]]*TableauProduit[[#This Row],[Objectif de vente en unite N2]]/1000</f>
        <v/>
      </c>
      <c r="U3" s="931">
        <f>TableauProduit[[#This Row],[Objectif de vente en unite N2]]*TableauProduit[[#This Row],[Packaging / unite]]</f>
        <v/>
      </c>
      <c r="V3" s="909">
        <f>TableauProduit[[#This Row],[Prix Achat de plante par kg]]*TableauProduit[[#This Row],[Total (kg) N2]]</f>
        <v/>
      </c>
      <c r="W3" s="932">
        <f>TableauProduit[[#This Row],[Prix de vente/kg]]*TableauProduit[[#This Row],[Total (kg) N2]]</f>
        <v/>
      </c>
      <c r="X3" s="910">
        <f>TableauProduit[[#This Row],[Revenue brut N2]]-TableauProduit[[#This Row],[Achat plante / kg de melange N2]]-TableauProduit[[#This Row],[Conditionnement N2]]</f>
        <v/>
      </c>
      <c r="Y3" s="911" t="n">
        <v>2400</v>
      </c>
      <c r="Z3" s="933">
        <f>TableauProduit[[#This Row],[Poids (g) / unite]]*TableauProduit[[#This Row],[Objectif de vente en unite N3]]/1000</f>
        <v/>
      </c>
      <c r="AA3" s="934">
        <f>TableauProduit[[#This Row],[Objectif de vente en unite N3]]*TableauProduit[[#This Row],[Packaging / unite]]</f>
        <v/>
      </c>
      <c r="AB3" s="913">
        <f>TableauProduit[[#This Row],[Prix Achat de plante par kg]]*TableauProduit[[#This Row],[Total (kg) N3]]</f>
        <v/>
      </c>
      <c r="AC3" s="935">
        <f>TableauProduit[[#This Row],[Prix de vente/kg]]*TableauProduit[[#This Row],[Total (kg) N3]]</f>
        <v/>
      </c>
      <c r="AD3" s="914">
        <f>TableauProduit[[#This Row],[Revenue brut N3]]-TableauProduit[[#This Row],[Achat plante / kg de melange N3]]-TableauProduit[[#This Row],[Conditionnement N3]]</f>
        <v/>
      </c>
      <c r="AE3" s="915" t="n">
        <v>2400</v>
      </c>
      <c r="AF3" s="936">
        <f>TableauProduit[[#This Row],[Poids (g) / unite]]*TableauProduit[[#This Row],[Objectif de vente en unite N4]]/1000</f>
        <v/>
      </c>
      <c r="AG3" s="937">
        <f>TableauProduit[[#This Row],[Objectif de vente en unite N4]]*TableauProduit[[#This Row],[Packaging / unite]]</f>
        <v/>
      </c>
      <c r="AH3" s="916">
        <f>TableauProduit[[#This Row],[Prix Achat de plante par kg]]*TableauProduit[[#This Row],[Total (kg) N4]]</f>
        <v/>
      </c>
      <c r="AI3" s="938">
        <f>TableauProduit[[#This Row],[Prix de vente/kg]]*TableauProduit[[#This Row],[Total (kg) N4]]</f>
        <v/>
      </c>
      <c r="AJ3" s="939">
        <f>TableauProduit[[#This Row],[Revenue brut N4]]-TableauProduit[[#This Row],[Achat plante / kg de melange N4]]-TableauProduit[[#This Row],[Conditionnement N4]]</f>
        <v/>
      </c>
      <c r="AK3" s="917" t="n">
        <v>2400</v>
      </c>
      <c r="AL3" s="940">
        <f>TableauProduit[[#This Row],[Poids (g) / unite]]*TableauProduit[[#This Row],[Objectif de vente en unite N5]]/1000</f>
        <v/>
      </c>
      <c r="AM3" s="941">
        <f>TableauProduit[[#This Row],[Objectif de vente en unite N5]]*TableauProduit[[#This Row],[Packaging / unite]]</f>
        <v/>
      </c>
      <c r="AN3" s="918">
        <f>TableauProduit[[#This Row],[Prix Achat de plante par kg]]*TableauProduit[[#This Row],[Total (kg) N5]]</f>
        <v/>
      </c>
      <c r="AO3" s="942">
        <f>TableauProduit[[#This Row],[Prix de vente/kg]]*TableauProduit[[#This Row],[Total (kg) N5]]</f>
        <v/>
      </c>
      <c r="AP3" s="943">
        <f>TableauProduit[[#This Row],[Revenue brut N5]]-TableauProduit[[#This Row],[Achat plante / kg de melange N5]]-TableauProduit[[#This Row],[Conditionnement N5]]</f>
        <v/>
      </c>
      <c r="AQ3" s="919" t="n">
        <v>2400</v>
      </c>
      <c r="AR3" s="944">
        <f>TableauProduit[[#This Row],[Poids (g) / unite]]*TableauProduit[[#This Row],[Objectif de vente en unite N6]]/1000</f>
        <v/>
      </c>
      <c r="AS3" s="945">
        <f>TableauProduit[[#This Row],[Objectif de vente en unite N6]]*TableauProduit[[#This Row],[Packaging / unite]]</f>
        <v/>
      </c>
      <c r="AT3" s="920">
        <f>TableauProduit[[#This Row],[Prix Achat de plante par kg]]*TableauProduit[[#This Row],[Total (kg) N6]]</f>
        <v/>
      </c>
      <c r="AU3" s="946">
        <f>TableauProduit[[#This Row],[Prix de vente/kg]]*TableauProduit[[#This Row],[Total (kg) N6]]</f>
        <v/>
      </c>
      <c r="AV3" s="947">
        <f>TableauProduit[[#This Row],[Revenue brut N6]]-TableauProduit[[#This Row],[Achat plante / kg de melange N6]]-TableauProduit[[#This Row],[Conditionnement N6]]</f>
        <v/>
      </c>
      <c r="AW3" s="904" t="n">
        <v>2400</v>
      </c>
      <c r="AX3" s="948">
        <f>TableauProduit[[#This Row],[Poids (g) / unite]]*TableauProduit[[#This Row],[Objectif de vente en unite N7]]/1000</f>
        <v/>
      </c>
      <c r="AY3" s="949">
        <f>TableauProduit[[#This Row],[Objectif de vente en unite N7]]*TableauProduit[[#This Row],[Packaging / unite]]</f>
        <v/>
      </c>
      <c r="AZ3" s="905">
        <f>TableauProduit[[#This Row],[Prix Achat de plante par kg]]*TableauProduit[[#This Row],[Total (kg) N7]]</f>
        <v/>
      </c>
      <c r="BA3" s="950">
        <f>TableauProduit[[#This Row],[Prix de vente/kg]]*TableauProduit[[#This Row],[Total (kg) N7]]</f>
        <v/>
      </c>
      <c r="BB3" s="921">
        <f>TableauProduit[[#This Row],[Revenue brut N7]]-TableauProduit[[#This Row],[Achat plante / kg de melange N7]]-TableauProduit[[#This Row],[Conditionnement N7]]</f>
        <v/>
      </c>
      <c r="BC3" s="922" t="n">
        <v>2400</v>
      </c>
      <c r="BD3" s="951">
        <f>TableauProduit[[#This Row],[Poids (g) / unite]]*TableauProduit[[#This Row],[Objectif de vente en unite N8]]/1000</f>
        <v/>
      </c>
      <c r="BE3" s="952">
        <f>TableauProduit[[#This Row],[Objectif de vente en unite N8]]*TableauProduit[[#This Row],[Packaging / unite]]</f>
        <v/>
      </c>
      <c r="BF3" s="924">
        <f>TableauProduit[[#This Row],[Prix Achat de plante par kg]]*TableauProduit[[#This Row],[Total (kg) N8]]</f>
        <v/>
      </c>
      <c r="BG3" s="953">
        <f>TableauProduit[[#This Row],[Prix de vente/kg]]*TableauProduit[[#This Row],[Total (kg) N8]]</f>
        <v/>
      </c>
      <c r="BH3" s="954">
        <f>TableauProduit[[#This Row],[Revenue brut N8]]-TableauProduit[[#This Row],[Achat plante / kg de melange N8]]-TableauProduit[[#This Row],[Conditionnement N8]]</f>
        <v/>
      </c>
      <c r="BI3" s="926" t="n">
        <v>2400</v>
      </c>
      <c r="BJ3" s="926">
        <f>TableauProduit[[#This Row],[Poids (g) / unite]]*TableauProduit[[#This Row],[Objectif de vente en unite N9]]/1000</f>
        <v/>
      </c>
      <c r="BK3" s="955">
        <f>TableauProduit[[#This Row],[Objectif de vente en unite N9]]*TableauProduit[[#This Row],[Packaging / unite]]</f>
        <v/>
      </c>
      <c r="BL3" s="928">
        <f>TableauProduit[[#This Row],[Prix Achat de plante par kg]]*TableauProduit[[#This Row],[Total (kg) N9]]</f>
        <v/>
      </c>
      <c r="BM3" s="956">
        <f>TableauProduit[[#This Row],[Prix de vente/kg]]*TableauProduit[[#This Row],[Total (kg) N9]]</f>
        <v/>
      </c>
      <c r="BN3" s="927">
        <f>TableauProduit[[#This Row],[Revenue brut N9]]-TableauProduit[[#This Row],[Achat plante / kg de melange N9]]-TableauProduit[[#This Row],[Conditionnement N9]]</f>
        <v/>
      </c>
    </row>
    <row r="4">
      <c r="A4" s="13" t="inlineStr">
        <is>
          <t>Choucroute</t>
        </is>
      </c>
      <c r="B4" s="54">
        <f>TableauProduit[[#This Row],[Recette]]&amp;TableauProduit[[#This Row],[Conditionnement]]</f>
        <v/>
      </c>
      <c r="C4" s="11" t="n">
        <v>1</v>
      </c>
      <c r="D4" s="11" t="n">
        <v>1000</v>
      </c>
      <c r="E4" s="6" t="inlineStr">
        <is>
          <t>Seau 2,5 l, plastique</t>
        </is>
      </c>
      <c r="F4" s="7">
        <f>IFERROR(VLOOKUP(TableauProduit[[#This Row],[Conditionnement]],TableauConditionnement[[Nom]:[Contenance]],4,FALSE),"")</f>
        <v/>
      </c>
      <c r="G4" s="897">
        <f>IFERROR(SUMIFS(TableauRecette[Prix d''achat / kg],TableauRecette[Recette],TableauProduit[[#This Row],[Recette]],TableauRecette[Conditionnement],TableauProduit[[#This Row],[Conditionnement]]),0)</f>
        <v/>
      </c>
      <c r="H4" s="898" t="n">
        <v>4</v>
      </c>
      <c r="I4" s="899">
        <f>1000*TableauProduit[[#This Row],[Prix de vente/U]]/TableauProduit[[#This Row],[Poids (g) / unite]]</f>
        <v/>
      </c>
      <c r="J4" s="900">
        <f>SUMIFS(TableauConcurence[PRIX_KG],TableauConcurence[PRODUIT],TableauProduit[[#This Row],[Recette]],TableauConcurence[DISTRIBUTION],"magasin NON BIO")</f>
        <v/>
      </c>
      <c r="K4" s="901">
        <f>SUMIFS(TableauConcurence[PRIX_KG],TableauConcurence[PRODUIT],TableauProduit[[#This Row],[Recette]],TableauConcurence[DISTRIBUTION],"magasin BIO")</f>
        <v/>
      </c>
      <c r="L4" s="902">
        <f>SUMIFS(TableauConcurence[PRIX_KG],TableauConcurence[PRODUIT],TableauProduit[[#This Row],[Recette]],TableauConcurence[DISTRIBUTION],"artisanale BIO")</f>
        <v/>
      </c>
      <c r="M4" s="903" t="n">
        <v>500</v>
      </c>
      <c r="N4" s="904">
        <f>TableauProduit[[#This Row],[Poids (g) / unite]]*TableauProduit[[#This Row],[Objectif de vente en unite N1]]/1000</f>
        <v/>
      </c>
      <c r="O4" s="905">
        <f>TableauProduit[[#This Row],[Objectif de vente en unite N1]]*TableauProduit[[#This Row],[Packaging / unite]]</f>
        <v/>
      </c>
      <c r="P4" s="905">
        <f>TableauProduit[[#This Row],[Prix Achat de plante par kg]]*TableauProduit[[#This Row],[Total (kg) N1]]</f>
        <v/>
      </c>
      <c r="Q4" s="905">
        <f>TableauProduit[[#This Row],[Prix de vente/kg]]*TableauProduit[[#This Row],[Total (kg) N1]]</f>
        <v/>
      </c>
      <c r="R4" s="906">
        <f>TableauProduit[[#This Row],[Revenue brut N1]]-TableauProduit[[#This Row],[Achat par kg N1]]-TableauProduit[[#This Row],[Conditionnement N1]]</f>
        <v/>
      </c>
      <c r="S4" s="907" t="n"/>
      <c r="T4" s="908">
        <f>TableauProduit[[#This Row],[Poids (g) / unite]]*TableauProduit[[#This Row],[Objectif de vente en unite N2]]/1000</f>
        <v/>
      </c>
      <c r="U4" s="909">
        <f>TableauProduit[[#This Row],[Objectif de vente en unite N2]]*TableauProduit[[#This Row],[Packaging / unite]]</f>
        <v/>
      </c>
      <c r="V4" s="909">
        <f>TableauProduit[[#This Row],[Prix Achat de plante par kg]]*TableauProduit[[#This Row],[Total (kg) N2]]</f>
        <v/>
      </c>
      <c r="W4" s="909">
        <f>TableauProduit[[#This Row],[Prix de vente/kg]]*TableauProduit[[#This Row],[Total (kg) N2]]</f>
        <v/>
      </c>
      <c r="X4" s="910">
        <f>TableauProduit[[#This Row],[Revenue brut N2]]-TableauProduit[[#This Row],[Achat plante / kg de melange N2]]-TableauProduit[[#This Row],[Conditionnement N2]]</f>
        <v/>
      </c>
      <c r="Y4" s="911" t="n"/>
      <c r="Z4" s="912">
        <f>TableauProduit[[#This Row],[Poids (g) / unite]]*TableauProduit[[#This Row],[Objectif de vente en unite N3]]/1000</f>
        <v/>
      </c>
      <c r="AA4" s="913">
        <f>TableauProduit[[#This Row],[Objectif de vente en unite N3]]*TableauProduit[[#This Row],[Packaging / unite]]</f>
        <v/>
      </c>
      <c r="AB4" s="913">
        <f>TableauProduit[[#This Row],[Prix Achat de plante par kg]]*TableauProduit[[#This Row],[Total (kg) N3]]</f>
        <v/>
      </c>
      <c r="AC4" s="913">
        <f>TableauProduit[[#This Row],[Prix de vente/kg]]*TableauProduit[[#This Row],[Total (kg) N3]]</f>
        <v/>
      </c>
      <c r="AD4" s="914">
        <f>TableauProduit[[#This Row],[Revenue brut N3]]-TableauProduit[[#This Row],[Achat plante / kg de melange N3]]-TableauProduit[[#This Row],[Conditionnement N3]]</f>
        <v/>
      </c>
      <c r="AE4" s="915" t="n"/>
      <c r="AF4" s="915">
        <f>TableauProduit[[#This Row],[Poids (g) / unite]]*TableauProduit[[#This Row],[Objectif de vente en unite N4]]/1000</f>
        <v/>
      </c>
      <c r="AG4" s="916">
        <f>TableauProduit[[#This Row],[Objectif de vente en unite N4]]*TableauProduit[[#This Row],[Packaging / unite]]</f>
        <v/>
      </c>
      <c r="AH4" s="916">
        <f>TableauProduit[[#This Row],[Prix Achat de plante par kg]]*TableauProduit[[#This Row],[Total (kg) N4]]</f>
        <v/>
      </c>
      <c r="AI4" s="916">
        <f>TableauProduit[[#This Row],[Prix de vente/kg]]*TableauProduit[[#This Row],[Total (kg) N4]]</f>
        <v/>
      </c>
      <c r="AJ4" s="915">
        <f>TableauProduit[[#This Row],[Revenue brut N4]]-TableauProduit[[#This Row],[Achat plante / kg de melange N4]]-TableauProduit[[#This Row],[Conditionnement N4]]</f>
        <v/>
      </c>
      <c r="AK4" s="917" t="n"/>
      <c r="AL4" s="917">
        <f>TableauProduit[[#This Row],[Poids (g) / unite]]*TableauProduit[[#This Row],[Objectif de vente en unite N5]]/1000</f>
        <v/>
      </c>
      <c r="AM4" s="918">
        <f>TableauProduit[[#This Row],[Objectif de vente en unite N5]]*TableauProduit[[#This Row],[Packaging / unite]]</f>
        <v/>
      </c>
      <c r="AN4" s="918">
        <f>TableauProduit[[#This Row],[Prix Achat de plante par kg]]*TableauProduit[[#This Row],[Total (kg) N5]]</f>
        <v/>
      </c>
      <c r="AO4" s="918">
        <f>TableauProduit[[#This Row],[Prix de vente/kg]]*TableauProduit[[#This Row],[Total (kg) N5]]</f>
        <v/>
      </c>
      <c r="AP4" s="917">
        <f>TableauProduit[[#This Row],[Revenue brut N5]]-TableauProduit[[#This Row],[Achat plante / kg de melange N5]]-TableauProduit[[#This Row],[Conditionnement N5]]</f>
        <v/>
      </c>
      <c r="AQ4" s="919" t="n"/>
      <c r="AR4" s="919">
        <f>TableauProduit[[#This Row],[Poids (g) / unite]]*TableauProduit[[#This Row],[Objectif de vente en unite N6]]/1000</f>
        <v/>
      </c>
      <c r="AS4" s="920">
        <f>TableauProduit[[#This Row],[Objectif de vente en unite N6]]*TableauProduit[[#This Row],[Packaging / unite]]</f>
        <v/>
      </c>
      <c r="AT4" s="920">
        <f>TableauProduit[[#This Row],[Prix Achat de plante par kg]]*TableauProduit[[#This Row],[Total (kg) N6]]</f>
        <v/>
      </c>
      <c r="AU4" s="920">
        <f>TableauProduit[[#This Row],[Prix de vente/kg]]*TableauProduit[[#This Row],[Total (kg) N6]]</f>
        <v/>
      </c>
      <c r="AV4" s="919">
        <f>TableauProduit[[#This Row],[Revenue brut N6]]-TableauProduit[[#This Row],[Achat plante / kg de melange N6]]-TableauProduit[[#This Row],[Conditionnement N6]]</f>
        <v/>
      </c>
      <c r="AW4" s="904" t="n"/>
      <c r="AX4" s="904">
        <f>TableauProduit[[#This Row],[Poids (g) / unite]]*TableauProduit[[#This Row],[Objectif de vente en unite N7]]/1000</f>
        <v/>
      </c>
      <c r="AY4" s="905">
        <f>TableauProduit[[#This Row],[Objectif de vente en unite N7]]*TableauProduit[[#This Row],[Packaging / unite]]</f>
        <v/>
      </c>
      <c r="AZ4" s="905">
        <f>TableauProduit[[#This Row],[Prix Achat de plante par kg]]*TableauProduit[[#This Row],[Total (kg) N7]]</f>
        <v/>
      </c>
      <c r="BA4" s="905">
        <f>TableauProduit[[#This Row],[Prix de vente/kg]]*TableauProduit[[#This Row],[Total (kg) N7]]</f>
        <v/>
      </c>
      <c r="BB4" s="921">
        <f>TableauProduit[[#This Row],[Revenue brut N7]]-TableauProduit[[#This Row],[Achat plante / kg de melange N7]]-TableauProduit[[#This Row],[Conditionnement N7]]</f>
        <v/>
      </c>
      <c r="BC4" s="922" t="n"/>
      <c r="BD4" s="923">
        <f>TableauProduit[[#This Row],[Poids (g) / unite]]*TableauProduit[[#This Row],[Objectif de vente en unite N8]]/1000</f>
        <v/>
      </c>
      <c r="BE4" s="924">
        <f>TableauProduit[[#This Row],[Objectif de vente en unite N8]]*TableauProduit[[#This Row],[Packaging / unite]]</f>
        <v/>
      </c>
      <c r="BF4" s="924">
        <f>TableauProduit[[#This Row],[Prix Achat de plante par kg]]*TableauProduit[[#This Row],[Total (kg) N8]]</f>
        <v/>
      </c>
      <c r="BG4" s="924">
        <f>TableauProduit[[#This Row],[Prix de vente/kg]]*TableauProduit[[#This Row],[Total (kg) N8]]</f>
        <v/>
      </c>
      <c r="BH4" s="925">
        <f>TableauProduit[[#This Row],[Revenue brut N8]]-TableauProduit[[#This Row],[Achat plante / kg de melange N8]]-TableauProduit[[#This Row],[Conditionnement N8]]</f>
        <v/>
      </c>
      <c r="BI4" s="926" t="n"/>
      <c r="BJ4" s="927">
        <f>TableauProduit[[#This Row],[Poids (g) / unite]]*TableauProduit[[#This Row],[Objectif de vente en unite N9]]/1000</f>
        <v/>
      </c>
      <c r="BK4" s="928">
        <f>TableauProduit[[#This Row],[Objectif de vente en unite N9]]*TableauProduit[[#This Row],[Packaging / unite]]</f>
        <v/>
      </c>
      <c r="BL4" s="928">
        <f>TableauProduit[[#This Row],[Prix Achat de plante par kg]]*TableauProduit[[#This Row],[Total (kg) N9]]</f>
        <v/>
      </c>
      <c r="BM4" s="928">
        <f>TableauProduit[[#This Row],[Prix de vente/kg]]*TableauProduit[[#This Row],[Total (kg) N9]]</f>
        <v/>
      </c>
      <c r="BN4" s="927">
        <f>TableauProduit[[#This Row],[Revenue brut N9]]-TableauProduit[[#This Row],[Achat plante / kg de melange N9]]-TableauProduit[[#This Row],[Conditionnement N9]]</f>
        <v/>
      </c>
    </row>
    <row r="5">
      <c r="A5" s="553" t="inlineStr">
        <is>
          <t xml:space="preserve">Cornichons extra-fins </t>
        </is>
      </c>
      <c r="B5" s="54">
        <f>TableauProduit[[#This Row],[Recette]]&amp;TableauProduit[[#This Row],[Conditionnement]]</f>
        <v/>
      </c>
      <c r="C5" s="11" t="n">
        <v>2</v>
      </c>
      <c r="D5" s="11" t="n">
        <v>350</v>
      </c>
      <c r="E5" s="6" t="inlineStr">
        <is>
          <t>Cornichon fin</t>
        </is>
      </c>
      <c r="F5" s="7">
        <f>IFERROR(VLOOKUP(TableauProduit[[#This Row],[Conditionnement]],TableauConditionnement[[Nom]:[Contenance]],4,FALSE),"")</f>
        <v/>
      </c>
      <c r="G5" s="897">
        <f>IFERROR(SUMIFS(TableauRecette[Prix d''achat / kg],TableauRecette[Recette],TableauProduit[[#This Row],[Recette]],TableauRecette[Conditionnement],TableauProduit[[#This Row],[Conditionnement]]),0)</f>
        <v/>
      </c>
      <c r="H5" s="957" t="n">
        <v>5</v>
      </c>
      <c r="I5" s="899">
        <f>1000*TableauProduit[[#This Row],[Prix de vente/U]]/TableauProduit[[#This Row],[Poids (g) / unite]]</f>
        <v/>
      </c>
      <c r="J5" s="900">
        <f>SUMIFS(TableauConcurence[PRIX_KG],TableauConcurence[PRODUIT],TableauProduit[[#This Row],[Recette]],TableauConcurence[DISTRIBUTION],"magasin NON BIO")</f>
        <v/>
      </c>
      <c r="K5" s="958">
        <f>SUMIFS(TableauConcurence[PRIX_KG],TableauConcurence[PRODUIT],TableauProduit[[#This Row],[Recette]],TableauConcurence[DISTRIBUTION],"magasin BIO")</f>
        <v/>
      </c>
      <c r="L5" s="959">
        <f>SUMIFS(TableauConcurence[PRIX_KG],TableauConcurence[PRODUIT],TableauProduit[[#This Row],[Recette]],TableauConcurence[DISTRIBUTION],"artisanale BIO")</f>
        <v/>
      </c>
      <c r="M5" s="903" t="n">
        <v>800</v>
      </c>
      <c r="N5" s="904">
        <f>TableauProduit[[#This Row],[Poids (g) / unite]]*TableauProduit[[#This Row],[Objectif de vente en unite N1]]/1000</f>
        <v/>
      </c>
      <c r="O5" s="905">
        <f>TableauProduit[[#This Row],[Objectif de vente en unite N1]]*TableauProduit[[#This Row],[Packaging / unite]]</f>
        <v/>
      </c>
      <c r="P5" s="905">
        <f>TableauProduit[[#This Row],[Prix Achat de plante par kg]]*TableauProduit[[#This Row],[Total (kg) N1]]</f>
        <v/>
      </c>
      <c r="Q5" s="905">
        <f>TableauProduit[[#This Row],[Prix de vente/kg]]*TableauProduit[[#This Row],[Total (kg) N1]]</f>
        <v/>
      </c>
      <c r="R5" s="906">
        <f>TableauProduit[[#This Row],[Revenue brut N1]]-TableauProduit[[#This Row],[Achat par kg N1]]-TableauProduit[[#This Row],[Conditionnement N1]]</f>
        <v/>
      </c>
      <c r="S5" s="907" t="n"/>
      <c r="T5" s="908">
        <f>TableauProduit[[#This Row],[Poids (g) / unite]]*TableauProduit[[#This Row],[Objectif de vente en unite N2]]/1000</f>
        <v/>
      </c>
      <c r="U5" s="909">
        <f>TableauProduit[[#This Row],[Objectif de vente en unite N2]]*TableauProduit[[#This Row],[Packaging / unite]]</f>
        <v/>
      </c>
      <c r="V5" s="909">
        <f>TableauProduit[[#This Row],[Prix Achat de plante par kg]]*TableauProduit[[#This Row],[Total (kg) N2]]</f>
        <v/>
      </c>
      <c r="W5" s="909">
        <f>TableauProduit[[#This Row],[Prix de vente/kg]]*TableauProduit[[#This Row],[Total (kg) N2]]</f>
        <v/>
      </c>
      <c r="X5" s="910">
        <f>TableauProduit[[#This Row],[Revenue brut N2]]-TableauProduit[[#This Row],[Achat plante / kg de melange N2]]-TableauProduit[[#This Row],[Conditionnement N2]]</f>
        <v/>
      </c>
      <c r="Y5" s="911" t="n"/>
      <c r="Z5" s="912">
        <f>TableauProduit[[#This Row],[Poids (g) / unite]]*TableauProduit[[#This Row],[Objectif de vente en unite N3]]/1000</f>
        <v/>
      </c>
      <c r="AA5" s="913">
        <f>TableauProduit[[#This Row],[Objectif de vente en unite N3]]*TableauProduit[[#This Row],[Packaging / unite]]</f>
        <v/>
      </c>
      <c r="AB5" s="913">
        <f>TableauProduit[[#This Row],[Prix Achat de plante par kg]]*TableauProduit[[#This Row],[Total (kg) N3]]</f>
        <v/>
      </c>
      <c r="AC5" s="913">
        <f>TableauProduit[[#This Row],[Prix de vente/kg]]*TableauProduit[[#This Row],[Total (kg) N3]]</f>
        <v/>
      </c>
      <c r="AD5" s="914">
        <f>TableauProduit[[#This Row],[Revenue brut N3]]-TableauProduit[[#This Row],[Achat plante / kg de melange N3]]-TableauProduit[[#This Row],[Conditionnement N3]]</f>
        <v/>
      </c>
      <c r="AE5" s="915" t="n"/>
      <c r="AF5" s="915">
        <f>TableauProduit[[#This Row],[Poids (g) / unite]]*TableauProduit[[#This Row],[Objectif de vente en unite N4]]/1000</f>
        <v/>
      </c>
      <c r="AG5" s="916">
        <f>TableauProduit[[#This Row],[Objectif de vente en unite N4]]*TableauProduit[[#This Row],[Packaging / unite]]</f>
        <v/>
      </c>
      <c r="AH5" s="916">
        <f>TableauProduit[[#This Row],[Prix Achat de plante par kg]]*TableauProduit[[#This Row],[Total (kg) N4]]</f>
        <v/>
      </c>
      <c r="AI5" s="916">
        <f>TableauProduit[[#This Row],[Prix de vente/kg]]*TableauProduit[[#This Row],[Total (kg) N4]]</f>
        <v/>
      </c>
      <c r="AJ5" s="915">
        <f>TableauProduit[[#This Row],[Revenue brut N4]]-TableauProduit[[#This Row],[Achat plante / kg de melange N4]]-TableauProduit[[#This Row],[Conditionnement N4]]</f>
        <v/>
      </c>
      <c r="AK5" s="917" t="n"/>
      <c r="AL5" s="917">
        <f>TableauProduit[[#This Row],[Poids (g) / unite]]*TableauProduit[[#This Row],[Objectif de vente en unite N5]]/1000</f>
        <v/>
      </c>
      <c r="AM5" s="918">
        <f>TableauProduit[[#This Row],[Objectif de vente en unite N5]]*TableauProduit[[#This Row],[Packaging / unite]]</f>
        <v/>
      </c>
      <c r="AN5" s="918">
        <f>TableauProduit[[#This Row],[Prix Achat de plante par kg]]*TableauProduit[[#This Row],[Total (kg) N5]]</f>
        <v/>
      </c>
      <c r="AO5" s="918">
        <f>TableauProduit[[#This Row],[Prix de vente/kg]]*TableauProduit[[#This Row],[Total (kg) N5]]</f>
        <v/>
      </c>
      <c r="AP5" s="917">
        <f>TableauProduit[[#This Row],[Revenue brut N5]]-TableauProduit[[#This Row],[Achat plante / kg de melange N5]]-TableauProduit[[#This Row],[Conditionnement N5]]</f>
        <v/>
      </c>
      <c r="AQ5" s="919" t="n"/>
      <c r="AR5" s="919">
        <f>TableauProduit[[#This Row],[Poids (g) / unite]]*TableauProduit[[#This Row],[Objectif de vente en unite N6]]/1000</f>
        <v/>
      </c>
      <c r="AS5" s="920">
        <f>TableauProduit[[#This Row],[Objectif de vente en unite N6]]*TableauProduit[[#This Row],[Packaging / unite]]</f>
        <v/>
      </c>
      <c r="AT5" s="920">
        <f>TableauProduit[[#This Row],[Prix Achat de plante par kg]]*TableauProduit[[#This Row],[Total (kg) N6]]</f>
        <v/>
      </c>
      <c r="AU5" s="920">
        <f>TableauProduit[[#This Row],[Prix de vente/kg]]*TableauProduit[[#This Row],[Total (kg) N6]]</f>
        <v/>
      </c>
      <c r="AV5" s="919">
        <f>TableauProduit[[#This Row],[Revenue brut N6]]-TableauProduit[[#This Row],[Achat plante / kg de melange N6]]-TableauProduit[[#This Row],[Conditionnement N6]]</f>
        <v/>
      </c>
      <c r="AW5" s="904" t="n"/>
      <c r="AX5" s="904">
        <f>TableauProduit[[#This Row],[Poids (g) / unite]]*TableauProduit[[#This Row],[Objectif de vente en unite N7]]/1000</f>
        <v/>
      </c>
      <c r="AY5" s="905">
        <f>TableauProduit[[#This Row],[Objectif de vente en unite N7]]*TableauProduit[[#This Row],[Packaging / unite]]</f>
        <v/>
      </c>
      <c r="AZ5" s="905">
        <f>TableauProduit[[#This Row],[Prix Achat de plante par kg]]*TableauProduit[[#This Row],[Total (kg) N7]]</f>
        <v/>
      </c>
      <c r="BA5" s="905">
        <f>TableauProduit[[#This Row],[Prix de vente/kg]]*TableauProduit[[#This Row],[Total (kg) N7]]</f>
        <v/>
      </c>
      <c r="BB5" s="921">
        <f>TableauProduit[[#This Row],[Revenue brut N7]]-TableauProduit[[#This Row],[Achat plante / kg de melange N7]]-TableauProduit[[#This Row],[Conditionnement N7]]</f>
        <v/>
      </c>
      <c r="BC5" s="922" t="n"/>
      <c r="BD5" s="923">
        <f>TableauProduit[[#This Row],[Poids (g) / unite]]*TableauProduit[[#This Row],[Objectif de vente en unite N8]]/1000</f>
        <v/>
      </c>
      <c r="BE5" s="924">
        <f>TableauProduit[[#This Row],[Objectif de vente en unite N8]]*TableauProduit[[#This Row],[Packaging / unite]]</f>
        <v/>
      </c>
      <c r="BF5" s="924">
        <f>TableauProduit[[#This Row],[Prix Achat de plante par kg]]*TableauProduit[[#This Row],[Total (kg) N8]]</f>
        <v/>
      </c>
      <c r="BG5" s="924">
        <f>TableauProduit[[#This Row],[Prix de vente/kg]]*TableauProduit[[#This Row],[Total (kg) N8]]</f>
        <v/>
      </c>
      <c r="BH5" s="925">
        <f>TableauProduit[[#This Row],[Revenue brut N8]]-TableauProduit[[#This Row],[Achat plante / kg de melange N8]]-TableauProduit[[#This Row],[Conditionnement N8]]</f>
        <v/>
      </c>
      <c r="BI5" s="926" t="n"/>
      <c r="BJ5" s="927">
        <f>TableauProduit[[#This Row],[Poids (g) / unite]]*TableauProduit[[#This Row],[Objectif de vente en unite N9]]/1000</f>
        <v/>
      </c>
      <c r="BK5" s="928">
        <f>TableauProduit[[#This Row],[Objectif de vente en unite N9]]*TableauProduit[[#This Row],[Packaging / unite]]</f>
        <v/>
      </c>
      <c r="BL5" s="928">
        <f>TableauProduit[[#This Row],[Prix Achat de plante par kg]]*TableauProduit[[#This Row],[Total (kg) N9]]</f>
        <v/>
      </c>
      <c r="BM5" s="928">
        <f>TableauProduit[[#This Row],[Prix de vente/kg]]*TableauProduit[[#This Row],[Total (kg) N9]]</f>
        <v/>
      </c>
      <c r="BN5" s="927">
        <f>TableauProduit[[#This Row],[Revenue brut N9]]-TableauProduit[[#This Row],[Achat plante / kg de melange N9]]-TableauProduit[[#This Row],[Conditionnement N9]]</f>
        <v/>
      </c>
    </row>
    <row r="6">
      <c r="A6" s="13" t="inlineStr">
        <is>
          <t>Cumin graine</t>
        </is>
      </c>
      <c r="B6" s="54">
        <f>TableauProduit[[#This Row],[Recette]]&amp;TableauProduit[[#This Row],[Conditionnement]]</f>
        <v/>
      </c>
      <c r="C6" s="11" t="n">
        <v>1</v>
      </c>
      <c r="D6" s="11" t="n">
        <v>40</v>
      </c>
      <c r="E6" s="6" t="inlineStr">
        <is>
          <t>Epice 100ml</t>
        </is>
      </c>
      <c r="F6" s="7">
        <f>IFERROR(VLOOKUP(TableauProduit[[#This Row],[Conditionnement]],TableauConditionnement[[Nom]:[Contenance]],4,FALSE),"")</f>
        <v/>
      </c>
      <c r="G6" s="897">
        <f>IFERROR(SUMIFS(TableauRecette[Prix d''achat / kg],TableauRecette[Recette],TableauProduit[[#This Row],[Recette]],TableauRecette[Conditionnement],TableauProduit[[#This Row],[Conditionnement]]),0)</f>
        <v/>
      </c>
      <c r="H6" s="898" t="n">
        <v>2.5</v>
      </c>
      <c r="I6" s="899">
        <f>1000*TableauProduit[[#This Row],[Prix de vente/U]]/TableauProduit[[#This Row],[Poids (g) / unite]]</f>
        <v/>
      </c>
      <c r="J6" s="900">
        <f>SUMIFS(TableauConcurence[PRIX_KG],TableauConcurence[PRODUIT],TableauProduit[[#This Row],[Recette]],TableauConcurence[DISTRIBUTION],"magasin NON BIO")</f>
        <v/>
      </c>
      <c r="K6" s="901">
        <f>SUMIFS(TableauConcurence[PRIX_KG],TableauConcurence[PRODUIT],TableauProduit[[#This Row],[Recette]],TableauConcurence[DISTRIBUTION],"magasin BIO")</f>
        <v/>
      </c>
      <c r="L6" s="902">
        <f>SUMIFS(TableauConcurence[PRIX_KG],TableauConcurence[PRODUIT],TableauProduit[[#This Row],[Recette]],TableauConcurence[DISTRIBUTION],"artisanale BIO")</f>
        <v/>
      </c>
      <c r="M6" s="903" t="n">
        <v>420</v>
      </c>
      <c r="N6" s="904">
        <f>TableauProduit[[#This Row],[Poids (g) / unite]]*TableauProduit[[#This Row],[Objectif de vente en unite N1]]/1000</f>
        <v/>
      </c>
      <c r="O6" s="905">
        <f>TableauProduit[[#This Row],[Objectif de vente en unite N1]]*TableauProduit[[#This Row],[Packaging / unite]]</f>
        <v/>
      </c>
      <c r="P6" s="905">
        <f>TableauProduit[[#This Row],[Prix Achat de plante par kg]]*TableauProduit[[#This Row],[Total (kg) N1]]</f>
        <v/>
      </c>
      <c r="Q6" s="905">
        <f>TableauProduit[[#This Row],[Prix de vente/kg]]*TableauProduit[[#This Row],[Total (kg) N1]]</f>
        <v/>
      </c>
      <c r="R6" s="906">
        <f>TableauProduit[[#This Row],[Revenue brut N1]]-TableauProduit[[#This Row],[Achat par kg N1]]-TableauProduit[[#This Row],[Conditionnement N1]]</f>
        <v/>
      </c>
      <c r="S6" s="907" t="n">
        <v>420</v>
      </c>
      <c r="T6" s="908">
        <f>TableauProduit[[#This Row],[Poids (g) / unite]]*TableauProduit[[#This Row],[Objectif de vente en unite N2]]/1000</f>
        <v/>
      </c>
      <c r="U6" s="909">
        <f>TableauProduit[[#This Row],[Objectif de vente en unite N2]]*TableauProduit[[#This Row],[Packaging / unite]]</f>
        <v/>
      </c>
      <c r="V6" s="909">
        <f>TableauProduit[[#This Row],[Prix Achat de plante par kg]]*TableauProduit[[#This Row],[Total (kg) N2]]</f>
        <v/>
      </c>
      <c r="W6" s="909">
        <f>TableauProduit[[#This Row],[Prix de vente/kg]]*TableauProduit[[#This Row],[Total (kg) N2]]</f>
        <v/>
      </c>
      <c r="X6" s="910">
        <f>TableauProduit[[#This Row],[Revenue brut N2]]-TableauProduit[[#This Row],[Achat plante / kg de melange N2]]-TableauProduit[[#This Row],[Conditionnement N2]]</f>
        <v/>
      </c>
      <c r="Y6" s="911" t="n">
        <v>420</v>
      </c>
      <c r="Z6" s="912">
        <f>TableauProduit[[#This Row],[Poids (g) / unite]]*TableauProduit[[#This Row],[Objectif de vente en unite N3]]/1000</f>
        <v/>
      </c>
      <c r="AA6" s="913">
        <f>TableauProduit[[#This Row],[Objectif de vente en unite N3]]*TableauProduit[[#This Row],[Packaging / unite]]</f>
        <v/>
      </c>
      <c r="AB6" s="913">
        <f>TableauProduit[[#This Row],[Prix Achat de plante par kg]]*TableauProduit[[#This Row],[Total (kg) N3]]</f>
        <v/>
      </c>
      <c r="AC6" s="913">
        <f>TableauProduit[[#This Row],[Prix de vente/kg]]*TableauProduit[[#This Row],[Total (kg) N3]]</f>
        <v/>
      </c>
      <c r="AD6" s="914">
        <f>TableauProduit[[#This Row],[Revenue brut N3]]-TableauProduit[[#This Row],[Achat plante / kg de melange N3]]-TableauProduit[[#This Row],[Conditionnement N3]]</f>
        <v/>
      </c>
      <c r="AE6" s="915" t="n">
        <v>420</v>
      </c>
      <c r="AF6" s="915">
        <f>TableauProduit[[#This Row],[Poids (g) / unite]]*TableauProduit[[#This Row],[Objectif de vente en unite N4]]/1000</f>
        <v/>
      </c>
      <c r="AG6" s="916">
        <f>TableauProduit[[#This Row],[Objectif de vente en unite N4]]*TableauProduit[[#This Row],[Packaging / unite]]</f>
        <v/>
      </c>
      <c r="AH6" s="916">
        <f>TableauProduit[[#This Row],[Prix Achat de plante par kg]]*TableauProduit[[#This Row],[Total (kg) N4]]</f>
        <v/>
      </c>
      <c r="AI6" s="916">
        <f>TableauProduit[[#This Row],[Prix de vente/kg]]*TableauProduit[[#This Row],[Total (kg) N4]]</f>
        <v/>
      </c>
      <c r="AJ6" s="915">
        <f>TableauProduit[[#This Row],[Revenue brut N4]]-TableauProduit[[#This Row],[Achat plante / kg de melange N4]]-TableauProduit[[#This Row],[Conditionnement N4]]</f>
        <v/>
      </c>
      <c r="AK6" s="917" t="n">
        <v>420</v>
      </c>
      <c r="AL6" s="917">
        <f>TableauProduit[[#This Row],[Poids (g) / unite]]*TableauProduit[[#This Row],[Objectif de vente en unite N5]]/1000</f>
        <v/>
      </c>
      <c r="AM6" s="918">
        <f>TableauProduit[[#This Row],[Objectif de vente en unite N5]]*TableauProduit[[#This Row],[Packaging / unite]]</f>
        <v/>
      </c>
      <c r="AN6" s="918">
        <f>TableauProduit[[#This Row],[Prix Achat de plante par kg]]*TableauProduit[[#This Row],[Total (kg) N5]]</f>
        <v/>
      </c>
      <c r="AO6" s="918">
        <f>TableauProduit[[#This Row],[Prix de vente/kg]]*TableauProduit[[#This Row],[Total (kg) N5]]</f>
        <v/>
      </c>
      <c r="AP6" s="917">
        <f>TableauProduit[[#This Row],[Revenue brut N5]]-TableauProduit[[#This Row],[Achat plante / kg de melange N5]]-TableauProduit[[#This Row],[Conditionnement N5]]</f>
        <v/>
      </c>
      <c r="AQ6" s="919" t="n">
        <v>420</v>
      </c>
      <c r="AR6" s="919">
        <f>TableauProduit[[#This Row],[Poids (g) / unite]]*TableauProduit[[#This Row],[Objectif de vente en unite N6]]/1000</f>
        <v/>
      </c>
      <c r="AS6" s="920">
        <f>TableauProduit[[#This Row],[Objectif de vente en unite N6]]*TableauProduit[[#This Row],[Packaging / unite]]</f>
        <v/>
      </c>
      <c r="AT6" s="920">
        <f>TableauProduit[[#This Row],[Prix Achat de plante par kg]]*TableauProduit[[#This Row],[Total (kg) N6]]</f>
        <v/>
      </c>
      <c r="AU6" s="920">
        <f>TableauProduit[[#This Row],[Prix de vente/kg]]*TableauProduit[[#This Row],[Total (kg) N6]]</f>
        <v/>
      </c>
      <c r="AV6" s="919">
        <f>TableauProduit[[#This Row],[Revenue brut N6]]-TableauProduit[[#This Row],[Achat plante / kg de melange N6]]-TableauProduit[[#This Row],[Conditionnement N6]]</f>
        <v/>
      </c>
      <c r="AW6" s="904" t="n">
        <v>420</v>
      </c>
      <c r="AX6" s="904">
        <f>TableauProduit[[#This Row],[Poids (g) / unite]]*TableauProduit[[#This Row],[Objectif de vente en unite N7]]/1000</f>
        <v/>
      </c>
      <c r="AY6" s="905">
        <f>TableauProduit[[#This Row],[Objectif de vente en unite N7]]*TableauProduit[[#This Row],[Packaging / unite]]</f>
        <v/>
      </c>
      <c r="AZ6" s="905">
        <f>TableauProduit[[#This Row],[Prix Achat de plante par kg]]*TableauProduit[[#This Row],[Total (kg) N7]]</f>
        <v/>
      </c>
      <c r="BA6" s="905">
        <f>TableauProduit[[#This Row],[Prix de vente/kg]]*TableauProduit[[#This Row],[Total (kg) N7]]</f>
        <v/>
      </c>
      <c r="BB6" s="921">
        <f>TableauProduit[[#This Row],[Revenue brut N7]]-TableauProduit[[#This Row],[Achat plante / kg de melange N7]]-TableauProduit[[#This Row],[Conditionnement N7]]</f>
        <v/>
      </c>
      <c r="BC6" s="922" t="n">
        <v>420</v>
      </c>
      <c r="BD6" s="923">
        <f>TableauProduit[[#This Row],[Poids (g) / unite]]*TableauProduit[[#This Row],[Objectif de vente en unite N8]]/1000</f>
        <v/>
      </c>
      <c r="BE6" s="924">
        <f>TableauProduit[[#This Row],[Objectif de vente en unite N8]]*TableauProduit[[#This Row],[Packaging / unite]]</f>
        <v/>
      </c>
      <c r="BF6" s="924">
        <f>TableauProduit[[#This Row],[Prix Achat de plante par kg]]*TableauProduit[[#This Row],[Total (kg) N8]]</f>
        <v/>
      </c>
      <c r="BG6" s="924">
        <f>TableauProduit[[#This Row],[Prix de vente/kg]]*TableauProduit[[#This Row],[Total (kg) N8]]</f>
        <v/>
      </c>
      <c r="BH6" s="925">
        <f>TableauProduit[[#This Row],[Revenue brut N8]]-TableauProduit[[#This Row],[Achat plante / kg de melange N8]]-TableauProduit[[#This Row],[Conditionnement N8]]</f>
        <v/>
      </c>
      <c r="BI6" s="926" t="n">
        <v>420</v>
      </c>
      <c r="BJ6" s="927">
        <f>TableauProduit[[#This Row],[Poids (g) / unite]]*TableauProduit[[#This Row],[Objectif de vente en unite N9]]/1000</f>
        <v/>
      </c>
      <c r="BK6" s="928">
        <f>TableauProduit[[#This Row],[Objectif de vente en unite N9]]*TableauProduit[[#This Row],[Packaging / unite]]</f>
        <v/>
      </c>
      <c r="BL6" s="928">
        <f>TableauProduit[[#This Row],[Prix Achat de plante par kg]]*TableauProduit[[#This Row],[Total (kg) N9]]</f>
        <v/>
      </c>
      <c r="BM6" s="928">
        <f>TableauProduit[[#This Row],[Prix de vente/kg]]*TableauProduit[[#This Row],[Total (kg) N9]]</f>
        <v/>
      </c>
      <c r="BN6" s="927">
        <f>TableauProduit[[#This Row],[Revenue brut N9]]-TableauProduit[[#This Row],[Achat plante / kg de melange N9]]-TableauProduit[[#This Row],[Conditionnement N9]]</f>
        <v/>
      </c>
    </row>
    <row r="7">
      <c r="A7" s="13" t="inlineStr">
        <is>
          <t>Cumin moulu</t>
        </is>
      </c>
      <c r="B7" s="54">
        <f>TableauProduit[[#This Row],[Recette]]&amp;TableauProduit[[#This Row],[Conditionnement]]</f>
        <v/>
      </c>
      <c r="C7" s="11" t="n">
        <v>1</v>
      </c>
      <c r="D7" s="11" t="n">
        <v>50</v>
      </c>
      <c r="E7" s="6" t="inlineStr">
        <is>
          <t>Epice 100ml</t>
        </is>
      </c>
      <c r="F7" s="7">
        <f>IFERROR(VLOOKUP(TableauProduit[[#This Row],[Conditionnement]],TableauConditionnement[[Nom]:[Contenance]],4,FALSE),"")</f>
        <v/>
      </c>
      <c r="G7" s="897">
        <f>IFERROR(SUMIFS(TableauRecette[Prix d''achat / kg],TableauRecette[Recette],TableauProduit[[#This Row],[Recette]],TableauRecette[Conditionnement],TableauProduit[[#This Row],[Conditionnement]]),0)</f>
        <v/>
      </c>
      <c r="H7" s="898" t="n">
        <v>3.5</v>
      </c>
      <c r="I7" s="899">
        <f>1000*TableauProduit[[#This Row],[Prix de vente/U]]/TableauProduit[[#This Row],[Poids (g) / unite]]</f>
        <v/>
      </c>
      <c r="J7" s="900">
        <f>SUMIFS(TableauConcurence[PRIX_KG],TableauConcurence[PRODUIT],TableauProduit[[#This Row],[Recette]],TableauConcurence[DISTRIBUTION],"magasin NON BIO")</f>
        <v/>
      </c>
      <c r="K7" s="901">
        <f>SUMIFS(TableauConcurence[PRIX_KG],TableauConcurence[PRODUIT],TableauProduit[[#This Row],[Recette]],TableauConcurence[DISTRIBUTION],"magasin BIO")</f>
        <v/>
      </c>
      <c r="L7" s="902">
        <f>SUMIFS(TableauConcurence[PRIX_KG],TableauConcurence[PRODUIT],TableauProduit[[#This Row],[Recette]],TableauConcurence[DISTRIBUTION],"artisanale BIO")</f>
        <v/>
      </c>
      <c r="M7" s="903" t="n">
        <v>420</v>
      </c>
      <c r="N7" s="904">
        <f>TableauProduit[[#This Row],[Poids (g) / unite]]*TableauProduit[[#This Row],[Objectif de vente en unite N1]]/1000</f>
        <v/>
      </c>
      <c r="O7" s="905">
        <f>TableauProduit[[#This Row],[Objectif de vente en unite N1]]*TableauProduit[[#This Row],[Packaging / unite]]</f>
        <v/>
      </c>
      <c r="P7" s="905">
        <f>TableauProduit[[#This Row],[Prix Achat de plante par kg]]*TableauProduit[[#This Row],[Total (kg) N1]]</f>
        <v/>
      </c>
      <c r="Q7" s="905">
        <f>TableauProduit[[#This Row],[Prix de vente/kg]]*TableauProduit[[#This Row],[Total (kg) N1]]</f>
        <v/>
      </c>
      <c r="R7" s="906">
        <f>TableauProduit[[#This Row],[Revenue brut N1]]-TableauProduit[[#This Row],[Achat par kg N1]]-TableauProduit[[#This Row],[Conditionnement N1]]</f>
        <v/>
      </c>
      <c r="S7" s="907" t="n">
        <v>420</v>
      </c>
      <c r="T7" s="908">
        <f>TableauProduit[[#This Row],[Poids (g) / unite]]*TableauProduit[[#This Row],[Objectif de vente en unite N2]]/1000</f>
        <v/>
      </c>
      <c r="U7" s="909">
        <f>TableauProduit[[#This Row],[Objectif de vente en unite N2]]*TableauProduit[[#This Row],[Packaging / unite]]</f>
        <v/>
      </c>
      <c r="V7" s="909">
        <f>TableauProduit[[#This Row],[Prix Achat de plante par kg]]*TableauProduit[[#This Row],[Total (kg) N2]]</f>
        <v/>
      </c>
      <c r="W7" s="909">
        <f>TableauProduit[[#This Row],[Prix de vente/kg]]*TableauProduit[[#This Row],[Total (kg) N2]]</f>
        <v/>
      </c>
      <c r="X7" s="910">
        <f>TableauProduit[[#This Row],[Revenue brut N2]]-TableauProduit[[#This Row],[Achat plante / kg de melange N2]]-TableauProduit[[#This Row],[Conditionnement N2]]</f>
        <v/>
      </c>
      <c r="Y7" s="911" t="n">
        <v>420</v>
      </c>
      <c r="Z7" s="912">
        <f>TableauProduit[[#This Row],[Poids (g) / unite]]*TableauProduit[[#This Row],[Objectif de vente en unite N3]]/1000</f>
        <v/>
      </c>
      <c r="AA7" s="913">
        <f>TableauProduit[[#This Row],[Objectif de vente en unite N3]]*TableauProduit[[#This Row],[Packaging / unite]]</f>
        <v/>
      </c>
      <c r="AB7" s="913">
        <f>TableauProduit[[#This Row],[Prix Achat de plante par kg]]*TableauProduit[[#This Row],[Total (kg) N3]]</f>
        <v/>
      </c>
      <c r="AC7" s="913">
        <f>TableauProduit[[#This Row],[Prix de vente/kg]]*TableauProduit[[#This Row],[Total (kg) N3]]</f>
        <v/>
      </c>
      <c r="AD7" s="914">
        <f>TableauProduit[[#This Row],[Revenue brut N3]]-TableauProduit[[#This Row],[Achat plante / kg de melange N3]]-TableauProduit[[#This Row],[Conditionnement N3]]</f>
        <v/>
      </c>
      <c r="AE7" s="915" t="n">
        <v>420</v>
      </c>
      <c r="AF7" s="915">
        <f>TableauProduit[[#This Row],[Poids (g) / unite]]*TableauProduit[[#This Row],[Objectif de vente en unite N4]]/1000</f>
        <v/>
      </c>
      <c r="AG7" s="916">
        <f>TableauProduit[[#This Row],[Objectif de vente en unite N4]]*TableauProduit[[#This Row],[Packaging / unite]]</f>
        <v/>
      </c>
      <c r="AH7" s="916">
        <f>TableauProduit[[#This Row],[Prix Achat de plante par kg]]*TableauProduit[[#This Row],[Total (kg) N4]]</f>
        <v/>
      </c>
      <c r="AI7" s="916">
        <f>TableauProduit[[#This Row],[Prix de vente/kg]]*TableauProduit[[#This Row],[Total (kg) N4]]</f>
        <v/>
      </c>
      <c r="AJ7" s="915">
        <f>TableauProduit[[#This Row],[Revenue brut N4]]-TableauProduit[[#This Row],[Achat plante / kg de melange N4]]-TableauProduit[[#This Row],[Conditionnement N4]]</f>
        <v/>
      </c>
      <c r="AK7" s="917" t="n">
        <v>420</v>
      </c>
      <c r="AL7" s="917">
        <f>TableauProduit[[#This Row],[Poids (g) / unite]]*TableauProduit[[#This Row],[Objectif de vente en unite N5]]/1000</f>
        <v/>
      </c>
      <c r="AM7" s="918">
        <f>TableauProduit[[#This Row],[Objectif de vente en unite N5]]*TableauProduit[[#This Row],[Packaging / unite]]</f>
        <v/>
      </c>
      <c r="AN7" s="918">
        <f>TableauProduit[[#This Row],[Prix Achat de plante par kg]]*TableauProduit[[#This Row],[Total (kg) N5]]</f>
        <v/>
      </c>
      <c r="AO7" s="918">
        <f>TableauProduit[[#This Row],[Prix de vente/kg]]*TableauProduit[[#This Row],[Total (kg) N5]]</f>
        <v/>
      </c>
      <c r="AP7" s="917">
        <f>TableauProduit[[#This Row],[Revenue brut N5]]-TableauProduit[[#This Row],[Achat plante / kg de melange N5]]-TableauProduit[[#This Row],[Conditionnement N5]]</f>
        <v/>
      </c>
      <c r="AQ7" s="919" t="n">
        <v>420</v>
      </c>
      <c r="AR7" s="919">
        <f>TableauProduit[[#This Row],[Poids (g) / unite]]*TableauProduit[[#This Row],[Objectif de vente en unite N6]]/1000</f>
        <v/>
      </c>
      <c r="AS7" s="920">
        <f>TableauProduit[[#This Row],[Objectif de vente en unite N6]]*TableauProduit[[#This Row],[Packaging / unite]]</f>
        <v/>
      </c>
      <c r="AT7" s="920">
        <f>TableauProduit[[#This Row],[Prix Achat de plante par kg]]*TableauProduit[[#This Row],[Total (kg) N6]]</f>
        <v/>
      </c>
      <c r="AU7" s="920">
        <f>TableauProduit[[#This Row],[Prix de vente/kg]]*TableauProduit[[#This Row],[Total (kg) N6]]</f>
        <v/>
      </c>
      <c r="AV7" s="919">
        <f>TableauProduit[[#This Row],[Revenue brut N6]]-TableauProduit[[#This Row],[Achat plante / kg de melange N6]]-TableauProduit[[#This Row],[Conditionnement N6]]</f>
        <v/>
      </c>
      <c r="AW7" s="904" t="n">
        <v>420</v>
      </c>
      <c r="AX7" s="904">
        <f>TableauProduit[[#This Row],[Poids (g) / unite]]*TableauProduit[[#This Row],[Objectif de vente en unite N7]]/1000</f>
        <v/>
      </c>
      <c r="AY7" s="905">
        <f>TableauProduit[[#This Row],[Objectif de vente en unite N7]]*TableauProduit[[#This Row],[Packaging / unite]]</f>
        <v/>
      </c>
      <c r="AZ7" s="905">
        <f>TableauProduit[[#This Row],[Prix Achat de plante par kg]]*TableauProduit[[#This Row],[Total (kg) N7]]</f>
        <v/>
      </c>
      <c r="BA7" s="905">
        <f>TableauProduit[[#This Row],[Prix de vente/kg]]*TableauProduit[[#This Row],[Total (kg) N7]]</f>
        <v/>
      </c>
      <c r="BB7" s="921">
        <f>TableauProduit[[#This Row],[Revenue brut N7]]-TableauProduit[[#This Row],[Achat plante / kg de melange N7]]-TableauProduit[[#This Row],[Conditionnement N7]]</f>
        <v/>
      </c>
      <c r="BC7" s="922" t="n">
        <v>420</v>
      </c>
      <c r="BD7" s="923">
        <f>TableauProduit[[#This Row],[Poids (g) / unite]]*TableauProduit[[#This Row],[Objectif de vente en unite N8]]/1000</f>
        <v/>
      </c>
      <c r="BE7" s="924">
        <f>TableauProduit[[#This Row],[Objectif de vente en unite N8]]*TableauProduit[[#This Row],[Packaging / unite]]</f>
        <v/>
      </c>
      <c r="BF7" s="924">
        <f>TableauProduit[[#This Row],[Prix Achat de plante par kg]]*TableauProduit[[#This Row],[Total (kg) N8]]</f>
        <v/>
      </c>
      <c r="BG7" s="924">
        <f>TableauProduit[[#This Row],[Prix de vente/kg]]*TableauProduit[[#This Row],[Total (kg) N8]]</f>
        <v/>
      </c>
      <c r="BH7" s="925">
        <f>TableauProduit[[#This Row],[Revenue brut N8]]-TableauProduit[[#This Row],[Achat plante / kg de melange N8]]-TableauProduit[[#This Row],[Conditionnement N8]]</f>
        <v/>
      </c>
      <c r="BI7" s="926" t="n">
        <v>420</v>
      </c>
      <c r="BJ7" s="927">
        <f>TableauProduit[[#This Row],[Poids (g) / unite]]*TableauProduit[[#This Row],[Objectif de vente en unite N9]]/1000</f>
        <v/>
      </c>
      <c r="BK7" s="928">
        <f>TableauProduit[[#This Row],[Objectif de vente en unite N9]]*TableauProduit[[#This Row],[Packaging / unite]]</f>
        <v/>
      </c>
      <c r="BL7" s="928">
        <f>TableauProduit[[#This Row],[Prix Achat de plante par kg]]*TableauProduit[[#This Row],[Total (kg) N9]]</f>
        <v/>
      </c>
      <c r="BM7" s="928">
        <f>TableauProduit[[#This Row],[Prix de vente/kg]]*TableauProduit[[#This Row],[Total (kg) N9]]</f>
        <v/>
      </c>
      <c r="BN7" s="927">
        <f>TableauProduit[[#This Row],[Revenue brut N9]]-TableauProduit[[#This Row],[Achat plante / kg de melange N9]]-TableauProduit[[#This Row],[Conditionnement N9]]</f>
        <v/>
      </c>
    </row>
    <row r="8">
      <c r="A8" s="13" t="inlineStr">
        <is>
          <t>epices viandes rouges</t>
        </is>
      </c>
      <c r="B8" s="54">
        <f>TableauProduit[[#This Row],[Recette]]&amp;TableauProduit[[#This Row],[Conditionnement]]</f>
        <v/>
      </c>
      <c r="C8" s="11" t="n">
        <v>1</v>
      </c>
      <c r="D8" s="11" t="n">
        <v>50</v>
      </c>
      <c r="E8" s="6" t="inlineStr">
        <is>
          <t>Epice 100ml</t>
        </is>
      </c>
      <c r="F8" s="7">
        <f>IFERROR(VLOOKUP(TableauProduit[[#This Row],[Conditionnement]],TableauConditionnement[[Nom]:[Contenance]],4,FALSE),"")</f>
        <v/>
      </c>
      <c r="G8" s="897">
        <f>IFERROR(SUMIFS(TableauRecette[Prix d''achat / kg],TableauRecette[Recette],TableauProduit[[#This Row],[Recette]],TableauRecette[Conditionnement],TableauProduit[[#This Row],[Conditionnement]]),0)</f>
        <v/>
      </c>
      <c r="H8" s="898" t="n">
        <v>5.5</v>
      </c>
      <c r="I8" s="899">
        <f>1000*TableauProduit[[#This Row],[Prix de vente/U]]/TableauProduit[[#This Row],[Poids (g) / unite]]</f>
        <v/>
      </c>
      <c r="J8" s="900">
        <f>SUMIFS(TableauConcurence[PRIX_KG],TableauConcurence[PRODUIT],TableauProduit[[#This Row],[Recette]],TableauConcurence[DISTRIBUTION],"magasin NON BIO")</f>
        <v/>
      </c>
      <c r="K8" s="901">
        <f>SUMIFS(TableauConcurence[PRIX_KG],TableauConcurence[PRODUIT],TableauProduit[[#This Row],[Recette]],TableauConcurence[DISTRIBUTION],"magasin BIO")</f>
        <v/>
      </c>
      <c r="L8" s="902">
        <f>SUMIFS(TableauConcurence[PRIX_KG],TableauConcurence[PRODUIT],TableauProduit[[#This Row],[Recette]],TableauConcurence[DISTRIBUTION],"artisanale BIO")</f>
        <v/>
      </c>
      <c r="M8" s="903" t="n">
        <v>420</v>
      </c>
      <c r="N8" s="904">
        <f>TableauProduit[[#This Row],[Poids (g) / unite]]*TableauProduit[[#This Row],[Objectif de vente en unite N1]]/1000</f>
        <v/>
      </c>
      <c r="O8" s="905">
        <f>TableauProduit[[#This Row],[Objectif de vente en unite N1]]*TableauProduit[[#This Row],[Packaging / unite]]</f>
        <v/>
      </c>
      <c r="P8" s="905">
        <f>TableauProduit[[#This Row],[Prix Achat de plante par kg]]*TableauProduit[[#This Row],[Total (kg) N1]]</f>
        <v/>
      </c>
      <c r="Q8" s="905">
        <f>TableauProduit[[#This Row],[Prix de vente/kg]]*TableauProduit[[#This Row],[Total (kg) N1]]</f>
        <v/>
      </c>
      <c r="R8" s="906">
        <f>TableauProduit[[#This Row],[Revenue brut N1]]-TableauProduit[[#This Row],[Achat par kg N1]]-TableauProduit[[#This Row],[Conditionnement N1]]</f>
        <v/>
      </c>
      <c r="S8" s="907" t="n">
        <v>420</v>
      </c>
      <c r="T8" s="908">
        <f>TableauProduit[[#This Row],[Poids (g) / unite]]*TableauProduit[[#This Row],[Objectif de vente en unite N2]]/1000</f>
        <v/>
      </c>
      <c r="U8" s="909">
        <f>TableauProduit[[#This Row],[Objectif de vente en unite N2]]*TableauProduit[[#This Row],[Packaging / unite]]</f>
        <v/>
      </c>
      <c r="V8" s="909">
        <f>TableauProduit[[#This Row],[Prix Achat de plante par kg]]*TableauProduit[[#This Row],[Total (kg) N2]]</f>
        <v/>
      </c>
      <c r="W8" s="909">
        <f>TableauProduit[[#This Row],[Prix de vente/kg]]*TableauProduit[[#This Row],[Total (kg) N2]]</f>
        <v/>
      </c>
      <c r="X8" s="910">
        <f>TableauProduit[[#This Row],[Revenue brut N2]]-TableauProduit[[#This Row],[Achat plante / kg de melange N2]]-TableauProduit[[#This Row],[Conditionnement N2]]</f>
        <v/>
      </c>
      <c r="Y8" s="911" t="n">
        <v>420</v>
      </c>
      <c r="Z8" s="912">
        <f>TableauProduit[[#This Row],[Poids (g) / unite]]*TableauProduit[[#This Row],[Objectif de vente en unite N3]]/1000</f>
        <v/>
      </c>
      <c r="AA8" s="913">
        <f>TableauProduit[[#This Row],[Objectif de vente en unite N3]]*TableauProduit[[#This Row],[Packaging / unite]]</f>
        <v/>
      </c>
      <c r="AB8" s="913">
        <f>TableauProduit[[#This Row],[Prix Achat de plante par kg]]*TableauProduit[[#This Row],[Total (kg) N3]]</f>
        <v/>
      </c>
      <c r="AC8" s="913">
        <f>TableauProduit[[#This Row],[Prix de vente/kg]]*TableauProduit[[#This Row],[Total (kg) N3]]</f>
        <v/>
      </c>
      <c r="AD8" s="914">
        <f>TableauProduit[[#This Row],[Revenue brut N3]]-TableauProduit[[#This Row],[Achat plante / kg de melange N3]]-TableauProduit[[#This Row],[Conditionnement N3]]</f>
        <v/>
      </c>
      <c r="AE8" s="915" t="n">
        <v>420</v>
      </c>
      <c r="AF8" s="915">
        <f>TableauProduit[[#This Row],[Poids (g) / unite]]*TableauProduit[[#This Row],[Objectif de vente en unite N4]]/1000</f>
        <v/>
      </c>
      <c r="AG8" s="916">
        <f>TableauProduit[[#This Row],[Objectif de vente en unite N4]]*TableauProduit[[#This Row],[Packaging / unite]]</f>
        <v/>
      </c>
      <c r="AH8" s="916">
        <f>TableauProduit[[#This Row],[Prix Achat de plante par kg]]*TableauProduit[[#This Row],[Total (kg) N4]]</f>
        <v/>
      </c>
      <c r="AI8" s="916">
        <f>TableauProduit[[#This Row],[Prix de vente/kg]]*TableauProduit[[#This Row],[Total (kg) N4]]</f>
        <v/>
      </c>
      <c r="AJ8" s="915">
        <f>TableauProduit[[#This Row],[Revenue brut N4]]-TableauProduit[[#This Row],[Achat plante / kg de melange N4]]-TableauProduit[[#This Row],[Conditionnement N4]]</f>
        <v/>
      </c>
      <c r="AK8" s="917" t="n">
        <v>420</v>
      </c>
      <c r="AL8" s="917">
        <f>TableauProduit[[#This Row],[Poids (g) / unite]]*TableauProduit[[#This Row],[Objectif de vente en unite N5]]/1000</f>
        <v/>
      </c>
      <c r="AM8" s="918">
        <f>TableauProduit[[#This Row],[Objectif de vente en unite N5]]*TableauProduit[[#This Row],[Packaging / unite]]</f>
        <v/>
      </c>
      <c r="AN8" s="918">
        <f>TableauProduit[[#This Row],[Prix Achat de plante par kg]]*TableauProduit[[#This Row],[Total (kg) N5]]</f>
        <v/>
      </c>
      <c r="AO8" s="918">
        <f>TableauProduit[[#This Row],[Prix de vente/kg]]*TableauProduit[[#This Row],[Total (kg) N5]]</f>
        <v/>
      </c>
      <c r="AP8" s="917">
        <f>TableauProduit[[#This Row],[Revenue brut N5]]-TableauProduit[[#This Row],[Achat plante / kg de melange N5]]-TableauProduit[[#This Row],[Conditionnement N5]]</f>
        <v/>
      </c>
      <c r="AQ8" s="919" t="n">
        <v>420</v>
      </c>
      <c r="AR8" s="919">
        <f>TableauProduit[[#This Row],[Poids (g) / unite]]*TableauProduit[[#This Row],[Objectif de vente en unite N6]]/1000</f>
        <v/>
      </c>
      <c r="AS8" s="920">
        <f>TableauProduit[[#This Row],[Objectif de vente en unite N6]]*TableauProduit[[#This Row],[Packaging / unite]]</f>
        <v/>
      </c>
      <c r="AT8" s="920">
        <f>TableauProduit[[#This Row],[Prix Achat de plante par kg]]*TableauProduit[[#This Row],[Total (kg) N6]]</f>
        <v/>
      </c>
      <c r="AU8" s="920">
        <f>TableauProduit[[#This Row],[Prix de vente/kg]]*TableauProduit[[#This Row],[Total (kg) N6]]</f>
        <v/>
      </c>
      <c r="AV8" s="919">
        <f>TableauProduit[[#This Row],[Revenue brut N6]]-TableauProduit[[#This Row],[Achat plante / kg de melange N6]]-TableauProduit[[#This Row],[Conditionnement N6]]</f>
        <v/>
      </c>
      <c r="AW8" s="904" t="n">
        <v>420</v>
      </c>
      <c r="AX8" s="904">
        <f>TableauProduit[[#This Row],[Poids (g) / unite]]*TableauProduit[[#This Row],[Objectif de vente en unite N7]]/1000</f>
        <v/>
      </c>
      <c r="AY8" s="905">
        <f>TableauProduit[[#This Row],[Objectif de vente en unite N7]]*TableauProduit[[#This Row],[Packaging / unite]]</f>
        <v/>
      </c>
      <c r="AZ8" s="905">
        <f>TableauProduit[[#This Row],[Prix Achat de plante par kg]]*TableauProduit[[#This Row],[Total (kg) N7]]</f>
        <v/>
      </c>
      <c r="BA8" s="905">
        <f>TableauProduit[[#This Row],[Prix de vente/kg]]*TableauProduit[[#This Row],[Total (kg) N7]]</f>
        <v/>
      </c>
      <c r="BB8" s="921">
        <f>TableauProduit[[#This Row],[Revenue brut N7]]-TableauProduit[[#This Row],[Achat plante / kg de melange N7]]-TableauProduit[[#This Row],[Conditionnement N7]]</f>
        <v/>
      </c>
      <c r="BC8" s="922" t="n">
        <v>420</v>
      </c>
      <c r="BD8" s="923">
        <f>TableauProduit[[#This Row],[Poids (g) / unite]]*TableauProduit[[#This Row],[Objectif de vente en unite N8]]/1000</f>
        <v/>
      </c>
      <c r="BE8" s="924">
        <f>TableauProduit[[#This Row],[Objectif de vente en unite N8]]*TableauProduit[[#This Row],[Packaging / unite]]</f>
        <v/>
      </c>
      <c r="BF8" s="924">
        <f>TableauProduit[[#This Row],[Prix Achat de plante par kg]]*TableauProduit[[#This Row],[Total (kg) N8]]</f>
        <v/>
      </c>
      <c r="BG8" s="924">
        <f>TableauProduit[[#This Row],[Prix de vente/kg]]*TableauProduit[[#This Row],[Total (kg) N8]]</f>
        <v/>
      </c>
      <c r="BH8" s="925">
        <f>TableauProduit[[#This Row],[Revenue brut N8]]-TableauProduit[[#This Row],[Achat plante / kg de melange N8]]-TableauProduit[[#This Row],[Conditionnement N8]]</f>
        <v/>
      </c>
      <c r="BI8" s="926" t="n">
        <v>420</v>
      </c>
      <c r="BJ8" s="927">
        <f>TableauProduit[[#This Row],[Poids (g) / unite]]*TableauProduit[[#This Row],[Objectif de vente en unite N9]]/1000</f>
        <v/>
      </c>
      <c r="BK8" s="928">
        <f>TableauProduit[[#This Row],[Objectif de vente en unite N9]]*TableauProduit[[#This Row],[Packaging / unite]]</f>
        <v/>
      </c>
      <c r="BL8" s="928">
        <f>TableauProduit[[#This Row],[Prix Achat de plante par kg]]*TableauProduit[[#This Row],[Total (kg) N9]]</f>
        <v/>
      </c>
      <c r="BM8" s="928">
        <f>TableauProduit[[#This Row],[Prix de vente/kg]]*TableauProduit[[#This Row],[Total (kg) N9]]</f>
        <v/>
      </c>
      <c r="BN8" s="927">
        <f>TableauProduit[[#This Row],[Revenue brut N9]]-TableauProduit[[#This Row],[Achat plante / kg de melange N9]]-TableauProduit[[#This Row],[Conditionnement N9]]</f>
        <v/>
      </c>
    </row>
    <row r="9">
      <c r="A9" s="13" t="inlineStr">
        <is>
          <t>Gingembre</t>
        </is>
      </c>
      <c r="B9" s="54">
        <f>TableauProduit[[#This Row],[Recette]]&amp;TableauProduit[[#This Row],[Conditionnement]]</f>
        <v/>
      </c>
      <c r="C9" s="11" t="n">
        <v>1</v>
      </c>
      <c r="D9" s="11" t="n">
        <v>60</v>
      </c>
      <c r="E9" s="6" t="inlineStr">
        <is>
          <t>Epice 100ml</t>
        </is>
      </c>
      <c r="F9" s="7">
        <f>IFERROR(VLOOKUP(TableauProduit[[#This Row],[Conditionnement]],TableauConditionnement[[Nom]:[Contenance]],4,FALSE),"")</f>
        <v/>
      </c>
      <c r="G9" s="897">
        <f>IFERROR(SUMIFS(TableauRecette[Prix d''achat / kg],TableauRecette[Recette],TableauProduit[[#This Row],[Recette]],TableauRecette[Conditionnement],TableauProduit[[#This Row],[Conditionnement]]),0)</f>
        <v/>
      </c>
      <c r="H9" s="898" t="n">
        <v>4.2</v>
      </c>
      <c r="I9" s="899">
        <f>1000*TableauProduit[[#This Row],[Prix de vente/U]]/TableauProduit[[#This Row],[Poids (g) / unite]]</f>
        <v/>
      </c>
      <c r="J9" s="900">
        <f>SUMIFS(TableauConcurence[PRIX_KG],TableauConcurence[PRODUIT],TableauProduit[[#This Row],[Recette]],TableauConcurence[DISTRIBUTION],"magasin NON BIO")</f>
        <v/>
      </c>
      <c r="K9" s="901">
        <f>SUMIFS(TableauConcurence[PRIX_KG],TableauConcurence[PRODUIT],TableauProduit[[#This Row],[Recette]],TableauConcurence[DISTRIBUTION],"magasin BIO")</f>
        <v/>
      </c>
      <c r="L9" s="902">
        <f>SUMIFS(TableauConcurence[PRIX_KG],TableauConcurence[PRODUIT],TableauProduit[[#This Row],[Recette]],TableauConcurence[DISTRIBUTION],"artisanale BIO")</f>
        <v/>
      </c>
      <c r="M9" s="903" t="n">
        <v>420</v>
      </c>
      <c r="N9" s="904">
        <f>TableauProduit[[#This Row],[Poids (g) / unite]]*TableauProduit[[#This Row],[Objectif de vente en unite N1]]/1000</f>
        <v/>
      </c>
      <c r="O9" s="905">
        <f>TableauProduit[[#This Row],[Objectif de vente en unite N1]]*TableauProduit[[#This Row],[Packaging / unite]]</f>
        <v/>
      </c>
      <c r="P9" s="905">
        <f>TableauProduit[[#This Row],[Prix Achat de plante par kg]]*TableauProduit[[#This Row],[Total (kg) N1]]</f>
        <v/>
      </c>
      <c r="Q9" s="905">
        <f>TableauProduit[[#This Row],[Prix de vente/kg]]*TableauProduit[[#This Row],[Total (kg) N1]]</f>
        <v/>
      </c>
      <c r="R9" s="906">
        <f>TableauProduit[[#This Row],[Revenue brut N1]]-TableauProduit[[#This Row],[Achat par kg N1]]-TableauProduit[[#This Row],[Conditionnement N1]]</f>
        <v/>
      </c>
      <c r="S9" s="907" t="n">
        <v>420</v>
      </c>
      <c r="T9" s="908">
        <f>TableauProduit[[#This Row],[Poids (g) / unite]]*TableauProduit[[#This Row],[Objectif de vente en unite N2]]/1000</f>
        <v/>
      </c>
      <c r="U9" s="909">
        <f>TableauProduit[[#This Row],[Objectif de vente en unite N2]]*TableauProduit[[#This Row],[Packaging / unite]]</f>
        <v/>
      </c>
      <c r="V9" s="909">
        <f>TableauProduit[[#This Row],[Prix Achat de plante par kg]]*TableauProduit[[#This Row],[Total (kg) N2]]</f>
        <v/>
      </c>
      <c r="W9" s="909">
        <f>TableauProduit[[#This Row],[Prix de vente/kg]]*TableauProduit[[#This Row],[Total (kg) N2]]</f>
        <v/>
      </c>
      <c r="X9" s="910">
        <f>TableauProduit[[#This Row],[Revenue brut N2]]-TableauProduit[[#This Row],[Achat plante / kg de melange N2]]-TableauProduit[[#This Row],[Conditionnement N2]]</f>
        <v/>
      </c>
      <c r="Y9" s="911" t="n">
        <v>420</v>
      </c>
      <c r="Z9" s="912">
        <f>TableauProduit[[#This Row],[Poids (g) / unite]]*TableauProduit[[#This Row],[Objectif de vente en unite N3]]/1000</f>
        <v/>
      </c>
      <c r="AA9" s="913">
        <f>TableauProduit[[#This Row],[Objectif de vente en unite N3]]*TableauProduit[[#This Row],[Packaging / unite]]</f>
        <v/>
      </c>
      <c r="AB9" s="913">
        <f>TableauProduit[[#This Row],[Prix Achat de plante par kg]]*TableauProduit[[#This Row],[Total (kg) N3]]</f>
        <v/>
      </c>
      <c r="AC9" s="913">
        <f>TableauProduit[[#This Row],[Prix de vente/kg]]*TableauProduit[[#This Row],[Total (kg) N3]]</f>
        <v/>
      </c>
      <c r="AD9" s="914">
        <f>TableauProduit[[#This Row],[Revenue brut N3]]-TableauProduit[[#This Row],[Achat plante / kg de melange N3]]-TableauProduit[[#This Row],[Conditionnement N3]]</f>
        <v/>
      </c>
      <c r="AE9" s="915" t="n">
        <v>420</v>
      </c>
      <c r="AF9" s="915">
        <f>TableauProduit[[#This Row],[Poids (g) / unite]]*TableauProduit[[#This Row],[Objectif de vente en unite N4]]/1000</f>
        <v/>
      </c>
      <c r="AG9" s="916">
        <f>TableauProduit[[#This Row],[Objectif de vente en unite N4]]*TableauProduit[[#This Row],[Packaging / unite]]</f>
        <v/>
      </c>
      <c r="AH9" s="916">
        <f>TableauProduit[[#This Row],[Prix Achat de plante par kg]]*TableauProduit[[#This Row],[Total (kg) N4]]</f>
        <v/>
      </c>
      <c r="AI9" s="916">
        <f>TableauProduit[[#This Row],[Prix de vente/kg]]*TableauProduit[[#This Row],[Total (kg) N4]]</f>
        <v/>
      </c>
      <c r="AJ9" s="915">
        <f>TableauProduit[[#This Row],[Revenue brut N4]]-TableauProduit[[#This Row],[Achat plante / kg de melange N4]]-TableauProduit[[#This Row],[Conditionnement N4]]</f>
        <v/>
      </c>
      <c r="AK9" s="917" t="n">
        <v>420</v>
      </c>
      <c r="AL9" s="917">
        <f>TableauProduit[[#This Row],[Poids (g) / unite]]*TableauProduit[[#This Row],[Objectif de vente en unite N5]]/1000</f>
        <v/>
      </c>
      <c r="AM9" s="918">
        <f>TableauProduit[[#This Row],[Objectif de vente en unite N5]]*TableauProduit[[#This Row],[Packaging / unite]]</f>
        <v/>
      </c>
      <c r="AN9" s="918">
        <f>TableauProduit[[#This Row],[Prix Achat de plante par kg]]*TableauProduit[[#This Row],[Total (kg) N5]]</f>
        <v/>
      </c>
      <c r="AO9" s="918">
        <f>TableauProduit[[#This Row],[Prix de vente/kg]]*TableauProduit[[#This Row],[Total (kg) N5]]</f>
        <v/>
      </c>
      <c r="AP9" s="917">
        <f>TableauProduit[[#This Row],[Revenue brut N5]]-TableauProduit[[#This Row],[Achat plante / kg de melange N5]]-TableauProduit[[#This Row],[Conditionnement N5]]</f>
        <v/>
      </c>
      <c r="AQ9" s="919" t="n">
        <v>420</v>
      </c>
      <c r="AR9" s="919">
        <f>TableauProduit[[#This Row],[Poids (g) / unite]]*TableauProduit[[#This Row],[Objectif de vente en unite N6]]/1000</f>
        <v/>
      </c>
      <c r="AS9" s="920">
        <f>TableauProduit[[#This Row],[Objectif de vente en unite N6]]*TableauProduit[[#This Row],[Packaging / unite]]</f>
        <v/>
      </c>
      <c r="AT9" s="920">
        <f>TableauProduit[[#This Row],[Prix Achat de plante par kg]]*TableauProduit[[#This Row],[Total (kg) N6]]</f>
        <v/>
      </c>
      <c r="AU9" s="920">
        <f>TableauProduit[[#This Row],[Prix de vente/kg]]*TableauProduit[[#This Row],[Total (kg) N6]]</f>
        <v/>
      </c>
      <c r="AV9" s="919">
        <f>TableauProduit[[#This Row],[Revenue brut N6]]-TableauProduit[[#This Row],[Achat plante / kg de melange N6]]-TableauProduit[[#This Row],[Conditionnement N6]]</f>
        <v/>
      </c>
      <c r="AW9" s="904" t="n">
        <v>420</v>
      </c>
      <c r="AX9" s="904">
        <f>TableauProduit[[#This Row],[Poids (g) / unite]]*TableauProduit[[#This Row],[Objectif de vente en unite N7]]/1000</f>
        <v/>
      </c>
      <c r="AY9" s="905">
        <f>TableauProduit[[#This Row],[Objectif de vente en unite N7]]*TableauProduit[[#This Row],[Packaging / unite]]</f>
        <v/>
      </c>
      <c r="AZ9" s="905">
        <f>TableauProduit[[#This Row],[Prix Achat de plante par kg]]*TableauProduit[[#This Row],[Total (kg) N7]]</f>
        <v/>
      </c>
      <c r="BA9" s="905">
        <f>TableauProduit[[#This Row],[Prix de vente/kg]]*TableauProduit[[#This Row],[Total (kg) N7]]</f>
        <v/>
      </c>
      <c r="BB9" s="921">
        <f>TableauProduit[[#This Row],[Revenue brut N7]]-TableauProduit[[#This Row],[Achat plante / kg de melange N7]]-TableauProduit[[#This Row],[Conditionnement N7]]</f>
        <v/>
      </c>
      <c r="BC9" s="922" t="n">
        <v>420</v>
      </c>
      <c r="BD9" s="923">
        <f>TableauProduit[[#This Row],[Poids (g) / unite]]*TableauProduit[[#This Row],[Objectif de vente en unite N8]]/1000</f>
        <v/>
      </c>
      <c r="BE9" s="924">
        <f>TableauProduit[[#This Row],[Objectif de vente en unite N8]]*TableauProduit[[#This Row],[Packaging / unite]]</f>
        <v/>
      </c>
      <c r="BF9" s="924">
        <f>TableauProduit[[#This Row],[Prix Achat de plante par kg]]*TableauProduit[[#This Row],[Total (kg) N8]]</f>
        <v/>
      </c>
      <c r="BG9" s="924">
        <f>TableauProduit[[#This Row],[Prix de vente/kg]]*TableauProduit[[#This Row],[Total (kg) N8]]</f>
        <v/>
      </c>
      <c r="BH9" s="925">
        <f>TableauProduit[[#This Row],[Revenue brut N8]]-TableauProduit[[#This Row],[Achat plante / kg de melange N8]]-TableauProduit[[#This Row],[Conditionnement N8]]</f>
        <v/>
      </c>
      <c r="BI9" s="926" t="n">
        <v>420</v>
      </c>
      <c r="BJ9" s="927">
        <f>TableauProduit[[#This Row],[Poids (g) / unite]]*TableauProduit[[#This Row],[Objectif de vente en unite N9]]/1000</f>
        <v/>
      </c>
      <c r="BK9" s="928">
        <f>TableauProduit[[#This Row],[Objectif de vente en unite N9]]*TableauProduit[[#This Row],[Packaging / unite]]</f>
        <v/>
      </c>
      <c r="BL9" s="928">
        <f>TableauProduit[[#This Row],[Prix Achat de plante par kg]]*TableauProduit[[#This Row],[Total (kg) N9]]</f>
        <v/>
      </c>
      <c r="BM9" s="928">
        <f>TableauProduit[[#This Row],[Prix de vente/kg]]*TableauProduit[[#This Row],[Total (kg) N9]]</f>
        <v/>
      </c>
      <c r="BN9" s="927">
        <f>TableauProduit[[#This Row],[Revenue brut N9]]-TableauProduit[[#This Row],[Achat plante / kg de melange N9]]-TableauProduit[[#This Row],[Conditionnement N9]]</f>
        <v/>
      </c>
    </row>
    <row r="10">
      <c r="A10" s="13" t="inlineStr">
        <is>
          <t>Moutarde à l'estragon</t>
        </is>
      </c>
      <c r="B10" s="54">
        <f>TableauProduit[[#This Row],[Recette]]&amp;TableauProduit[[#This Row],[Conditionnement]]</f>
        <v/>
      </c>
      <c r="C10" s="11" t="n">
        <v>1.5</v>
      </c>
      <c r="D10" s="11" t="n">
        <v>210</v>
      </c>
      <c r="E10" s="6" t="inlineStr">
        <is>
          <t>Moutarde verre 212 ml</t>
        </is>
      </c>
      <c r="F10" s="7">
        <f>IFERROR(VLOOKUP(TableauProduit[[#This Row],[Conditionnement]],TableauConditionnement[[Nom]:[Contenance]],4,FALSE),"")</f>
        <v/>
      </c>
      <c r="G10" s="897">
        <f>IFERROR(SUMIFS(TableauRecette[Prix d''achat / kg],TableauRecette[Recette],TableauProduit[[#This Row],[Recette]],TableauRecette[Conditionnement],TableauProduit[[#This Row],[Conditionnement]]),0)</f>
        <v/>
      </c>
      <c r="H10" s="898" t="n">
        <v>4.5</v>
      </c>
      <c r="I10" s="899">
        <f>1000*TableauProduit[[#This Row],[Prix de vente/U]]/TableauProduit[[#This Row],[Poids (g) / unite]]</f>
        <v/>
      </c>
      <c r="J10" s="900">
        <f>SUMIFS(TableauConcurence[PRIX_KG],TableauConcurence[PRODUIT],TableauProduit[[#This Row],[Recette]],TableauConcurence[DISTRIBUTION],"magasin NON BIO")</f>
        <v/>
      </c>
      <c r="K10" s="901">
        <f>SUMIFS(TableauConcurence[PRIX_KG],TableauConcurence[PRODUIT],TableauProduit[[#This Row],[Recette]],TableauConcurence[DISTRIBUTION],"magasin BIO")</f>
        <v/>
      </c>
      <c r="L10" s="902">
        <f>SUMIFS(TableauConcurence[PRIX_KG],TableauConcurence[PRODUIT],TableauProduit[[#This Row],[Recette]],TableauConcurence[DISTRIBUTION],"artisanale BIO")</f>
        <v/>
      </c>
      <c r="M10" s="903" t="n">
        <v>420</v>
      </c>
      <c r="N10" s="904">
        <f>TableauProduit[[#This Row],[Poids (g) / unite]]*TableauProduit[[#This Row],[Objectif de vente en unite N1]]/1000</f>
        <v/>
      </c>
      <c r="O10" s="905">
        <f>TableauProduit[[#This Row],[Objectif de vente en unite N1]]*TableauProduit[[#This Row],[Packaging / unite]]</f>
        <v/>
      </c>
      <c r="P10" s="905">
        <f>TableauProduit[[#This Row],[Prix Achat de plante par kg]]*TableauProduit[[#This Row],[Total (kg) N1]]</f>
        <v/>
      </c>
      <c r="Q10" s="905">
        <f>TableauProduit[[#This Row],[Prix de vente/kg]]*TableauProduit[[#This Row],[Total (kg) N1]]</f>
        <v/>
      </c>
      <c r="R10" s="906">
        <f>TableauProduit[[#This Row],[Revenue brut N1]]-TableauProduit[[#This Row],[Achat par kg N1]]-TableauProduit[[#This Row],[Conditionnement N1]]</f>
        <v/>
      </c>
      <c r="S10" s="907" t="n">
        <v>420</v>
      </c>
      <c r="T10" s="908">
        <f>TableauProduit[[#This Row],[Poids (g) / unite]]*TableauProduit[[#This Row],[Objectif de vente en unite N2]]/1000</f>
        <v/>
      </c>
      <c r="U10" s="909">
        <f>TableauProduit[[#This Row],[Objectif de vente en unite N2]]*TableauProduit[[#This Row],[Packaging / unite]]</f>
        <v/>
      </c>
      <c r="V10" s="909">
        <f>TableauProduit[[#This Row],[Prix Achat de plante par kg]]*TableauProduit[[#This Row],[Total (kg) N2]]</f>
        <v/>
      </c>
      <c r="W10" s="909">
        <f>TableauProduit[[#This Row],[Prix de vente/kg]]*TableauProduit[[#This Row],[Total (kg) N2]]</f>
        <v/>
      </c>
      <c r="X10" s="910">
        <f>TableauProduit[[#This Row],[Revenue brut N2]]-TableauProduit[[#This Row],[Achat plante / kg de melange N2]]-TableauProduit[[#This Row],[Conditionnement N2]]</f>
        <v/>
      </c>
      <c r="Y10" s="911" t="n">
        <v>420</v>
      </c>
      <c r="Z10" s="912">
        <f>TableauProduit[[#This Row],[Poids (g) / unite]]*TableauProduit[[#This Row],[Objectif de vente en unite N3]]/1000</f>
        <v/>
      </c>
      <c r="AA10" s="913">
        <f>TableauProduit[[#This Row],[Objectif de vente en unite N3]]*TableauProduit[[#This Row],[Packaging / unite]]</f>
        <v/>
      </c>
      <c r="AB10" s="913">
        <f>TableauProduit[[#This Row],[Prix Achat de plante par kg]]*TableauProduit[[#This Row],[Total (kg) N3]]</f>
        <v/>
      </c>
      <c r="AC10" s="913">
        <f>TableauProduit[[#This Row],[Prix de vente/kg]]*TableauProduit[[#This Row],[Total (kg) N3]]</f>
        <v/>
      </c>
      <c r="AD10" s="914">
        <f>TableauProduit[[#This Row],[Revenue brut N3]]-TableauProduit[[#This Row],[Achat plante / kg de melange N3]]-TableauProduit[[#This Row],[Conditionnement N3]]</f>
        <v/>
      </c>
      <c r="AE10" s="915" t="n">
        <v>420</v>
      </c>
      <c r="AF10" s="915">
        <f>TableauProduit[[#This Row],[Poids (g) / unite]]*TableauProduit[[#This Row],[Objectif de vente en unite N4]]/1000</f>
        <v/>
      </c>
      <c r="AG10" s="916">
        <f>TableauProduit[[#This Row],[Objectif de vente en unite N4]]*TableauProduit[[#This Row],[Packaging / unite]]</f>
        <v/>
      </c>
      <c r="AH10" s="916">
        <f>TableauProduit[[#This Row],[Prix Achat de plante par kg]]*TableauProduit[[#This Row],[Total (kg) N4]]</f>
        <v/>
      </c>
      <c r="AI10" s="916">
        <f>TableauProduit[[#This Row],[Prix de vente/kg]]*TableauProduit[[#This Row],[Total (kg) N4]]</f>
        <v/>
      </c>
      <c r="AJ10" s="915">
        <f>TableauProduit[[#This Row],[Revenue brut N4]]-TableauProduit[[#This Row],[Achat plante / kg de melange N4]]-TableauProduit[[#This Row],[Conditionnement N4]]</f>
        <v/>
      </c>
      <c r="AK10" s="917" t="n">
        <v>420</v>
      </c>
      <c r="AL10" s="917">
        <f>TableauProduit[[#This Row],[Poids (g) / unite]]*TableauProduit[[#This Row],[Objectif de vente en unite N5]]/1000</f>
        <v/>
      </c>
      <c r="AM10" s="918">
        <f>TableauProduit[[#This Row],[Objectif de vente en unite N5]]*TableauProduit[[#This Row],[Packaging / unite]]</f>
        <v/>
      </c>
      <c r="AN10" s="918">
        <f>TableauProduit[[#This Row],[Prix Achat de plante par kg]]*TableauProduit[[#This Row],[Total (kg) N5]]</f>
        <v/>
      </c>
      <c r="AO10" s="918">
        <f>TableauProduit[[#This Row],[Prix de vente/kg]]*TableauProduit[[#This Row],[Total (kg) N5]]</f>
        <v/>
      </c>
      <c r="AP10" s="917">
        <f>TableauProduit[[#This Row],[Revenue brut N5]]-TableauProduit[[#This Row],[Achat plante / kg de melange N5]]-TableauProduit[[#This Row],[Conditionnement N5]]</f>
        <v/>
      </c>
      <c r="AQ10" s="919" t="n">
        <v>420</v>
      </c>
      <c r="AR10" s="919">
        <f>TableauProduit[[#This Row],[Poids (g) / unite]]*TableauProduit[[#This Row],[Objectif de vente en unite N6]]/1000</f>
        <v/>
      </c>
      <c r="AS10" s="920">
        <f>TableauProduit[[#This Row],[Objectif de vente en unite N6]]*TableauProduit[[#This Row],[Packaging / unite]]</f>
        <v/>
      </c>
      <c r="AT10" s="920">
        <f>TableauProduit[[#This Row],[Prix Achat de plante par kg]]*TableauProduit[[#This Row],[Total (kg) N6]]</f>
        <v/>
      </c>
      <c r="AU10" s="920">
        <f>TableauProduit[[#This Row],[Prix de vente/kg]]*TableauProduit[[#This Row],[Total (kg) N6]]</f>
        <v/>
      </c>
      <c r="AV10" s="919">
        <f>TableauProduit[[#This Row],[Revenue brut N6]]-TableauProduit[[#This Row],[Achat plante / kg de melange N6]]-TableauProduit[[#This Row],[Conditionnement N6]]</f>
        <v/>
      </c>
      <c r="AW10" s="904" t="n">
        <v>420</v>
      </c>
      <c r="AX10" s="904">
        <f>TableauProduit[[#This Row],[Poids (g) / unite]]*TableauProduit[[#This Row],[Objectif de vente en unite N7]]/1000</f>
        <v/>
      </c>
      <c r="AY10" s="905">
        <f>TableauProduit[[#This Row],[Objectif de vente en unite N7]]*TableauProduit[[#This Row],[Packaging / unite]]</f>
        <v/>
      </c>
      <c r="AZ10" s="905">
        <f>TableauProduit[[#This Row],[Prix Achat de plante par kg]]*TableauProduit[[#This Row],[Total (kg) N7]]</f>
        <v/>
      </c>
      <c r="BA10" s="905">
        <f>TableauProduit[[#This Row],[Prix de vente/kg]]*TableauProduit[[#This Row],[Total (kg) N7]]</f>
        <v/>
      </c>
      <c r="BB10" s="921">
        <f>TableauProduit[[#This Row],[Revenue brut N7]]-TableauProduit[[#This Row],[Achat plante / kg de melange N7]]-TableauProduit[[#This Row],[Conditionnement N7]]</f>
        <v/>
      </c>
      <c r="BC10" s="922" t="n">
        <v>420</v>
      </c>
      <c r="BD10" s="923">
        <f>TableauProduit[[#This Row],[Poids (g) / unite]]*TableauProduit[[#This Row],[Objectif de vente en unite N8]]/1000</f>
        <v/>
      </c>
      <c r="BE10" s="924">
        <f>TableauProduit[[#This Row],[Objectif de vente en unite N8]]*TableauProduit[[#This Row],[Packaging / unite]]</f>
        <v/>
      </c>
      <c r="BF10" s="924">
        <f>TableauProduit[[#This Row],[Prix Achat de plante par kg]]*TableauProduit[[#This Row],[Total (kg) N8]]</f>
        <v/>
      </c>
      <c r="BG10" s="924">
        <f>TableauProduit[[#This Row],[Prix de vente/kg]]*TableauProduit[[#This Row],[Total (kg) N8]]</f>
        <v/>
      </c>
      <c r="BH10" s="925">
        <f>TableauProduit[[#This Row],[Revenue brut N8]]-TableauProduit[[#This Row],[Achat plante / kg de melange N8]]-TableauProduit[[#This Row],[Conditionnement N8]]</f>
        <v/>
      </c>
      <c r="BI10" s="926" t="n">
        <v>420</v>
      </c>
      <c r="BJ10" s="927">
        <f>TableauProduit[[#This Row],[Poids (g) / unite]]*TableauProduit[[#This Row],[Objectif de vente en unite N9]]/1000</f>
        <v/>
      </c>
      <c r="BK10" s="928">
        <f>TableauProduit[[#This Row],[Objectif de vente en unite N9]]*TableauProduit[[#This Row],[Packaging / unite]]</f>
        <v/>
      </c>
      <c r="BL10" s="928">
        <f>TableauProduit[[#This Row],[Prix Achat de plante par kg]]*TableauProduit[[#This Row],[Total (kg) N9]]</f>
        <v/>
      </c>
      <c r="BM10" s="928">
        <f>TableauProduit[[#This Row],[Prix de vente/kg]]*TableauProduit[[#This Row],[Total (kg) N9]]</f>
        <v/>
      </c>
      <c r="BN10" s="927">
        <f>TableauProduit[[#This Row],[Revenue brut N9]]-TableauProduit[[#This Row],[Achat plante / kg de melange N9]]-TableauProduit[[#This Row],[Conditionnement N9]]</f>
        <v/>
      </c>
    </row>
    <row r="11">
      <c r="A11" s="13" t="inlineStr">
        <is>
          <t>Paprika fume</t>
        </is>
      </c>
      <c r="B11" s="54">
        <f>TableauProduit[[#This Row],[Recette]]&amp;TableauProduit[[#This Row],[Conditionnement]]</f>
        <v/>
      </c>
      <c r="C11" s="11" t="n">
        <v>1</v>
      </c>
      <c r="D11" s="11" t="n">
        <v>60</v>
      </c>
      <c r="E11" s="6" t="inlineStr">
        <is>
          <t>Epice 100ml</t>
        </is>
      </c>
      <c r="F11" s="7">
        <f>IFERROR(VLOOKUP(TableauProduit[[#This Row],[Conditionnement]],TableauConditionnement[[Nom]:[Contenance]],4,FALSE),"")</f>
        <v/>
      </c>
      <c r="G11" s="897">
        <f>IFERROR(SUMIFS(TableauRecette[Prix d''achat / kg],TableauRecette[Recette],TableauProduit[[#This Row],[Recette]],TableauRecette[Conditionnement],TableauProduit[[#This Row],[Conditionnement]]),0)</f>
        <v/>
      </c>
      <c r="H11" s="898" t="n">
        <v>4.5</v>
      </c>
      <c r="I11" s="899">
        <f>1000*TableauProduit[[#This Row],[Prix de vente/U]]/TableauProduit[[#This Row],[Poids (g) / unite]]</f>
        <v/>
      </c>
      <c r="J11" s="900">
        <f>SUMIFS(TableauConcurence[PRIX_KG],TableauConcurence[PRODUIT],TableauProduit[[#This Row],[Recette]],TableauConcurence[DISTRIBUTION],"magasin NON BIO")</f>
        <v/>
      </c>
      <c r="K11" s="901">
        <f>SUMIFS(TableauConcurence[PRIX_KG],TableauConcurence[PRODUIT],TableauProduit[[#This Row],[Recette]],TableauConcurence[DISTRIBUTION],"magasin BIO")</f>
        <v/>
      </c>
      <c r="L11" s="902">
        <f>SUMIFS(TableauConcurence[PRIX_KG],TableauConcurence[PRODUIT],TableauProduit[[#This Row],[Recette]],TableauConcurence[DISTRIBUTION],"artisanale BIO")</f>
        <v/>
      </c>
      <c r="M11" s="903" t="n">
        <v>420</v>
      </c>
      <c r="N11" s="904">
        <f>TableauProduit[[#This Row],[Poids (g) / unite]]*TableauProduit[[#This Row],[Objectif de vente en unite N1]]/1000</f>
        <v/>
      </c>
      <c r="O11" s="905">
        <f>TableauProduit[[#This Row],[Objectif de vente en unite N1]]*TableauProduit[[#This Row],[Packaging / unite]]</f>
        <v/>
      </c>
      <c r="P11" s="905">
        <f>TableauProduit[[#This Row],[Prix Achat de plante par kg]]*TableauProduit[[#This Row],[Total (kg) N1]]</f>
        <v/>
      </c>
      <c r="Q11" s="905">
        <f>TableauProduit[[#This Row],[Prix de vente/kg]]*TableauProduit[[#This Row],[Total (kg) N1]]</f>
        <v/>
      </c>
      <c r="R11" s="906">
        <f>TableauProduit[[#This Row],[Revenue brut N1]]-TableauProduit[[#This Row],[Achat par kg N1]]-TableauProduit[[#This Row],[Conditionnement N1]]</f>
        <v/>
      </c>
      <c r="S11" s="907" t="n">
        <v>420</v>
      </c>
      <c r="T11" s="908">
        <f>TableauProduit[[#This Row],[Poids (g) / unite]]*TableauProduit[[#This Row],[Objectif de vente en unite N2]]/1000</f>
        <v/>
      </c>
      <c r="U11" s="909">
        <f>TableauProduit[[#This Row],[Objectif de vente en unite N2]]*TableauProduit[[#This Row],[Packaging / unite]]</f>
        <v/>
      </c>
      <c r="V11" s="909">
        <f>TableauProduit[[#This Row],[Prix Achat de plante par kg]]*TableauProduit[[#This Row],[Total (kg) N2]]</f>
        <v/>
      </c>
      <c r="W11" s="909">
        <f>TableauProduit[[#This Row],[Prix de vente/kg]]*TableauProduit[[#This Row],[Total (kg) N2]]</f>
        <v/>
      </c>
      <c r="X11" s="910">
        <f>TableauProduit[[#This Row],[Revenue brut N2]]-TableauProduit[[#This Row],[Achat plante / kg de melange N2]]-TableauProduit[[#This Row],[Conditionnement N2]]</f>
        <v/>
      </c>
      <c r="Y11" s="911" t="n">
        <v>420</v>
      </c>
      <c r="Z11" s="912">
        <f>TableauProduit[[#This Row],[Poids (g) / unite]]*TableauProduit[[#This Row],[Objectif de vente en unite N3]]/1000</f>
        <v/>
      </c>
      <c r="AA11" s="913">
        <f>TableauProduit[[#This Row],[Objectif de vente en unite N3]]*TableauProduit[[#This Row],[Packaging / unite]]</f>
        <v/>
      </c>
      <c r="AB11" s="913">
        <f>TableauProduit[[#This Row],[Prix Achat de plante par kg]]*TableauProduit[[#This Row],[Total (kg) N3]]</f>
        <v/>
      </c>
      <c r="AC11" s="913">
        <f>TableauProduit[[#This Row],[Prix de vente/kg]]*TableauProduit[[#This Row],[Total (kg) N3]]</f>
        <v/>
      </c>
      <c r="AD11" s="914">
        <f>TableauProduit[[#This Row],[Revenue brut N3]]-TableauProduit[[#This Row],[Achat plante / kg de melange N3]]-TableauProduit[[#This Row],[Conditionnement N3]]</f>
        <v/>
      </c>
      <c r="AE11" s="915" t="n">
        <v>420</v>
      </c>
      <c r="AF11" s="915">
        <f>TableauProduit[[#This Row],[Poids (g) / unite]]*TableauProduit[[#This Row],[Objectif de vente en unite N4]]/1000</f>
        <v/>
      </c>
      <c r="AG11" s="916">
        <f>TableauProduit[[#This Row],[Objectif de vente en unite N4]]*TableauProduit[[#This Row],[Packaging / unite]]</f>
        <v/>
      </c>
      <c r="AH11" s="916">
        <f>TableauProduit[[#This Row],[Prix Achat de plante par kg]]*TableauProduit[[#This Row],[Total (kg) N4]]</f>
        <v/>
      </c>
      <c r="AI11" s="916">
        <f>TableauProduit[[#This Row],[Prix de vente/kg]]*TableauProduit[[#This Row],[Total (kg) N4]]</f>
        <v/>
      </c>
      <c r="AJ11" s="915">
        <f>TableauProduit[[#This Row],[Revenue brut N4]]-TableauProduit[[#This Row],[Achat plante / kg de melange N4]]-TableauProduit[[#This Row],[Conditionnement N4]]</f>
        <v/>
      </c>
      <c r="AK11" s="917" t="n">
        <v>420</v>
      </c>
      <c r="AL11" s="917">
        <f>TableauProduit[[#This Row],[Poids (g) / unite]]*TableauProduit[[#This Row],[Objectif de vente en unite N5]]/1000</f>
        <v/>
      </c>
      <c r="AM11" s="918">
        <f>TableauProduit[[#This Row],[Objectif de vente en unite N5]]*TableauProduit[[#This Row],[Packaging / unite]]</f>
        <v/>
      </c>
      <c r="AN11" s="918">
        <f>TableauProduit[[#This Row],[Prix Achat de plante par kg]]*TableauProduit[[#This Row],[Total (kg) N5]]</f>
        <v/>
      </c>
      <c r="AO11" s="918">
        <f>TableauProduit[[#This Row],[Prix de vente/kg]]*TableauProduit[[#This Row],[Total (kg) N5]]</f>
        <v/>
      </c>
      <c r="AP11" s="917">
        <f>TableauProduit[[#This Row],[Revenue brut N5]]-TableauProduit[[#This Row],[Achat plante / kg de melange N5]]-TableauProduit[[#This Row],[Conditionnement N5]]</f>
        <v/>
      </c>
      <c r="AQ11" s="919" t="n">
        <v>420</v>
      </c>
      <c r="AR11" s="919">
        <f>TableauProduit[[#This Row],[Poids (g) / unite]]*TableauProduit[[#This Row],[Objectif de vente en unite N6]]/1000</f>
        <v/>
      </c>
      <c r="AS11" s="920">
        <f>TableauProduit[[#This Row],[Objectif de vente en unite N6]]*TableauProduit[[#This Row],[Packaging / unite]]</f>
        <v/>
      </c>
      <c r="AT11" s="920">
        <f>TableauProduit[[#This Row],[Prix Achat de plante par kg]]*TableauProduit[[#This Row],[Total (kg) N6]]</f>
        <v/>
      </c>
      <c r="AU11" s="920">
        <f>TableauProduit[[#This Row],[Prix de vente/kg]]*TableauProduit[[#This Row],[Total (kg) N6]]</f>
        <v/>
      </c>
      <c r="AV11" s="919">
        <f>TableauProduit[[#This Row],[Revenue brut N6]]-TableauProduit[[#This Row],[Achat plante / kg de melange N6]]-TableauProduit[[#This Row],[Conditionnement N6]]</f>
        <v/>
      </c>
      <c r="AW11" s="904" t="n">
        <v>420</v>
      </c>
      <c r="AX11" s="904">
        <f>TableauProduit[[#This Row],[Poids (g) / unite]]*TableauProduit[[#This Row],[Objectif de vente en unite N7]]/1000</f>
        <v/>
      </c>
      <c r="AY11" s="905">
        <f>TableauProduit[[#This Row],[Objectif de vente en unite N7]]*TableauProduit[[#This Row],[Packaging / unite]]</f>
        <v/>
      </c>
      <c r="AZ11" s="905">
        <f>TableauProduit[[#This Row],[Prix Achat de plante par kg]]*TableauProduit[[#This Row],[Total (kg) N7]]</f>
        <v/>
      </c>
      <c r="BA11" s="905">
        <f>TableauProduit[[#This Row],[Prix de vente/kg]]*TableauProduit[[#This Row],[Total (kg) N7]]</f>
        <v/>
      </c>
      <c r="BB11" s="921">
        <f>TableauProduit[[#This Row],[Revenue brut N7]]-TableauProduit[[#This Row],[Achat plante / kg de melange N7]]-TableauProduit[[#This Row],[Conditionnement N7]]</f>
        <v/>
      </c>
      <c r="BC11" s="922" t="n">
        <v>420</v>
      </c>
      <c r="BD11" s="923">
        <f>TableauProduit[[#This Row],[Poids (g) / unite]]*TableauProduit[[#This Row],[Objectif de vente en unite N8]]/1000</f>
        <v/>
      </c>
      <c r="BE11" s="924">
        <f>TableauProduit[[#This Row],[Objectif de vente en unite N8]]*TableauProduit[[#This Row],[Packaging / unite]]</f>
        <v/>
      </c>
      <c r="BF11" s="924">
        <f>TableauProduit[[#This Row],[Prix Achat de plante par kg]]*TableauProduit[[#This Row],[Total (kg) N8]]</f>
        <v/>
      </c>
      <c r="BG11" s="924">
        <f>TableauProduit[[#This Row],[Prix de vente/kg]]*TableauProduit[[#This Row],[Total (kg) N8]]</f>
        <v/>
      </c>
      <c r="BH11" s="925">
        <f>TableauProduit[[#This Row],[Revenue brut N8]]-TableauProduit[[#This Row],[Achat plante / kg de melange N8]]-TableauProduit[[#This Row],[Conditionnement N8]]</f>
        <v/>
      </c>
      <c r="BI11" s="926" t="n">
        <v>420</v>
      </c>
      <c r="BJ11" s="927">
        <f>TableauProduit[[#This Row],[Poids (g) / unite]]*TableauProduit[[#This Row],[Objectif de vente en unite N9]]/1000</f>
        <v/>
      </c>
      <c r="BK11" s="928">
        <f>TableauProduit[[#This Row],[Objectif de vente en unite N9]]*TableauProduit[[#This Row],[Packaging / unite]]</f>
        <v/>
      </c>
      <c r="BL11" s="928">
        <f>TableauProduit[[#This Row],[Prix Achat de plante par kg]]*TableauProduit[[#This Row],[Total (kg) N9]]</f>
        <v/>
      </c>
      <c r="BM11" s="928">
        <f>TableauProduit[[#This Row],[Prix de vente/kg]]*TableauProduit[[#This Row],[Total (kg) N9]]</f>
        <v/>
      </c>
      <c r="BN11" s="927">
        <f>TableauProduit[[#This Row],[Revenue brut N9]]-TableauProduit[[#This Row],[Achat plante / kg de melange N9]]-TableauProduit[[#This Row],[Conditionnement N9]]</f>
        <v/>
      </c>
    </row>
    <row r="12">
      <c r="A12" s="553" t="inlineStr">
        <is>
          <t>Sirop de menthe</t>
        </is>
      </c>
      <c r="B12" s="54">
        <f>TableauProduit[[#This Row],[Recette]]&amp;TableauProduit[[#This Row],[Conditionnement]]</f>
        <v/>
      </c>
      <c r="C12" s="11" t="n">
        <v>1</v>
      </c>
      <c r="D12" s="11" t="n">
        <v>500</v>
      </c>
      <c r="E12" s="6" t="inlineStr">
        <is>
          <t>Sirop 500 ml</t>
        </is>
      </c>
      <c r="F12" s="7">
        <f>IFERROR(VLOOKUP(TableauProduit[[#This Row],[Conditionnement]],TableauConditionnement[[Nom]:[Contenance]],4,FALSE),"")</f>
        <v/>
      </c>
      <c r="G12" s="897">
        <f>IFERROR(SUMIFS(TableauRecette[Prix d''achat / kg],TableauRecette[Recette],TableauProduit[[#This Row],[Recette]],TableauRecette[Conditionnement],TableauProduit[[#This Row],[Conditionnement]]),0)</f>
        <v/>
      </c>
      <c r="H12" s="957" t="n">
        <v>7</v>
      </c>
      <c r="I12" s="899">
        <f>1000*TableauProduit[[#This Row],[Prix de vente/U]]/TableauProduit[[#This Row],[Poids (g) / unite]]</f>
        <v/>
      </c>
      <c r="J12" s="900">
        <f>SUMIFS(TableauConcurence[PRIX_KG],TableauConcurence[PRODUIT],TableauProduit[[#This Row],[Recette]],TableauConcurence[DISTRIBUTION],"magasin NON BIO")</f>
        <v/>
      </c>
      <c r="K12" s="901">
        <f>SUMIFS(TableauConcurence[PRIX_KG],TableauConcurence[PRODUIT],TableauProduit[[#This Row],[Recette]],TableauConcurence[DISTRIBUTION],"magasin BIO")</f>
        <v/>
      </c>
      <c r="L12" s="902">
        <f>SUMIFS(TableauConcurence[PRIX_KG],TableauConcurence[PRODUIT],TableauProduit[[#This Row],[Recette]],TableauConcurence[DISTRIBUTION],"artisanale BIO")</f>
        <v/>
      </c>
      <c r="M12" s="903" t="n">
        <v>420</v>
      </c>
      <c r="N12" s="904">
        <f>TableauProduit[[#This Row],[Poids (g) / unite]]*TableauProduit[[#This Row],[Objectif de vente en unite N1]]/1000</f>
        <v/>
      </c>
      <c r="O12" s="905">
        <f>TableauProduit[[#This Row],[Objectif de vente en unite N1]]*TableauProduit[[#This Row],[Packaging / unite]]</f>
        <v/>
      </c>
      <c r="P12" s="905">
        <f>TableauProduit[[#This Row],[Prix Achat de plante par kg]]*TableauProduit[[#This Row],[Total (kg) N1]]</f>
        <v/>
      </c>
      <c r="Q12" s="905">
        <f>TableauProduit[[#This Row],[Prix de vente/kg]]*TableauProduit[[#This Row],[Total (kg) N1]]</f>
        <v/>
      </c>
      <c r="R12" s="906">
        <f>TableauProduit[[#This Row],[Revenue brut N1]]-TableauProduit[[#This Row],[Achat par kg N1]]-TableauProduit[[#This Row],[Conditionnement N1]]</f>
        <v/>
      </c>
      <c r="S12" s="907" t="n">
        <v>420</v>
      </c>
      <c r="T12" s="908">
        <f>TableauProduit[[#This Row],[Poids (g) / unite]]*TableauProduit[[#This Row],[Objectif de vente en unite N2]]/1000</f>
        <v/>
      </c>
      <c r="U12" s="909">
        <f>TableauProduit[[#This Row],[Objectif de vente en unite N2]]*TableauProduit[[#This Row],[Packaging / unite]]</f>
        <v/>
      </c>
      <c r="V12" s="909">
        <f>TableauProduit[[#This Row],[Prix Achat de plante par kg]]*TableauProduit[[#This Row],[Total (kg) N2]]</f>
        <v/>
      </c>
      <c r="W12" s="909">
        <f>TableauProduit[[#This Row],[Prix de vente/kg]]*TableauProduit[[#This Row],[Total (kg) N2]]</f>
        <v/>
      </c>
      <c r="X12" s="910">
        <f>TableauProduit[[#This Row],[Revenue brut N2]]-TableauProduit[[#This Row],[Achat plante / kg de melange N2]]-TableauProduit[[#This Row],[Conditionnement N2]]</f>
        <v/>
      </c>
      <c r="Y12" s="911" t="n">
        <v>420</v>
      </c>
      <c r="Z12" s="912">
        <f>TableauProduit[[#This Row],[Poids (g) / unite]]*TableauProduit[[#This Row],[Objectif de vente en unite N3]]/1000</f>
        <v/>
      </c>
      <c r="AA12" s="913">
        <f>TableauProduit[[#This Row],[Objectif de vente en unite N3]]*TableauProduit[[#This Row],[Packaging / unite]]</f>
        <v/>
      </c>
      <c r="AB12" s="913">
        <f>TableauProduit[[#This Row],[Prix Achat de plante par kg]]*TableauProduit[[#This Row],[Total (kg) N3]]</f>
        <v/>
      </c>
      <c r="AC12" s="913">
        <f>TableauProduit[[#This Row],[Prix de vente/kg]]*TableauProduit[[#This Row],[Total (kg) N3]]</f>
        <v/>
      </c>
      <c r="AD12" s="914">
        <f>TableauProduit[[#This Row],[Revenue brut N3]]-TableauProduit[[#This Row],[Achat plante / kg de melange N3]]-TableauProduit[[#This Row],[Conditionnement N3]]</f>
        <v/>
      </c>
      <c r="AE12" s="915" t="n">
        <v>420</v>
      </c>
      <c r="AF12" s="915">
        <f>TableauProduit[[#This Row],[Poids (g) / unite]]*TableauProduit[[#This Row],[Objectif de vente en unite N4]]/1000</f>
        <v/>
      </c>
      <c r="AG12" s="916">
        <f>TableauProduit[[#This Row],[Objectif de vente en unite N4]]*TableauProduit[[#This Row],[Packaging / unite]]</f>
        <v/>
      </c>
      <c r="AH12" s="916">
        <f>TableauProduit[[#This Row],[Prix Achat de plante par kg]]*TableauProduit[[#This Row],[Total (kg) N4]]</f>
        <v/>
      </c>
      <c r="AI12" s="916">
        <f>TableauProduit[[#This Row],[Prix de vente/kg]]*TableauProduit[[#This Row],[Total (kg) N4]]</f>
        <v/>
      </c>
      <c r="AJ12" s="915">
        <f>TableauProduit[[#This Row],[Revenue brut N4]]-TableauProduit[[#This Row],[Achat plante / kg de melange N4]]-TableauProduit[[#This Row],[Conditionnement N4]]</f>
        <v/>
      </c>
      <c r="AK12" s="917" t="n">
        <v>420</v>
      </c>
      <c r="AL12" s="917">
        <f>TableauProduit[[#This Row],[Poids (g) / unite]]*TableauProduit[[#This Row],[Objectif de vente en unite N5]]/1000</f>
        <v/>
      </c>
      <c r="AM12" s="918">
        <f>TableauProduit[[#This Row],[Objectif de vente en unite N5]]*TableauProduit[[#This Row],[Packaging / unite]]</f>
        <v/>
      </c>
      <c r="AN12" s="918">
        <f>TableauProduit[[#This Row],[Prix Achat de plante par kg]]*TableauProduit[[#This Row],[Total (kg) N5]]</f>
        <v/>
      </c>
      <c r="AO12" s="918">
        <f>TableauProduit[[#This Row],[Prix de vente/kg]]*TableauProduit[[#This Row],[Total (kg) N5]]</f>
        <v/>
      </c>
      <c r="AP12" s="917">
        <f>TableauProduit[[#This Row],[Revenue brut N5]]-TableauProduit[[#This Row],[Achat plante / kg de melange N5]]-TableauProduit[[#This Row],[Conditionnement N5]]</f>
        <v/>
      </c>
      <c r="AQ12" s="919" t="n">
        <v>420</v>
      </c>
      <c r="AR12" s="919">
        <f>TableauProduit[[#This Row],[Poids (g) / unite]]*TableauProduit[[#This Row],[Objectif de vente en unite N6]]/1000</f>
        <v/>
      </c>
      <c r="AS12" s="920">
        <f>TableauProduit[[#This Row],[Objectif de vente en unite N6]]*TableauProduit[[#This Row],[Packaging / unite]]</f>
        <v/>
      </c>
      <c r="AT12" s="920">
        <f>TableauProduit[[#This Row],[Prix Achat de plante par kg]]*TableauProduit[[#This Row],[Total (kg) N6]]</f>
        <v/>
      </c>
      <c r="AU12" s="920">
        <f>TableauProduit[[#This Row],[Prix de vente/kg]]*TableauProduit[[#This Row],[Total (kg) N6]]</f>
        <v/>
      </c>
      <c r="AV12" s="919">
        <f>TableauProduit[[#This Row],[Revenue brut N6]]-TableauProduit[[#This Row],[Achat plante / kg de melange N6]]-TableauProduit[[#This Row],[Conditionnement N6]]</f>
        <v/>
      </c>
      <c r="AW12" s="904" t="n">
        <v>420</v>
      </c>
      <c r="AX12" s="904">
        <f>TableauProduit[[#This Row],[Poids (g) / unite]]*TableauProduit[[#This Row],[Objectif de vente en unite N7]]/1000</f>
        <v/>
      </c>
      <c r="AY12" s="905">
        <f>TableauProduit[[#This Row],[Objectif de vente en unite N7]]*TableauProduit[[#This Row],[Packaging / unite]]</f>
        <v/>
      </c>
      <c r="AZ12" s="905">
        <f>TableauProduit[[#This Row],[Prix Achat de plante par kg]]*TableauProduit[[#This Row],[Total (kg) N7]]</f>
        <v/>
      </c>
      <c r="BA12" s="905">
        <f>TableauProduit[[#This Row],[Prix de vente/kg]]*TableauProduit[[#This Row],[Total (kg) N7]]</f>
        <v/>
      </c>
      <c r="BB12" s="921">
        <f>TableauProduit[[#This Row],[Revenue brut N7]]-TableauProduit[[#This Row],[Achat plante / kg de melange N7]]-TableauProduit[[#This Row],[Conditionnement N7]]</f>
        <v/>
      </c>
      <c r="BC12" s="922" t="n">
        <v>420</v>
      </c>
      <c r="BD12" s="923">
        <f>TableauProduit[[#This Row],[Poids (g) / unite]]*TableauProduit[[#This Row],[Objectif de vente en unite N8]]/1000</f>
        <v/>
      </c>
      <c r="BE12" s="924">
        <f>TableauProduit[[#This Row],[Objectif de vente en unite N8]]*TableauProduit[[#This Row],[Packaging / unite]]</f>
        <v/>
      </c>
      <c r="BF12" s="924">
        <f>TableauProduit[[#This Row],[Prix Achat de plante par kg]]*TableauProduit[[#This Row],[Total (kg) N8]]</f>
        <v/>
      </c>
      <c r="BG12" s="924">
        <f>TableauProduit[[#This Row],[Prix de vente/kg]]*TableauProduit[[#This Row],[Total (kg) N8]]</f>
        <v/>
      </c>
      <c r="BH12" s="925">
        <f>TableauProduit[[#This Row],[Revenue brut N8]]-TableauProduit[[#This Row],[Achat plante / kg de melange N8]]-TableauProduit[[#This Row],[Conditionnement N8]]</f>
        <v/>
      </c>
      <c r="BI12" s="926" t="n">
        <v>420</v>
      </c>
      <c r="BJ12" s="927">
        <f>TableauProduit[[#This Row],[Poids (g) / unite]]*TableauProduit[[#This Row],[Objectif de vente en unite N9]]/1000</f>
        <v/>
      </c>
      <c r="BK12" s="928">
        <f>TableauProduit[[#This Row],[Objectif de vente en unite N9]]*TableauProduit[[#This Row],[Packaging / unite]]</f>
        <v/>
      </c>
      <c r="BL12" s="928">
        <f>TableauProduit[[#This Row],[Prix Achat de plante par kg]]*TableauProduit[[#This Row],[Total (kg) N9]]</f>
        <v/>
      </c>
      <c r="BM12" s="928">
        <f>TableauProduit[[#This Row],[Prix de vente/kg]]*TableauProduit[[#This Row],[Total (kg) N9]]</f>
        <v/>
      </c>
      <c r="BN12" s="927">
        <f>TableauProduit[[#This Row],[Revenue brut N9]]-TableauProduit[[#This Row],[Achat plante / kg de melange N9]]-TableauProduit[[#This Row],[Conditionnement N9]]</f>
        <v/>
      </c>
    </row>
    <row r="13">
      <c r="A13" s="553" t="inlineStr">
        <is>
          <t>Sucre aux fleures</t>
        </is>
      </c>
      <c r="B13" s="54">
        <f>TableauProduit[[#This Row],[Recette]]&amp;TableauProduit[[#This Row],[Conditionnement]]</f>
        <v/>
      </c>
      <c r="C13" s="11" t="n">
        <v>2</v>
      </c>
      <c r="D13" s="11" t="n">
        <v>75</v>
      </c>
      <c r="E13" s="6" t="inlineStr">
        <is>
          <t>Epice 100ml</t>
        </is>
      </c>
      <c r="F13" s="7">
        <f>IFERROR(VLOOKUP(TableauProduit[[#This Row],[Conditionnement]],TableauConditionnement[[Nom]:[Contenance]],4,FALSE),"")</f>
        <v/>
      </c>
      <c r="G13" s="897">
        <f>IFERROR(SUMIFS(TableauRecette[Prix d''achat / kg],TableauRecette[Recette],TableauProduit[[#This Row],[Recette]],TableauRecette[Conditionnement],TableauProduit[[#This Row],[Conditionnement]]),0)</f>
        <v/>
      </c>
      <c r="H13" s="957" t="n">
        <v>5</v>
      </c>
      <c r="I13" s="899">
        <f>1000*TableauProduit[[#This Row],[Prix de vente/U]]/TableauProduit[[#This Row],[Poids (g) / unite]]</f>
        <v/>
      </c>
      <c r="J13" s="900">
        <f>SUMIFS(TableauConcurence[PRIX_KG],TableauConcurence[PRODUIT],TableauProduit[[#This Row],[Recette]],TableauConcurence[DISTRIBUTION],"magasin NON BIO")</f>
        <v/>
      </c>
      <c r="K13" s="901">
        <f>SUMIFS(TableauConcurence[PRIX_KG],TableauConcurence[PRODUIT],TableauProduit[[#This Row],[Recette]],TableauConcurence[DISTRIBUTION],"magasin BIO")</f>
        <v/>
      </c>
      <c r="L13" s="902">
        <f>SUMIFS(TableauConcurence[PRIX_KG],TableauConcurence[PRODUIT],TableauProduit[[#This Row],[Recette]],TableauConcurence[DISTRIBUTION],"artisanale BIO")</f>
        <v/>
      </c>
      <c r="M13" s="903" t="n">
        <v>420</v>
      </c>
      <c r="N13" s="904">
        <f>TableauProduit[[#This Row],[Poids (g) / unite]]*TableauProduit[[#This Row],[Objectif de vente en unite N1]]/1000</f>
        <v/>
      </c>
      <c r="O13" s="905">
        <f>TableauProduit[[#This Row],[Objectif de vente en unite N1]]*TableauProduit[[#This Row],[Packaging / unite]]</f>
        <v/>
      </c>
      <c r="P13" s="905">
        <f>TableauProduit[[#This Row],[Prix Achat de plante par kg]]*TableauProduit[[#This Row],[Total (kg) N1]]</f>
        <v/>
      </c>
      <c r="Q13" s="905">
        <f>TableauProduit[[#This Row],[Prix de vente/kg]]*TableauProduit[[#This Row],[Total (kg) N1]]</f>
        <v/>
      </c>
      <c r="R13" s="906">
        <f>TableauProduit[[#This Row],[Revenue brut N1]]-TableauProduit[[#This Row],[Achat par kg N1]]-TableauProduit[[#This Row],[Conditionnement N1]]</f>
        <v/>
      </c>
      <c r="S13" s="907" t="n">
        <v>420</v>
      </c>
      <c r="T13" s="908">
        <f>TableauProduit[[#This Row],[Poids (g) / unite]]*TableauProduit[[#This Row],[Objectif de vente en unite N2]]/1000</f>
        <v/>
      </c>
      <c r="U13" s="909">
        <f>TableauProduit[[#This Row],[Objectif de vente en unite N2]]*TableauProduit[[#This Row],[Packaging / unite]]</f>
        <v/>
      </c>
      <c r="V13" s="909">
        <f>TableauProduit[[#This Row],[Prix Achat de plante par kg]]*TableauProduit[[#This Row],[Total (kg) N2]]</f>
        <v/>
      </c>
      <c r="W13" s="909">
        <f>TableauProduit[[#This Row],[Prix de vente/kg]]*TableauProduit[[#This Row],[Total (kg) N2]]</f>
        <v/>
      </c>
      <c r="X13" s="910">
        <f>TableauProduit[[#This Row],[Revenue brut N2]]-TableauProduit[[#This Row],[Achat plante / kg de melange N2]]-TableauProduit[[#This Row],[Conditionnement N2]]</f>
        <v/>
      </c>
      <c r="Y13" s="911" t="n">
        <v>420</v>
      </c>
      <c r="Z13" s="912">
        <f>TableauProduit[[#This Row],[Poids (g) / unite]]*TableauProduit[[#This Row],[Objectif de vente en unite N3]]/1000</f>
        <v/>
      </c>
      <c r="AA13" s="913">
        <f>TableauProduit[[#This Row],[Objectif de vente en unite N3]]*TableauProduit[[#This Row],[Packaging / unite]]</f>
        <v/>
      </c>
      <c r="AB13" s="913">
        <f>TableauProduit[[#This Row],[Prix Achat de plante par kg]]*TableauProduit[[#This Row],[Total (kg) N3]]</f>
        <v/>
      </c>
      <c r="AC13" s="913">
        <f>TableauProduit[[#This Row],[Prix de vente/kg]]*TableauProduit[[#This Row],[Total (kg) N3]]</f>
        <v/>
      </c>
      <c r="AD13" s="914">
        <f>TableauProduit[[#This Row],[Revenue brut N3]]-TableauProduit[[#This Row],[Achat plante / kg de melange N3]]-TableauProduit[[#This Row],[Conditionnement N3]]</f>
        <v/>
      </c>
      <c r="AE13" s="915" t="n">
        <v>420</v>
      </c>
      <c r="AF13" s="915">
        <f>TableauProduit[[#This Row],[Poids (g) / unite]]*TableauProduit[[#This Row],[Objectif de vente en unite N4]]/1000</f>
        <v/>
      </c>
      <c r="AG13" s="916">
        <f>TableauProduit[[#This Row],[Objectif de vente en unite N4]]*TableauProduit[[#This Row],[Packaging / unite]]</f>
        <v/>
      </c>
      <c r="AH13" s="916">
        <f>TableauProduit[[#This Row],[Prix Achat de plante par kg]]*TableauProduit[[#This Row],[Total (kg) N4]]</f>
        <v/>
      </c>
      <c r="AI13" s="916">
        <f>TableauProduit[[#This Row],[Prix de vente/kg]]*TableauProduit[[#This Row],[Total (kg) N4]]</f>
        <v/>
      </c>
      <c r="AJ13" s="915">
        <f>TableauProduit[[#This Row],[Revenue brut N4]]-TableauProduit[[#This Row],[Achat plante / kg de melange N4]]-TableauProduit[[#This Row],[Conditionnement N4]]</f>
        <v/>
      </c>
      <c r="AK13" s="917" t="n">
        <v>420</v>
      </c>
      <c r="AL13" s="917">
        <f>TableauProduit[[#This Row],[Poids (g) / unite]]*TableauProduit[[#This Row],[Objectif de vente en unite N5]]/1000</f>
        <v/>
      </c>
      <c r="AM13" s="918">
        <f>TableauProduit[[#This Row],[Objectif de vente en unite N5]]*TableauProduit[[#This Row],[Packaging / unite]]</f>
        <v/>
      </c>
      <c r="AN13" s="918">
        <f>TableauProduit[[#This Row],[Prix Achat de plante par kg]]*TableauProduit[[#This Row],[Total (kg) N5]]</f>
        <v/>
      </c>
      <c r="AO13" s="918">
        <f>TableauProduit[[#This Row],[Prix de vente/kg]]*TableauProduit[[#This Row],[Total (kg) N5]]</f>
        <v/>
      </c>
      <c r="AP13" s="917">
        <f>TableauProduit[[#This Row],[Revenue brut N5]]-TableauProduit[[#This Row],[Achat plante / kg de melange N5]]-TableauProduit[[#This Row],[Conditionnement N5]]</f>
        <v/>
      </c>
      <c r="AQ13" s="919" t="n">
        <v>420</v>
      </c>
      <c r="AR13" s="919">
        <f>TableauProduit[[#This Row],[Poids (g) / unite]]*TableauProduit[[#This Row],[Objectif de vente en unite N6]]/1000</f>
        <v/>
      </c>
      <c r="AS13" s="920">
        <f>TableauProduit[[#This Row],[Objectif de vente en unite N6]]*TableauProduit[[#This Row],[Packaging / unite]]</f>
        <v/>
      </c>
      <c r="AT13" s="920">
        <f>TableauProduit[[#This Row],[Prix Achat de plante par kg]]*TableauProduit[[#This Row],[Total (kg) N6]]</f>
        <v/>
      </c>
      <c r="AU13" s="920">
        <f>TableauProduit[[#This Row],[Prix de vente/kg]]*TableauProduit[[#This Row],[Total (kg) N6]]</f>
        <v/>
      </c>
      <c r="AV13" s="919">
        <f>TableauProduit[[#This Row],[Revenue brut N6]]-TableauProduit[[#This Row],[Achat plante / kg de melange N6]]-TableauProduit[[#This Row],[Conditionnement N6]]</f>
        <v/>
      </c>
      <c r="AW13" s="904" t="n">
        <v>420</v>
      </c>
      <c r="AX13" s="904">
        <f>TableauProduit[[#This Row],[Poids (g) / unite]]*TableauProduit[[#This Row],[Objectif de vente en unite N7]]/1000</f>
        <v/>
      </c>
      <c r="AY13" s="905">
        <f>TableauProduit[[#This Row],[Objectif de vente en unite N7]]*TableauProduit[[#This Row],[Packaging / unite]]</f>
        <v/>
      </c>
      <c r="AZ13" s="905">
        <f>TableauProduit[[#This Row],[Prix Achat de plante par kg]]*TableauProduit[[#This Row],[Total (kg) N7]]</f>
        <v/>
      </c>
      <c r="BA13" s="905">
        <f>TableauProduit[[#This Row],[Prix de vente/kg]]*TableauProduit[[#This Row],[Total (kg) N7]]</f>
        <v/>
      </c>
      <c r="BB13" s="921">
        <f>TableauProduit[[#This Row],[Revenue brut N7]]-TableauProduit[[#This Row],[Achat plante / kg de melange N7]]-TableauProduit[[#This Row],[Conditionnement N7]]</f>
        <v/>
      </c>
      <c r="BC13" s="922" t="n">
        <v>420</v>
      </c>
      <c r="BD13" s="923">
        <f>TableauProduit[[#This Row],[Poids (g) / unite]]*TableauProduit[[#This Row],[Objectif de vente en unite N8]]/1000</f>
        <v/>
      </c>
      <c r="BE13" s="924">
        <f>TableauProduit[[#This Row],[Objectif de vente en unite N8]]*TableauProduit[[#This Row],[Packaging / unite]]</f>
        <v/>
      </c>
      <c r="BF13" s="924">
        <f>TableauProduit[[#This Row],[Prix Achat de plante par kg]]*TableauProduit[[#This Row],[Total (kg) N8]]</f>
        <v/>
      </c>
      <c r="BG13" s="924">
        <f>TableauProduit[[#This Row],[Prix de vente/kg]]*TableauProduit[[#This Row],[Total (kg) N8]]</f>
        <v/>
      </c>
      <c r="BH13" s="925">
        <f>TableauProduit[[#This Row],[Revenue brut N8]]-TableauProduit[[#This Row],[Achat plante / kg de melange N8]]-TableauProduit[[#This Row],[Conditionnement N8]]</f>
        <v/>
      </c>
      <c r="BI13" s="926" t="n">
        <v>420</v>
      </c>
      <c r="BJ13" s="927">
        <f>TableauProduit[[#This Row],[Poids (g) / unite]]*TableauProduit[[#This Row],[Objectif de vente en unite N9]]/1000</f>
        <v/>
      </c>
      <c r="BK13" s="928">
        <f>TableauProduit[[#This Row],[Objectif de vente en unite N9]]*TableauProduit[[#This Row],[Packaging / unite]]</f>
        <v/>
      </c>
      <c r="BL13" s="928">
        <f>TableauProduit[[#This Row],[Prix Achat de plante par kg]]*TableauProduit[[#This Row],[Total (kg) N9]]</f>
        <v/>
      </c>
      <c r="BM13" s="928">
        <f>TableauProduit[[#This Row],[Prix de vente/kg]]*TableauProduit[[#This Row],[Total (kg) N9]]</f>
        <v/>
      </c>
      <c r="BN13" s="927">
        <f>TableauProduit[[#This Row],[Revenue brut N9]]-TableauProduit[[#This Row],[Achat plante / kg de melange N9]]-TableauProduit[[#This Row],[Conditionnement N9]]</f>
        <v/>
      </c>
    </row>
    <row r="14">
      <c r="A14" s="13" t="inlineStr">
        <is>
          <t>Curry</t>
        </is>
      </c>
      <c r="B14" s="54">
        <f>TableauProduit[[#This Row],[Recette]]&amp;TableauProduit[[#This Row],[Conditionnement]]</f>
        <v/>
      </c>
      <c r="C14" s="11" t="n">
        <v>1</v>
      </c>
      <c r="D14" s="11" t="n">
        <v>65</v>
      </c>
      <c r="E14" s="6" t="inlineStr">
        <is>
          <t>Epice 100ml</t>
        </is>
      </c>
      <c r="F14" s="7">
        <f>IFERROR(VLOOKUP(TableauProduit[[#This Row],[Conditionnement]],TableauConditionnement[[Nom]:[Contenance]],4,FALSE),"")</f>
        <v/>
      </c>
      <c r="G14" s="603">
        <f>IFERROR(SUMIFS(TableauRecette[Prix d''achat / kg],TableauRecette[Recette],TableauProduit[[#This Row],[Recette]],TableauRecette[Conditionnement],TableauProduit[[#This Row],[Conditionnement]]),0)</f>
        <v/>
      </c>
      <c r="H14" s="898" t="n">
        <v>5.5</v>
      </c>
      <c r="I14" s="899">
        <f>1000*TableauProduit[[#This Row],[Prix de vente/U]]/TableauProduit[[#This Row],[Poids (g) / unite]]</f>
        <v/>
      </c>
      <c r="J14" s="900">
        <f>SUMIFS(TableauConcurence[PRIX_KG],TableauConcurence[PRODUIT],TableauProduit[[#This Row],[Recette]],TableauConcurence[DISTRIBUTION],"magasin NON BIO")</f>
        <v/>
      </c>
      <c r="K14" s="901">
        <f>SUMIFS(TableauConcurence[PRIX_KG],TableauConcurence[PRODUIT],TableauProduit[[#This Row],[Recette]],TableauConcurence[DISTRIBUTION],"magasin BIO")</f>
        <v/>
      </c>
      <c r="L14" s="902">
        <f>SUMIFS(TableauConcurence[PRIX_KG],TableauConcurence[PRODUIT],TableauProduit[[#This Row],[Recette]],TableauConcurence[DISTRIBUTION],"artisanale BIO")</f>
        <v/>
      </c>
      <c r="M14" s="903" t="n">
        <v>420</v>
      </c>
      <c r="N14" s="904">
        <f>TableauProduit[[#This Row],[Poids (g) / unite]]*TableauProduit[[#This Row],[Objectif de vente en unite N1]]/1000</f>
        <v/>
      </c>
      <c r="O14" s="905">
        <f>TableauProduit[[#This Row],[Objectif de vente en unite N1]]*TableauProduit[[#This Row],[Packaging / unite]]</f>
        <v/>
      </c>
      <c r="P14" s="905">
        <f>TableauProduit[[#This Row],[Prix Achat de plante par kg]]*TableauProduit[[#This Row],[Total (kg) N1]]</f>
        <v/>
      </c>
      <c r="Q14" s="905">
        <f>TableauProduit[[#This Row],[Prix de vente/kg]]*TableauProduit[[#This Row],[Total (kg) N1]]</f>
        <v/>
      </c>
      <c r="R14" s="906">
        <f>TableauProduit[[#This Row],[Revenue brut N1]]-TableauProduit[[#This Row],[Achat par kg N1]]-TableauProduit[[#This Row],[Conditionnement N1]]</f>
        <v/>
      </c>
      <c r="S14" s="907" t="n">
        <v>420</v>
      </c>
      <c r="T14" s="908">
        <f>TableauProduit[[#This Row],[Poids (g) / unite]]*TableauProduit[[#This Row],[Objectif de vente en unite N2]]/1000</f>
        <v/>
      </c>
      <c r="U14" s="909">
        <f>TableauProduit[[#This Row],[Objectif de vente en unite N2]]*TableauProduit[[#This Row],[Packaging / unite]]</f>
        <v/>
      </c>
      <c r="V14" s="909">
        <f>TableauProduit[[#This Row],[Prix Achat de plante par kg]]*TableauProduit[[#This Row],[Total (kg) N2]]</f>
        <v/>
      </c>
      <c r="W14" s="909">
        <f>TableauProduit[[#This Row],[Prix de vente/kg]]*TableauProduit[[#This Row],[Total (kg) N2]]</f>
        <v/>
      </c>
      <c r="X14" s="910">
        <f>TableauProduit[[#This Row],[Revenue brut N2]]-TableauProduit[[#This Row],[Achat plante / kg de melange N2]]-TableauProduit[[#This Row],[Conditionnement N2]]</f>
        <v/>
      </c>
      <c r="Y14" s="911" t="n">
        <v>420</v>
      </c>
      <c r="Z14" s="912">
        <f>TableauProduit[[#This Row],[Poids (g) / unite]]*TableauProduit[[#This Row],[Objectif de vente en unite N3]]/1000</f>
        <v/>
      </c>
      <c r="AA14" s="913">
        <f>TableauProduit[[#This Row],[Objectif de vente en unite N3]]*TableauProduit[[#This Row],[Packaging / unite]]</f>
        <v/>
      </c>
      <c r="AB14" s="913">
        <f>TableauProduit[[#This Row],[Prix Achat de plante par kg]]*TableauProduit[[#This Row],[Total (kg) N3]]</f>
        <v/>
      </c>
      <c r="AC14" s="913">
        <f>TableauProduit[[#This Row],[Prix de vente/kg]]*TableauProduit[[#This Row],[Total (kg) N3]]</f>
        <v/>
      </c>
      <c r="AD14" s="914">
        <f>TableauProduit[[#This Row],[Revenue brut N3]]-TableauProduit[[#This Row],[Achat plante / kg de melange N3]]-TableauProduit[[#This Row],[Conditionnement N3]]</f>
        <v/>
      </c>
      <c r="AE14" s="915" t="n">
        <v>420</v>
      </c>
      <c r="AF14" s="915">
        <f>TableauProduit[[#This Row],[Poids (g) / unite]]*TableauProduit[[#This Row],[Objectif de vente en unite N4]]/1000</f>
        <v/>
      </c>
      <c r="AG14" s="916">
        <f>TableauProduit[[#This Row],[Objectif de vente en unite N4]]*TableauProduit[[#This Row],[Packaging / unite]]</f>
        <v/>
      </c>
      <c r="AH14" s="916">
        <f>TableauProduit[[#This Row],[Prix Achat de plante par kg]]*TableauProduit[[#This Row],[Total (kg) N4]]</f>
        <v/>
      </c>
      <c r="AI14" s="916">
        <f>TableauProduit[[#This Row],[Prix de vente/kg]]*TableauProduit[[#This Row],[Total (kg) N4]]</f>
        <v/>
      </c>
      <c r="AJ14" s="915">
        <f>TableauProduit[[#This Row],[Revenue brut N4]]-TableauProduit[[#This Row],[Achat plante / kg de melange N4]]-TableauProduit[[#This Row],[Conditionnement N4]]</f>
        <v/>
      </c>
      <c r="AK14" s="917" t="n">
        <v>420</v>
      </c>
      <c r="AL14" s="917">
        <f>TableauProduit[[#This Row],[Poids (g) / unite]]*TableauProduit[[#This Row],[Objectif de vente en unite N5]]/1000</f>
        <v/>
      </c>
      <c r="AM14" s="918">
        <f>TableauProduit[[#This Row],[Objectif de vente en unite N5]]*TableauProduit[[#This Row],[Packaging / unite]]</f>
        <v/>
      </c>
      <c r="AN14" s="918">
        <f>TableauProduit[[#This Row],[Prix Achat de plante par kg]]*TableauProduit[[#This Row],[Total (kg) N5]]</f>
        <v/>
      </c>
      <c r="AO14" s="918">
        <f>TableauProduit[[#This Row],[Prix de vente/kg]]*TableauProduit[[#This Row],[Total (kg) N5]]</f>
        <v/>
      </c>
      <c r="AP14" s="917">
        <f>TableauProduit[[#This Row],[Revenue brut N5]]-TableauProduit[[#This Row],[Achat plante / kg de melange N5]]-TableauProduit[[#This Row],[Conditionnement N5]]</f>
        <v/>
      </c>
      <c r="AQ14" s="919" t="n">
        <v>420</v>
      </c>
      <c r="AR14" s="919">
        <f>TableauProduit[[#This Row],[Poids (g) / unite]]*TableauProduit[[#This Row],[Objectif de vente en unite N6]]/1000</f>
        <v/>
      </c>
      <c r="AS14" s="920">
        <f>TableauProduit[[#This Row],[Objectif de vente en unite N6]]*TableauProduit[[#This Row],[Packaging / unite]]</f>
        <v/>
      </c>
      <c r="AT14" s="920">
        <f>TableauProduit[[#This Row],[Prix Achat de plante par kg]]*TableauProduit[[#This Row],[Total (kg) N6]]</f>
        <v/>
      </c>
      <c r="AU14" s="920">
        <f>TableauProduit[[#This Row],[Prix de vente/kg]]*TableauProduit[[#This Row],[Total (kg) N6]]</f>
        <v/>
      </c>
      <c r="AV14" s="919">
        <f>TableauProduit[[#This Row],[Revenue brut N6]]-TableauProduit[[#This Row],[Achat plante / kg de melange N6]]-TableauProduit[[#This Row],[Conditionnement N6]]</f>
        <v/>
      </c>
      <c r="AW14" s="904" t="n">
        <v>420</v>
      </c>
      <c r="AX14" s="904">
        <f>TableauProduit[[#This Row],[Poids (g) / unite]]*TableauProduit[[#This Row],[Objectif de vente en unite N7]]/1000</f>
        <v/>
      </c>
      <c r="AY14" s="905">
        <f>TableauProduit[[#This Row],[Objectif de vente en unite N7]]*TableauProduit[[#This Row],[Packaging / unite]]</f>
        <v/>
      </c>
      <c r="AZ14" s="905">
        <f>TableauProduit[[#This Row],[Prix Achat de plante par kg]]*TableauProduit[[#This Row],[Total (kg) N7]]</f>
        <v/>
      </c>
      <c r="BA14" s="905">
        <f>TableauProduit[[#This Row],[Prix de vente/kg]]*TableauProduit[[#This Row],[Total (kg) N7]]</f>
        <v/>
      </c>
      <c r="BB14" s="921">
        <f>TableauProduit[[#This Row],[Revenue brut N7]]-TableauProduit[[#This Row],[Achat plante / kg de melange N7]]-TableauProduit[[#This Row],[Conditionnement N7]]</f>
        <v/>
      </c>
      <c r="BC14" s="922" t="n">
        <v>420</v>
      </c>
      <c r="BD14" s="923">
        <f>TableauProduit[[#This Row],[Poids (g) / unite]]*TableauProduit[[#This Row],[Objectif de vente en unite N8]]/1000</f>
        <v/>
      </c>
      <c r="BE14" s="924">
        <f>TableauProduit[[#This Row],[Objectif de vente en unite N8]]*TableauProduit[[#This Row],[Packaging / unite]]</f>
        <v/>
      </c>
      <c r="BF14" s="924">
        <f>TableauProduit[[#This Row],[Prix Achat de plante par kg]]*TableauProduit[[#This Row],[Total (kg) N8]]</f>
        <v/>
      </c>
      <c r="BG14" s="924">
        <f>TableauProduit[[#This Row],[Prix de vente/kg]]*TableauProduit[[#This Row],[Total (kg) N8]]</f>
        <v/>
      </c>
      <c r="BH14" s="925">
        <f>TableauProduit[[#This Row],[Revenue brut N8]]-TableauProduit[[#This Row],[Achat plante / kg de melange N8]]-TableauProduit[[#This Row],[Conditionnement N8]]</f>
        <v/>
      </c>
      <c r="BI14" s="926" t="n">
        <v>420</v>
      </c>
      <c r="BJ14" s="927">
        <f>TableauProduit[[#This Row],[Poids (g) / unite]]*TableauProduit[[#This Row],[Objectif de vente en unite N9]]/1000</f>
        <v/>
      </c>
      <c r="BK14" s="928">
        <f>TableauProduit[[#This Row],[Objectif de vente en unite N9]]*TableauProduit[[#This Row],[Packaging / unite]]</f>
        <v/>
      </c>
      <c r="BL14" s="928">
        <f>TableauProduit[[#This Row],[Prix Achat de plante par kg]]*TableauProduit[[#This Row],[Total (kg) N9]]</f>
        <v/>
      </c>
      <c r="BM14" s="928">
        <f>TableauProduit[[#This Row],[Prix de vente/kg]]*TableauProduit[[#This Row],[Total (kg) N9]]</f>
        <v/>
      </c>
      <c r="BN14" s="927">
        <f>TableauProduit[[#This Row],[Revenue brut N9]]-TableauProduit[[#This Row],[Achat plante / kg de melange N9]]-TableauProduit[[#This Row],[Conditionnement N9]]</f>
        <v/>
      </c>
    </row>
    <row r="15">
      <c r="A15" s="13" t="inlineStr">
        <is>
          <t>Cornichons aigres-doux</t>
        </is>
      </c>
      <c r="B15" s="54">
        <f>TableauProduit[[#This Row],[Recette]]&amp;TableauProduit[[#This Row],[Conditionnement]]</f>
        <v/>
      </c>
      <c r="C15" s="11" t="n">
        <v>1</v>
      </c>
      <c r="D15" s="11" t="n">
        <v>680</v>
      </c>
      <c r="E15" s="6" t="inlineStr">
        <is>
          <t>Cornichon doux</t>
        </is>
      </c>
      <c r="F15" s="674">
        <f>IFERROR(VLOOKUP(TableauProduit[[#This Row],[Conditionnement]],TableauConditionnement[[Nom]:[Contenance]],4,FALSE),"")</f>
        <v/>
      </c>
      <c r="G15" s="897">
        <f>IFERROR(SUMIFS(TableauRecette[Prix d''achat / kg],TableauRecette[Recette],TableauProduit[[#This Row],[Recette]],TableauRecette[Conditionnement],TableauProduit[[#This Row],[Conditionnement]]),0)</f>
        <v/>
      </c>
      <c r="H15" s="898" t="n">
        <v>7</v>
      </c>
      <c r="I15" s="899">
        <f>1000*TableauProduit[[#This Row],[Prix de vente/U]]/TableauProduit[[#This Row],[Poids (g) / unite]]</f>
        <v/>
      </c>
      <c r="J15" s="900">
        <f>SUMIFS(TableauConcurence[PRIX_KG],TableauConcurence[PRODUIT],TableauProduit[[#This Row],[Recette]],TableauConcurence[DISTRIBUTION],"magasin NON BIO")</f>
        <v/>
      </c>
      <c r="K15" s="901">
        <f>SUMIFS(TableauConcurence[PRIX_KG],TableauConcurence[PRODUIT],TableauProduit[[#This Row],[Recette]],TableauConcurence[DISTRIBUTION],"magasin BIO")</f>
        <v/>
      </c>
      <c r="L15" s="902">
        <f>SUMIFS(TableauConcurence[PRIX_KG],TableauConcurence[PRODUIT],TableauProduit[[#This Row],[Recette]],TableauConcurence[DISTRIBUTION],"artisanale BIO")</f>
        <v/>
      </c>
      <c r="M15" s="903" t="n">
        <v>250</v>
      </c>
      <c r="N15" s="904">
        <f>TableauProduit[[#This Row],[Poids (g) / unite]]*TableauProduit[[#This Row],[Objectif de vente en unite N1]]/1000</f>
        <v/>
      </c>
      <c r="O15" s="905">
        <f>TableauProduit[[#This Row],[Objectif de vente en unite N1]]*TableauProduit[[#This Row],[Packaging / unite]]</f>
        <v/>
      </c>
      <c r="P15" s="905">
        <f>TableauProduit[[#This Row],[Prix Achat de plante par kg]]*TableauProduit[[#This Row],[Total (kg) N1]]</f>
        <v/>
      </c>
      <c r="Q15" s="905">
        <f>TableauProduit[[#This Row],[Prix de vente/kg]]*TableauProduit[[#This Row],[Total (kg) N1]]</f>
        <v/>
      </c>
      <c r="R15" s="906">
        <f>TableauProduit[[#This Row],[Revenue brut N1]]-TableauProduit[[#This Row],[Achat par kg N1]]-TableauProduit[[#This Row],[Conditionnement N1]]</f>
        <v/>
      </c>
      <c r="S15" s="907" t="n"/>
      <c r="T15" s="908">
        <f>TableauProduit[[#This Row],[Poids (g) / unite]]*TableauProduit[[#This Row],[Objectif de vente en unite N2]]/1000</f>
        <v/>
      </c>
      <c r="U15" s="909">
        <f>TableauProduit[[#This Row],[Objectif de vente en unite N2]]*TableauProduit[[#This Row],[Packaging / unite]]</f>
        <v/>
      </c>
      <c r="V15" s="909">
        <f>TableauProduit[[#This Row],[Prix Achat de plante par kg]]*TableauProduit[[#This Row],[Total (kg) N2]]</f>
        <v/>
      </c>
      <c r="W15" s="909">
        <f>TableauProduit[[#This Row],[Prix de vente/kg]]*TableauProduit[[#This Row],[Total (kg) N2]]</f>
        <v/>
      </c>
      <c r="X15" s="910">
        <f>TableauProduit[[#This Row],[Revenue brut N2]]-TableauProduit[[#This Row],[Achat plante / kg de melange N2]]-TableauProduit[[#This Row],[Conditionnement N2]]</f>
        <v/>
      </c>
      <c r="Y15" s="911" t="n"/>
      <c r="Z15" s="912">
        <f>TableauProduit[[#This Row],[Poids (g) / unite]]*TableauProduit[[#This Row],[Objectif de vente en unite N3]]/1000</f>
        <v/>
      </c>
      <c r="AA15" s="913">
        <f>TableauProduit[[#This Row],[Objectif de vente en unite N3]]*TableauProduit[[#This Row],[Packaging / unite]]</f>
        <v/>
      </c>
      <c r="AB15" s="913">
        <f>TableauProduit[[#This Row],[Prix Achat de plante par kg]]*TableauProduit[[#This Row],[Total (kg) N3]]</f>
        <v/>
      </c>
      <c r="AC15" s="913">
        <f>TableauProduit[[#This Row],[Prix de vente/kg]]*TableauProduit[[#This Row],[Total (kg) N3]]</f>
        <v/>
      </c>
      <c r="AD15" s="914">
        <f>TableauProduit[[#This Row],[Revenue brut N3]]-TableauProduit[[#This Row],[Achat plante / kg de melange N3]]-TableauProduit[[#This Row],[Conditionnement N3]]</f>
        <v/>
      </c>
      <c r="AE15" s="915" t="n"/>
      <c r="AF15" s="915">
        <f>TableauProduit[[#This Row],[Poids (g) / unite]]*TableauProduit[[#This Row],[Objectif de vente en unite N4]]/1000</f>
        <v/>
      </c>
      <c r="AG15" s="916">
        <f>TableauProduit[[#This Row],[Objectif de vente en unite N4]]*TableauProduit[[#This Row],[Packaging / unite]]</f>
        <v/>
      </c>
      <c r="AH15" s="916">
        <f>TableauProduit[[#This Row],[Prix Achat de plante par kg]]*TableauProduit[[#This Row],[Total (kg) N4]]</f>
        <v/>
      </c>
      <c r="AI15" s="916">
        <f>TableauProduit[[#This Row],[Prix de vente/kg]]*TableauProduit[[#This Row],[Total (kg) N4]]</f>
        <v/>
      </c>
      <c r="AJ15" s="915">
        <f>TableauProduit[[#This Row],[Revenue brut N4]]-TableauProduit[[#This Row],[Achat plante / kg de melange N4]]-TableauProduit[[#This Row],[Conditionnement N4]]</f>
        <v/>
      </c>
      <c r="AK15" s="917" t="n"/>
      <c r="AL15" s="917">
        <f>TableauProduit[[#This Row],[Poids (g) / unite]]*TableauProduit[[#This Row],[Objectif de vente en unite N5]]/1000</f>
        <v/>
      </c>
      <c r="AM15" s="918">
        <f>TableauProduit[[#This Row],[Objectif de vente en unite N5]]*TableauProduit[[#This Row],[Packaging / unite]]</f>
        <v/>
      </c>
      <c r="AN15" s="918">
        <f>TableauProduit[[#This Row],[Prix Achat de plante par kg]]*TableauProduit[[#This Row],[Total (kg) N5]]</f>
        <v/>
      </c>
      <c r="AO15" s="918">
        <f>TableauProduit[[#This Row],[Prix de vente/kg]]*TableauProduit[[#This Row],[Total (kg) N5]]</f>
        <v/>
      </c>
      <c r="AP15" s="917">
        <f>TableauProduit[[#This Row],[Revenue brut N5]]-TableauProduit[[#This Row],[Achat plante / kg de melange N5]]-TableauProduit[[#This Row],[Conditionnement N5]]</f>
        <v/>
      </c>
      <c r="AQ15" s="919" t="n"/>
      <c r="AR15" s="919">
        <f>TableauProduit[[#This Row],[Poids (g) / unite]]*TableauProduit[[#This Row],[Objectif de vente en unite N6]]/1000</f>
        <v/>
      </c>
      <c r="AS15" s="920">
        <f>TableauProduit[[#This Row],[Objectif de vente en unite N6]]*TableauProduit[[#This Row],[Packaging / unite]]</f>
        <v/>
      </c>
      <c r="AT15" s="920">
        <f>TableauProduit[[#This Row],[Prix Achat de plante par kg]]*TableauProduit[[#This Row],[Total (kg) N6]]</f>
        <v/>
      </c>
      <c r="AU15" s="920">
        <f>TableauProduit[[#This Row],[Prix de vente/kg]]*TableauProduit[[#This Row],[Total (kg) N6]]</f>
        <v/>
      </c>
      <c r="AV15" s="919">
        <f>TableauProduit[[#This Row],[Revenue brut N6]]-TableauProduit[[#This Row],[Achat plante / kg de melange N6]]-TableauProduit[[#This Row],[Conditionnement N6]]</f>
        <v/>
      </c>
      <c r="AW15" s="904" t="n"/>
      <c r="AX15" s="904">
        <f>TableauProduit[[#This Row],[Poids (g) / unite]]*TableauProduit[[#This Row],[Objectif de vente en unite N7]]/1000</f>
        <v/>
      </c>
      <c r="AY15" s="905">
        <f>TableauProduit[[#This Row],[Objectif de vente en unite N7]]*TableauProduit[[#This Row],[Packaging / unite]]</f>
        <v/>
      </c>
      <c r="AZ15" s="905">
        <f>TableauProduit[[#This Row],[Prix Achat de plante par kg]]*TableauProduit[[#This Row],[Total (kg) N7]]</f>
        <v/>
      </c>
      <c r="BA15" s="905">
        <f>TableauProduit[[#This Row],[Prix de vente/kg]]*TableauProduit[[#This Row],[Total (kg) N7]]</f>
        <v/>
      </c>
      <c r="BB15" s="921">
        <f>TableauProduit[[#This Row],[Revenue brut N7]]-TableauProduit[[#This Row],[Achat plante / kg de melange N7]]-TableauProduit[[#This Row],[Conditionnement N7]]</f>
        <v/>
      </c>
      <c r="BC15" s="922" t="n"/>
      <c r="BD15" s="923">
        <f>TableauProduit[[#This Row],[Poids (g) / unite]]*TableauProduit[[#This Row],[Objectif de vente en unite N8]]/1000</f>
        <v/>
      </c>
      <c r="BE15" s="924">
        <f>TableauProduit[[#This Row],[Objectif de vente en unite N8]]*TableauProduit[[#This Row],[Packaging / unite]]</f>
        <v/>
      </c>
      <c r="BF15" s="924">
        <f>TableauProduit[[#This Row],[Prix Achat de plante par kg]]*TableauProduit[[#This Row],[Total (kg) N8]]</f>
        <v/>
      </c>
      <c r="BG15" s="924">
        <f>TableauProduit[[#This Row],[Prix de vente/kg]]*TableauProduit[[#This Row],[Total (kg) N8]]</f>
        <v/>
      </c>
      <c r="BH15" s="925">
        <f>TableauProduit[[#This Row],[Revenue brut N8]]-TableauProduit[[#This Row],[Achat plante / kg de melange N8]]-TableauProduit[[#This Row],[Conditionnement N8]]</f>
        <v/>
      </c>
      <c r="BI15" s="926" t="n"/>
      <c r="BJ15" s="927">
        <f>TableauProduit[[#This Row],[Poids (g) / unite]]*TableauProduit[[#This Row],[Objectif de vente en unite N9]]/1000</f>
        <v/>
      </c>
      <c r="BK15" s="928">
        <f>TableauProduit[[#This Row],[Objectif de vente en unite N9]]*TableauProduit[[#This Row],[Packaging / unite]]</f>
        <v/>
      </c>
      <c r="BL15" s="928">
        <f>TableauProduit[[#This Row],[Prix Achat de plante par kg]]*TableauProduit[[#This Row],[Total (kg) N9]]</f>
        <v/>
      </c>
      <c r="BM15" s="928">
        <f>TableauProduit[[#This Row],[Prix de vente/kg]]*TableauProduit[[#This Row],[Total (kg) N9]]</f>
        <v/>
      </c>
      <c r="BN15" s="927">
        <f>TableauProduit[[#This Row],[Revenue brut N9]]-TableauProduit[[#This Row],[Achat plante / kg de melange N9]]-TableauProduit[[#This Row],[Conditionnement N9]]</f>
        <v/>
      </c>
    </row>
    <row r="16">
      <c r="A16" s="13" t="inlineStr">
        <is>
          <t>Ail semoule</t>
        </is>
      </c>
      <c r="B16" s="54">
        <f>TableauProduit[[#This Row],[Recette]]&amp;TableauProduit[[#This Row],[Conditionnement]]</f>
        <v/>
      </c>
      <c r="C16" s="11" t="n">
        <v>1</v>
      </c>
      <c r="D16" s="11" t="n">
        <v>50</v>
      </c>
      <c r="E16" s="6" t="inlineStr">
        <is>
          <t>Epice 100ml</t>
        </is>
      </c>
      <c r="F16" s="7">
        <f>IFERROR(VLOOKUP(TableauProduit[[#This Row],[Conditionnement]],TableauConditionnement[[Nom]:[Contenance]],4,FALSE),"")</f>
        <v/>
      </c>
      <c r="G16" s="897">
        <f>IFERROR(SUMIFS(TableauRecette[Prix d''achat / kg],TableauRecette[Recette],TableauProduit[[#This Row],[Recette]],TableauRecette[Conditionnement],TableauProduit[[#This Row],[Conditionnement]]),0)</f>
        <v/>
      </c>
      <c r="H16" s="898" t="n">
        <v>6</v>
      </c>
      <c r="I16" s="899">
        <f>1000*TableauProduit[[#This Row],[Prix de vente/U]]/TableauProduit[[#This Row],[Poids (g) / unite]]</f>
        <v/>
      </c>
      <c r="J16" s="900">
        <f>SUMIFS(TableauConcurence[PRIX_KG],TableauConcurence[PRODUIT],TableauProduit[[#This Row],[Recette]],TableauConcurence[DISTRIBUTION],"magasin NON BIO")</f>
        <v/>
      </c>
      <c r="K16" s="901">
        <f>SUMIFS(TableauConcurence[PRIX_KG],TableauConcurence[PRODUIT],TableauProduit[[#This Row],[Recette]],TableauConcurence[DISTRIBUTION],"magasin BIO")</f>
        <v/>
      </c>
      <c r="L16" s="902">
        <f>SUMIFS(TableauConcurence[PRIX_KG],TableauConcurence[PRODUIT],TableauProduit[[#This Row],[Recette]],TableauConcurence[DISTRIBUTION],"artisanale BIO")</f>
        <v/>
      </c>
      <c r="M16" s="903" t="n">
        <v>180</v>
      </c>
      <c r="N16" s="904">
        <f>TableauProduit[[#This Row],[Poids (g) / unite]]*TableauProduit[[#This Row],[Objectif de vente en unite N1]]/1000</f>
        <v/>
      </c>
      <c r="O16" s="905">
        <f>TableauProduit[[#This Row],[Objectif de vente en unite N1]]*TableauProduit[[#This Row],[Packaging / unite]]</f>
        <v/>
      </c>
      <c r="P16" s="905">
        <f>TableauProduit[[#This Row],[Prix Achat de plante par kg]]*TableauProduit[[#This Row],[Total (kg) N1]]</f>
        <v/>
      </c>
      <c r="Q16" s="905">
        <f>TableauProduit[[#This Row],[Prix de vente/kg]]*TableauProduit[[#This Row],[Total (kg) N1]]</f>
        <v/>
      </c>
      <c r="R16" s="906">
        <f>TableauProduit[[#This Row],[Revenue brut N1]]-TableauProduit[[#This Row],[Achat par kg N1]]-TableauProduit[[#This Row],[Conditionnement N1]]</f>
        <v/>
      </c>
      <c r="S16" s="907" t="n">
        <v>180</v>
      </c>
      <c r="T16" s="908">
        <f>TableauProduit[[#This Row],[Poids (g) / unite]]*TableauProduit[[#This Row],[Objectif de vente en unite N2]]/1000</f>
        <v/>
      </c>
      <c r="U16" s="909">
        <f>TableauProduit[[#This Row],[Objectif de vente en unite N2]]*TableauProduit[[#This Row],[Packaging / unite]]</f>
        <v/>
      </c>
      <c r="V16" s="909">
        <f>TableauProduit[[#This Row],[Prix Achat de plante par kg]]*TableauProduit[[#This Row],[Total (kg) N2]]</f>
        <v/>
      </c>
      <c r="W16" s="909">
        <f>TableauProduit[[#This Row],[Prix de vente/kg]]*TableauProduit[[#This Row],[Total (kg) N2]]</f>
        <v/>
      </c>
      <c r="X16" s="910">
        <f>TableauProduit[[#This Row],[Revenue brut N2]]-TableauProduit[[#This Row],[Achat plante / kg de melange N2]]-TableauProduit[[#This Row],[Conditionnement N2]]</f>
        <v/>
      </c>
      <c r="Y16" s="911" t="n">
        <v>180</v>
      </c>
      <c r="Z16" s="912">
        <f>TableauProduit[[#This Row],[Poids (g) / unite]]*TableauProduit[[#This Row],[Objectif de vente en unite N3]]/1000</f>
        <v/>
      </c>
      <c r="AA16" s="913">
        <f>TableauProduit[[#This Row],[Objectif de vente en unite N3]]*TableauProduit[[#This Row],[Packaging / unite]]</f>
        <v/>
      </c>
      <c r="AB16" s="913">
        <f>TableauProduit[[#This Row],[Prix Achat de plante par kg]]*TableauProduit[[#This Row],[Total (kg) N3]]</f>
        <v/>
      </c>
      <c r="AC16" s="913">
        <f>TableauProduit[[#This Row],[Prix de vente/kg]]*TableauProduit[[#This Row],[Total (kg) N3]]</f>
        <v/>
      </c>
      <c r="AD16" s="914">
        <f>TableauProduit[[#This Row],[Revenue brut N3]]-TableauProduit[[#This Row],[Achat plante / kg de melange N3]]-TableauProduit[[#This Row],[Conditionnement N3]]</f>
        <v/>
      </c>
      <c r="AE16" s="915" t="n">
        <v>180</v>
      </c>
      <c r="AF16" s="915">
        <f>TableauProduit[[#This Row],[Poids (g) / unite]]*TableauProduit[[#This Row],[Objectif de vente en unite N4]]/1000</f>
        <v/>
      </c>
      <c r="AG16" s="916">
        <f>TableauProduit[[#This Row],[Objectif de vente en unite N4]]*TableauProduit[[#This Row],[Packaging / unite]]</f>
        <v/>
      </c>
      <c r="AH16" s="916">
        <f>TableauProduit[[#This Row],[Prix Achat de plante par kg]]*TableauProduit[[#This Row],[Total (kg) N4]]</f>
        <v/>
      </c>
      <c r="AI16" s="916">
        <f>TableauProduit[[#This Row],[Prix de vente/kg]]*TableauProduit[[#This Row],[Total (kg) N4]]</f>
        <v/>
      </c>
      <c r="AJ16" s="915">
        <f>TableauProduit[[#This Row],[Revenue brut N4]]-TableauProduit[[#This Row],[Achat plante / kg de melange N4]]-TableauProduit[[#This Row],[Conditionnement N4]]</f>
        <v/>
      </c>
      <c r="AK16" s="917" t="n">
        <v>180</v>
      </c>
      <c r="AL16" s="917">
        <f>TableauProduit[[#This Row],[Poids (g) / unite]]*TableauProduit[[#This Row],[Objectif de vente en unite N5]]/1000</f>
        <v/>
      </c>
      <c r="AM16" s="918">
        <f>TableauProduit[[#This Row],[Objectif de vente en unite N5]]*TableauProduit[[#This Row],[Packaging / unite]]</f>
        <v/>
      </c>
      <c r="AN16" s="918">
        <f>TableauProduit[[#This Row],[Prix Achat de plante par kg]]*TableauProduit[[#This Row],[Total (kg) N5]]</f>
        <v/>
      </c>
      <c r="AO16" s="918">
        <f>TableauProduit[[#This Row],[Prix de vente/kg]]*TableauProduit[[#This Row],[Total (kg) N5]]</f>
        <v/>
      </c>
      <c r="AP16" s="917">
        <f>TableauProduit[[#This Row],[Revenue brut N5]]-TableauProduit[[#This Row],[Achat plante / kg de melange N5]]-TableauProduit[[#This Row],[Conditionnement N5]]</f>
        <v/>
      </c>
      <c r="AQ16" s="919" t="n">
        <v>180</v>
      </c>
      <c r="AR16" s="919">
        <f>TableauProduit[[#This Row],[Poids (g) / unite]]*TableauProduit[[#This Row],[Objectif de vente en unite N6]]/1000</f>
        <v/>
      </c>
      <c r="AS16" s="920">
        <f>TableauProduit[[#This Row],[Objectif de vente en unite N6]]*TableauProduit[[#This Row],[Packaging / unite]]</f>
        <v/>
      </c>
      <c r="AT16" s="920">
        <f>TableauProduit[[#This Row],[Prix Achat de plante par kg]]*TableauProduit[[#This Row],[Total (kg) N6]]</f>
        <v/>
      </c>
      <c r="AU16" s="920">
        <f>TableauProduit[[#This Row],[Prix de vente/kg]]*TableauProduit[[#This Row],[Total (kg) N6]]</f>
        <v/>
      </c>
      <c r="AV16" s="919">
        <f>TableauProduit[[#This Row],[Revenue brut N6]]-TableauProduit[[#This Row],[Achat plante / kg de melange N6]]-TableauProduit[[#This Row],[Conditionnement N6]]</f>
        <v/>
      </c>
      <c r="AW16" s="904" t="n">
        <v>180</v>
      </c>
      <c r="AX16" s="904">
        <f>TableauProduit[[#This Row],[Poids (g) / unite]]*TableauProduit[[#This Row],[Objectif de vente en unite N7]]/1000</f>
        <v/>
      </c>
      <c r="AY16" s="905">
        <f>TableauProduit[[#This Row],[Objectif de vente en unite N7]]*TableauProduit[[#This Row],[Packaging / unite]]</f>
        <v/>
      </c>
      <c r="AZ16" s="905">
        <f>TableauProduit[[#This Row],[Prix Achat de plante par kg]]*TableauProduit[[#This Row],[Total (kg) N7]]</f>
        <v/>
      </c>
      <c r="BA16" s="905">
        <f>TableauProduit[[#This Row],[Prix de vente/kg]]*TableauProduit[[#This Row],[Total (kg) N7]]</f>
        <v/>
      </c>
      <c r="BB16" s="921">
        <f>TableauProduit[[#This Row],[Revenue brut N7]]-TableauProduit[[#This Row],[Achat plante / kg de melange N7]]-TableauProduit[[#This Row],[Conditionnement N7]]</f>
        <v/>
      </c>
      <c r="BC16" s="922" t="n">
        <v>180</v>
      </c>
      <c r="BD16" s="923">
        <f>TableauProduit[[#This Row],[Poids (g) / unite]]*TableauProduit[[#This Row],[Objectif de vente en unite N8]]/1000</f>
        <v/>
      </c>
      <c r="BE16" s="924">
        <f>TableauProduit[[#This Row],[Objectif de vente en unite N8]]*TableauProduit[[#This Row],[Packaging / unite]]</f>
        <v/>
      </c>
      <c r="BF16" s="924">
        <f>TableauProduit[[#This Row],[Prix Achat de plante par kg]]*TableauProduit[[#This Row],[Total (kg) N8]]</f>
        <v/>
      </c>
      <c r="BG16" s="924">
        <f>TableauProduit[[#This Row],[Prix de vente/kg]]*TableauProduit[[#This Row],[Total (kg) N8]]</f>
        <v/>
      </c>
      <c r="BH16" s="925">
        <f>TableauProduit[[#This Row],[Revenue brut N8]]-TableauProduit[[#This Row],[Achat plante / kg de melange N8]]-TableauProduit[[#This Row],[Conditionnement N8]]</f>
        <v/>
      </c>
      <c r="BI16" s="926" t="n">
        <v>180</v>
      </c>
      <c r="BJ16" s="927">
        <f>TableauProduit[[#This Row],[Poids (g) / unite]]*TableauProduit[[#This Row],[Objectif de vente en unite N9]]/1000</f>
        <v/>
      </c>
      <c r="BK16" s="928">
        <f>TableauProduit[[#This Row],[Objectif de vente en unite N9]]*TableauProduit[[#This Row],[Packaging / unite]]</f>
        <v/>
      </c>
      <c r="BL16" s="928">
        <f>TableauProduit[[#This Row],[Prix Achat de plante par kg]]*TableauProduit[[#This Row],[Total (kg) N9]]</f>
        <v/>
      </c>
      <c r="BM16" s="928">
        <f>TableauProduit[[#This Row],[Prix de vente/kg]]*TableauProduit[[#This Row],[Total (kg) N9]]</f>
        <v/>
      </c>
      <c r="BN16" s="927">
        <f>TableauProduit[[#This Row],[Revenue brut N9]]-TableauProduit[[#This Row],[Achat plante / kg de melange N9]]-TableauProduit[[#This Row],[Conditionnement N9]]</f>
        <v/>
      </c>
    </row>
    <row r="17">
      <c r="A17" s="13" t="inlineStr">
        <is>
          <t>Carvi graine</t>
        </is>
      </c>
      <c r="B17" s="54">
        <f>TableauProduit[[#This Row],[Recette]]&amp;TableauProduit[[#This Row],[Conditionnement]]</f>
        <v/>
      </c>
      <c r="C17" s="11" t="n">
        <v>1</v>
      </c>
      <c r="D17" s="11" t="n">
        <v>45</v>
      </c>
      <c r="E17" s="6" t="inlineStr">
        <is>
          <t>Epice 100ml</t>
        </is>
      </c>
      <c r="F17" s="7">
        <f>IFERROR(VLOOKUP(TableauProduit[[#This Row],[Conditionnement]],TableauConditionnement[[Nom]:[Contenance]],4,FALSE),"")</f>
        <v/>
      </c>
      <c r="G17" s="897">
        <f>IFERROR(SUMIFS(TableauRecette[Prix d''achat / kg],TableauRecette[Recette],TableauProduit[[#This Row],[Recette]],TableauRecette[Conditionnement],TableauProduit[[#This Row],[Conditionnement]]),0)</f>
        <v/>
      </c>
      <c r="H17" s="898" t="n">
        <v>2.7</v>
      </c>
      <c r="I17" s="899">
        <f>1000*TableauProduit[[#This Row],[Prix de vente/U]]/TableauProduit[[#This Row],[Poids (g) / unite]]</f>
        <v/>
      </c>
      <c r="J17" s="900">
        <f>SUMIFS(TableauConcurence[PRIX_KG],TableauConcurence[PRODUIT],TableauProduit[[#This Row],[Recette]],TableauConcurence[DISTRIBUTION],"magasin NON BIO")</f>
        <v/>
      </c>
      <c r="K17" s="901">
        <f>SUMIFS(TableauConcurence[PRIX_KG],TableauConcurence[PRODUIT],TableauProduit[[#This Row],[Recette]],TableauConcurence[DISTRIBUTION],"magasin BIO")</f>
        <v/>
      </c>
      <c r="L17" s="902">
        <f>SUMIFS(TableauConcurence[PRIX_KG],TableauConcurence[PRODUIT],TableauProduit[[#This Row],[Recette]],TableauConcurence[DISTRIBUTION],"artisanale BIO")</f>
        <v/>
      </c>
      <c r="M17" s="903" t="n">
        <v>180</v>
      </c>
      <c r="N17" s="904">
        <f>TableauProduit[[#This Row],[Poids (g) / unite]]*TableauProduit[[#This Row],[Objectif de vente en unite N1]]/1000</f>
        <v/>
      </c>
      <c r="O17" s="905">
        <f>TableauProduit[[#This Row],[Objectif de vente en unite N1]]*TableauProduit[[#This Row],[Packaging / unite]]</f>
        <v/>
      </c>
      <c r="P17" s="905">
        <f>TableauProduit[[#This Row],[Prix Achat de plante par kg]]*TableauProduit[[#This Row],[Total (kg) N1]]</f>
        <v/>
      </c>
      <c r="Q17" s="905">
        <f>TableauProduit[[#This Row],[Prix de vente/kg]]*TableauProduit[[#This Row],[Total (kg) N1]]</f>
        <v/>
      </c>
      <c r="R17" s="906">
        <f>TableauProduit[[#This Row],[Revenue brut N1]]-TableauProduit[[#This Row],[Achat par kg N1]]-TableauProduit[[#This Row],[Conditionnement N1]]</f>
        <v/>
      </c>
      <c r="S17" s="907" t="n">
        <v>180</v>
      </c>
      <c r="T17" s="908">
        <f>TableauProduit[[#This Row],[Poids (g) / unite]]*TableauProduit[[#This Row],[Objectif de vente en unite N2]]/1000</f>
        <v/>
      </c>
      <c r="U17" s="909">
        <f>TableauProduit[[#This Row],[Objectif de vente en unite N2]]*TableauProduit[[#This Row],[Packaging / unite]]</f>
        <v/>
      </c>
      <c r="V17" s="909">
        <f>TableauProduit[[#This Row],[Prix Achat de plante par kg]]*TableauProduit[[#This Row],[Total (kg) N2]]</f>
        <v/>
      </c>
      <c r="W17" s="909">
        <f>TableauProduit[[#This Row],[Prix de vente/kg]]*TableauProduit[[#This Row],[Total (kg) N2]]</f>
        <v/>
      </c>
      <c r="X17" s="910">
        <f>TableauProduit[[#This Row],[Revenue brut N2]]-TableauProduit[[#This Row],[Achat plante / kg de melange N2]]-TableauProduit[[#This Row],[Conditionnement N2]]</f>
        <v/>
      </c>
      <c r="Y17" s="911" t="n">
        <v>180</v>
      </c>
      <c r="Z17" s="912">
        <f>TableauProduit[[#This Row],[Poids (g) / unite]]*TableauProduit[[#This Row],[Objectif de vente en unite N3]]/1000</f>
        <v/>
      </c>
      <c r="AA17" s="913">
        <f>TableauProduit[[#This Row],[Objectif de vente en unite N3]]*TableauProduit[[#This Row],[Packaging / unite]]</f>
        <v/>
      </c>
      <c r="AB17" s="913">
        <f>TableauProduit[[#This Row],[Prix Achat de plante par kg]]*TableauProduit[[#This Row],[Total (kg) N3]]</f>
        <v/>
      </c>
      <c r="AC17" s="913">
        <f>TableauProduit[[#This Row],[Prix de vente/kg]]*TableauProduit[[#This Row],[Total (kg) N3]]</f>
        <v/>
      </c>
      <c r="AD17" s="914">
        <f>TableauProduit[[#This Row],[Revenue brut N3]]-TableauProduit[[#This Row],[Achat plante / kg de melange N3]]-TableauProduit[[#This Row],[Conditionnement N3]]</f>
        <v/>
      </c>
      <c r="AE17" s="915" t="n">
        <v>180</v>
      </c>
      <c r="AF17" s="915">
        <f>TableauProduit[[#This Row],[Poids (g) / unite]]*TableauProduit[[#This Row],[Objectif de vente en unite N4]]/1000</f>
        <v/>
      </c>
      <c r="AG17" s="916">
        <f>TableauProduit[[#This Row],[Objectif de vente en unite N4]]*TableauProduit[[#This Row],[Packaging / unite]]</f>
        <v/>
      </c>
      <c r="AH17" s="916">
        <f>TableauProduit[[#This Row],[Prix Achat de plante par kg]]*TableauProduit[[#This Row],[Total (kg) N4]]</f>
        <v/>
      </c>
      <c r="AI17" s="916">
        <f>TableauProduit[[#This Row],[Prix de vente/kg]]*TableauProduit[[#This Row],[Total (kg) N4]]</f>
        <v/>
      </c>
      <c r="AJ17" s="915">
        <f>TableauProduit[[#This Row],[Revenue brut N4]]-TableauProduit[[#This Row],[Achat plante / kg de melange N4]]-TableauProduit[[#This Row],[Conditionnement N4]]</f>
        <v/>
      </c>
      <c r="AK17" s="917" t="n">
        <v>180</v>
      </c>
      <c r="AL17" s="917">
        <f>TableauProduit[[#This Row],[Poids (g) / unite]]*TableauProduit[[#This Row],[Objectif de vente en unite N5]]/1000</f>
        <v/>
      </c>
      <c r="AM17" s="918">
        <f>TableauProduit[[#This Row],[Objectif de vente en unite N5]]*TableauProduit[[#This Row],[Packaging / unite]]</f>
        <v/>
      </c>
      <c r="AN17" s="918">
        <f>TableauProduit[[#This Row],[Prix Achat de plante par kg]]*TableauProduit[[#This Row],[Total (kg) N5]]</f>
        <v/>
      </c>
      <c r="AO17" s="918">
        <f>TableauProduit[[#This Row],[Prix de vente/kg]]*TableauProduit[[#This Row],[Total (kg) N5]]</f>
        <v/>
      </c>
      <c r="AP17" s="917">
        <f>TableauProduit[[#This Row],[Revenue brut N5]]-TableauProduit[[#This Row],[Achat plante / kg de melange N5]]-TableauProduit[[#This Row],[Conditionnement N5]]</f>
        <v/>
      </c>
      <c r="AQ17" s="919" t="n">
        <v>180</v>
      </c>
      <c r="AR17" s="919">
        <f>TableauProduit[[#This Row],[Poids (g) / unite]]*TableauProduit[[#This Row],[Objectif de vente en unite N6]]/1000</f>
        <v/>
      </c>
      <c r="AS17" s="920">
        <f>TableauProduit[[#This Row],[Objectif de vente en unite N6]]*TableauProduit[[#This Row],[Packaging / unite]]</f>
        <v/>
      </c>
      <c r="AT17" s="920">
        <f>TableauProduit[[#This Row],[Prix Achat de plante par kg]]*TableauProduit[[#This Row],[Total (kg) N6]]</f>
        <v/>
      </c>
      <c r="AU17" s="920">
        <f>TableauProduit[[#This Row],[Prix de vente/kg]]*TableauProduit[[#This Row],[Total (kg) N6]]</f>
        <v/>
      </c>
      <c r="AV17" s="919">
        <f>TableauProduit[[#This Row],[Revenue brut N6]]-TableauProduit[[#This Row],[Achat plante / kg de melange N6]]-TableauProduit[[#This Row],[Conditionnement N6]]</f>
        <v/>
      </c>
      <c r="AW17" s="904" t="n">
        <v>180</v>
      </c>
      <c r="AX17" s="904">
        <f>TableauProduit[[#This Row],[Poids (g) / unite]]*TableauProduit[[#This Row],[Objectif de vente en unite N7]]/1000</f>
        <v/>
      </c>
      <c r="AY17" s="905">
        <f>TableauProduit[[#This Row],[Objectif de vente en unite N7]]*TableauProduit[[#This Row],[Packaging / unite]]</f>
        <v/>
      </c>
      <c r="AZ17" s="905">
        <f>TableauProduit[[#This Row],[Prix Achat de plante par kg]]*TableauProduit[[#This Row],[Total (kg) N7]]</f>
        <v/>
      </c>
      <c r="BA17" s="905">
        <f>TableauProduit[[#This Row],[Prix de vente/kg]]*TableauProduit[[#This Row],[Total (kg) N7]]</f>
        <v/>
      </c>
      <c r="BB17" s="921">
        <f>TableauProduit[[#This Row],[Revenue brut N7]]-TableauProduit[[#This Row],[Achat plante / kg de melange N7]]-TableauProduit[[#This Row],[Conditionnement N7]]</f>
        <v/>
      </c>
      <c r="BC17" s="922" t="n">
        <v>180</v>
      </c>
      <c r="BD17" s="923">
        <f>TableauProduit[[#This Row],[Poids (g) / unite]]*TableauProduit[[#This Row],[Objectif de vente en unite N8]]/1000</f>
        <v/>
      </c>
      <c r="BE17" s="924">
        <f>TableauProduit[[#This Row],[Objectif de vente en unite N8]]*TableauProduit[[#This Row],[Packaging / unite]]</f>
        <v/>
      </c>
      <c r="BF17" s="924">
        <f>TableauProduit[[#This Row],[Prix Achat de plante par kg]]*TableauProduit[[#This Row],[Total (kg) N8]]</f>
        <v/>
      </c>
      <c r="BG17" s="924">
        <f>TableauProduit[[#This Row],[Prix de vente/kg]]*TableauProduit[[#This Row],[Total (kg) N8]]</f>
        <v/>
      </c>
      <c r="BH17" s="925">
        <f>TableauProduit[[#This Row],[Revenue brut N8]]-TableauProduit[[#This Row],[Achat plante / kg de melange N8]]-TableauProduit[[#This Row],[Conditionnement N8]]</f>
        <v/>
      </c>
      <c r="BI17" s="926" t="n">
        <v>180</v>
      </c>
      <c r="BJ17" s="927">
        <f>TableauProduit[[#This Row],[Poids (g) / unite]]*TableauProduit[[#This Row],[Objectif de vente en unite N9]]/1000</f>
        <v/>
      </c>
      <c r="BK17" s="928">
        <f>TableauProduit[[#This Row],[Objectif de vente en unite N9]]*TableauProduit[[#This Row],[Packaging / unite]]</f>
        <v/>
      </c>
      <c r="BL17" s="928">
        <f>TableauProduit[[#This Row],[Prix Achat de plante par kg]]*TableauProduit[[#This Row],[Total (kg) N9]]</f>
        <v/>
      </c>
      <c r="BM17" s="928">
        <f>TableauProduit[[#This Row],[Prix de vente/kg]]*TableauProduit[[#This Row],[Total (kg) N9]]</f>
        <v/>
      </c>
      <c r="BN17" s="927">
        <f>TableauProduit[[#This Row],[Revenue brut N9]]-TableauProduit[[#This Row],[Achat plante / kg de melange N9]]-TableauProduit[[#This Row],[Conditionnement N9]]</f>
        <v/>
      </c>
    </row>
    <row r="18">
      <c r="A18" s="13" t="inlineStr">
        <is>
          <t>Curcuma</t>
        </is>
      </c>
      <c r="B18" s="54">
        <f>TableauProduit[[#This Row],[Recette]]&amp;TableauProduit[[#This Row],[Conditionnement]]</f>
        <v/>
      </c>
      <c r="C18" s="11" t="n">
        <v>1</v>
      </c>
      <c r="D18" s="11" t="n">
        <v>60</v>
      </c>
      <c r="E18" s="6" t="inlineStr">
        <is>
          <t>Epice 100ml</t>
        </is>
      </c>
      <c r="F18" s="7">
        <f>IFERROR(VLOOKUP(TableauProduit[[#This Row],[Conditionnement]],TableauConditionnement[[Nom]:[Contenance]],4,FALSE),"")</f>
        <v/>
      </c>
      <c r="G18" s="897">
        <f>IFERROR(SUMIFS(TableauRecette[Prix d''achat / kg],TableauRecette[Recette],TableauProduit[[#This Row],[Recette]],TableauRecette[Conditionnement],TableauProduit[[#This Row],[Conditionnement]]),0)</f>
        <v/>
      </c>
      <c r="H18" s="898" t="n">
        <v>7</v>
      </c>
      <c r="I18" s="899">
        <f>1000*TableauProduit[[#This Row],[Prix de vente/U]]/TableauProduit[[#This Row],[Poids (g) / unite]]</f>
        <v/>
      </c>
      <c r="J18" s="900">
        <f>SUMIFS(TableauConcurence[PRIX_KG],TableauConcurence[PRODUIT],TableauProduit[[#This Row],[Recette]],TableauConcurence[DISTRIBUTION],"magasin NON BIO")</f>
        <v/>
      </c>
      <c r="K18" s="901">
        <f>SUMIFS(TableauConcurence[PRIX_KG],TableauConcurence[PRODUIT],TableauProduit[[#This Row],[Recette]],TableauConcurence[DISTRIBUTION],"magasin BIO")</f>
        <v/>
      </c>
      <c r="L18" s="902">
        <f>SUMIFS(TableauConcurence[PRIX_KG],TableauConcurence[PRODUIT],TableauProduit[[#This Row],[Recette]],TableauConcurence[DISTRIBUTION],"artisanale BIO")</f>
        <v/>
      </c>
      <c r="M18" s="903" t="n">
        <v>180</v>
      </c>
      <c r="N18" s="904">
        <f>TableauProduit[[#This Row],[Poids (g) / unite]]*TableauProduit[[#This Row],[Objectif de vente en unite N1]]/1000</f>
        <v/>
      </c>
      <c r="O18" s="905">
        <f>TableauProduit[[#This Row],[Objectif de vente en unite N1]]*TableauProduit[[#This Row],[Packaging / unite]]</f>
        <v/>
      </c>
      <c r="P18" s="905">
        <f>TableauProduit[[#This Row],[Prix Achat de plante par kg]]*TableauProduit[[#This Row],[Total (kg) N1]]</f>
        <v/>
      </c>
      <c r="Q18" s="905">
        <f>TableauProduit[[#This Row],[Prix de vente/kg]]*TableauProduit[[#This Row],[Total (kg) N1]]</f>
        <v/>
      </c>
      <c r="R18" s="906">
        <f>TableauProduit[[#This Row],[Revenue brut N1]]-TableauProduit[[#This Row],[Achat par kg N1]]-TableauProduit[[#This Row],[Conditionnement N1]]</f>
        <v/>
      </c>
      <c r="S18" s="907" t="n">
        <v>180</v>
      </c>
      <c r="T18" s="908">
        <f>TableauProduit[[#This Row],[Poids (g) / unite]]*TableauProduit[[#This Row],[Objectif de vente en unite N2]]/1000</f>
        <v/>
      </c>
      <c r="U18" s="909">
        <f>TableauProduit[[#This Row],[Objectif de vente en unite N2]]*TableauProduit[[#This Row],[Packaging / unite]]</f>
        <v/>
      </c>
      <c r="V18" s="909">
        <f>TableauProduit[[#This Row],[Prix Achat de plante par kg]]*TableauProduit[[#This Row],[Total (kg) N2]]</f>
        <v/>
      </c>
      <c r="W18" s="909">
        <f>TableauProduit[[#This Row],[Prix de vente/kg]]*TableauProduit[[#This Row],[Total (kg) N2]]</f>
        <v/>
      </c>
      <c r="X18" s="910">
        <f>TableauProduit[[#This Row],[Revenue brut N2]]-TableauProduit[[#This Row],[Achat plante / kg de melange N2]]-TableauProduit[[#This Row],[Conditionnement N2]]</f>
        <v/>
      </c>
      <c r="Y18" s="911" t="n">
        <v>180</v>
      </c>
      <c r="Z18" s="912">
        <f>TableauProduit[[#This Row],[Poids (g) / unite]]*TableauProduit[[#This Row],[Objectif de vente en unite N3]]/1000</f>
        <v/>
      </c>
      <c r="AA18" s="913">
        <f>TableauProduit[[#This Row],[Objectif de vente en unite N3]]*TableauProduit[[#This Row],[Packaging / unite]]</f>
        <v/>
      </c>
      <c r="AB18" s="913">
        <f>TableauProduit[[#This Row],[Prix Achat de plante par kg]]*TableauProduit[[#This Row],[Total (kg) N3]]</f>
        <v/>
      </c>
      <c r="AC18" s="913">
        <f>TableauProduit[[#This Row],[Prix de vente/kg]]*TableauProduit[[#This Row],[Total (kg) N3]]</f>
        <v/>
      </c>
      <c r="AD18" s="914">
        <f>TableauProduit[[#This Row],[Revenue brut N3]]-TableauProduit[[#This Row],[Achat plante / kg de melange N3]]-TableauProduit[[#This Row],[Conditionnement N3]]</f>
        <v/>
      </c>
      <c r="AE18" s="915" t="n">
        <v>180</v>
      </c>
      <c r="AF18" s="915">
        <f>TableauProduit[[#This Row],[Poids (g) / unite]]*TableauProduit[[#This Row],[Objectif de vente en unite N4]]/1000</f>
        <v/>
      </c>
      <c r="AG18" s="916">
        <f>TableauProduit[[#This Row],[Objectif de vente en unite N4]]*TableauProduit[[#This Row],[Packaging / unite]]</f>
        <v/>
      </c>
      <c r="AH18" s="916">
        <f>TableauProduit[[#This Row],[Prix Achat de plante par kg]]*TableauProduit[[#This Row],[Total (kg) N4]]</f>
        <v/>
      </c>
      <c r="AI18" s="916">
        <f>TableauProduit[[#This Row],[Prix de vente/kg]]*TableauProduit[[#This Row],[Total (kg) N4]]</f>
        <v/>
      </c>
      <c r="AJ18" s="915">
        <f>TableauProduit[[#This Row],[Revenue brut N4]]-TableauProduit[[#This Row],[Achat plante / kg de melange N4]]-TableauProduit[[#This Row],[Conditionnement N4]]</f>
        <v/>
      </c>
      <c r="AK18" s="917" t="n">
        <v>180</v>
      </c>
      <c r="AL18" s="917">
        <f>TableauProduit[[#This Row],[Poids (g) / unite]]*TableauProduit[[#This Row],[Objectif de vente en unite N5]]/1000</f>
        <v/>
      </c>
      <c r="AM18" s="918">
        <f>TableauProduit[[#This Row],[Objectif de vente en unite N5]]*TableauProduit[[#This Row],[Packaging / unite]]</f>
        <v/>
      </c>
      <c r="AN18" s="918">
        <f>TableauProduit[[#This Row],[Prix Achat de plante par kg]]*TableauProduit[[#This Row],[Total (kg) N5]]</f>
        <v/>
      </c>
      <c r="AO18" s="918">
        <f>TableauProduit[[#This Row],[Prix de vente/kg]]*TableauProduit[[#This Row],[Total (kg) N5]]</f>
        <v/>
      </c>
      <c r="AP18" s="917">
        <f>TableauProduit[[#This Row],[Revenue brut N5]]-TableauProduit[[#This Row],[Achat plante / kg de melange N5]]-TableauProduit[[#This Row],[Conditionnement N5]]</f>
        <v/>
      </c>
      <c r="AQ18" s="919" t="n">
        <v>180</v>
      </c>
      <c r="AR18" s="919">
        <f>TableauProduit[[#This Row],[Poids (g) / unite]]*TableauProduit[[#This Row],[Objectif de vente en unite N6]]/1000</f>
        <v/>
      </c>
      <c r="AS18" s="920">
        <f>TableauProduit[[#This Row],[Objectif de vente en unite N6]]*TableauProduit[[#This Row],[Packaging / unite]]</f>
        <v/>
      </c>
      <c r="AT18" s="920">
        <f>TableauProduit[[#This Row],[Prix Achat de plante par kg]]*TableauProduit[[#This Row],[Total (kg) N6]]</f>
        <v/>
      </c>
      <c r="AU18" s="920">
        <f>TableauProduit[[#This Row],[Prix de vente/kg]]*TableauProduit[[#This Row],[Total (kg) N6]]</f>
        <v/>
      </c>
      <c r="AV18" s="919">
        <f>TableauProduit[[#This Row],[Revenue brut N6]]-TableauProduit[[#This Row],[Achat plante / kg de melange N6]]-TableauProduit[[#This Row],[Conditionnement N6]]</f>
        <v/>
      </c>
      <c r="AW18" s="904" t="n">
        <v>180</v>
      </c>
      <c r="AX18" s="904">
        <f>TableauProduit[[#This Row],[Poids (g) / unite]]*TableauProduit[[#This Row],[Objectif de vente en unite N7]]/1000</f>
        <v/>
      </c>
      <c r="AY18" s="905">
        <f>TableauProduit[[#This Row],[Objectif de vente en unite N7]]*TableauProduit[[#This Row],[Packaging / unite]]</f>
        <v/>
      </c>
      <c r="AZ18" s="905">
        <f>TableauProduit[[#This Row],[Prix Achat de plante par kg]]*TableauProduit[[#This Row],[Total (kg) N7]]</f>
        <v/>
      </c>
      <c r="BA18" s="905">
        <f>TableauProduit[[#This Row],[Prix de vente/kg]]*TableauProduit[[#This Row],[Total (kg) N7]]</f>
        <v/>
      </c>
      <c r="BB18" s="921">
        <f>TableauProduit[[#This Row],[Revenue brut N7]]-TableauProduit[[#This Row],[Achat plante / kg de melange N7]]-TableauProduit[[#This Row],[Conditionnement N7]]</f>
        <v/>
      </c>
      <c r="BC18" s="922" t="n">
        <v>180</v>
      </c>
      <c r="BD18" s="923">
        <f>TableauProduit[[#This Row],[Poids (g) / unite]]*TableauProduit[[#This Row],[Objectif de vente en unite N8]]/1000</f>
        <v/>
      </c>
      <c r="BE18" s="924">
        <f>TableauProduit[[#This Row],[Objectif de vente en unite N8]]*TableauProduit[[#This Row],[Packaging / unite]]</f>
        <v/>
      </c>
      <c r="BF18" s="924">
        <f>TableauProduit[[#This Row],[Prix Achat de plante par kg]]*TableauProduit[[#This Row],[Total (kg) N8]]</f>
        <v/>
      </c>
      <c r="BG18" s="924">
        <f>TableauProduit[[#This Row],[Prix de vente/kg]]*TableauProduit[[#This Row],[Total (kg) N8]]</f>
        <v/>
      </c>
      <c r="BH18" s="925">
        <f>TableauProduit[[#This Row],[Revenue brut N8]]-TableauProduit[[#This Row],[Achat plante / kg de melange N8]]-TableauProduit[[#This Row],[Conditionnement N8]]</f>
        <v/>
      </c>
      <c r="BI18" s="926" t="n">
        <v>180</v>
      </c>
      <c r="BJ18" s="927">
        <f>TableauProduit[[#This Row],[Poids (g) / unite]]*TableauProduit[[#This Row],[Objectif de vente en unite N9]]/1000</f>
        <v/>
      </c>
      <c r="BK18" s="928">
        <f>TableauProduit[[#This Row],[Objectif de vente en unite N9]]*TableauProduit[[#This Row],[Packaging / unite]]</f>
        <v/>
      </c>
      <c r="BL18" s="928">
        <f>TableauProduit[[#This Row],[Prix Achat de plante par kg]]*TableauProduit[[#This Row],[Total (kg) N9]]</f>
        <v/>
      </c>
      <c r="BM18" s="928">
        <f>TableauProduit[[#This Row],[Prix de vente/kg]]*TableauProduit[[#This Row],[Total (kg) N9]]</f>
        <v/>
      </c>
      <c r="BN18" s="927">
        <f>TableauProduit[[#This Row],[Revenue brut N9]]-TableauProduit[[#This Row],[Achat plante / kg de melange N9]]-TableauProduit[[#This Row],[Conditionnement N9]]</f>
        <v/>
      </c>
    </row>
    <row r="19">
      <c r="A19" s="13" t="inlineStr">
        <is>
          <t>Paprika</t>
        </is>
      </c>
      <c r="B19" s="54">
        <f>TableauProduit[[#This Row],[Recette]]&amp;TableauProduit[[#This Row],[Conditionnement]]</f>
        <v/>
      </c>
      <c r="C19" s="11" t="n">
        <v>1</v>
      </c>
      <c r="D19" s="11" t="n">
        <v>60</v>
      </c>
      <c r="E19" s="6" t="inlineStr">
        <is>
          <t>Epice 100ml</t>
        </is>
      </c>
      <c r="F19" s="7">
        <f>IFERROR(VLOOKUP(TableauProduit[[#This Row],[Conditionnement]],TableauConditionnement[[Nom]:[Contenance]],4,FALSE),"")</f>
        <v/>
      </c>
      <c r="G19" s="897">
        <f>IFERROR(SUMIFS(TableauRecette[Prix d''achat / kg],TableauRecette[Recette],TableauProduit[[#This Row],[Recette]],TableauRecette[Conditionnement],TableauProduit[[#This Row],[Conditionnement]]),0)</f>
        <v/>
      </c>
      <c r="H19" s="898" t="n">
        <v>6.5</v>
      </c>
      <c r="I19" s="899">
        <f>1000*TableauProduit[[#This Row],[Prix de vente/U]]/TableauProduit[[#This Row],[Poids (g) / unite]]</f>
        <v/>
      </c>
      <c r="J19" s="900">
        <f>SUMIFS(TableauConcurence[PRIX_KG],TableauConcurence[PRODUIT],TableauProduit[[#This Row],[Recette]],TableauConcurence[DISTRIBUTION],"magasin NON BIO")</f>
        <v/>
      </c>
      <c r="K19" s="901">
        <f>SUMIFS(TableauConcurence[PRIX_KG],TableauConcurence[PRODUIT],TableauProduit[[#This Row],[Recette]],TableauConcurence[DISTRIBUTION],"magasin BIO")</f>
        <v/>
      </c>
      <c r="L19" s="902">
        <f>SUMIFS(TableauConcurence[PRIX_KG],TableauConcurence[PRODUIT],TableauProduit[[#This Row],[Recette]],TableauConcurence[DISTRIBUTION],"artisanale BIO")</f>
        <v/>
      </c>
      <c r="M19" s="903" t="n">
        <v>180</v>
      </c>
      <c r="N19" s="904">
        <f>TableauProduit[[#This Row],[Poids (g) / unite]]*TableauProduit[[#This Row],[Objectif de vente en unite N1]]/1000</f>
        <v/>
      </c>
      <c r="O19" s="905">
        <f>TableauProduit[[#This Row],[Objectif de vente en unite N1]]*TableauProduit[[#This Row],[Packaging / unite]]</f>
        <v/>
      </c>
      <c r="P19" s="905">
        <f>TableauProduit[[#This Row],[Prix Achat de plante par kg]]*TableauProduit[[#This Row],[Total (kg) N1]]</f>
        <v/>
      </c>
      <c r="Q19" s="905">
        <f>TableauProduit[[#This Row],[Prix de vente/kg]]*TableauProduit[[#This Row],[Total (kg) N1]]</f>
        <v/>
      </c>
      <c r="R19" s="906">
        <f>TableauProduit[[#This Row],[Revenue brut N1]]-TableauProduit[[#This Row],[Achat par kg N1]]-TableauProduit[[#This Row],[Conditionnement N1]]</f>
        <v/>
      </c>
      <c r="S19" s="907" t="n">
        <v>180</v>
      </c>
      <c r="T19" s="908">
        <f>TableauProduit[[#This Row],[Poids (g) / unite]]*TableauProduit[[#This Row],[Objectif de vente en unite N2]]/1000</f>
        <v/>
      </c>
      <c r="U19" s="909">
        <f>TableauProduit[[#This Row],[Objectif de vente en unite N2]]*TableauProduit[[#This Row],[Packaging / unite]]</f>
        <v/>
      </c>
      <c r="V19" s="909">
        <f>TableauProduit[[#This Row],[Prix Achat de plante par kg]]*TableauProduit[[#This Row],[Total (kg) N2]]</f>
        <v/>
      </c>
      <c r="W19" s="909">
        <f>TableauProduit[[#This Row],[Prix de vente/kg]]*TableauProduit[[#This Row],[Total (kg) N2]]</f>
        <v/>
      </c>
      <c r="X19" s="910">
        <f>TableauProduit[[#This Row],[Revenue brut N2]]-TableauProduit[[#This Row],[Achat plante / kg de melange N2]]-TableauProduit[[#This Row],[Conditionnement N2]]</f>
        <v/>
      </c>
      <c r="Y19" s="911" t="n">
        <v>180</v>
      </c>
      <c r="Z19" s="912">
        <f>TableauProduit[[#This Row],[Poids (g) / unite]]*TableauProduit[[#This Row],[Objectif de vente en unite N3]]/1000</f>
        <v/>
      </c>
      <c r="AA19" s="913">
        <f>TableauProduit[[#This Row],[Objectif de vente en unite N3]]*TableauProduit[[#This Row],[Packaging / unite]]</f>
        <v/>
      </c>
      <c r="AB19" s="913">
        <f>TableauProduit[[#This Row],[Prix Achat de plante par kg]]*TableauProduit[[#This Row],[Total (kg) N3]]</f>
        <v/>
      </c>
      <c r="AC19" s="913">
        <f>TableauProduit[[#This Row],[Prix de vente/kg]]*TableauProduit[[#This Row],[Total (kg) N3]]</f>
        <v/>
      </c>
      <c r="AD19" s="914">
        <f>TableauProduit[[#This Row],[Revenue brut N3]]-TableauProduit[[#This Row],[Achat plante / kg de melange N3]]-TableauProduit[[#This Row],[Conditionnement N3]]</f>
        <v/>
      </c>
      <c r="AE19" s="915" t="n">
        <v>180</v>
      </c>
      <c r="AF19" s="915">
        <f>TableauProduit[[#This Row],[Poids (g) / unite]]*TableauProduit[[#This Row],[Objectif de vente en unite N4]]/1000</f>
        <v/>
      </c>
      <c r="AG19" s="916">
        <f>TableauProduit[[#This Row],[Objectif de vente en unite N4]]*TableauProduit[[#This Row],[Packaging / unite]]</f>
        <v/>
      </c>
      <c r="AH19" s="916">
        <f>TableauProduit[[#This Row],[Prix Achat de plante par kg]]*TableauProduit[[#This Row],[Total (kg) N4]]</f>
        <v/>
      </c>
      <c r="AI19" s="916">
        <f>TableauProduit[[#This Row],[Prix de vente/kg]]*TableauProduit[[#This Row],[Total (kg) N4]]</f>
        <v/>
      </c>
      <c r="AJ19" s="915">
        <f>TableauProduit[[#This Row],[Revenue brut N4]]-TableauProduit[[#This Row],[Achat plante / kg de melange N4]]-TableauProduit[[#This Row],[Conditionnement N4]]</f>
        <v/>
      </c>
      <c r="AK19" s="917" t="n">
        <v>180</v>
      </c>
      <c r="AL19" s="917">
        <f>TableauProduit[[#This Row],[Poids (g) / unite]]*TableauProduit[[#This Row],[Objectif de vente en unite N5]]/1000</f>
        <v/>
      </c>
      <c r="AM19" s="918">
        <f>TableauProduit[[#This Row],[Objectif de vente en unite N5]]*TableauProduit[[#This Row],[Packaging / unite]]</f>
        <v/>
      </c>
      <c r="AN19" s="918">
        <f>TableauProduit[[#This Row],[Prix Achat de plante par kg]]*TableauProduit[[#This Row],[Total (kg) N5]]</f>
        <v/>
      </c>
      <c r="AO19" s="918">
        <f>TableauProduit[[#This Row],[Prix de vente/kg]]*TableauProduit[[#This Row],[Total (kg) N5]]</f>
        <v/>
      </c>
      <c r="AP19" s="917">
        <f>TableauProduit[[#This Row],[Revenue brut N5]]-TableauProduit[[#This Row],[Achat plante / kg de melange N5]]-TableauProduit[[#This Row],[Conditionnement N5]]</f>
        <v/>
      </c>
      <c r="AQ19" s="919" t="n">
        <v>180</v>
      </c>
      <c r="AR19" s="919">
        <f>TableauProduit[[#This Row],[Poids (g) / unite]]*TableauProduit[[#This Row],[Objectif de vente en unite N6]]/1000</f>
        <v/>
      </c>
      <c r="AS19" s="920">
        <f>TableauProduit[[#This Row],[Objectif de vente en unite N6]]*TableauProduit[[#This Row],[Packaging / unite]]</f>
        <v/>
      </c>
      <c r="AT19" s="920">
        <f>TableauProduit[[#This Row],[Prix Achat de plante par kg]]*TableauProduit[[#This Row],[Total (kg) N6]]</f>
        <v/>
      </c>
      <c r="AU19" s="920">
        <f>TableauProduit[[#This Row],[Prix de vente/kg]]*TableauProduit[[#This Row],[Total (kg) N6]]</f>
        <v/>
      </c>
      <c r="AV19" s="919">
        <f>TableauProduit[[#This Row],[Revenue brut N6]]-TableauProduit[[#This Row],[Achat plante / kg de melange N6]]-TableauProduit[[#This Row],[Conditionnement N6]]</f>
        <v/>
      </c>
      <c r="AW19" s="904" t="n">
        <v>180</v>
      </c>
      <c r="AX19" s="904">
        <f>TableauProduit[[#This Row],[Poids (g) / unite]]*TableauProduit[[#This Row],[Objectif de vente en unite N7]]/1000</f>
        <v/>
      </c>
      <c r="AY19" s="905">
        <f>TableauProduit[[#This Row],[Objectif de vente en unite N7]]*TableauProduit[[#This Row],[Packaging / unite]]</f>
        <v/>
      </c>
      <c r="AZ19" s="905">
        <f>TableauProduit[[#This Row],[Prix Achat de plante par kg]]*TableauProduit[[#This Row],[Total (kg) N7]]</f>
        <v/>
      </c>
      <c r="BA19" s="905">
        <f>TableauProduit[[#This Row],[Prix de vente/kg]]*TableauProduit[[#This Row],[Total (kg) N7]]</f>
        <v/>
      </c>
      <c r="BB19" s="921">
        <f>TableauProduit[[#This Row],[Revenue brut N7]]-TableauProduit[[#This Row],[Achat plante / kg de melange N7]]-TableauProduit[[#This Row],[Conditionnement N7]]</f>
        <v/>
      </c>
      <c r="BC19" s="922" t="n">
        <v>180</v>
      </c>
      <c r="BD19" s="923">
        <f>TableauProduit[[#This Row],[Poids (g) / unite]]*TableauProduit[[#This Row],[Objectif de vente en unite N8]]/1000</f>
        <v/>
      </c>
      <c r="BE19" s="924">
        <f>TableauProduit[[#This Row],[Objectif de vente en unite N8]]*TableauProduit[[#This Row],[Packaging / unite]]</f>
        <v/>
      </c>
      <c r="BF19" s="924">
        <f>TableauProduit[[#This Row],[Prix Achat de plante par kg]]*TableauProduit[[#This Row],[Total (kg) N8]]</f>
        <v/>
      </c>
      <c r="BG19" s="924">
        <f>TableauProduit[[#This Row],[Prix de vente/kg]]*TableauProduit[[#This Row],[Total (kg) N8]]</f>
        <v/>
      </c>
      <c r="BH19" s="925">
        <f>TableauProduit[[#This Row],[Revenue brut N8]]-TableauProduit[[#This Row],[Achat plante / kg de melange N8]]-TableauProduit[[#This Row],[Conditionnement N8]]</f>
        <v/>
      </c>
      <c r="BI19" s="926" t="n">
        <v>180</v>
      </c>
      <c r="BJ19" s="927">
        <f>TableauProduit[[#This Row],[Poids (g) / unite]]*TableauProduit[[#This Row],[Objectif de vente en unite N9]]/1000</f>
        <v/>
      </c>
      <c r="BK19" s="928">
        <f>TableauProduit[[#This Row],[Objectif de vente en unite N9]]*TableauProduit[[#This Row],[Packaging / unite]]</f>
        <v/>
      </c>
      <c r="BL19" s="928">
        <f>TableauProduit[[#This Row],[Prix Achat de plante par kg]]*TableauProduit[[#This Row],[Total (kg) N9]]</f>
        <v/>
      </c>
      <c r="BM19" s="928">
        <f>TableauProduit[[#This Row],[Prix de vente/kg]]*TableauProduit[[#This Row],[Total (kg) N9]]</f>
        <v/>
      </c>
      <c r="BN19" s="927">
        <f>TableauProduit[[#This Row],[Revenue brut N9]]-TableauProduit[[#This Row],[Achat plante / kg de melange N9]]-TableauProduit[[#This Row],[Conditionnement N9]]</f>
        <v/>
      </c>
    </row>
    <row r="20">
      <c r="A20" s="553" t="inlineStr">
        <is>
          <t>Sirop aux fleures</t>
        </is>
      </c>
      <c r="B20" s="54">
        <f>TableauProduit[[#This Row],[Recette]]&amp;TableauProduit[[#This Row],[Conditionnement]]</f>
        <v/>
      </c>
      <c r="C20" s="11" t="n">
        <v>1</v>
      </c>
      <c r="D20" s="11" t="n">
        <v>500</v>
      </c>
      <c r="E20" s="6" t="inlineStr">
        <is>
          <t>Sirop 500 ml</t>
        </is>
      </c>
      <c r="F20" s="7">
        <f>IFERROR(VLOOKUP(TableauProduit[[#This Row],[Conditionnement]],TableauConditionnement[[Nom]:[Contenance]],4,FALSE),"")</f>
        <v/>
      </c>
      <c r="G20" s="897">
        <f>IFERROR(SUMIFS(TableauRecette[Prix d''achat / kg],TableauRecette[Recette],TableauProduit[[#This Row],[Recette]],TableauRecette[Conditionnement],TableauProduit[[#This Row],[Conditionnement]]),0)</f>
        <v/>
      </c>
      <c r="H20" s="957" t="n">
        <v>13</v>
      </c>
      <c r="I20" s="899">
        <f>1000*TableauProduit[[#This Row],[Prix de vente/U]]/TableauProduit[[#This Row],[Poids (g) / unite]]</f>
        <v/>
      </c>
      <c r="J20" s="900">
        <f>SUMIFS(TableauConcurence[PRIX_KG],TableauConcurence[PRODUIT],TableauProduit[[#This Row],[Recette]],TableauConcurence[DISTRIBUTION],"magasin NON BIO")</f>
        <v/>
      </c>
      <c r="K20" s="901">
        <f>SUMIFS(TableauConcurence[PRIX_KG],TableauConcurence[PRODUIT],TableauProduit[[#This Row],[Recette]],TableauConcurence[DISTRIBUTION],"magasin BIO")</f>
        <v/>
      </c>
      <c r="L20" s="902">
        <f>SUMIFS(TableauConcurence[PRIX_KG],TableauConcurence[PRODUIT],TableauProduit[[#This Row],[Recette]],TableauConcurence[DISTRIBUTION],"artisanale BIO")</f>
        <v/>
      </c>
      <c r="M20" s="903" t="n">
        <v>180</v>
      </c>
      <c r="N20" s="904">
        <f>TableauProduit[[#This Row],[Poids (g) / unite]]*TableauProduit[[#This Row],[Objectif de vente en unite N1]]/1000</f>
        <v/>
      </c>
      <c r="O20" s="905">
        <f>TableauProduit[[#This Row],[Objectif de vente en unite N1]]*TableauProduit[[#This Row],[Packaging / unite]]</f>
        <v/>
      </c>
      <c r="P20" s="905">
        <f>TableauProduit[[#This Row],[Prix Achat de plante par kg]]*TableauProduit[[#This Row],[Total (kg) N1]]</f>
        <v/>
      </c>
      <c r="Q20" s="905">
        <f>TableauProduit[[#This Row],[Prix de vente/kg]]*TableauProduit[[#This Row],[Total (kg) N1]]</f>
        <v/>
      </c>
      <c r="R20" s="906">
        <f>TableauProduit[[#This Row],[Revenue brut N1]]-TableauProduit[[#This Row],[Achat par kg N1]]-TableauProduit[[#This Row],[Conditionnement N1]]</f>
        <v/>
      </c>
      <c r="S20" s="907" t="n">
        <v>180</v>
      </c>
      <c r="T20" s="908">
        <f>TableauProduit[[#This Row],[Poids (g) / unite]]*TableauProduit[[#This Row],[Objectif de vente en unite N2]]/1000</f>
        <v/>
      </c>
      <c r="U20" s="909">
        <f>TableauProduit[[#This Row],[Objectif de vente en unite N2]]*TableauProduit[[#This Row],[Packaging / unite]]</f>
        <v/>
      </c>
      <c r="V20" s="909">
        <f>TableauProduit[[#This Row],[Prix Achat de plante par kg]]*TableauProduit[[#This Row],[Total (kg) N2]]</f>
        <v/>
      </c>
      <c r="W20" s="909">
        <f>TableauProduit[[#This Row],[Prix de vente/kg]]*TableauProduit[[#This Row],[Total (kg) N2]]</f>
        <v/>
      </c>
      <c r="X20" s="910">
        <f>TableauProduit[[#This Row],[Revenue brut N2]]-TableauProduit[[#This Row],[Achat plante / kg de melange N2]]-TableauProduit[[#This Row],[Conditionnement N2]]</f>
        <v/>
      </c>
      <c r="Y20" s="911" t="n">
        <v>180</v>
      </c>
      <c r="Z20" s="912">
        <f>TableauProduit[[#This Row],[Poids (g) / unite]]*TableauProduit[[#This Row],[Objectif de vente en unite N3]]/1000</f>
        <v/>
      </c>
      <c r="AA20" s="913">
        <f>TableauProduit[[#This Row],[Objectif de vente en unite N3]]*TableauProduit[[#This Row],[Packaging / unite]]</f>
        <v/>
      </c>
      <c r="AB20" s="913">
        <f>TableauProduit[[#This Row],[Prix Achat de plante par kg]]*TableauProduit[[#This Row],[Total (kg) N3]]</f>
        <v/>
      </c>
      <c r="AC20" s="913">
        <f>TableauProduit[[#This Row],[Prix de vente/kg]]*TableauProduit[[#This Row],[Total (kg) N3]]</f>
        <v/>
      </c>
      <c r="AD20" s="914">
        <f>TableauProduit[[#This Row],[Revenue brut N3]]-TableauProduit[[#This Row],[Achat plante / kg de melange N3]]-TableauProduit[[#This Row],[Conditionnement N3]]</f>
        <v/>
      </c>
      <c r="AE20" s="915" t="n">
        <v>180</v>
      </c>
      <c r="AF20" s="915">
        <f>TableauProduit[[#This Row],[Poids (g) / unite]]*TableauProduit[[#This Row],[Objectif de vente en unite N4]]/1000</f>
        <v/>
      </c>
      <c r="AG20" s="916">
        <f>TableauProduit[[#This Row],[Objectif de vente en unite N4]]*TableauProduit[[#This Row],[Packaging / unite]]</f>
        <v/>
      </c>
      <c r="AH20" s="916">
        <f>TableauProduit[[#This Row],[Prix Achat de plante par kg]]*TableauProduit[[#This Row],[Total (kg) N4]]</f>
        <v/>
      </c>
      <c r="AI20" s="916">
        <f>TableauProduit[[#This Row],[Prix de vente/kg]]*TableauProduit[[#This Row],[Total (kg) N4]]</f>
        <v/>
      </c>
      <c r="AJ20" s="915">
        <f>TableauProduit[[#This Row],[Revenue brut N4]]-TableauProduit[[#This Row],[Achat plante / kg de melange N4]]-TableauProduit[[#This Row],[Conditionnement N4]]</f>
        <v/>
      </c>
      <c r="AK20" s="917" t="n">
        <v>180</v>
      </c>
      <c r="AL20" s="917">
        <f>TableauProduit[[#This Row],[Poids (g) / unite]]*TableauProduit[[#This Row],[Objectif de vente en unite N5]]/1000</f>
        <v/>
      </c>
      <c r="AM20" s="918">
        <f>TableauProduit[[#This Row],[Objectif de vente en unite N5]]*TableauProduit[[#This Row],[Packaging / unite]]</f>
        <v/>
      </c>
      <c r="AN20" s="918">
        <f>TableauProduit[[#This Row],[Prix Achat de plante par kg]]*TableauProduit[[#This Row],[Total (kg) N5]]</f>
        <v/>
      </c>
      <c r="AO20" s="918">
        <f>TableauProduit[[#This Row],[Prix de vente/kg]]*TableauProduit[[#This Row],[Total (kg) N5]]</f>
        <v/>
      </c>
      <c r="AP20" s="917">
        <f>TableauProduit[[#This Row],[Revenue brut N5]]-TableauProduit[[#This Row],[Achat plante / kg de melange N5]]-TableauProduit[[#This Row],[Conditionnement N5]]</f>
        <v/>
      </c>
      <c r="AQ20" s="919" t="n">
        <v>180</v>
      </c>
      <c r="AR20" s="919">
        <f>TableauProduit[[#This Row],[Poids (g) / unite]]*TableauProduit[[#This Row],[Objectif de vente en unite N6]]/1000</f>
        <v/>
      </c>
      <c r="AS20" s="920">
        <f>TableauProduit[[#This Row],[Objectif de vente en unite N6]]*TableauProduit[[#This Row],[Packaging / unite]]</f>
        <v/>
      </c>
      <c r="AT20" s="920">
        <f>TableauProduit[[#This Row],[Prix Achat de plante par kg]]*TableauProduit[[#This Row],[Total (kg) N6]]</f>
        <v/>
      </c>
      <c r="AU20" s="920">
        <f>TableauProduit[[#This Row],[Prix de vente/kg]]*TableauProduit[[#This Row],[Total (kg) N6]]</f>
        <v/>
      </c>
      <c r="AV20" s="919">
        <f>TableauProduit[[#This Row],[Revenue brut N6]]-TableauProduit[[#This Row],[Achat plante / kg de melange N6]]-TableauProduit[[#This Row],[Conditionnement N6]]</f>
        <v/>
      </c>
      <c r="AW20" s="904" t="n">
        <v>180</v>
      </c>
      <c r="AX20" s="904">
        <f>TableauProduit[[#This Row],[Poids (g) / unite]]*TableauProduit[[#This Row],[Objectif de vente en unite N7]]/1000</f>
        <v/>
      </c>
      <c r="AY20" s="905">
        <f>TableauProduit[[#This Row],[Objectif de vente en unite N7]]*TableauProduit[[#This Row],[Packaging / unite]]</f>
        <v/>
      </c>
      <c r="AZ20" s="905">
        <f>TableauProduit[[#This Row],[Prix Achat de plante par kg]]*TableauProduit[[#This Row],[Total (kg) N7]]</f>
        <v/>
      </c>
      <c r="BA20" s="905">
        <f>TableauProduit[[#This Row],[Prix de vente/kg]]*TableauProduit[[#This Row],[Total (kg) N7]]</f>
        <v/>
      </c>
      <c r="BB20" s="921">
        <f>TableauProduit[[#This Row],[Revenue brut N7]]-TableauProduit[[#This Row],[Achat plante / kg de melange N7]]-TableauProduit[[#This Row],[Conditionnement N7]]</f>
        <v/>
      </c>
      <c r="BC20" s="922" t="n">
        <v>180</v>
      </c>
      <c r="BD20" s="923">
        <f>TableauProduit[[#This Row],[Poids (g) / unite]]*TableauProduit[[#This Row],[Objectif de vente en unite N8]]/1000</f>
        <v/>
      </c>
      <c r="BE20" s="924">
        <f>TableauProduit[[#This Row],[Objectif de vente en unite N8]]*TableauProduit[[#This Row],[Packaging / unite]]</f>
        <v/>
      </c>
      <c r="BF20" s="924">
        <f>TableauProduit[[#This Row],[Prix Achat de plante par kg]]*TableauProduit[[#This Row],[Total (kg) N8]]</f>
        <v/>
      </c>
      <c r="BG20" s="924">
        <f>TableauProduit[[#This Row],[Prix de vente/kg]]*TableauProduit[[#This Row],[Total (kg) N8]]</f>
        <v/>
      </c>
      <c r="BH20" s="925">
        <f>TableauProduit[[#This Row],[Revenue brut N8]]-TableauProduit[[#This Row],[Achat plante / kg de melange N8]]-TableauProduit[[#This Row],[Conditionnement N8]]</f>
        <v/>
      </c>
      <c r="BI20" s="926" t="n">
        <v>180</v>
      </c>
      <c r="BJ20" s="927">
        <f>TableauProduit[[#This Row],[Poids (g) / unite]]*TableauProduit[[#This Row],[Objectif de vente en unite N9]]/1000</f>
        <v/>
      </c>
      <c r="BK20" s="928">
        <f>TableauProduit[[#This Row],[Objectif de vente en unite N9]]*TableauProduit[[#This Row],[Packaging / unite]]</f>
        <v/>
      </c>
      <c r="BL20" s="928">
        <f>TableauProduit[[#This Row],[Prix Achat de plante par kg]]*TableauProduit[[#This Row],[Total (kg) N9]]</f>
        <v/>
      </c>
      <c r="BM20" s="928">
        <f>TableauProduit[[#This Row],[Prix de vente/kg]]*TableauProduit[[#This Row],[Total (kg) N9]]</f>
        <v/>
      </c>
      <c r="BN20" s="927">
        <f>TableauProduit[[#This Row],[Revenue brut N9]]-TableauProduit[[#This Row],[Achat plante / kg de melange N9]]-TableauProduit[[#This Row],[Conditionnement N9]]</f>
        <v/>
      </c>
    </row>
    <row r="21">
      <c r="A21" s="553" t="inlineStr">
        <is>
          <t>Sirop de basilic</t>
        </is>
      </c>
      <c r="B21" s="54">
        <f>TableauProduit[[#This Row],[Recette]]&amp;TableauProduit[[#This Row],[Conditionnement]]</f>
        <v/>
      </c>
      <c r="C21" s="11" t="n">
        <v>1</v>
      </c>
      <c r="D21" s="11" t="n">
        <v>500</v>
      </c>
      <c r="E21" s="6" t="inlineStr">
        <is>
          <t>Sirop 500 ml</t>
        </is>
      </c>
      <c r="F21" s="7">
        <f>IFERROR(VLOOKUP(TableauProduit[[#This Row],[Conditionnement]],TableauConditionnement[[Nom]:[Contenance]],4,FALSE),"")</f>
        <v/>
      </c>
      <c r="G21" s="897">
        <f>IFERROR(SUMIFS(TableauRecette[Prix d''achat / kg],TableauRecette[Recette],TableauProduit[[#This Row],[Recette]],TableauRecette[Conditionnement],TableauProduit[[#This Row],[Conditionnement]]),0)</f>
        <v/>
      </c>
      <c r="H21" s="957" t="n">
        <v>8</v>
      </c>
      <c r="I21" s="899">
        <f>1000*TableauProduit[[#This Row],[Prix de vente/U]]/TableauProduit[[#This Row],[Poids (g) / unite]]</f>
        <v/>
      </c>
      <c r="J21" s="900">
        <f>SUMIFS(TableauConcurence[PRIX_KG],TableauConcurence[PRODUIT],TableauProduit[[#This Row],[Recette]],TableauConcurence[DISTRIBUTION],"magasin NON BIO")</f>
        <v/>
      </c>
      <c r="K21" s="901">
        <f>SUMIFS(TableauConcurence[PRIX_KG],TableauConcurence[PRODUIT],TableauProduit[[#This Row],[Recette]],TableauConcurence[DISTRIBUTION],"magasin BIO")</f>
        <v/>
      </c>
      <c r="L21" s="902">
        <f>SUMIFS(TableauConcurence[PRIX_KG],TableauConcurence[PRODUIT],TableauProduit[[#This Row],[Recette]],TableauConcurence[DISTRIBUTION],"artisanale BIO")</f>
        <v/>
      </c>
      <c r="M21" s="903" t="n">
        <v>180</v>
      </c>
      <c r="N21" s="904">
        <f>TableauProduit[[#This Row],[Poids (g) / unite]]*TableauProduit[[#This Row],[Objectif de vente en unite N1]]/1000</f>
        <v/>
      </c>
      <c r="O21" s="905">
        <f>TableauProduit[[#This Row],[Objectif de vente en unite N1]]*TableauProduit[[#This Row],[Packaging / unite]]</f>
        <v/>
      </c>
      <c r="P21" s="905">
        <f>TableauProduit[[#This Row],[Prix Achat de plante par kg]]*TableauProduit[[#This Row],[Total (kg) N1]]</f>
        <v/>
      </c>
      <c r="Q21" s="905">
        <f>TableauProduit[[#This Row],[Prix de vente/kg]]*TableauProduit[[#This Row],[Total (kg) N1]]</f>
        <v/>
      </c>
      <c r="R21" s="906">
        <f>TableauProduit[[#This Row],[Revenue brut N1]]-TableauProduit[[#This Row],[Achat par kg N1]]-TableauProduit[[#This Row],[Conditionnement N1]]</f>
        <v/>
      </c>
      <c r="S21" s="907" t="n">
        <v>180</v>
      </c>
      <c r="T21" s="908">
        <f>TableauProduit[[#This Row],[Poids (g) / unite]]*TableauProduit[[#This Row],[Objectif de vente en unite N2]]/1000</f>
        <v/>
      </c>
      <c r="U21" s="909">
        <f>TableauProduit[[#This Row],[Objectif de vente en unite N2]]*TableauProduit[[#This Row],[Packaging / unite]]</f>
        <v/>
      </c>
      <c r="V21" s="909">
        <f>TableauProduit[[#This Row],[Prix Achat de plante par kg]]*TableauProduit[[#This Row],[Total (kg) N2]]</f>
        <v/>
      </c>
      <c r="W21" s="909">
        <f>TableauProduit[[#This Row],[Prix de vente/kg]]*TableauProduit[[#This Row],[Total (kg) N2]]</f>
        <v/>
      </c>
      <c r="X21" s="910">
        <f>TableauProduit[[#This Row],[Revenue brut N2]]-TableauProduit[[#This Row],[Achat plante / kg de melange N2]]-TableauProduit[[#This Row],[Conditionnement N2]]</f>
        <v/>
      </c>
      <c r="Y21" s="911" t="n">
        <v>180</v>
      </c>
      <c r="Z21" s="912">
        <f>TableauProduit[[#This Row],[Poids (g) / unite]]*TableauProduit[[#This Row],[Objectif de vente en unite N3]]/1000</f>
        <v/>
      </c>
      <c r="AA21" s="913">
        <f>TableauProduit[[#This Row],[Objectif de vente en unite N3]]*TableauProduit[[#This Row],[Packaging / unite]]</f>
        <v/>
      </c>
      <c r="AB21" s="913">
        <f>TableauProduit[[#This Row],[Prix Achat de plante par kg]]*TableauProduit[[#This Row],[Total (kg) N3]]</f>
        <v/>
      </c>
      <c r="AC21" s="913">
        <f>TableauProduit[[#This Row],[Prix de vente/kg]]*TableauProduit[[#This Row],[Total (kg) N3]]</f>
        <v/>
      </c>
      <c r="AD21" s="914">
        <f>TableauProduit[[#This Row],[Revenue brut N3]]-TableauProduit[[#This Row],[Achat plante / kg de melange N3]]-TableauProduit[[#This Row],[Conditionnement N3]]</f>
        <v/>
      </c>
      <c r="AE21" s="915" t="n">
        <v>180</v>
      </c>
      <c r="AF21" s="915">
        <f>TableauProduit[[#This Row],[Poids (g) / unite]]*TableauProduit[[#This Row],[Objectif de vente en unite N4]]/1000</f>
        <v/>
      </c>
      <c r="AG21" s="916">
        <f>TableauProduit[[#This Row],[Objectif de vente en unite N4]]*TableauProduit[[#This Row],[Packaging / unite]]</f>
        <v/>
      </c>
      <c r="AH21" s="916">
        <f>TableauProduit[[#This Row],[Prix Achat de plante par kg]]*TableauProduit[[#This Row],[Total (kg) N4]]</f>
        <v/>
      </c>
      <c r="AI21" s="916">
        <f>TableauProduit[[#This Row],[Prix de vente/kg]]*TableauProduit[[#This Row],[Total (kg) N4]]</f>
        <v/>
      </c>
      <c r="AJ21" s="915">
        <f>TableauProduit[[#This Row],[Revenue brut N4]]-TableauProduit[[#This Row],[Achat plante / kg de melange N4]]-TableauProduit[[#This Row],[Conditionnement N4]]</f>
        <v/>
      </c>
      <c r="AK21" s="917" t="n">
        <v>180</v>
      </c>
      <c r="AL21" s="917">
        <f>TableauProduit[[#This Row],[Poids (g) / unite]]*TableauProduit[[#This Row],[Objectif de vente en unite N5]]/1000</f>
        <v/>
      </c>
      <c r="AM21" s="918">
        <f>TableauProduit[[#This Row],[Objectif de vente en unite N5]]*TableauProduit[[#This Row],[Packaging / unite]]</f>
        <v/>
      </c>
      <c r="AN21" s="918">
        <f>TableauProduit[[#This Row],[Prix Achat de plante par kg]]*TableauProduit[[#This Row],[Total (kg) N5]]</f>
        <v/>
      </c>
      <c r="AO21" s="918">
        <f>TableauProduit[[#This Row],[Prix de vente/kg]]*TableauProduit[[#This Row],[Total (kg) N5]]</f>
        <v/>
      </c>
      <c r="AP21" s="917">
        <f>TableauProduit[[#This Row],[Revenue brut N5]]-TableauProduit[[#This Row],[Achat plante / kg de melange N5]]-TableauProduit[[#This Row],[Conditionnement N5]]</f>
        <v/>
      </c>
      <c r="AQ21" s="919" t="n">
        <v>180</v>
      </c>
      <c r="AR21" s="919">
        <f>TableauProduit[[#This Row],[Poids (g) / unite]]*TableauProduit[[#This Row],[Objectif de vente en unite N6]]/1000</f>
        <v/>
      </c>
      <c r="AS21" s="920">
        <f>TableauProduit[[#This Row],[Objectif de vente en unite N6]]*TableauProduit[[#This Row],[Packaging / unite]]</f>
        <v/>
      </c>
      <c r="AT21" s="920">
        <f>TableauProduit[[#This Row],[Prix Achat de plante par kg]]*TableauProduit[[#This Row],[Total (kg) N6]]</f>
        <v/>
      </c>
      <c r="AU21" s="920">
        <f>TableauProduit[[#This Row],[Prix de vente/kg]]*TableauProduit[[#This Row],[Total (kg) N6]]</f>
        <v/>
      </c>
      <c r="AV21" s="919">
        <f>TableauProduit[[#This Row],[Revenue brut N6]]-TableauProduit[[#This Row],[Achat plante / kg de melange N6]]-TableauProduit[[#This Row],[Conditionnement N6]]</f>
        <v/>
      </c>
      <c r="AW21" s="904" t="n">
        <v>180</v>
      </c>
      <c r="AX21" s="904">
        <f>TableauProduit[[#This Row],[Poids (g) / unite]]*TableauProduit[[#This Row],[Objectif de vente en unite N7]]/1000</f>
        <v/>
      </c>
      <c r="AY21" s="905">
        <f>TableauProduit[[#This Row],[Objectif de vente en unite N7]]*TableauProduit[[#This Row],[Packaging / unite]]</f>
        <v/>
      </c>
      <c r="AZ21" s="905">
        <f>TableauProduit[[#This Row],[Prix Achat de plante par kg]]*TableauProduit[[#This Row],[Total (kg) N7]]</f>
        <v/>
      </c>
      <c r="BA21" s="905">
        <f>TableauProduit[[#This Row],[Prix de vente/kg]]*TableauProduit[[#This Row],[Total (kg) N7]]</f>
        <v/>
      </c>
      <c r="BB21" s="921">
        <f>TableauProduit[[#This Row],[Revenue brut N7]]-TableauProduit[[#This Row],[Achat plante / kg de melange N7]]-TableauProduit[[#This Row],[Conditionnement N7]]</f>
        <v/>
      </c>
      <c r="BC21" s="922" t="n">
        <v>180</v>
      </c>
      <c r="BD21" s="923">
        <f>TableauProduit[[#This Row],[Poids (g) / unite]]*TableauProduit[[#This Row],[Objectif de vente en unite N8]]/1000</f>
        <v/>
      </c>
      <c r="BE21" s="924">
        <f>TableauProduit[[#This Row],[Objectif de vente en unite N8]]*TableauProduit[[#This Row],[Packaging / unite]]</f>
        <v/>
      </c>
      <c r="BF21" s="924">
        <f>TableauProduit[[#This Row],[Prix Achat de plante par kg]]*TableauProduit[[#This Row],[Total (kg) N8]]</f>
        <v/>
      </c>
      <c r="BG21" s="924">
        <f>TableauProduit[[#This Row],[Prix de vente/kg]]*TableauProduit[[#This Row],[Total (kg) N8]]</f>
        <v/>
      </c>
      <c r="BH21" s="925">
        <f>TableauProduit[[#This Row],[Revenue brut N8]]-TableauProduit[[#This Row],[Achat plante / kg de melange N8]]-TableauProduit[[#This Row],[Conditionnement N8]]</f>
        <v/>
      </c>
      <c r="BI21" s="926" t="n">
        <v>180</v>
      </c>
      <c r="BJ21" s="927">
        <f>TableauProduit[[#This Row],[Poids (g) / unite]]*TableauProduit[[#This Row],[Objectif de vente en unite N9]]/1000</f>
        <v/>
      </c>
      <c r="BK21" s="928">
        <f>TableauProduit[[#This Row],[Objectif de vente en unite N9]]*TableauProduit[[#This Row],[Packaging / unite]]</f>
        <v/>
      </c>
      <c r="BL21" s="928">
        <f>TableauProduit[[#This Row],[Prix Achat de plante par kg]]*TableauProduit[[#This Row],[Total (kg) N9]]</f>
        <v/>
      </c>
      <c r="BM21" s="928">
        <f>TableauProduit[[#This Row],[Prix de vente/kg]]*TableauProduit[[#This Row],[Total (kg) N9]]</f>
        <v/>
      </c>
      <c r="BN21" s="927">
        <f>TableauProduit[[#This Row],[Revenue brut N9]]-TableauProduit[[#This Row],[Achat plante / kg de melange N9]]-TableauProduit[[#This Row],[Conditionnement N9]]</f>
        <v/>
      </c>
    </row>
    <row r="22">
      <c r="A22" s="553" t="inlineStr">
        <is>
          <t>Sirop de thym</t>
        </is>
      </c>
      <c r="B22" s="54">
        <f>TableauProduit[[#This Row],[Recette]]&amp;TableauProduit[[#This Row],[Conditionnement]]</f>
        <v/>
      </c>
      <c r="C22" s="11" t="n">
        <v>1</v>
      </c>
      <c r="D22" s="11" t="n">
        <v>500</v>
      </c>
      <c r="E22" s="6" t="inlineStr">
        <is>
          <t>Sirop 500 ml</t>
        </is>
      </c>
      <c r="F22" s="7">
        <f>IFERROR(VLOOKUP(TableauProduit[[#This Row],[Conditionnement]],TableauConditionnement[[Nom]:[Contenance]],4,FALSE),"")</f>
        <v/>
      </c>
      <c r="G22" s="897">
        <f>IFERROR(SUMIFS(TableauRecette[Prix d''achat / kg],TableauRecette[Recette],TableauProduit[[#This Row],[Recette]],TableauRecette[Conditionnement],TableauProduit[[#This Row],[Conditionnement]]),0)</f>
        <v/>
      </c>
      <c r="H22" s="957" t="n">
        <v>6</v>
      </c>
      <c r="I22" s="899">
        <f>1000*TableauProduit[[#This Row],[Prix de vente/U]]/TableauProduit[[#This Row],[Poids (g) / unite]]</f>
        <v/>
      </c>
      <c r="J22" s="900">
        <f>SUMIFS(TableauConcurence[PRIX_KG],TableauConcurence[PRODUIT],TableauProduit[[#This Row],[Recette]],TableauConcurence[DISTRIBUTION],"magasin NON BIO")</f>
        <v/>
      </c>
      <c r="K22" s="901">
        <f>SUMIFS(TableauConcurence[PRIX_KG],TableauConcurence[PRODUIT],TableauProduit[[#This Row],[Recette]],TableauConcurence[DISTRIBUTION],"magasin BIO")</f>
        <v/>
      </c>
      <c r="L22" s="902">
        <f>SUMIFS(TableauConcurence[PRIX_KG],TableauConcurence[PRODUIT],TableauProduit[[#This Row],[Recette]],TableauConcurence[DISTRIBUTION],"artisanale BIO")</f>
        <v/>
      </c>
      <c r="M22" s="903" t="n">
        <v>180</v>
      </c>
      <c r="N22" s="904">
        <f>TableauProduit[[#This Row],[Poids (g) / unite]]*TableauProduit[[#This Row],[Objectif de vente en unite N1]]/1000</f>
        <v/>
      </c>
      <c r="O22" s="905">
        <f>TableauProduit[[#This Row],[Objectif de vente en unite N1]]*TableauProduit[[#This Row],[Packaging / unite]]</f>
        <v/>
      </c>
      <c r="P22" s="905">
        <f>TableauProduit[[#This Row],[Prix Achat de plante par kg]]*TableauProduit[[#This Row],[Total (kg) N1]]</f>
        <v/>
      </c>
      <c r="Q22" s="905">
        <f>TableauProduit[[#This Row],[Prix de vente/kg]]*TableauProduit[[#This Row],[Total (kg) N1]]</f>
        <v/>
      </c>
      <c r="R22" s="906">
        <f>TableauProduit[[#This Row],[Revenue brut N1]]-TableauProduit[[#This Row],[Achat par kg N1]]-TableauProduit[[#This Row],[Conditionnement N1]]</f>
        <v/>
      </c>
      <c r="S22" s="907" t="n">
        <v>180</v>
      </c>
      <c r="T22" s="908">
        <f>TableauProduit[[#This Row],[Poids (g) / unite]]*TableauProduit[[#This Row],[Objectif de vente en unite N2]]/1000</f>
        <v/>
      </c>
      <c r="U22" s="909">
        <f>TableauProduit[[#This Row],[Objectif de vente en unite N2]]*TableauProduit[[#This Row],[Packaging / unite]]</f>
        <v/>
      </c>
      <c r="V22" s="909">
        <f>TableauProduit[[#This Row],[Prix Achat de plante par kg]]*TableauProduit[[#This Row],[Total (kg) N2]]</f>
        <v/>
      </c>
      <c r="W22" s="909">
        <f>TableauProduit[[#This Row],[Prix de vente/kg]]*TableauProduit[[#This Row],[Total (kg) N2]]</f>
        <v/>
      </c>
      <c r="X22" s="910">
        <f>TableauProduit[[#This Row],[Revenue brut N2]]-TableauProduit[[#This Row],[Achat plante / kg de melange N2]]-TableauProduit[[#This Row],[Conditionnement N2]]</f>
        <v/>
      </c>
      <c r="Y22" s="911" t="n">
        <v>180</v>
      </c>
      <c r="Z22" s="912">
        <f>TableauProduit[[#This Row],[Poids (g) / unite]]*TableauProduit[[#This Row],[Objectif de vente en unite N3]]/1000</f>
        <v/>
      </c>
      <c r="AA22" s="913">
        <f>TableauProduit[[#This Row],[Objectif de vente en unite N3]]*TableauProduit[[#This Row],[Packaging / unite]]</f>
        <v/>
      </c>
      <c r="AB22" s="913">
        <f>TableauProduit[[#This Row],[Prix Achat de plante par kg]]*TableauProduit[[#This Row],[Total (kg) N3]]</f>
        <v/>
      </c>
      <c r="AC22" s="913">
        <f>TableauProduit[[#This Row],[Prix de vente/kg]]*TableauProduit[[#This Row],[Total (kg) N3]]</f>
        <v/>
      </c>
      <c r="AD22" s="914">
        <f>TableauProduit[[#This Row],[Revenue brut N3]]-TableauProduit[[#This Row],[Achat plante / kg de melange N3]]-TableauProduit[[#This Row],[Conditionnement N3]]</f>
        <v/>
      </c>
      <c r="AE22" s="915" t="n">
        <v>180</v>
      </c>
      <c r="AF22" s="915">
        <f>TableauProduit[[#This Row],[Poids (g) / unite]]*TableauProduit[[#This Row],[Objectif de vente en unite N4]]/1000</f>
        <v/>
      </c>
      <c r="AG22" s="916">
        <f>TableauProduit[[#This Row],[Objectif de vente en unite N4]]*TableauProduit[[#This Row],[Packaging / unite]]</f>
        <v/>
      </c>
      <c r="AH22" s="916">
        <f>TableauProduit[[#This Row],[Prix Achat de plante par kg]]*TableauProduit[[#This Row],[Total (kg) N4]]</f>
        <v/>
      </c>
      <c r="AI22" s="916">
        <f>TableauProduit[[#This Row],[Prix de vente/kg]]*TableauProduit[[#This Row],[Total (kg) N4]]</f>
        <v/>
      </c>
      <c r="AJ22" s="915">
        <f>TableauProduit[[#This Row],[Revenue brut N4]]-TableauProduit[[#This Row],[Achat plante / kg de melange N4]]-TableauProduit[[#This Row],[Conditionnement N4]]</f>
        <v/>
      </c>
      <c r="AK22" s="917" t="n">
        <v>180</v>
      </c>
      <c r="AL22" s="917">
        <f>TableauProduit[[#This Row],[Poids (g) / unite]]*TableauProduit[[#This Row],[Objectif de vente en unite N5]]/1000</f>
        <v/>
      </c>
      <c r="AM22" s="918">
        <f>TableauProduit[[#This Row],[Objectif de vente en unite N5]]*TableauProduit[[#This Row],[Packaging / unite]]</f>
        <v/>
      </c>
      <c r="AN22" s="918">
        <f>TableauProduit[[#This Row],[Prix Achat de plante par kg]]*TableauProduit[[#This Row],[Total (kg) N5]]</f>
        <v/>
      </c>
      <c r="AO22" s="918">
        <f>TableauProduit[[#This Row],[Prix de vente/kg]]*TableauProduit[[#This Row],[Total (kg) N5]]</f>
        <v/>
      </c>
      <c r="AP22" s="917">
        <f>TableauProduit[[#This Row],[Revenue brut N5]]-TableauProduit[[#This Row],[Achat plante / kg de melange N5]]-TableauProduit[[#This Row],[Conditionnement N5]]</f>
        <v/>
      </c>
      <c r="AQ22" s="919" t="n">
        <v>180</v>
      </c>
      <c r="AR22" s="919">
        <f>TableauProduit[[#This Row],[Poids (g) / unite]]*TableauProduit[[#This Row],[Objectif de vente en unite N6]]/1000</f>
        <v/>
      </c>
      <c r="AS22" s="920">
        <f>TableauProduit[[#This Row],[Objectif de vente en unite N6]]*TableauProduit[[#This Row],[Packaging / unite]]</f>
        <v/>
      </c>
      <c r="AT22" s="920">
        <f>TableauProduit[[#This Row],[Prix Achat de plante par kg]]*TableauProduit[[#This Row],[Total (kg) N6]]</f>
        <v/>
      </c>
      <c r="AU22" s="920">
        <f>TableauProduit[[#This Row],[Prix de vente/kg]]*TableauProduit[[#This Row],[Total (kg) N6]]</f>
        <v/>
      </c>
      <c r="AV22" s="919">
        <f>TableauProduit[[#This Row],[Revenue brut N6]]-TableauProduit[[#This Row],[Achat plante / kg de melange N6]]-TableauProduit[[#This Row],[Conditionnement N6]]</f>
        <v/>
      </c>
      <c r="AW22" s="904" t="n">
        <v>180</v>
      </c>
      <c r="AX22" s="904">
        <f>TableauProduit[[#This Row],[Poids (g) / unite]]*TableauProduit[[#This Row],[Objectif de vente en unite N7]]/1000</f>
        <v/>
      </c>
      <c r="AY22" s="905">
        <f>TableauProduit[[#This Row],[Objectif de vente en unite N7]]*TableauProduit[[#This Row],[Packaging / unite]]</f>
        <v/>
      </c>
      <c r="AZ22" s="905">
        <f>TableauProduit[[#This Row],[Prix Achat de plante par kg]]*TableauProduit[[#This Row],[Total (kg) N7]]</f>
        <v/>
      </c>
      <c r="BA22" s="905">
        <f>TableauProduit[[#This Row],[Prix de vente/kg]]*TableauProduit[[#This Row],[Total (kg) N7]]</f>
        <v/>
      </c>
      <c r="BB22" s="921">
        <f>TableauProduit[[#This Row],[Revenue brut N7]]-TableauProduit[[#This Row],[Achat plante / kg de melange N7]]-TableauProduit[[#This Row],[Conditionnement N7]]</f>
        <v/>
      </c>
      <c r="BC22" s="922" t="n">
        <v>180</v>
      </c>
      <c r="BD22" s="923">
        <f>TableauProduit[[#This Row],[Poids (g) / unite]]*TableauProduit[[#This Row],[Objectif de vente en unite N8]]/1000</f>
        <v/>
      </c>
      <c r="BE22" s="924">
        <f>TableauProduit[[#This Row],[Objectif de vente en unite N8]]*TableauProduit[[#This Row],[Packaging / unite]]</f>
        <v/>
      </c>
      <c r="BF22" s="924">
        <f>TableauProduit[[#This Row],[Prix Achat de plante par kg]]*TableauProduit[[#This Row],[Total (kg) N8]]</f>
        <v/>
      </c>
      <c r="BG22" s="924">
        <f>TableauProduit[[#This Row],[Prix de vente/kg]]*TableauProduit[[#This Row],[Total (kg) N8]]</f>
        <v/>
      </c>
      <c r="BH22" s="925">
        <f>TableauProduit[[#This Row],[Revenue brut N8]]-TableauProduit[[#This Row],[Achat plante / kg de melange N8]]-TableauProduit[[#This Row],[Conditionnement N8]]</f>
        <v/>
      </c>
      <c r="BI22" s="926" t="n">
        <v>180</v>
      </c>
      <c r="BJ22" s="927">
        <f>TableauProduit[[#This Row],[Poids (g) / unite]]*TableauProduit[[#This Row],[Objectif de vente en unite N9]]/1000</f>
        <v/>
      </c>
      <c r="BK22" s="928">
        <f>TableauProduit[[#This Row],[Objectif de vente en unite N9]]*TableauProduit[[#This Row],[Packaging / unite]]</f>
        <v/>
      </c>
      <c r="BL22" s="928">
        <f>TableauProduit[[#This Row],[Prix Achat de plante par kg]]*TableauProduit[[#This Row],[Total (kg) N9]]</f>
        <v/>
      </c>
      <c r="BM22" s="928">
        <f>TableauProduit[[#This Row],[Prix de vente/kg]]*TableauProduit[[#This Row],[Total (kg) N9]]</f>
        <v/>
      </c>
      <c r="BN22" s="927">
        <f>TableauProduit[[#This Row],[Revenue brut N9]]-TableauProduit[[#This Row],[Achat plante / kg de melange N9]]-TableauProduit[[#This Row],[Conditionnement N9]]</f>
        <v/>
      </c>
    </row>
    <row r="23">
      <c r="A23" s="553" t="inlineStr">
        <is>
          <t>Sucre à l'hibiscus</t>
        </is>
      </c>
      <c r="B23" s="54">
        <f>TableauProduit[[#This Row],[Recette]]&amp;TableauProduit[[#This Row],[Conditionnement]]</f>
        <v/>
      </c>
      <c r="C23" s="11" t="n">
        <v>1</v>
      </c>
      <c r="D23" s="11" t="n">
        <v>200</v>
      </c>
      <c r="E23" s="6" t="inlineStr">
        <is>
          <t>Epice 200ml</t>
        </is>
      </c>
      <c r="F23" s="7">
        <f>IFERROR(VLOOKUP(TableauProduit[[#This Row],[Conditionnement]],TableauConditionnement[[Nom]:[Contenance]],4,FALSE),"")</f>
        <v/>
      </c>
      <c r="G23" s="897">
        <f>IFERROR(SUMIFS(TableauRecette[Prix d''achat / kg],TableauRecette[Recette],TableauProduit[[#This Row],[Recette]],TableauRecette[Conditionnement],TableauProduit[[#This Row],[Conditionnement]]),0)</f>
        <v/>
      </c>
      <c r="H23" s="957" t="n">
        <v>7.8</v>
      </c>
      <c r="I23" s="899">
        <f>1000*TableauProduit[[#This Row],[Prix de vente/U]]/TableauProduit[[#This Row],[Poids (g) / unite]]</f>
        <v/>
      </c>
      <c r="J23" s="900">
        <f>SUMIFS(TableauConcurence[PRIX_KG],TableauConcurence[PRODUIT],TableauProduit[[#This Row],[Recette]],TableauConcurence[DISTRIBUTION],"magasin NON BIO")</f>
        <v/>
      </c>
      <c r="K23" s="901">
        <f>SUMIFS(TableauConcurence[PRIX_KG],TableauConcurence[PRODUIT],TableauProduit[[#This Row],[Recette]],TableauConcurence[DISTRIBUTION],"magasin BIO")</f>
        <v/>
      </c>
      <c r="L23" s="902">
        <f>SUMIFS(TableauConcurence[PRIX_KG],TableauConcurence[PRODUIT],TableauProduit[[#This Row],[Recette]],TableauConcurence[DISTRIBUTION],"artisanale BIO")</f>
        <v/>
      </c>
      <c r="M23" s="903" t="n">
        <v>180</v>
      </c>
      <c r="N23" s="904">
        <f>TableauProduit[[#This Row],[Poids (g) / unite]]*TableauProduit[[#This Row],[Objectif de vente en unite N1]]/1000</f>
        <v/>
      </c>
      <c r="O23" s="905">
        <f>TableauProduit[[#This Row],[Objectif de vente en unite N1]]*TableauProduit[[#This Row],[Packaging / unite]]</f>
        <v/>
      </c>
      <c r="P23" s="905">
        <f>TableauProduit[[#This Row],[Prix Achat de plante par kg]]*TableauProduit[[#This Row],[Total (kg) N1]]</f>
        <v/>
      </c>
      <c r="Q23" s="905">
        <f>TableauProduit[[#This Row],[Prix de vente/kg]]*TableauProduit[[#This Row],[Total (kg) N1]]</f>
        <v/>
      </c>
      <c r="R23" s="906">
        <f>TableauProduit[[#This Row],[Revenue brut N1]]-TableauProduit[[#This Row],[Achat par kg N1]]-TableauProduit[[#This Row],[Conditionnement N1]]</f>
        <v/>
      </c>
      <c r="S23" s="907" t="n">
        <v>180</v>
      </c>
      <c r="T23" s="908">
        <f>TableauProduit[[#This Row],[Poids (g) / unite]]*TableauProduit[[#This Row],[Objectif de vente en unite N2]]/1000</f>
        <v/>
      </c>
      <c r="U23" s="909">
        <f>TableauProduit[[#This Row],[Objectif de vente en unite N2]]*TableauProduit[[#This Row],[Packaging / unite]]</f>
        <v/>
      </c>
      <c r="V23" s="909">
        <f>TableauProduit[[#This Row],[Prix Achat de plante par kg]]*TableauProduit[[#This Row],[Total (kg) N2]]</f>
        <v/>
      </c>
      <c r="W23" s="909">
        <f>TableauProduit[[#This Row],[Prix de vente/kg]]*TableauProduit[[#This Row],[Total (kg) N2]]</f>
        <v/>
      </c>
      <c r="X23" s="910">
        <f>TableauProduit[[#This Row],[Revenue brut N2]]-TableauProduit[[#This Row],[Achat plante / kg de melange N2]]-TableauProduit[[#This Row],[Conditionnement N2]]</f>
        <v/>
      </c>
      <c r="Y23" s="911" t="n">
        <v>180</v>
      </c>
      <c r="Z23" s="912">
        <f>TableauProduit[[#This Row],[Poids (g) / unite]]*TableauProduit[[#This Row],[Objectif de vente en unite N3]]/1000</f>
        <v/>
      </c>
      <c r="AA23" s="913">
        <f>TableauProduit[[#This Row],[Objectif de vente en unite N3]]*TableauProduit[[#This Row],[Packaging / unite]]</f>
        <v/>
      </c>
      <c r="AB23" s="913">
        <f>TableauProduit[[#This Row],[Prix Achat de plante par kg]]*TableauProduit[[#This Row],[Total (kg) N3]]</f>
        <v/>
      </c>
      <c r="AC23" s="913">
        <f>TableauProduit[[#This Row],[Prix de vente/kg]]*TableauProduit[[#This Row],[Total (kg) N3]]</f>
        <v/>
      </c>
      <c r="AD23" s="914">
        <f>TableauProduit[[#This Row],[Revenue brut N3]]-TableauProduit[[#This Row],[Achat plante / kg de melange N3]]-TableauProduit[[#This Row],[Conditionnement N3]]</f>
        <v/>
      </c>
      <c r="AE23" s="915" t="n">
        <v>180</v>
      </c>
      <c r="AF23" s="915">
        <f>TableauProduit[[#This Row],[Poids (g) / unite]]*TableauProduit[[#This Row],[Objectif de vente en unite N4]]/1000</f>
        <v/>
      </c>
      <c r="AG23" s="916">
        <f>TableauProduit[[#This Row],[Objectif de vente en unite N4]]*TableauProduit[[#This Row],[Packaging / unite]]</f>
        <v/>
      </c>
      <c r="AH23" s="916">
        <f>TableauProduit[[#This Row],[Prix Achat de plante par kg]]*TableauProduit[[#This Row],[Total (kg) N4]]</f>
        <v/>
      </c>
      <c r="AI23" s="916">
        <f>TableauProduit[[#This Row],[Prix de vente/kg]]*TableauProduit[[#This Row],[Total (kg) N4]]</f>
        <v/>
      </c>
      <c r="AJ23" s="915">
        <f>TableauProduit[[#This Row],[Revenue brut N4]]-TableauProduit[[#This Row],[Achat plante / kg de melange N4]]-TableauProduit[[#This Row],[Conditionnement N4]]</f>
        <v/>
      </c>
      <c r="AK23" s="917" t="n">
        <v>180</v>
      </c>
      <c r="AL23" s="917">
        <f>TableauProduit[[#This Row],[Poids (g) / unite]]*TableauProduit[[#This Row],[Objectif de vente en unite N5]]/1000</f>
        <v/>
      </c>
      <c r="AM23" s="918">
        <f>TableauProduit[[#This Row],[Objectif de vente en unite N5]]*TableauProduit[[#This Row],[Packaging / unite]]</f>
        <v/>
      </c>
      <c r="AN23" s="918">
        <f>TableauProduit[[#This Row],[Prix Achat de plante par kg]]*TableauProduit[[#This Row],[Total (kg) N5]]</f>
        <v/>
      </c>
      <c r="AO23" s="918">
        <f>TableauProduit[[#This Row],[Prix de vente/kg]]*TableauProduit[[#This Row],[Total (kg) N5]]</f>
        <v/>
      </c>
      <c r="AP23" s="917">
        <f>TableauProduit[[#This Row],[Revenue brut N5]]-TableauProduit[[#This Row],[Achat plante / kg de melange N5]]-TableauProduit[[#This Row],[Conditionnement N5]]</f>
        <v/>
      </c>
      <c r="AQ23" s="919" t="n">
        <v>180</v>
      </c>
      <c r="AR23" s="919">
        <f>TableauProduit[[#This Row],[Poids (g) / unite]]*TableauProduit[[#This Row],[Objectif de vente en unite N6]]/1000</f>
        <v/>
      </c>
      <c r="AS23" s="920">
        <f>TableauProduit[[#This Row],[Objectif de vente en unite N6]]*TableauProduit[[#This Row],[Packaging / unite]]</f>
        <v/>
      </c>
      <c r="AT23" s="920">
        <f>TableauProduit[[#This Row],[Prix Achat de plante par kg]]*TableauProduit[[#This Row],[Total (kg) N6]]</f>
        <v/>
      </c>
      <c r="AU23" s="920">
        <f>TableauProduit[[#This Row],[Prix de vente/kg]]*TableauProduit[[#This Row],[Total (kg) N6]]</f>
        <v/>
      </c>
      <c r="AV23" s="919">
        <f>TableauProduit[[#This Row],[Revenue brut N6]]-TableauProduit[[#This Row],[Achat plante / kg de melange N6]]-TableauProduit[[#This Row],[Conditionnement N6]]</f>
        <v/>
      </c>
      <c r="AW23" s="904" t="n">
        <v>180</v>
      </c>
      <c r="AX23" s="904">
        <f>TableauProduit[[#This Row],[Poids (g) / unite]]*TableauProduit[[#This Row],[Objectif de vente en unite N7]]/1000</f>
        <v/>
      </c>
      <c r="AY23" s="905">
        <f>TableauProduit[[#This Row],[Objectif de vente en unite N7]]*TableauProduit[[#This Row],[Packaging / unite]]</f>
        <v/>
      </c>
      <c r="AZ23" s="905">
        <f>TableauProduit[[#This Row],[Prix Achat de plante par kg]]*TableauProduit[[#This Row],[Total (kg) N7]]</f>
        <v/>
      </c>
      <c r="BA23" s="905">
        <f>TableauProduit[[#This Row],[Prix de vente/kg]]*TableauProduit[[#This Row],[Total (kg) N7]]</f>
        <v/>
      </c>
      <c r="BB23" s="921">
        <f>TableauProduit[[#This Row],[Revenue brut N7]]-TableauProduit[[#This Row],[Achat plante / kg de melange N7]]-TableauProduit[[#This Row],[Conditionnement N7]]</f>
        <v/>
      </c>
      <c r="BC23" s="922" t="n">
        <v>180</v>
      </c>
      <c r="BD23" s="923">
        <f>TableauProduit[[#This Row],[Poids (g) / unite]]*TableauProduit[[#This Row],[Objectif de vente en unite N8]]/1000</f>
        <v/>
      </c>
      <c r="BE23" s="924">
        <f>TableauProduit[[#This Row],[Objectif de vente en unite N8]]*TableauProduit[[#This Row],[Packaging / unite]]</f>
        <v/>
      </c>
      <c r="BF23" s="924">
        <f>TableauProduit[[#This Row],[Prix Achat de plante par kg]]*TableauProduit[[#This Row],[Total (kg) N8]]</f>
        <v/>
      </c>
      <c r="BG23" s="924">
        <f>TableauProduit[[#This Row],[Prix de vente/kg]]*TableauProduit[[#This Row],[Total (kg) N8]]</f>
        <v/>
      </c>
      <c r="BH23" s="925">
        <f>TableauProduit[[#This Row],[Revenue brut N8]]-TableauProduit[[#This Row],[Achat plante / kg de melange N8]]-TableauProduit[[#This Row],[Conditionnement N8]]</f>
        <v/>
      </c>
      <c r="BI23" s="926" t="n">
        <v>180</v>
      </c>
      <c r="BJ23" s="927">
        <f>TableauProduit[[#This Row],[Poids (g) / unite]]*TableauProduit[[#This Row],[Objectif de vente en unite N9]]/1000</f>
        <v/>
      </c>
      <c r="BK23" s="928">
        <f>TableauProduit[[#This Row],[Objectif de vente en unite N9]]*TableauProduit[[#This Row],[Packaging / unite]]</f>
        <v/>
      </c>
      <c r="BL23" s="928">
        <f>TableauProduit[[#This Row],[Prix Achat de plante par kg]]*TableauProduit[[#This Row],[Total (kg) N9]]</f>
        <v/>
      </c>
      <c r="BM23" s="928">
        <f>TableauProduit[[#This Row],[Prix de vente/kg]]*TableauProduit[[#This Row],[Total (kg) N9]]</f>
        <v/>
      </c>
      <c r="BN23" s="927">
        <f>TableauProduit[[#This Row],[Revenue brut N9]]-TableauProduit[[#This Row],[Achat plante / kg de melange N9]]-TableauProduit[[#This Row],[Conditionnement N9]]</f>
        <v/>
      </c>
    </row>
    <row r="24">
      <c r="A24" s="553" t="inlineStr">
        <is>
          <t>Vinaigre du soleil</t>
        </is>
      </c>
      <c r="B24" s="54">
        <f>TableauProduit[[#This Row],[Recette]]&amp;TableauProduit[[#This Row],[Conditionnement]]</f>
        <v/>
      </c>
      <c r="C24" s="11" t="n">
        <v>1</v>
      </c>
      <c r="D24" s="11" t="n">
        <v>250</v>
      </c>
      <c r="E24" s="6" t="inlineStr">
        <is>
          <t>Vinaigre 250 ml</t>
        </is>
      </c>
      <c r="F24" s="7">
        <f>IFERROR(VLOOKUP(TableauProduit[[#This Row],[Conditionnement]],TableauConditionnement[[Nom]:[Contenance]],4,FALSE),"")</f>
        <v/>
      </c>
      <c r="G24" s="897">
        <f>IFERROR(SUMIFS(TableauRecette[Prix d''achat / kg],TableauRecette[Recette],TableauProduit[[#This Row],[Recette]],TableauRecette[Conditionnement],TableauProduit[[#This Row],[Conditionnement]]),0)</f>
        <v/>
      </c>
      <c r="H24" s="957" t="n">
        <v>8.1</v>
      </c>
      <c r="I24" s="899">
        <f>1000*TableauProduit[[#This Row],[Prix de vente/U]]/TableauProduit[[#This Row],[Poids (g) / unite]]</f>
        <v/>
      </c>
      <c r="J24" s="900">
        <f>SUMIFS(TableauConcurence[PRIX_KG],TableauConcurence[PRODUIT],TableauProduit[[#This Row],[Recette]],TableauConcurence[DISTRIBUTION],"magasin NON BIO")</f>
        <v/>
      </c>
      <c r="K24" s="901">
        <f>SUMIFS(TableauConcurence[PRIX_KG],TableauConcurence[PRODUIT],TableauProduit[[#This Row],[Recette]],TableauConcurence[DISTRIBUTION],"magasin BIO")</f>
        <v/>
      </c>
      <c r="L24" s="902">
        <f>SUMIFS(TableauConcurence[PRIX_KG],TableauConcurence[PRODUIT],TableauProduit[[#This Row],[Recette]],TableauConcurence[DISTRIBUTION],"artisanale BIO")</f>
        <v/>
      </c>
      <c r="M24" s="903" t="n">
        <v>180</v>
      </c>
      <c r="N24" s="904">
        <f>TableauProduit[[#This Row],[Poids (g) / unite]]*TableauProduit[[#This Row],[Objectif de vente en unite N1]]/1000</f>
        <v/>
      </c>
      <c r="O24" s="905">
        <f>TableauProduit[[#This Row],[Objectif de vente en unite N1]]*TableauProduit[[#This Row],[Packaging / unite]]</f>
        <v/>
      </c>
      <c r="P24" s="905">
        <f>TableauProduit[[#This Row],[Prix Achat de plante par kg]]*TableauProduit[[#This Row],[Total (kg) N1]]</f>
        <v/>
      </c>
      <c r="Q24" s="905">
        <f>TableauProduit[[#This Row],[Prix de vente/kg]]*TableauProduit[[#This Row],[Total (kg) N1]]</f>
        <v/>
      </c>
      <c r="R24" s="906">
        <f>TableauProduit[[#This Row],[Revenue brut N1]]-TableauProduit[[#This Row],[Achat par kg N1]]-TableauProduit[[#This Row],[Conditionnement N1]]</f>
        <v/>
      </c>
      <c r="S24" s="907" t="n">
        <v>180</v>
      </c>
      <c r="T24" s="908">
        <f>TableauProduit[[#This Row],[Poids (g) / unite]]*TableauProduit[[#This Row],[Objectif de vente en unite N2]]/1000</f>
        <v/>
      </c>
      <c r="U24" s="909">
        <f>TableauProduit[[#This Row],[Objectif de vente en unite N2]]*TableauProduit[[#This Row],[Packaging / unite]]</f>
        <v/>
      </c>
      <c r="V24" s="909">
        <f>TableauProduit[[#This Row],[Prix Achat de plante par kg]]*TableauProduit[[#This Row],[Total (kg) N2]]</f>
        <v/>
      </c>
      <c r="W24" s="909">
        <f>TableauProduit[[#This Row],[Prix de vente/kg]]*TableauProduit[[#This Row],[Total (kg) N2]]</f>
        <v/>
      </c>
      <c r="X24" s="910">
        <f>TableauProduit[[#This Row],[Revenue brut N2]]-TableauProduit[[#This Row],[Achat plante / kg de melange N2]]-TableauProduit[[#This Row],[Conditionnement N2]]</f>
        <v/>
      </c>
      <c r="Y24" s="911" t="n">
        <v>180</v>
      </c>
      <c r="Z24" s="912">
        <f>TableauProduit[[#This Row],[Poids (g) / unite]]*TableauProduit[[#This Row],[Objectif de vente en unite N3]]/1000</f>
        <v/>
      </c>
      <c r="AA24" s="913">
        <f>TableauProduit[[#This Row],[Objectif de vente en unite N3]]*TableauProduit[[#This Row],[Packaging / unite]]</f>
        <v/>
      </c>
      <c r="AB24" s="913">
        <f>TableauProduit[[#This Row],[Prix Achat de plante par kg]]*TableauProduit[[#This Row],[Total (kg) N3]]</f>
        <v/>
      </c>
      <c r="AC24" s="913">
        <f>TableauProduit[[#This Row],[Prix de vente/kg]]*TableauProduit[[#This Row],[Total (kg) N3]]</f>
        <v/>
      </c>
      <c r="AD24" s="914">
        <f>TableauProduit[[#This Row],[Revenue brut N3]]-TableauProduit[[#This Row],[Achat plante / kg de melange N3]]-TableauProduit[[#This Row],[Conditionnement N3]]</f>
        <v/>
      </c>
      <c r="AE24" s="915" t="n">
        <v>180</v>
      </c>
      <c r="AF24" s="915">
        <f>TableauProduit[[#This Row],[Poids (g) / unite]]*TableauProduit[[#This Row],[Objectif de vente en unite N4]]/1000</f>
        <v/>
      </c>
      <c r="AG24" s="916">
        <f>TableauProduit[[#This Row],[Objectif de vente en unite N4]]*TableauProduit[[#This Row],[Packaging / unite]]</f>
        <v/>
      </c>
      <c r="AH24" s="916">
        <f>TableauProduit[[#This Row],[Prix Achat de plante par kg]]*TableauProduit[[#This Row],[Total (kg) N4]]</f>
        <v/>
      </c>
      <c r="AI24" s="916">
        <f>TableauProduit[[#This Row],[Prix de vente/kg]]*TableauProduit[[#This Row],[Total (kg) N4]]</f>
        <v/>
      </c>
      <c r="AJ24" s="915">
        <f>TableauProduit[[#This Row],[Revenue brut N4]]-TableauProduit[[#This Row],[Achat plante / kg de melange N4]]-TableauProduit[[#This Row],[Conditionnement N4]]</f>
        <v/>
      </c>
      <c r="AK24" s="917" t="n">
        <v>180</v>
      </c>
      <c r="AL24" s="917">
        <f>TableauProduit[[#This Row],[Poids (g) / unite]]*TableauProduit[[#This Row],[Objectif de vente en unite N5]]/1000</f>
        <v/>
      </c>
      <c r="AM24" s="918">
        <f>TableauProduit[[#This Row],[Objectif de vente en unite N5]]*TableauProduit[[#This Row],[Packaging / unite]]</f>
        <v/>
      </c>
      <c r="AN24" s="918">
        <f>TableauProduit[[#This Row],[Prix Achat de plante par kg]]*TableauProduit[[#This Row],[Total (kg) N5]]</f>
        <v/>
      </c>
      <c r="AO24" s="918">
        <f>TableauProduit[[#This Row],[Prix de vente/kg]]*TableauProduit[[#This Row],[Total (kg) N5]]</f>
        <v/>
      </c>
      <c r="AP24" s="917">
        <f>TableauProduit[[#This Row],[Revenue brut N5]]-TableauProduit[[#This Row],[Achat plante / kg de melange N5]]-TableauProduit[[#This Row],[Conditionnement N5]]</f>
        <v/>
      </c>
      <c r="AQ24" s="919" t="n">
        <v>180</v>
      </c>
      <c r="AR24" s="919">
        <f>TableauProduit[[#This Row],[Poids (g) / unite]]*TableauProduit[[#This Row],[Objectif de vente en unite N6]]/1000</f>
        <v/>
      </c>
      <c r="AS24" s="920">
        <f>TableauProduit[[#This Row],[Objectif de vente en unite N6]]*TableauProduit[[#This Row],[Packaging / unite]]</f>
        <v/>
      </c>
      <c r="AT24" s="920">
        <f>TableauProduit[[#This Row],[Prix Achat de plante par kg]]*TableauProduit[[#This Row],[Total (kg) N6]]</f>
        <v/>
      </c>
      <c r="AU24" s="920">
        <f>TableauProduit[[#This Row],[Prix de vente/kg]]*TableauProduit[[#This Row],[Total (kg) N6]]</f>
        <v/>
      </c>
      <c r="AV24" s="919">
        <f>TableauProduit[[#This Row],[Revenue brut N6]]-TableauProduit[[#This Row],[Achat plante / kg de melange N6]]-TableauProduit[[#This Row],[Conditionnement N6]]</f>
        <v/>
      </c>
      <c r="AW24" s="904" t="n">
        <v>180</v>
      </c>
      <c r="AX24" s="904">
        <f>TableauProduit[[#This Row],[Poids (g) / unite]]*TableauProduit[[#This Row],[Objectif de vente en unite N7]]/1000</f>
        <v/>
      </c>
      <c r="AY24" s="905">
        <f>TableauProduit[[#This Row],[Objectif de vente en unite N7]]*TableauProduit[[#This Row],[Packaging / unite]]</f>
        <v/>
      </c>
      <c r="AZ24" s="905">
        <f>TableauProduit[[#This Row],[Prix Achat de plante par kg]]*TableauProduit[[#This Row],[Total (kg) N7]]</f>
        <v/>
      </c>
      <c r="BA24" s="905">
        <f>TableauProduit[[#This Row],[Prix de vente/kg]]*TableauProduit[[#This Row],[Total (kg) N7]]</f>
        <v/>
      </c>
      <c r="BB24" s="921">
        <f>TableauProduit[[#This Row],[Revenue brut N7]]-TableauProduit[[#This Row],[Achat plante / kg de melange N7]]-TableauProduit[[#This Row],[Conditionnement N7]]</f>
        <v/>
      </c>
      <c r="BC24" s="922" t="n">
        <v>180</v>
      </c>
      <c r="BD24" s="923">
        <f>TableauProduit[[#This Row],[Poids (g) / unite]]*TableauProduit[[#This Row],[Objectif de vente en unite N8]]/1000</f>
        <v/>
      </c>
      <c r="BE24" s="924">
        <f>TableauProduit[[#This Row],[Objectif de vente en unite N8]]*TableauProduit[[#This Row],[Packaging / unite]]</f>
        <v/>
      </c>
      <c r="BF24" s="924">
        <f>TableauProduit[[#This Row],[Prix Achat de plante par kg]]*TableauProduit[[#This Row],[Total (kg) N8]]</f>
        <v/>
      </c>
      <c r="BG24" s="924">
        <f>TableauProduit[[#This Row],[Prix de vente/kg]]*TableauProduit[[#This Row],[Total (kg) N8]]</f>
        <v/>
      </c>
      <c r="BH24" s="925">
        <f>TableauProduit[[#This Row],[Revenue brut N8]]-TableauProduit[[#This Row],[Achat plante / kg de melange N8]]-TableauProduit[[#This Row],[Conditionnement N8]]</f>
        <v/>
      </c>
      <c r="BI24" s="926" t="n">
        <v>180</v>
      </c>
      <c r="BJ24" s="927">
        <f>TableauProduit[[#This Row],[Poids (g) / unite]]*TableauProduit[[#This Row],[Objectif de vente en unite N9]]/1000</f>
        <v/>
      </c>
      <c r="BK24" s="928">
        <f>TableauProduit[[#This Row],[Objectif de vente en unite N9]]*TableauProduit[[#This Row],[Packaging / unite]]</f>
        <v/>
      </c>
      <c r="BL24" s="928">
        <f>TableauProduit[[#This Row],[Prix Achat de plante par kg]]*TableauProduit[[#This Row],[Total (kg) N9]]</f>
        <v/>
      </c>
      <c r="BM24" s="928">
        <f>TableauProduit[[#This Row],[Prix de vente/kg]]*TableauProduit[[#This Row],[Total (kg) N9]]</f>
        <v/>
      </c>
      <c r="BN24" s="927">
        <f>TableauProduit[[#This Row],[Revenue brut N9]]-TableauProduit[[#This Row],[Achat plante / kg de melange N9]]-TableauProduit[[#This Row],[Conditionnement N9]]</f>
        <v/>
      </c>
    </row>
    <row r="25">
      <c r="A25" s="553" t="inlineStr">
        <is>
          <t>Vinaigre du sureau</t>
        </is>
      </c>
      <c r="B25" s="54">
        <f>TableauProduit[[#This Row],[Recette]]&amp;TableauProduit[[#This Row],[Conditionnement]]</f>
        <v/>
      </c>
      <c r="C25" s="11" t="n">
        <v>1</v>
      </c>
      <c r="D25" s="11" t="n">
        <v>250</v>
      </c>
      <c r="E25" s="6" t="inlineStr">
        <is>
          <t>Vinaigre 250 ml</t>
        </is>
      </c>
      <c r="F25" s="7">
        <f>IFERROR(VLOOKUP(TableauProduit[[#This Row],[Conditionnement]],TableauConditionnement[[Nom]:[Contenance]],4,FALSE),"")</f>
        <v/>
      </c>
      <c r="G25" s="897">
        <f>IFERROR(SUMIFS(TableauRecette[Prix d''achat / kg],TableauRecette[Recette],TableauProduit[[#This Row],[Recette]],TableauRecette[Conditionnement],TableauProduit[[#This Row],[Conditionnement]]),0)</f>
        <v/>
      </c>
      <c r="H25" s="957" t="n">
        <v>8.1</v>
      </c>
      <c r="I25" s="899">
        <f>1000*TableauProduit[[#This Row],[Prix de vente/U]]/TableauProduit[[#This Row],[Poids (g) / unite]]</f>
        <v/>
      </c>
      <c r="J25" s="900">
        <f>SUMIFS(TableauConcurence[PRIX_KG],TableauConcurence[PRODUIT],TableauProduit[[#This Row],[Recette]],TableauConcurence[DISTRIBUTION],"magasin NON BIO")</f>
        <v/>
      </c>
      <c r="K25" s="901">
        <f>SUMIFS(TableauConcurence[PRIX_KG],TableauConcurence[PRODUIT],TableauProduit[[#This Row],[Recette]],TableauConcurence[DISTRIBUTION],"magasin BIO")</f>
        <v/>
      </c>
      <c r="L25" s="902">
        <f>SUMIFS(TableauConcurence[PRIX_KG],TableauConcurence[PRODUIT],TableauProduit[[#This Row],[Recette]],TableauConcurence[DISTRIBUTION],"artisanale BIO")</f>
        <v/>
      </c>
      <c r="M25" s="903" t="n">
        <v>180</v>
      </c>
      <c r="N25" s="904">
        <f>TableauProduit[[#This Row],[Poids (g) / unite]]*TableauProduit[[#This Row],[Objectif de vente en unite N1]]/1000</f>
        <v/>
      </c>
      <c r="O25" s="905">
        <f>TableauProduit[[#This Row],[Objectif de vente en unite N1]]*TableauProduit[[#This Row],[Packaging / unite]]</f>
        <v/>
      </c>
      <c r="P25" s="905">
        <f>TableauProduit[[#This Row],[Prix Achat de plante par kg]]*TableauProduit[[#This Row],[Total (kg) N1]]</f>
        <v/>
      </c>
      <c r="Q25" s="905">
        <f>TableauProduit[[#This Row],[Prix de vente/kg]]*TableauProduit[[#This Row],[Total (kg) N1]]</f>
        <v/>
      </c>
      <c r="R25" s="906">
        <f>TableauProduit[[#This Row],[Revenue brut N1]]-TableauProduit[[#This Row],[Achat par kg N1]]-TableauProduit[[#This Row],[Conditionnement N1]]</f>
        <v/>
      </c>
      <c r="S25" s="907" t="n">
        <v>180</v>
      </c>
      <c r="T25" s="908">
        <f>TableauProduit[[#This Row],[Poids (g) / unite]]*TableauProduit[[#This Row],[Objectif de vente en unite N2]]/1000</f>
        <v/>
      </c>
      <c r="U25" s="909">
        <f>TableauProduit[[#This Row],[Objectif de vente en unite N2]]*TableauProduit[[#This Row],[Packaging / unite]]</f>
        <v/>
      </c>
      <c r="V25" s="909">
        <f>TableauProduit[[#This Row],[Prix Achat de plante par kg]]*TableauProduit[[#This Row],[Total (kg) N2]]</f>
        <v/>
      </c>
      <c r="W25" s="909">
        <f>TableauProduit[[#This Row],[Prix de vente/kg]]*TableauProduit[[#This Row],[Total (kg) N2]]</f>
        <v/>
      </c>
      <c r="X25" s="910">
        <f>TableauProduit[[#This Row],[Revenue brut N2]]-TableauProduit[[#This Row],[Achat plante / kg de melange N2]]-TableauProduit[[#This Row],[Conditionnement N2]]</f>
        <v/>
      </c>
      <c r="Y25" s="911" t="n">
        <v>180</v>
      </c>
      <c r="Z25" s="912">
        <f>TableauProduit[[#This Row],[Poids (g) / unite]]*TableauProduit[[#This Row],[Objectif de vente en unite N3]]/1000</f>
        <v/>
      </c>
      <c r="AA25" s="913">
        <f>TableauProduit[[#This Row],[Objectif de vente en unite N3]]*TableauProduit[[#This Row],[Packaging / unite]]</f>
        <v/>
      </c>
      <c r="AB25" s="913">
        <f>TableauProduit[[#This Row],[Prix Achat de plante par kg]]*TableauProduit[[#This Row],[Total (kg) N3]]</f>
        <v/>
      </c>
      <c r="AC25" s="913">
        <f>TableauProduit[[#This Row],[Prix de vente/kg]]*TableauProduit[[#This Row],[Total (kg) N3]]</f>
        <v/>
      </c>
      <c r="AD25" s="914">
        <f>TableauProduit[[#This Row],[Revenue brut N3]]-TableauProduit[[#This Row],[Achat plante / kg de melange N3]]-TableauProduit[[#This Row],[Conditionnement N3]]</f>
        <v/>
      </c>
      <c r="AE25" s="915" t="n">
        <v>180</v>
      </c>
      <c r="AF25" s="915">
        <f>TableauProduit[[#This Row],[Poids (g) / unite]]*TableauProduit[[#This Row],[Objectif de vente en unite N4]]/1000</f>
        <v/>
      </c>
      <c r="AG25" s="916">
        <f>TableauProduit[[#This Row],[Objectif de vente en unite N4]]*TableauProduit[[#This Row],[Packaging / unite]]</f>
        <v/>
      </c>
      <c r="AH25" s="916">
        <f>TableauProduit[[#This Row],[Prix Achat de plante par kg]]*TableauProduit[[#This Row],[Total (kg) N4]]</f>
        <v/>
      </c>
      <c r="AI25" s="916">
        <f>TableauProduit[[#This Row],[Prix de vente/kg]]*TableauProduit[[#This Row],[Total (kg) N4]]</f>
        <v/>
      </c>
      <c r="AJ25" s="915">
        <f>TableauProduit[[#This Row],[Revenue brut N4]]-TableauProduit[[#This Row],[Achat plante / kg de melange N4]]-TableauProduit[[#This Row],[Conditionnement N4]]</f>
        <v/>
      </c>
      <c r="AK25" s="917" t="n">
        <v>180</v>
      </c>
      <c r="AL25" s="917">
        <f>TableauProduit[[#This Row],[Poids (g) / unite]]*TableauProduit[[#This Row],[Objectif de vente en unite N5]]/1000</f>
        <v/>
      </c>
      <c r="AM25" s="918">
        <f>TableauProduit[[#This Row],[Objectif de vente en unite N5]]*TableauProduit[[#This Row],[Packaging / unite]]</f>
        <v/>
      </c>
      <c r="AN25" s="918">
        <f>TableauProduit[[#This Row],[Prix Achat de plante par kg]]*TableauProduit[[#This Row],[Total (kg) N5]]</f>
        <v/>
      </c>
      <c r="AO25" s="918">
        <f>TableauProduit[[#This Row],[Prix de vente/kg]]*TableauProduit[[#This Row],[Total (kg) N5]]</f>
        <v/>
      </c>
      <c r="AP25" s="917">
        <f>TableauProduit[[#This Row],[Revenue brut N5]]-TableauProduit[[#This Row],[Achat plante / kg de melange N5]]-TableauProduit[[#This Row],[Conditionnement N5]]</f>
        <v/>
      </c>
      <c r="AQ25" s="919" t="n">
        <v>180</v>
      </c>
      <c r="AR25" s="919">
        <f>TableauProduit[[#This Row],[Poids (g) / unite]]*TableauProduit[[#This Row],[Objectif de vente en unite N6]]/1000</f>
        <v/>
      </c>
      <c r="AS25" s="920">
        <f>TableauProduit[[#This Row],[Objectif de vente en unite N6]]*TableauProduit[[#This Row],[Packaging / unite]]</f>
        <v/>
      </c>
      <c r="AT25" s="920">
        <f>TableauProduit[[#This Row],[Prix Achat de plante par kg]]*TableauProduit[[#This Row],[Total (kg) N6]]</f>
        <v/>
      </c>
      <c r="AU25" s="920">
        <f>TableauProduit[[#This Row],[Prix de vente/kg]]*TableauProduit[[#This Row],[Total (kg) N6]]</f>
        <v/>
      </c>
      <c r="AV25" s="919">
        <f>TableauProduit[[#This Row],[Revenue brut N6]]-TableauProduit[[#This Row],[Achat plante / kg de melange N6]]-TableauProduit[[#This Row],[Conditionnement N6]]</f>
        <v/>
      </c>
      <c r="AW25" s="904" t="n">
        <v>180</v>
      </c>
      <c r="AX25" s="904">
        <f>TableauProduit[[#This Row],[Poids (g) / unite]]*TableauProduit[[#This Row],[Objectif de vente en unite N7]]/1000</f>
        <v/>
      </c>
      <c r="AY25" s="905">
        <f>TableauProduit[[#This Row],[Objectif de vente en unite N7]]*TableauProduit[[#This Row],[Packaging / unite]]</f>
        <v/>
      </c>
      <c r="AZ25" s="905">
        <f>TableauProduit[[#This Row],[Prix Achat de plante par kg]]*TableauProduit[[#This Row],[Total (kg) N7]]</f>
        <v/>
      </c>
      <c r="BA25" s="905">
        <f>TableauProduit[[#This Row],[Prix de vente/kg]]*TableauProduit[[#This Row],[Total (kg) N7]]</f>
        <v/>
      </c>
      <c r="BB25" s="921">
        <f>TableauProduit[[#This Row],[Revenue brut N7]]-TableauProduit[[#This Row],[Achat plante / kg de melange N7]]-TableauProduit[[#This Row],[Conditionnement N7]]</f>
        <v/>
      </c>
      <c r="BC25" s="922" t="n">
        <v>180</v>
      </c>
      <c r="BD25" s="923">
        <f>TableauProduit[[#This Row],[Poids (g) / unite]]*TableauProduit[[#This Row],[Objectif de vente en unite N8]]/1000</f>
        <v/>
      </c>
      <c r="BE25" s="924">
        <f>TableauProduit[[#This Row],[Objectif de vente en unite N8]]*TableauProduit[[#This Row],[Packaging / unite]]</f>
        <v/>
      </c>
      <c r="BF25" s="924">
        <f>TableauProduit[[#This Row],[Prix Achat de plante par kg]]*TableauProduit[[#This Row],[Total (kg) N8]]</f>
        <v/>
      </c>
      <c r="BG25" s="924">
        <f>TableauProduit[[#This Row],[Prix de vente/kg]]*TableauProduit[[#This Row],[Total (kg) N8]]</f>
        <v/>
      </c>
      <c r="BH25" s="925">
        <f>TableauProduit[[#This Row],[Revenue brut N8]]-TableauProduit[[#This Row],[Achat plante / kg de melange N8]]-TableauProduit[[#This Row],[Conditionnement N8]]</f>
        <v/>
      </c>
      <c r="BI25" s="926" t="n">
        <v>180</v>
      </c>
      <c r="BJ25" s="927">
        <f>TableauProduit[[#This Row],[Poids (g) / unite]]*TableauProduit[[#This Row],[Objectif de vente en unite N9]]/1000</f>
        <v/>
      </c>
      <c r="BK25" s="928">
        <f>TableauProduit[[#This Row],[Objectif de vente en unite N9]]*TableauProduit[[#This Row],[Packaging / unite]]</f>
        <v/>
      </c>
      <c r="BL25" s="928">
        <f>TableauProduit[[#This Row],[Prix Achat de plante par kg]]*TableauProduit[[#This Row],[Total (kg) N9]]</f>
        <v/>
      </c>
      <c r="BM25" s="928">
        <f>TableauProduit[[#This Row],[Prix de vente/kg]]*TableauProduit[[#This Row],[Total (kg) N9]]</f>
        <v/>
      </c>
      <c r="BN25" s="927">
        <f>TableauProduit[[#This Row],[Revenue brut N9]]-TableauProduit[[#This Row],[Achat plante / kg de melange N9]]-TableauProduit[[#This Row],[Conditionnement N9]]</f>
        <v/>
      </c>
    </row>
    <row r="26">
      <c r="A26" s="13" t="inlineStr">
        <is>
          <t>Zaatar</t>
        </is>
      </c>
      <c r="B26" s="54">
        <f>TableauProduit[[#This Row],[Recette]]&amp;TableauProduit[[#This Row],[Conditionnement]]</f>
        <v/>
      </c>
      <c r="C26" s="11" t="n">
        <v>1</v>
      </c>
      <c r="D26" s="11" t="n">
        <v>50</v>
      </c>
      <c r="E26" s="6" t="inlineStr">
        <is>
          <t>Epice 100ml</t>
        </is>
      </c>
      <c r="F26" s="7">
        <f>IFERROR(VLOOKUP(TableauProduit[[#This Row],[Conditionnement]],TableauConditionnement[[Nom]:[Contenance]],4,FALSE),"")</f>
        <v/>
      </c>
      <c r="G26" s="897">
        <f>IFERROR(SUMIFS(TableauRecette[Prix d''achat / kg],TableauRecette[Recette],TableauProduit[[#This Row],[Recette]],TableauRecette[Conditionnement],TableauProduit[[#This Row],[Conditionnement]]),0)</f>
        <v/>
      </c>
      <c r="H26" s="898" t="n">
        <v>8.5</v>
      </c>
      <c r="I26" s="899">
        <f>1000*TableauProduit[[#This Row],[Prix de vente/U]]/TableauProduit[[#This Row],[Poids (g) / unite]]</f>
        <v/>
      </c>
      <c r="J26" s="900">
        <f>SUMIFS(TableauConcurence[PRIX_KG],TableauConcurence[PRODUIT],TableauProduit[[#This Row],[Recette]],TableauConcurence[DISTRIBUTION],"magasin NON BIO")</f>
        <v/>
      </c>
      <c r="K26" s="901">
        <f>SUMIFS(TableauConcurence[PRIX_KG],TableauConcurence[PRODUIT],TableauProduit[[#This Row],[Recette]],TableauConcurence[DISTRIBUTION],"magasin BIO")</f>
        <v/>
      </c>
      <c r="L26" s="902">
        <f>SUMIFS(TableauConcurence[PRIX_KG],TableauConcurence[PRODUIT],TableauProduit[[#This Row],[Recette]],TableauConcurence[DISTRIBUTION],"artisanale BIO")</f>
        <v/>
      </c>
      <c r="M26" s="903" t="n">
        <v>180</v>
      </c>
      <c r="N26" s="904">
        <f>TableauProduit[[#This Row],[Poids (g) / unite]]*TableauProduit[[#This Row],[Objectif de vente en unite N1]]/1000</f>
        <v/>
      </c>
      <c r="O26" s="905">
        <f>TableauProduit[[#This Row],[Objectif de vente en unite N1]]*TableauProduit[[#This Row],[Packaging / unite]]</f>
        <v/>
      </c>
      <c r="P26" s="905">
        <f>TableauProduit[[#This Row],[Prix Achat de plante par kg]]*TableauProduit[[#This Row],[Total (kg) N1]]</f>
        <v/>
      </c>
      <c r="Q26" s="905">
        <f>TableauProduit[[#This Row],[Prix de vente/kg]]*TableauProduit[[#This Row],[Total (kg) N1]]</f>
        <v/>
      </c>
      <c r="R26" s="906">
        <f>TableauProduit[[#This Row],[Revenue brut N1]]-TableauProduit[[#This Row],[Achat par kg N1]]-TableauProduit[[#This Row],[Conditionnement N1]]</f>
        <v/>
      </c>
      <c r="S26" s="907" t="n">
        <v>180</v>
      </c>
      <c r="T26" s="908">
        <f>TableauProduit[[#This Row],[Poids (g) / unite]]*TableauProduit[[#This Row],[Objectif de vente en unite N2]]/1000</f>
        <v/>
      </c>
      <c r="U26" s="909">
        <f>TableauProduit[[#This Row],[Objectif de vente en unite N2]]*TableauProduit[[#This Row],[Packaging / unite]]</f>
        <v/>
      </c>
      <c r="V26" s="909">
        <f>TableauProduit[[#This Row],[Prix Achat de plante par kg]]*TableauProduit[[#This Row],[Total (kg) N2]]</f>
        <v/>
      </c>
      <c r="W26" s="909">
        <f>TableauProduit[[#This Row],[Prix de vente/kg]]*TableauProduit[[#This Row],[Total (kg) N2]]</f>
        <v/>
      </c>
      <c r="X26" s="910">
        <f>TableauProduit[[#This Row],[Revenue brut N2]]-TableauProduit[[#This Row],[Achat plante / kg de melange N2]]-TableauProduit[[#This Row],[Conditionnement N2]]</f>
        <v/>
      </c>
      <c r="Y26" s="911" t="n">
        <v>180</v>
      </c>
      <c r="Z26" s="912">
        <f>TableauProduit[[#This Row],[Poids (g) / unite]]*TableauProduit[[#This Row],[Objectif de vente en unite N3]]/1000</f>
        <v/>
      </c>
      <c r="AA26" s="913">
        <f>TableauProduit[[#This Row],[Objectif de vente en unite N3]]*TableauProduit[[#This Row],[Packaging / unite]]</f>
        <v/>
      </c>
      <c r="AB26" s="913">
        <f>TableauProduit[[#This Row],[Prix Achat de plante par kg]]*TableauProduit[[#This Row],[Total (kg) N3]]</f>
        <v/>
      </c>
      <c r="AC26" s="913">
        <f>TableauProduit[[#This Row],[Prix de vente/kg]]*TableauProduit[[#This Row],[Total (kg) N3]]</f>
        <v/>
      </c>
      <c r="AD26" s="914">
        <f>TableauProduit[[#This Row],[Revenue brut N3]]-TableauProduit[[#This Row],[Achat plante / kg de melange N3]]-TableauProduit[[#This Row],[Conditionnement N3]]</f>
        <v/>
      </c>
      <c r="AE26" s="915" t="n">
        <v>180</v>
      </c>
      <c r="AF26" s="915">
        <f>TableauProduit[[#This Row],[Poids (g) / unite]]*TableauProduit[[#This Row],[Objectif de vente en unite N4]]/1000</f>
        <v/>
      </c>
      <c r="AG26" s="916">
        <f>TableauProduit[[#This Row],[Objectif de vente en unite N4]]*TableauProduit[[#This Row],[Packaging / unite]]</f>
        <v/>
      </c>
      <c r="AH26" s="916">
        <f>TableauProduit[[#This Row],[Prix Achat de plante par kg]]*TableauProduit[[#This Row],[Total (kg) N4]]</f>
        <v/>
      </c>
      <c r="AI26" s="916">
        <f>TableauProduit[[#This Row],[Prix de vente/kg]]*TableauProduit[[#This Row],[Total (kg) N4]]</f>
        <v/>
      </c>
      <c r="AJ26" s="915">
        <f>TableauProduit[[#This Row],[Revenue brut N4]]-TableauProduit[[#This Row],[Achat plante / kg de melange N4]]-TableauProduit[[#This Row],[Conditionnement N4]]</f>
        <v/>
      </c>
      <c r="AK26" s="917" t="n">
        <v>180</v>
      </c>
      <c r="AL26" s="917">
        <f>TableauProduit[[#This Row],[Poids (g) / unite]]*TableauProduit[[#This Row],[Objectif de vente en unite N5]]/1000</f>
        <v/>
      </c>
      <c r="AM26" s="918">
        <f>TableauProduit[[#This Row],[Objectif de vente en unite N5]]*TableauProduit[[#This Row],[Packaging / unite]]</f>
        <v/>
      </c>
      <c r="AN26" s="918">
        <f>TableauProduit[[#This Row],[Prix Achat de plante par kg]]*TableauProduit[[#This Row],[Total (kg) N5]]</f>
        <v/>
      </c>
      <c r="AO26" s="918">
        <f>TableauProduit[[#This Row],[Prix de vente/kg]]*TableauProduit[[#This Row],[Total (kg) N5]]</f>
        <v/>
      </c>
      <c r="AP26" s="917">
        <f>TableauProduit[[#This Row],[Revenue brut N5]]-TableauProduit[[#This Row],[Achat plante / kg de melange N5]]-TableauProduit[[#This Row],[Conditionnement N5]]</f>
        <v/>
      </c>
      <c r="AQ26" s="919" t="n">
        <v>180</v>
      </c>
      <c r="AR26" s="919">
        <f>TableauProduit[[#This Row],[Poids (g) / unite]]*TableauProduit[[#This Row],[Objectif de vente en unite N6]]/1000</f>
        <v/>
      </c>
      <c r="AS26" s="920">
        <f>TableauProduit[[#This Row],[Objectif de vente en unite N6]]*TableauProduit[[#This Row],[Packaging / unite]]</f>
        <v/>
      </c>
      <c r="AT26" s="920">
        <f>TableauProduit[[#This Row],[Prix Achat de plante par kg]]*TableauProduit[[#This Row],[Total (kg) N6]]</f>
        <v/>
      </c>
      <c r="AU26" s="920">
        <f>TableauProduit[[#This Row],[Prix de vente/kg]]*TableauProduit[[#This Row],[Total (kg) N6]]</f>
        <v/>
      </c>
      <c r="AV26" s="919">
        <f>TableauProduit[[#This Row],[Revenue brut N6]]-TableauProduit[[#This Row],[Achat plante / kg de melange N6]]-TableauProduit[[#This Row],[Conditionnement N6]]</f>
        <v/>
      </c>
      <c r="AW26" s="904" t="n">
        <v>180</v>
      </c>
      <c r="AX26" s="904">
        <f>TableauProduit[[#This Row],[Poids (g) / unite]]*TableauProduit[[#This Row],[Objectif de vente en unite N7]]/1000</f>
        <v/>
      </c>
      <c r="AY26" s="905">
        <f>TableauProduit[[#This Row],[Objectif de vente en unite N7]]*TableauProduit[[#This Row],[Packaging / unite]]</f>
        <v/>
      </c>
      <c r="AZ26" s="905">
        <f>TableauProduit[[#This Row],[Prix Achat de plante par kg]]*TableauProduit[[#This Row],[Total (kg) N7]]</f>
        <v/>
      </c>
      <c r="BA26" s="905">
        <f>TableauProduit[[#This Row],[Prix de vente/kg]]*TableauProduit[[#This Row],[Total (kg) N7]]</f>
        <v/>
      </c>
      <c r="BB26" s="921">
        <f>TableauProduit[[#This Row],[Revenue brut N7]]-TableauProduit[[#This Row],[Achat plante / kg de melange N7]]-TableauProduit[[#This Row],[Conditionnement N7]]</f>
        <v/>
      </c>
      <c r="BC26" s="922" t="n">
        <v>180</v>
      </c>
      <c r="BD26" s="923">
        <f>TableauProduit[[#This Row],[Poids (g) / unite]]*TableauProduit[[#This Row],[Objectif de vente en unite N8]]/1000</f>
        <v/>
      </c>
      <c r="BE26" s="924">
        <f>TableauProduit[[#This Row],[Objectif de vente en unite N8]]*TableauProduit[[#This Row],[Packaging / unite]]</f>
        <v/>
      </c>
      <c r="BF26" s="924">
        <f>TableauProduit[[#This Row],[Prix Achat de plante par kg]]*TableauProduit[[#This Row],[Total (kg) N8]]</f>
        <v/>
      </c>
      <c r="BG26" s="924">
        <f>TableauProduit[[#This Row],[Prix de vente/kg]]*TableauProduit[[#This Row],[Total (kg) N8]]</f>
        <v/>
      </c>
      <c r="BH26" s="925">
        <f>TableauProduit[[#This Row],[Revenue brut N8]]-TableauProduit[[#This Row],[Achat plante / kg de melange N8]]-TableauProduit[[#This Row],[Conditionnement N8]]</f>
        <v/>
      </c>
      <c r="BI26" s="926" t="n">
        <v>180</v>
      </c>
      <c r="BJ26" s="927">
        <f>TableauProduit[[#This Row],[Poids (g) / unite]]*TableauProduit[[#This Row],[Objectif de vente en unite N9]]/1000</f>
        <v/>
      </c>
      <c r="BK26" s="928">
        <f>TableauProduit[[#This Row],[Objectif de vente en unite N9]]*TableauProduit[[#This Row],[Packaging / unite]]</f>
        <v/>
      </c>
      <c r="BL26" s="928">
        <f>TableauProduit[[#This Row],[Prix Achat de plante par kg]]*TableauProduit[[#This Row],[Total (kg) N9]]</f>
        <v/>
      </c>
      <c r="BM26" s="928">
        <f>TableauProduit[[#This Row],[Prix de vente/kg]]*TableauProduit[[#This Row],[Total (kg) N9]]</f>
        <v/>
      </c>
      <c r="BN26" s="927">
        <f>TableauProduit[[#This Row],[Revenue brut N9]]-TableauProduit[[#This Row],[Achat plante / kg de melange N9]]-TableauProduit[[#This Row],[Conditionnement N9]]</f>
        <v/>
      </c>
    </row>
    <row r="27">
      <c r="A27" s="13" t="inlineStr">
        <is>
          <t>Tabasco Rouge moyen</t>
        </is>
      </c>
      <c r="B27" s="54">
        <f>TableauProduit[[#This Row],[Recette]]&amp;TableauProduit[[#This Row],[Conditionnement]]</f>
        <v/>
      </c>
      <c r="C27" s="11" t="n">
        <v>1</v>
      </c>
      <c r="D27" s="11" t="n">
        <v>50</v>
      </c>
      <c r="E27" s="6" t="inlineStr">
        <is>
          <t>Epice 100ml</t>
        </is>
      </c>
      <c r="F27" s="7">
        <f>IFERROR(VLOOKUP(TableauProduit[[#This Row],[Conditionnement]],TableauConditionnement[[Nom]:[Contenance]],4,FALSE),"")</f>
        <v/>
      </c>
      <c r="G27" s="897">
        <f>IFERROR(SUMIFS(TableauRecette[Prix d''achat / kg],TableauRecette[Recette],TableauProduit[[#This Row],[Recette]],TableauRecette[Conditionnement],TableauProduit[[#This Row],[Conditionnement]]),0)</f>
        <v/>
      </c>
      <c r="H27" s="898" t="n">
        <v>2.9</v>
      </c>
      <c r="I27" s="899">
        <f>1000*TableauProduit[[#This Row],[Prix de vente/U]]/TableauProduit[[#This Row],[Poids (g) / unite]]</f>
        <v/>
      </c>
      <c r="J27" s="900">
        <f>SUMIFS(TableauConcurence[PRIX_KG],TableauConcurence[PRODUIT],TableauProduit[[#This Row],[Recette]],TableauConcurence[DISTRIBUTION],"magasin NON BIO")</f>
        <v/>
      </c>
      <c r="K27" s="901">
        <f>SUMIFS(TableauConcurence[PRIX_KG],TableauConcurence[PRODUIT],TableauProduit[[#This Row],[Recette]],TableauConcurence[DISTRIBUTION],"magasin BIO")</f>
        <v/>
      </c>
      <c r="L27" s="902">
        <f>SUMIFS(TableauConcurence[PRIX_KG],TableauConcurence[PRODUIT],TableauProduit[[#This Row],[Recette]],TableauConcurence[DISTRIBUTION],"artisanale BIO")</f>
        <v/>
      </c>
      <c r="M27" s="903" t="n">
        <v>180</v>
      </c>
      <c r="N27" s="904">
        <f>TableauProduit[[#This Row],[Poids (g) / unite]]*TableauProduit[[#This Row],[Objectif de vente en unite N1]]/1000</f>
        <v/>
      </c>
      <c r="O27" s="905">
        <f>TableauProduit[[#This Row],[Objectif de vente en unite N1]]*TableauProduit[[#This Row],[Packaging / unite]]</f>
        <v/>
      </c>
      <c r="P27" s="905">
        <f>TableauProduit[[#This Row],[Prix Achat de plante par kg]]*TableauProduit[[#This Row],[Total (kg) N1]]</f>
        <v/>
      </c>
      <c r="Q27" s="905">
        <f>TableauProduit[[#This Row],[Prix de vente/kg]]*TableauProduit[[#This Row],[Total (kg) N1]]</f>
        <v/>
      </c>
      <c r="R27" s="906">
        <f>TableauProduit[[#This Row],[Revenue brut N1]]-TableauProduit[[#This Row],[Achat par kg N1]]-TableauProduit[[#This Row],[Conditionnement N1]]</f>
        <v/>
      </c>
      <c r="S27" s="907" t="n">
        <v>180</v>
      </c>
      <c r="T27" s="908">
        <f>TableauProduit[[#This Row],[Poids (g) / unite]]*TableauProduit[[#This Row],[Objectif de vente en unite N2]]/1000</f>
        <v/>
      </c>
      <c r="U27" s="909">
        <f>TableauProduit[[#This Row],[Objectif de vente en unite N2]]*TableauProduit[[#This Row],[Packaging / unite]]</f>
        <v/>
      </c>
      <c r="V27" s="909">
        <f>TableauProduit[[#This Row],[Prix Achat de plante par kg]]*TableauProduit[[#This Row],[Total (kg) N2]]</f>
        <v/>
      </c>
      <c r="W27" s="909">
        <f>TableauProduit[[#This Row],[Prix de vente/kg]]*TableauProduit[[#This Row],[Total (kg) N2]]</f>
        <v/>
      </c>
      <c r="X27" s="910">
        <f>TableauProduit[[#This Row],[Revenue brut N2]]-TableauProduit[[#This Row],[Achat plante / kg de melange N2]]-TableauProduit[[#This Row],[Conditionnement N2]]</f>
        <v/>
      </c>
      <c r="Y27" s="911" t="n">
        <v>180</v>
      </c>
      <c r="Z27" s="912">
        <f>TableauProduit[[#This Row],[Poids (g) / unite]]*TableauProduit[[#This Row],[Objectif de vente en unite N3]]/1000</f>
        <v/>
      </c>
      <c r="AA27" s="913">
        <f>TableauProduit[[#This Row],[Objectif de vente en unite N3]]*TableauProduit[[#This Row],[Packaging / unite]]</f>
        <v/>
      </c>
      <c r="AB27" s="913">
        <f>TableauProduit[[#This Row],[Prix Achat de plante par kg]]*TableauProduit[[#This Row],[Total (kg) N3]]</f>
        <v/>
      </c>
      <c r="AC27" s="913">
        <f>TableauProduit[[#This Row],[Prix de vente/kg]]*TableauProduit[[#This Row],[Total (kg) N3]]</f>
        <v/>
      </c>
      <c r="AD27" s="914">
        <f>TableauProduit[[#This Row],[Revenue brut N3]]-TableauProduit[[#This Row],[Achat plante / kg de melange N3]]-TableauProduit[[#This Row],[Conditionnement N3]]</f>
        <v/>
      </c>
      <c r="AE27" s="915" t="n">
        <v>180</v>
      </c>
      <c r="AF27" s="915">
        <f>TableauProduit[[#This Row],[Poids (g) / unite]]*TableauProduit[[#This Row],[Objectif de vente en unite N4]]/1000</f>
        <v/>
      </c>
      <c r="AG27" s="916">
        <f>TableauProduit[[#This Row],[Objectif de vente en unite N4]]*TableauProduit[[#This Row],[Packaging / unite]]</f>
        <v/>
      </c>
      <c r="AH27" s="916">
        <f>TableauProduit[[#This Row],[Prix Achat de plante par kg]]*TableauProduit[[#This Row],[Total (kg) N4]]</f>
        <v/>
      </c>
      <c r="AI27" s="916">
        <f>TableauProduit[[#This Row],[Prix de vente/kg]]*TableauProduit[[#This Row],[Total (kg) N4]]</f>
        <v/>
      </c>
      <c r="AJ27" s="915">
        <f>TableauProduit[[#This Row],[Revenue brut N4]]-TableauProduit[[#This Row],[Achat plante / kg de melange N4]]-TableauProduit[[#This Row],[Conditionnement N4]]</f>
        <v/>
      </c>
      <c r="AK27" s="917" t="n">
        <v>180</v>
      </c>
      <c r="AL27" s="917">
        <f>TableauProduit[[#This Row],[Poids (g) / unite]]*TableauProduit[[#This Row],[Objectif de vente en unite N5]]/1000</f>
        <v/>
      </c>
      <c r="AM27" s="918">
        <f>TableauProduit[[#This Row],[Objectif de vente en unite N5]]*TableauProduit[[#This Row],[Packaging / unite]]</f>
        <v/>
      </c>
      <c r="AN27" s="918">
        <f>TableauProduit[[#This Row],[Prix Achat de plante par kg]]*TableauProduit[[#This Row],[Total (kg) N5]]</f>
        <v/>
      </c>
      <c r="AO27" s="918">
        <f>TableauProduit[[#This Row],[Prix de vente/kg]]*TableauProduit[[#This Row],[Total (kg) N5]]</f>
        <v/>
      </c>
      <c r="AP27" s="917">
        <f>TableauProduit[[#This Row],[Revenue brut N5]]-TableauProduit[[#This Row],[Achat plante / kg de melange N5]]-TableauProduit[[#This Row],[Conditionnement N5]]</f>
        <v/>
      </c>
      <c r="AQ27" s="919" t="n">
        <v>180</v>
      </c>
      <c r="AR27" s="919">
        <f>TableauProduit[[#This Row],[Poids (g) / unite]]*TableauProduit[[#This Row],[Objectif de vente en unite N6]]/1000</f>
        <v/>
      </c>
      <c r="AS27" s="920">
        <f>TableauProduit[[#This Row],[Objectif de vente en unite N6]]*TableauProduit[[#This Row],[Packaging / unite]]</f>
        <v/>
      </c>
      <c r="AT27" s="920">
        <f>TableauProduit[[#This Row],[Prix Achat de plante par kg]]*TableauProduit[[#This Row],[Total (kg) N6]]</f>
        <v/>
      </c>
      <c r="AU27" s="920">
        <f>TableauProduit[[#This Row],[Prix de vente/kg]]*TableauProduit[[#This Row],[Total (kg) N6]]</f>
        <v/>
      </c>
      <c r="AV27" s="919">
        <f>TableauProduit[[#This Row],[Revenue brut N6]]-TableauProduit[[#This Row],[Achat plante / kg de melange N6]]-TableauProduit[[#This Row],[Conditionnement N6]]</f>
        <v/>
      </c>
      <c r="AW27" s="904" t="n">
        <v>180</v>
      </c>
      <c r="AX27" s="904">
        <f>TableauProduit[[#This Row],[Poids (g) / unite]]*TableauProduit[[#This Row],[Objectif de vente en unite N7]]/1000</f>
        <v/>
      </c>
      <c r="AY27" s="905">
        <f>TableauProduit[[#This Row],[Objectif de vente en unite N7]]*TableauProduit[[#This Row],[Packaging / unite]]</f>
        <v/>
      </c>
      <c r="AZ27" s="905">
        <f>TableauProduit[[#This Row],[Prix Achat de plante par kg]]*TableauProduit[[#This Row],[Total (kg) N7]]</f>
        <v/>
      </c>
      <c r="BA27" s="905">
        <f>TableauProduit[[#This Row],[Prix de vente/kg]]*TableauProduit[[#This Row],[Total (kg) N7]]</f>
        <v/>
      </c>
      <c r="BB27" s="921">
        <f>TableauProduit[[#This Row],[Revenue brut N7]]-TableauProduit[[#This Row],[Achat plante / kg de melange N7]]-TableauProduit[[#This Row],[Conditionnement N7]]</f>
        <v/>
      </c>
      <c r="BC27" s="922" t="n">
        <v>180</v>
      </c>
      <c r="BD27" s="923">
        <f>TableauProduit[[#This Row],[Poids (g) / unite]]*TableauProduit[[#This Row],[Objectif de vente en unite N8]]/1000</f>
        <v/>
      </c>
      <c r="BE27" s="924">
        <f>TableauProduit[[#This Row],[Objectif de vente en unite N8]]*TableauProduit[[#This Row],[Packaging / unite]]</f>
        <v/>
      </c>
      <c r="BF27" s="924">
        <f>TableauProduit[[#This Row],[Prix Achat de plante par kg]]*TableauProduit[[#This Row],[Total (kg) N8]]</f>
        <v/>
      </c>
      <c r="BG27" s="924">
        <f>TableauProduit[[#This Row],[Prix de vente/kg]]*TableauProduit[[#This Row],[Total (kg) N8]]</f>
        <v/>
      </c>
      <c r="BH27" s="925">
        <f>TableauProduit[[#This Row],[Revenue brut N8]]-TableauProduit[[#This Row],[Achat plante / kg de melange N8]]-TableauProduit[[#This Row],[Conditionnement N8]]</f>
        <v/>
      </c>
      <c r="BI27" s="926" t="n">
        <v>180</v>
      </c>
      <c r="BJ27" s="927">
        <f>TableauProduit[[#This Row],[Poids (g) / unite]]*TableauProduit[[#This Row],[Objectif de vente en unite N9]]/1000</f>
        <v/>
      </c>
      <c r="BK27" s="928">
        <f>TableauProduit[[#This Row],[Objectif de vente en unite N9]]*TableauProduit[[#This Row],[Packaging / unite]]</f>
        <v/>
      </c>
      <c r="BL27" s="928">
        <f>TableauProduit[[#This Row],[Prix Achat de plante par kg]]*TableauProduit[[#This Row],[Total (kg) N9]]</f>
        <v/>
      </c>
      <c r="BM27" s="928">
        <f>TableauProduit[[#This Row],[Prix de vente/kg]]*TableauProduit[[#This Row],[Total (kg) N9]]</f>
        <v/>
      </c>
      <c r="BN27" s="927">
        <f>TableauProduit[[#This Row],[Revenue brut N9]]-TableauProduit[[#This Row],[Achat plante / kg de melange N9]]-TableauProduit[[#This Row],[Conditionnement N9]]</f>
        <v/>
      </c>
    </row>
    <row r="28">
      <c r="A28" s="13" t="inlineStr">
        <is>
          <t>Tabasco jalapeno</t>
        </is>
      </c>
      <c r="B28" s="54">
        <f>TableauProduit[[#This Row],[Recette]]&amp;TableauProduit[[#This Row],[Conditionnement]]</f>
        <v/>
      </c>
      <c r="C28" s="11" t="n">
        <v>1</v>
      </c>
      <c r="D28" s="11" t="n">
        <v>100</v>
      </c>
      <c r="E28" s="6" t="inlineStr">
        <is>
          <t>Epice 100ml</t>
        </is>
      </c>
      <c r="F28" s="7">
        <f>IFERROR(VLOOKUP(TableauProduit[[#This Row],[Conditionnement]],TableauConditionnement[[Nom]:[Contenance]],4,FALSE),"")</f>
        <v/>
      </c>
      <c r="G28" s="897">
        <f>IFERROR(SUMIFS(TableauRecette[Prix d''achat / kg],TableauRecette[Recette],TableauProduit[[#This Row],[Recette]],TableauRecette[Conditionnement],TableauProduit[[#This Row],[Conditionnement]]),0)</f>
        <v/>
      </c>
      <c r="H28" s="898" t="n">
        <v>7</v>
      </c>
      <c r="I28" s="899">
        <f>1000*TableauProduit[[#This Row],[Prix de vente/U]]/TableauProduit[[#This Row],[Poids (g) / unite]]</f>
        <v/>
      </c>
      <c r="J28" s="900">
        <f>SUMIFS(TableauConcurence[PRIX_KG],TableauConcurence[PRODUIT],TableauProduit[[#This Row],[Recette]],TableauConcurence[DISTRIBUTION],"magasin NON BIO")</f>
        <v/>
      </c>
      <c r="K28" s="901">
        <f>SUMIFS(TableauConcurence[PRIX_KG],TableauConcurence[PRODUIT],TableauProduit[[#This Row],[Recette]],TableauConcurence[DISTRIBUTION],"magasin BIO")</f>
        <v/>
      </c>
      <c r="L28" s="902">
        <f>SUMIFS(TableauConcurence[PRIX_KG],TableauConcurence[PRODUIT],TableauProduit[[#This Row],[Recette]],TableauConcurence[DISTRIBUTION],"artisanale BIO")</f>
        <v/>
      </c>
      <c r="M28" s="903" t="n">
        <v>180</v>
      </c>
      <c r="N28" s="904">
        <f>TableauProduit[[#This Row],[Poids (g) / unite]]*TableauProduit[[#This Row],[Objectif de vente en unite N1]]/1000</f>
        <v/>
      </c>
      <c r="O28" s="905">
        <f>TableauProduit[[#This Row],[Objectif de vente en unite N1]]*TableauProduit[[#This Row],[Packaging / unite]]</f>
        <v/>
      </c>
      <c r="P28" s="905">
        <f>TableauProduit[[#This Row],[Prix Achat de plante par kg]]*TableauProduit[[#This Row],[Total (kg) N1]]</f>
        <v/>
      </c>
      <c r="Q28" s="905">
        <f>TableauProduit[[#This Row],[Prix de vente/kg]]*TableauProduit[[#This Row],[Total (kg) N1]]</f>
        <v/>
      </c>
      <c r="R28" s="906">
        <f>TableauProduit[[#This Row],[Revenue brut N1]]-TableauProduit[[#This Row],[Achat par kg N1]]-TableauProduit[[#This Row],[Conditionnement N1]]</f>
        <v/>
      </c>
      <c r="S28" s="907" t="n">
        <v>180</v>
      </c>
      <c r="T28" s="908">
        <f>TableauProduit[[#This Row],[Poids (g) / unite]]*TableauProduit[[#This Row],[Objectif de vente en unite N2]]/1000</f>
        <v/>
      </c>
      <c r="U28" s="909">
        <f>TableauProduit[[#This Row],[Objectif de vente en unite N2]]*TableauProduit[[#This Row],[Packaging / unite]]</f>
        <v/>
      </c>
      <c r="V28" s="909">
        <f>TableauProduit[[#This Row],[Prix Achat de plante par kg]]*TableauProduit[[#This Row],[Total (kg) N2]]</f>
        <v/>
      </c>
      <c r="W28" s="909">
        <f>TableauProduit[[#This Row],[Prix de vente/kg]]*TableauProduit[[#This Row],[Total (kg) N2]]</f>
        <v/>
      </c>
      <c r="X28" s="910">
        <f>TableauProduit[[#This Row],[Revenue brut N2]]-TableauProduit[[#This Row],[Achat plante / kg de melange N2]]-TableauProduit[[#This Row],[Conditionnement N2]]</f>
        <v/>
      </c>
      <c r="Y28" s="911" t="n">
        <v>180</v>
      </c>
      <c r="Z28" s="912">
        <f>TableauProduit[[#This Row],[Poids (g) / unite]]*TableauProduit[[#This Row],[Objectif de vente en unite N3]]/1000</f>
        <v/>
      </c>
      <c r="AA28" s="913">
        <f>TableauProduit[[#This Row],[Objectif de vente en unite N3]]*TableauProduit[[#This Row],[Packaging / unite]]</f>
        <v/>
      </c>
      <c r="AB28" s="913">
        <f>TableauProduit[[#This Row],[Prix Achat de plante par kg]]*TableauProduit[[#This Row],[Total (kg) N3]]</f>
        <v/>
      </c>
      <c r="AC28" s="913">
        <f>TableauProduit[[#This Row],[Prix de vente/kg]]*TableauProduit[[#This Row],[Total (kg) N3]]</f>
        <v/>
      </c>
      <c r="AD28" s="914">
        <f>TableauProduit[[#This Row],[Revenue brut N3]]-TableauProduit[[#This Row],[Achat plante / kg de melange N3]]-TableauProduit[[#This Row],[Conditionnement N3]]</f>
        <v/>
      </c>
      <c r="AE28" s="915" t="n">
        <v>180</v>
      </c>
      <c r="AF28" s="915">
        <f>TableauProduit[[#This Row],[Poids (g) / unite]]*TableauProduit[[#This Row],[Objectif de vente en unite N4]]/1000</f>
        <v/>
      </c>
      <c r="AG28" s="916">
        <f>TableauProduit[[#This Row],[Objectif de vente en unite N4]]*TableauProduit[[#This Row],[Packaging / unite]]</f>
        <v/>
      </c>
      <c r="AH28" s="916">
        <f>TableauProduit[[#This Row],[Prix Achat de plante par kg]]*TableauProduit[[#This Row],[Total (kg) N4]]</f>
        <v/>
      </c>
      <c r="AI28" s="916">
        <f>TableauProduit[[#This Row],[Prix de vente/kg]]*TableauProduit[[#This Row],[Total (kg) N4]]</f>
        <v/>
      </c>
      <c r="AJ28" s="915">
        <f>TableauProduit[[#This Row],[Revenue brut N4]]-TableauProduit[[#This Row],[Achat plante / kg de melange N4]]-TableauProduit[[#This Row],[Conditionnement N4]]</f>
        <v/>
      </c>
      <c r="AK28" s="917" t="n">
        <v>180</v>
      </c>
      <c r="AL28" s="917">
        <f>TableauProduit[[#This Row],[Poids (g) / unite]]*TableauProduit[[#This Row],[Objectif de vente en unite N5]]/1000</f>
        <v/>
      </c>
      <c r="AM28" s="918">
        <f>TableauProduit[[#This Row],[Objectif de vente en unite N5]]*TableauProduit[[#This Row],[Packaging / unite]]</f>
        <v/>
      </c>
      <c r="AN28" s="918">
        <f>TableauProduit[[#This Row],[Prix Achat de plante par kg]]*TableauProduit[[#This Row],[Total (kg) N5]]</f>
        <v/>
      </c>
      <c r="AO28" s="918">
        <f>TableauProduit[[#This Row],[Prix de vente/kg]]*TableauProduit[[#This Row],[Total (kg) N5]]</f>
        <v/>
      </c>
      <c r="AP28" s="917">
        <f>TableauProduit[[#This Row],[Revenue brut N5]]-TableauProduit[[#This Row],[Achat plante / kg de melange N5]]-TableauProduit[[#This Row],[Conditionnement N5]]</f>
        <v/>
      </c>
      <c r="AQ28" s="919" t="n">
        <v>180</v>
      </c>
      <c r="AR28" s="919">
        <f>TableauProduit[[#This Row],[Poids (g) / unite]]*TableauProduit[[#This Row],[Objectif de vente en unite N6]]/1000</f>
        <v/>
      </c>
      <c r="AS28" s="920">
        <f>TableauProduit[[#This Row],[Objectif de vente en unite N6]]*TableauProduit[[#This Row],[Packaging / unite]]</f>
        <v/>
      </c>
      <c r="AT28" s="920">
        <f>TableauProduit[[#This Row],[Prix Achat de plante par kg]]*TableauProduit[[#This Row],[Total (kg) N6]]</f>
        <v/>
      </c>
      <c r="AU28" s="920">
        <f>TableauProduit[[#This Row],[Prix de vente/kg]]*TableauProduit[[#This Row],[Total (kg) N6]]</f>
        <v/>
      </c>
      <c r="AV28" s="919">
        <f>TableauProduit[[#This Row],[Revenue brut N6]]-TableauProduit[[#This Row],[Achat plante / kg de melange N6]]-TableauProduit[[#This Row],[Conditionnement N6]]</f>
        <v/>
      </c>
      <c r="AW28" s="904" t="n">
        <v>180</v>
      </c>
      <c r="AX28" s="904">
        <f>TableauProduit[[#This Row],[Poids (g) / unite]]*TableauProduit[[#This Row],[Objectif de vente en unite N7]]/1000</f>
        <v/>
      </c>
      <c r="AY28" s="905">
        <f>TableauProduit[[#This Row],[Objectif de vente en unite N7]]*TableauProduit[[#This Row],[Packaging / unite]]</f>
        <v/>
      </c>
      <c r="AZ28" s="905">
        <f>TableauProduit[[#This Row],[Prix Achat de plante par kg]]*TableauProduit[[#This Row],[Total (kg) N7]]</f>
        <v/>
      </c>
      <c r="BA28" s="905">
        <f>TableauProduit[[#This Row],[Prix de vente/kg]]*TableauProduit[[#This Row],[Total (kg) N7]]</f>
        <v/>
      </c>
      <c r="BB28" s="921">
        <f>TableauProduit[[#This Row],[Revenue brut N7]]-TableauProduit[[#This Row],[Achat plante / kg de melange N7]]-TableauProduit[[#This Row],[Conditionnement N7]]</f>
        <v/>
      </c>
      <c r="BC28" s="922" t="n">
        <v>180</v>
      </c>
      <c r="BD28" s="923">
        <f>TableauProduit[[#This Row],[Poids (g) / unite]]*TableauProduit[[#This Row],[Objectif de vente en unite N8]]/1000</f>
        <v/>
      </c>
      <c r="BE28" s="924">
        <f>TableauProduit[[#This Row],[Objectif de vente en unite N8]]*TableauProduit[[#This Row],[Packaging / unite]]</f>
        <v/>
      </c>
      <c r="BF28" s="924">
        <f>TableauProduit[[#This Row],[Prix Achat de plante par kg]]*TableauProduit[[#This Row],[Total (kg) N8]]</f>
        <v/>
      </c>
      <c r="BG28" s="924">
        <f>TableauProduit[[#This Row],[Prix de vente/kg]]*TableauProduit[[#This Row],[Total (kg) N8]]</f>
        <v/>
      </c>
      <c r="BH28" s="925">
        <f>TableauProduit[[#This Row],[Revenue brut N8]]-TableauProduit[[#This Row],[Achat plante / kg de melange N8]]-TableauProduit[[#This Row],[Conditionnement N8]]</f>
        <v/>
      </c>
      <c r="BI28" s="926" t="n">
        <v>180</v>
      </c>
      <c r="BJ28" s="927">
        <f>TableauProduit[[#This Row],[Poids (g) / unite]]*TableauProduit[[#This Row],[Objectif de vente en unite N9]]/1000</f>
        <v/>
      </c>
      <c r="BK28" s="928">
        <f>TableauProduit[[#This Row],[Objectif de vente en unite N9]]*TableauProduit[[#This Row],[Packaging / unite]]</f>
        <v/>
      </c>
      <c r="BL28" s="928">
        <f>TableauProduit[[#This Row],[Prix Achat de plante par kg]]*TableauProduit[[#This Row],[Total (kg) N9]]</f>
        <v/>
      </c>
      <c r="BM28" s="928">
        <f>TableauProduit[[#This Row],[Prix de vente/kg]]*TableauProduit[[#This Row],[Total (kg) N9]]</f>
        <v/>
      </c>
      <c r="BN28" s="927">
        <f>TableauProduit[[#This Row],[Revenue brut N9]]-TableauProduit[[#This Row],[Achat plante / kg de melange N9]]-TableauProduit[[#This Row],[Conditionnement N9]]</f>
        <v/>
      </c>
    </row>
    <row r="29">
      <c r="A29" s="13" t="inlineStr">
        <is>
          <t>Tabasco cayenne jaune</t>
        </is>
      </c>
      <c r="B29" s="54">
        <f>TableauProduit[[#This Row],[Recette]]&amp;TableauProduit[[#This Row],[Conditionnement]]</f>
        <v/>
      </c>
      <c r="C29" s="11" t="n">
        <v>1</v>
      </c>
      <c r="D29" s="11" t="n">
        <v>100</v>
      </c>
      <c r="E29" s="6" t="inlineStr">
        <is>
          <t>Epice 100ml</t>
        </is>
      </c>
      <c r="F29" s="7">
        <f>IFERROR(VLOOKUP(TableauProduit[[#This Row],[Conditionnement]],TableauConditionnement[[Nom]:[Contenance]],4,FALSE),"")</f>
        <v/>
      </c>
      <c r="G29" s="897">
        <f>IFERROR(SUMIFS(TableauRecette[Prix d''achat / kg],TableauRecette[Recette],TableauProduit[[#This Row],[Recette]],TableauRecette[Conditionnement],TableauProduit[[#This Row],[Conditionnement]]),0)</f>
        <v/>
      </c>
      <c r="H29" s="898" t="n">
        <v>5</v>
      </c>
      <c r="I29" s="899">
        <f>1000*TableauProduit[[#This Row],[Prix de vente/U]]/TableauProduit[[#This Row],[Poids (g) / unite]]</f>
        <v/>
      </c>
      <c r="J29" s="900">
        <f>SUMIFS(TableauConcurence[PRIX_KG],TableauConcurence[PRODUIT],TableauProduit[[#This Row],[Recette]],TableauConcurence[DISTRIBUTION],"magasin NON BIO")</f>
        <v/>
      </c>
      <c r="K29" s="901">
        <f>SUMIFS(TableauConcurence[PRIX_KG],TableauConcurence[PRODUIT],TableauProduit[[#This Row],[Recette]],TableauConcurence[DISTRIBUTION],"magasin BIO")</f>
        <v/>
      </c>
      <c r="L29" s="902">
        <f>SUMIFS(TableauConcurence[PRIX_KG],TableauConcurence[PRODUIT],TableauProduit[[#This Row],[Recette]],TableauConcurence[DISTRIBUTION],"artisanale BIO")</f>
        <v/>
      </c>
      <c r="M29" s="903" t="n">
        <v>180</v>
      </c>
      <c r="N29" s="904">
        <f>TableauProduit[[#This Row],[Poids (g) / unite]]*TableauProduit[[#This Row],[Objectif de vente en unite N1]]/1000</f>
        <v/>
      </c>
      <c r="O29" s="905">
        <f>TableauProduit[[#This Row],[Objectif de vente en unite N1]]*TableauProduit[[#This Row],[Packaging / unite]]</f>
        <v/>
      </c>
      <c r="P29" s="905">
        <f>TableauProduit[[#This Row],[Prix Achat de plante par kg]]*TableauProduit[[#This Row],[Total (kg) N1]]</f>
        <v/>
      </c>
      <c r="Q29" s="905">
        <f>TableauProduit[[#This Row],[Prix de vente/kg]]*TableauProduit[[#This Row],[Total (kg) N1]]</f>
        <v/>
      </c>
      <c r="R29" s="906">
        <f>TableauProduit[[#This Row],[Revenue brut N1]]-TableauProduit[[#This Row],[Achat par kg N1]]-TableauProduit[[#This Row],[Conditionnement N1]]</f>
        <v/>
      </c>
      <c r="S29" s="907" t="n">
        <v>180</v>
      </c>
      <c r="T29" s="908">
        <f>TableauProduit[[#This Row],[Poids (g) / unite]]*TableauProduit[[#This Row],[Objectif de vente en unite N2]]/1000</f>
        <v/>
      </c>
      <c r="U29" s="909">
        <f>TableauProduit[[#This Row],[Objectif de vente en unite N2]]*TableauProduit[[#This Row],[Packaging / unite]]</f>
        <v/>
      </c>
      <c r="V29" s="909">
        <f>TableauProduit[[#This Row],[Prix Achat de plante par kg]]*TableauProduit[[#This Row],[Total (kg) N2]]</f>
        <v/>
      </c>
      <c r="W29" s="909">
        <f>TableauProduit[[#This Row],[Prix de vente/kg]]*TableauProduit[[#This Row],[Total (kg) N2]]</f>
        <v/>
      </c>
      <c r="X29" s="910">
        <f>TableauProduit[[#This Row],[Revenue brut N2]]-TableauProduit[[#This Row],[Achat plante / kg de melange N2]]-TableauProduit[[#This Row],[Conditionnement N2]]</f>
        <v/>
      </c>
      <c r="Y29" s="911" t="n">
        <v>180</v>
      </c>
      <c r="Z29" s="912">
        <f>TableauProduit[[#This Row],[Poids (g) / unite]]*TableauProduit[[#This Row],[Objectif de vente en unite N3]]/1000</f>
        <v/>
      </c>
      <c r="AA29" s="913">
        <f>TableauProduit[[#This Row],[Objectif de vente en unite N3]]*TableauProduit[[#This Row],[Packaging / unite]]</f>
        <v/>
      </c>
      <c r="AB29" s="913">
        <f>TableauProduit[[#This Row],[Prix Achat de plante par kg]]*TableauProduit[[#This Row],[Total (kg) N3]]</f>
        <v/>
      </c>
      <c r="AC29" s="913">
        <f>TableauProduit[[#This Row],[Prix de vente/kg]]*TableauProduit[[#This Row],[Total (kg) N3]]</f>
        <v/>
      </c>
      <c r="AD29" s="914">
        <f>TableauProduit[[#This Row],[Revenue brut N3]]-TableauProduit[[#This Row],[Achat plante / kg de melange N3]]-TableauProduit[[#This Row],[Conditionnement N3]]</f>
        <v/>
      </c>
      <c r="AE29" s="915" t="n">
        <v>180</v>
      </c>
      <c r="AF29" s="915">
        <f>TableauProduit[[#This Row],[Poids (g) / unite]]*TableauProduit[[#This Row],[Objectif de vente en unite N4]]/1000</f>
        <v/>
      </c>
      <c r="AG29" s="916">
        <f>TableauProduit[[#This Row],[Objectif de vente en unite N4]]*TableauProduit[[#This Row],[Packaging / unite]]</f>
        <v/>
      </c>
      <c r="AH29" s="916">
        <f>TableauProduit[[#This Row],[Prix Achat de plante par kg]]*TableauProduit[[#This Row],[Total (kg) N4]]</f>
        <v/>
      </c>
      <c r="AI29" s="916">
        <f>TableauProduit[[#This Row],[Prix de vente/kg]]*TableauProduit[[#This Row],[Total (kg) N4]]</f>
        <v/>
      </c>
      <c r="AJ29" s="915">
        <f>TableauProduit[[#This Row],[Revenue brut N4]]-TableauProduit[[#This Row],[Achat plante / kg de melange N4]]-TableauProduit[[#This Row],[Conditionnement N4]]</f>
        <v/>
      </c>
      <c r="AK29" s="917" t="n">
        <v>180</v>
      </c>
      <c r="AL29" s="917">
        <f>TableauProduit[[#This Row],[Poids (g) / unite]]*TableauProduit[[#This Row],[Objectif de vente en unite N5]]/1000</f>
        <v/>
      </c>
      <c r="AM29" s="918">
        <f>TableauProduit[[#This Row],[Objectif de vente en unite N5]]*TableauProduit[[#This Row],[Packaging / unite]]</f>
        <v/>
      </c>
      <c r="AN29" s="918">
        <f>TableauProduit[[#This Row],[Prix Achat de plante par kg]]*TableauProduit[[#This Row],[Total (kg) N5]]</f>
        <v/>
      </c>
      <c r="AO29" s="918">
        <f>TableauProduit[[#This Row],[Prix de vente/kg]]*TableauProduit[[#This Row],[Total (kg) N5]]</f>
        <v/>
      </c>
      <c r="AP29" s="917">
        <f>TableauProduit[[#This Row],[Revenue brut N5]]-TableauProduit[[#This Row],[Achat plante / kg de melange N5]]-TableauProduit[[#This Row],[Conditionnement N5]]</f>
        <v/>
      </c>
      <c r="AQ29" s="919" t="n">
        <v>180</v>
      </c>
      <c r="AR29" s="919">
        <f>TableauProduit[[#This Row],[Poids (g) / unite]]*TableauProduit[[#This Row],[Objectif de vente en unite N6]]/1000</f>
        <v/>
      </c>
      <c r="AS29" s="920">
        <f>TableauProduit[[#This Row],[Objectif de vente en unite N6]]*TableauProduit[[#This Row],[Packaging / unite]]</f>
        <v/>
      </c>
      <c r="AT29" s="920">
        <f>TableauProduit[[#This Row],[Prix Achat de plante par kg]]*TableauProduit[[#This Row],[Total (kg) N6]]</f>
        <v/>
      </c>
      <c r="AU29" s="920">
        <f>TableauProduit[[#This Row],[Prix de vente/kg]]*TableauProduit[[#This Row],[Total (kg) N6]]</f>
        <v/>
      </c>
      <c r="AV29" s="919">
        <f>TableauProduit[[#This Row],[Revenue brut N6]]-TableauProduit[[#This Row],[Achat plante / kg de melange N6]]-TableauProduit[[#This Row],[Conditionnement N6]]</f>
        <v/>
      </c>
      <c r="AW29" s="904" t="n">
        <v>180</v>
      </c>
      <c r="AX29" s="904">
        <f>TableauProduit[[#This Row],[Poids (g) / unite]]*TableauProduit[[#This Row],[Objectif de vente en unite N7]]/1000</f>
        <v/>
      </c>
      <c r="AY29" s="905">
        <f>TableauProduit[[#This Row],[Objectif de vente en unite N7]]*TableauProduit[[#This Row],[Packaging / unite]]</f>
        <v/>
      </c>
      <c r="AZ29" s="905">
        <f>TableauProduit[[#This Row],[Prix Achat de plante par kg]]*TableauProduit[[#This Row],[Total (kg) N7]]</f>
        <v/>
      </c>
      <c r="BA29" s="905">
        <f>TableauProduit[[#This Row],[Prix de vente/kg]]*TableauProduit[[#This Row],[Total (kg) N7]]</f>
        <v/>
      </c>
      <c r="BB29" s="921">
        <f>TableauProduit[[#This Row],[Revenue brut N7]]-TableauProduit[[#This Row],[Achat plante / kg de melange N7]]-TableauProduit[[#This Row],[Conditionnement N7]]</f>
        <v/>
      </c>
      <c r="BC29" s="922" t="n">
        <v>180</v>
      </c>
      <c r="BD29" s="923">
        <f>TableauProduit[[#This Row],[Poids (g) / unite]]*TableauProduit[[#This Row],[Objectif de vente en unite N8]]/1000</f>
        <v/>
      </c>
      <c r="BE29" s="924">
        <f>TableauProduit[[#This Row],[Objectif de vente en unite N8]]*TableauProduit[[#This Row],[Packaging / unite]]</f>
        <v/>
      </c>
      <c r="BF29" s="924">
        <f>TableauProduit[[#This Row],[Prix Achat de plante par kg]]*TableauProduit[[#This Row],[Total (kg) N8]]</f>
        <v/>
      </c>
      <c r="BG29" s="924">
        <f>TableauProduit[[#This Row],[Prix de vente/kg]]*TableauProduit[[#This Row],[Total (kg) N8]]</f>
        <v/>
      </c>
      <c r="BH29" s="925">
        <f>TableauProduit[[#This Row],[Revenue brut N8]]-TableauProduit[[#This Row],[Achat plante / kg de melange N8]]-TableauProduit[[#This Row],[Conditionnement N8]]</f>
        <v/>
      </c>
      <c r="BI29" s="926" t="n">
        <v>180</v>
      </c>
      <c r="BJ29" s="927">
        <f>TableauProduit[[#This Row],[Poids (g) / unite]]*TableauProduit[[#This Row],[Objectif de vente en unite N9]]/1000</f>
        <v/>
      </c>
      <c r="BK29" s="928">
        <f>TableauProduit[[#This Row],[Objectif de vente en unite N9]]*TableauProduit[[#This Row],[Packaging / unite]]</f>
        <v/>
      </c>
      <c r="BL29" s="928">
        <f>TableauProduit[[#This Row],[Prix Achat de plante par kg]]*TableauProduit[[#This Row],[Total (kg) N9]]</f>
        <v/>
      </c>
      <c r="BM29" s="928">
        <f>TableauProduit[[#This Row],[Prix de vente/kg]]*TableauProduit[[#This Row],[Total (kg) N9]]</f>
        <v/>
      </c>
      <c r="BN29" s="927">
        <f>TableauProduit[[#This Row],[Revenue brut N9]]-TableauProduit[[#This Row],[Achat plante / kg de melange N9]]-TableauProduit[[#This Row],[Conditionnement N9]]</f>
        <v/>
      </c>
    </row>
    <row r="30">
      <c r="A30" s="13" t="inlineStr">
        <is>
          <t>epices tandoori</t>
        </is>
      </c>
      <c r="B30" s="54">
        <f>TableauProduit[[#This Row],[Recette]]&amp;TableauProduit[[#This Row],[Conditionnement]]</f>
        <v/>
      </c>
      <c r="C30" s="11" t="n">
        <v>1</v>
      </c>
      <c r="D30" s="11" t="n">
        <v>50</v>
      </c>
      <c r="E30" s="6" t="inlineStr">
        <is>
          <t>Epice 100ml</t>
        </is>
      </c>
      <c r="F30" s="7">
        <f>IFERROR(VLOOKUP(TableauProduit[[#This Row],[Conditionnement]],TableauConditionnement[[Nom]:[Contenance]],4,FALSE),"")</f>
        <v/>
      </c>
      <c r="G30" s="897">
        <f>IFERROR(SUMIFS(TableauRecette[Prix d''achat / kg],TableauRecette[Recette],TableauProduit[[#This Row],[Recette]],TableauRecette[Conditionnement],TableauProduit[[#This Row],[Conditionnement]]),0)</f>
        <v/>
      </c>
      <c r="H30" s="898" t="n">
        <v>5</v>
      </c>
      <c r="I30" s="899">
        <f>1000*TableauProduit[[#This Row],[Prix de vente/U]]/TableauProduit[[#This Row],[Poids (g) / unite]]</f>
        <v/>
      </c>
      <c r="J30" s="900">
        <f>SUMIFS(TableauConcurence[PRIX_KG],TableauConcurence[PRODUIT],TableauProduit[[#This Row],[Recette]],TableauConcurence[DISTRIBUTION],"magasin NON BIO")</f>
        <v/>
      </c>
      <c r="K30" s="901">
        <f>SUMIFS(TableauConcurence[PRIX_KG],TableauConcurence[PRODUIT],TableauProduit[[#This Row],[Recette]],TableauConcurence[DISTRIBUTION],"magasin BIO")</f>
        <v/>
      </c>
      <c r="L30" s="902">
        <f>SUMIFS(TableauConcurence[PRIX_KG],TableauConcurence[PRODUIT],TableauProduit[[#This Row],[Recette]],TableauConcurence[DISTRIBUTION],"artisanale BIO")</f>
        <v/>
      </c>
      <c r="M30" s="903" t="n">
        <v>180</v>
      </c>
      <c r="N30" s="904">
        <f>TableauProduit[[#This Row],[Poids (g) / unite]]*TableauProduit[[#This Row],[Objectif de vente en unite N1]]/1000</f>
        <v/>
      </c>
      <c r="O30" s="905">
        <f>TableauProduit[[#This Row],[Objectif de vente en unite N1]]*TableauProduit[[#This Row],[Packaging / unite]]</f>
        <v/>
      </c>
      <c r="P30" s="905">
        <f>TableauProduit[[#This Row],[Prix Achat de plante par kg]]*TableauProduit[[#This Row],[Total (kg) N1]]</f>
        <v/>
      </c>
      <c r="Q30" s="905">
        <f>TableauProduit[[#This Row],[Prix de vente/kg]]*TableauProduit[[#This Row],[Total (kg) N1]]</f>
        <v/>
      </c>
      <c r="R30" s="906">
        <f>TableauProduit[[#This Row],[Revenue brut N1]]-TableauProduit[[#This Row],[Achat par kg N1]]-TableauProduit[[#This Row],[Conditionnement N1]]</f>
        <v/>
      </c>
      <c r="S30" s="907" t="n">
        <v>180</v>
      </c>
      <c r="T30" s="908">
        <f>TableauProduit[[#This Row],[Poids (g) / unite]]*TableauProduit[[#This Row],[Objectif de vente en unite N2]]/1000</f>
        <v/>
      </c>
      <c r="U30" s="909">
        <f>TableauProduit[[#This Row],[Objectif de vente en unite N2]]*TableauProduit[[#This Row],[Packaging / unite]]</f>
        <v/>
      </c>
      <c r="V30" s="909">
        <f>TableauProduit[[#This Row],[Prix Achat de plante par kg]]*TableauProduit[[#This Row],[Total (kg) N2]]</f>
        <v/>
      </c>
      <c r="W30" s="909">
        <f>TableauProduit[[#This Row],[Prix de vente/kg]]*TableauProduit[[#This Row],[Total (kg) N2]]</f>
        <v/>
      </c>
      <c r="X30" s="910">
        <f>TableauProduit[[#This Row],[Revenue brut N2]]-TableauProduit[[#This Row],[Achat plante / kg de melange N2]]-TableauProduit[[#This Row],[Conditionnement N2]]</f>
        <v/>
      </c>
      <c r="Y30" s="911" t="n">
        <v>180</v>
      </c>
      <c r="Z30" s="912">
        <f>TableauProduit[[#This Row],[Poids (g) / unite]]*TableauProduit[[#This Row],[Objectif de vente en unite N3]]/1000</f>
        <v/>
      </c>
      <c r="AA30" s="913">
        <f>TableauProduit[[#This Row],[Objectif de vente en unite N3]]*TableauProduit[[#This Row],[Packaging / unite]]</f>
        <v/>
      </c>
      <c r="AB30" s="913">
        <f>TableauProduit[[#This Row],[Prix Achat de plante par kg]]*TableauProduit[[#This Row],[Total (kg) N3]]</f>
        <v/>
      </c>
      <c r="AC30" s="913">
        <f>TableauProduit[[#This Row],[Prix de vente/kg]]*TableauProduit[[#This Row],[Total (kg) N3]]</f>
        <v/>
      </c>
      <c r="AD30" s="914">
        <f>TableauProduit[[#This Row],[Revenue brut N3]]-TableauProduit[[#This Row],[Achat plante / kg de melange N3]]-TableauProduit[[#This Row],[Conditionnement N3]]</f>
        <v/>
      </c>
      <c r="AE30" s="915" t="n">
        <v>180</v>
      </c>
      <c r="AF30" s="915">
        <f>TableauProduit[[#This Row],[Poids (g) / unite]]*TableauProduit[[#This Row],[Objectif de vente en unite N4]]/1000</f>
        <v/>
      </c>
      <c r="AG30" s="916">
        <f>TableauProduit[[#This Row],[Objectif de vente en unite N4]]*TableauProduit[[#This Row],[Packaging / unite]]</f>
        <v/>
      </c>
      <c r="AH30" s="916">
        <f>TableauProduit[[#This Row],[Prix Achat de plante par kg]]*TableauProduit[[#This Row],[Total (kg) N4]]</f>
        <v/>
      </c>
      <c r="AI30" s="916">
        <f>TableauProduit[[#This Row],[Prix de vente/kg]]*TableauProduit[[#This Row],[Total (kg) N4]]</f>
        <v/>
      </c>
      <c r="AJ30" s="915">
        <f>TableauProduit[[#This Row],[Revenue brut N4]]-TableauProduit[[#This Row],[Achat plante / kg de melange N4]]-TableauProduit[[#This Row],[Conditionnement N4]]</f>
        <v/>
      </c>
      <c r="AK30" s="917" t="n">
        <v>180</v>
      </c>
      <c r="AL30" s="917">
        <f>TableauProduit[[#This Row],[Poids (g) / unite]]*TableauProduit[[#This Row],[Objectif de vente en unite N5]]/1000</f>
        <v/>
      </c>
      <c r="AM30" s="918">
        <f>TableauProduit[[#This Row],[Objectif de vente en unite N5]]*TableauProduit[[#This Row],[Packaging / unite]]</f>
        <v/>
      </c>
      <c r="AN30" s="918">
        <f>TableauProduit[[#This Row],[Prix Achat de plante par kg]]*TableauProduit[[#This Row],[Total (kg) N5]]</f>
        <v/>
      </c>
      <c r="AO30" s="918">
        <f>TableauProduit[[#This Row],[Prix de vente/kg]]*TableauProduit[[#This Row],[Total (kg) N5]]</f>
        <v/>
      </c>
      <c r="AP30" s="917">
        <f>TableauProduit[[#This Row],[Revenue brut N5]]-TableauProduit[[#This Row],[Achat plante / kg de melange N5]]-TableauProduit[[#This Row],[Conditionnement N5]]</f>
        <v/>
      </c>
      <c r="AQ30" s="919" t="n">
        <v>180</v>
      </c>
      <c r="AR30" s="919">
        <f>TableauProduit[[#This Row],[Poids (g) / unite]]*TableauProduit[[#This Row],[Objectif de vente en unite N6]]/1000</f>
        <v/>
      </c>
      <c r="AS30" s="920">
        <f>TableauProduit[[#This Row],[Objectif de vente en unite N6]]*TableauProduit[[#This Row],[Packaging / unite]]</f>
        <v/>
      </c>
      <c r="AT30" s="920">
        <f>TableauProduit[[#This Row],[Prix Achat de plante par kg]]*TableauProduit[[#This Row],[Total (kg) N6]]</f>
        <v/>
      </c>
      <c r="AU30" s="920">
        <f>TableauProduit[[#This Row],[Prix de vente/kg]]*TableauProduit[[#This Row],[Total (kg) N6]]</f>
        <v/>
      </c>
      <c r="AV30" s="919">
        <f>TableauProduit[[#This Row],[Revenue brut N6]]-TableauProduit[[#This Row],[Achat plante / kg de melange N6]]-TableauProduit[[#This Row],[Conditionnement N6]]</f>
        <v/>
      </c>
      <c r="AW30" s="904" t="n">
        <v>180</v>
      </c>
      <c r="AX30" s="904">
        <f>TableauProduit[[#This Row],[Poids (g) / unite]]*TableauProduit[[#This Row],[Objectif de vente en unite N7]]/1000</f>
        <v/>
      </c>
      <c r="AY30" s="905">
        <f>TableauProduit[[#This Row],[Objectif de vente en unite N7]]*TableauProduit[[#This Row],[Packaging / unite]]</f>
        <v/>
      </c>
      <c r="AZ30" s="905">
        <f>TableauProduit[[#This Row],[Prix Achat de plante par kg]]*TableauProduit[[#This Row],[Total (kg) N7]]</f>
        <v/>
      </c>
      <c r="BA30" s="905">
        <f>TableauProduit[[#This Row],[Prix de vente/kg]]*TableauProduit[[#This Row],[Total (kg) N7]]</f>
        <v/>
      </c>
      <c r="BB30" s="921">
        <f>TableauProduit[[#This Row],[Revenue brut N7]]-TableauProduit[[#This Row],[Achat plante / kg de melange N7]]-TableauProduit[[#This Row],[Conditionnement N7]]</f>
        <v/>
      </c>
      <c r="BC30" s="922" t="n">
        <v>180</v>
      </c>
      <c r="BD30" s="923">
        <f>TableauProduit[[#This Row],[Poids (g) / unite]]*TableauProduit[[#This Row],[Objectif de vente en unite N8]]/1000</f>
        <v/>
      </c>
      <c r="BE30" s="924">
        <f>TableauProduit[[#This Row],[Objectif de vente en unite N8]]*TableauProduit[[#This Row],[Packaging / unite]]</f>
        <v/>
      </c>
      <c r="BF30" s="924">
        <f>TableauProduit[[#This Row],[Prix Achat de plante par kg]]*TableauProduit[[#This Row],[Total (kg) N8]]</f>
        <v/>
      </c>
      <c r="BG30" s="924">
        <f>TableauProduit[[#This Row],[Prix de vente/kg]]*TableauProduit[[#This Row],[Total (kg) N8]]</f>
        <v/>
      </c>
      <c r="BH30" s="925">
        <f>TableauProduit[[#This Row],[Revenue brut N8]]-TableauProduit[[#This Row],[Achat plante / kg de melange N8]]-TableauProduit[[#This Row],[Conditionnement N8]]</f>
        <v/>
      </c>
      <c r="BI30" s="926" t="n">
        <v>180</v>
      </c>
      <c r="BJ30" s="927">
        <f>TableauProduit[[#This Row],[Poids (g) / unite]]*TableauProduit[[#This Row],[Objectif de vente en unite N9]]/1000</f>
        <v/>
      </c>
      <c r="BK30" s="928">
        <f>TableauProduit[[#This Row],[Objectif de vente en unite N9]]*TableauProduit[[#This Row],[Packaging / unite]]</f>
        <v/>
      </c>
      <c r="BL30" s="928">
        <f>TableauProduit[[#This Row],[Prix Achat de plante par kg]]*TableauProduit[[#This Row],[Total (kg) N9]]</f>
        <v/>
      </c>
      <c r="BM30" s="928">
        <f>TableauProduit[[#This Row],[Prix de vente/kg]]*TableauProduit[[#This Row],[Total (kg) N9]]</f>
        <v/>
      </c>
      <c r="BN30" s="927">
        <f>TableauProduit[[#This Row],[Revenue brut N9]]-TableauProduit[[#This Row],[Achat plante / kg de melange N9]]-TableauProduit[[#This Row],[Conditionnement N9]]</f>
        <v/>
      </c>
    </row>
    <row r="31">
      <c r="A31" s="13" t="inlineStr">
        <is>
          <t>Curry Madra</t>
        </is>
      </c>
      <c r="B31" s="54">
        <f>TableauProduit[[#This Row],[Recette]]&amp;TableauProduit[[#This Row],[Conditionnement]]</f>
        <v/>
      </c>
      <c r="C31" s="11" t="n">
        <v>1</v>
      </c>
      <c r="D31" s="11" t="n">
        <v>50</v>
      </c>
      <c r="E31" s="6" t="inlineStr">
        <is>
          <t>Epice 100ml</t>
        </is>
      </c>
      <c r="F31" s="7">
        <f>IFERROR(VLOOKUP(TableauProduit[[#This Row],[Conditionnement]],TableauConditionnement[[Nom]:[Contenance]],4,FALSE),"")</f>
        <v/>
      </c>
      <c r="G31" s="897">
        <f>IFERROR(SUMIFS(TableauRecette[Prix d''achat / kg],TableauRecette[Recette],TableauProduit[[#This Row],[Recette]],TableauRecette[Conditionnement],TableauProduit[[#This Row],[Conditionnement]]),0)</f>
        <v/>
      </c>
      <c r="H31" s="898" t="n">
        <v>4</v>
      </c>
      <c r="I31" s="899">
        <f>1000*TableauProduit[[#This Row],[Prix de vente/U]]/TableauProduit[[#This Row],[Poids (g) / unite]]</f>
        <v/>
      </c>
      <c r="J31" s="900">
        <f>SUMIFS(TableauConcurence[PRIX_KG],TableauConcurence[PRODUIT],TableauProduit[[#This Row],[Recette]],TableauConcurence[DISTRIBUTION],"magasin NON BIO")</f>
        <v/>
      </c>
      <c r="K31" s="901">
        <f>SUMIFS(TableauConcurence[PRIX_KG],TableauConcurence[PRODUIT],TableauProduit[[#This Row],[Recette]],TableauConcurence[DISTRIBUTION],"magasin BIO")</f>
        <v/>
      </c>
      <c r="L31" s="902">
        <f>SUMIFS(TableauConcurence[PRIX_KG],TableauConcurence[PRODUIT],TableauProduit[[#This Row],[Recette]],TableauConcurence[DISTRIBUTION],"artisanale BIO")</f>
        <v/>
      </c>
      <c r="M31" s="903" t="n">
        <v>180</v>
      </c>
      <c r="N31" s="904">
        <f>TableauProduit[[#This Row],[Poids (g) / unite]]*TableauProduit[[#This Row],[Objectif de vente en unite N1]]/1000</f>
        <v/>
      </c>
      <c r="O31" s="905">
        <f>TableauProduit[[#This Row],[Objectif de vente en unite N1]]*TableauProduit[[#This Row],[Packaging / unite]]</f>
        <v/>
      </c>
      <c r="P31" s="905">
        <f>TableauProduit[[#This Row],[Prix Achat de plante par kg]]*TableauProduit[[#This Row],[Total (kg) N1]]</f>
        <v/>
      </c>
      <c r="Q31" s="905">
        <f>TableauProduit[[#This Row],[Prix de vente/kg]]*TableauProduit[[#This Row],[Total (kg) N1]]</f>
        <v/>
      </c>
      <c r="R31" s="906">
        <f>TableauProduit[[#This Row],[Revenue brut N1]]-TableauProduit[[#This Row],[Achat par kg N1]]-TableauProduit[[#This Row],[Conditionnement N1]]</f>
        <v/>
      </c>
      <c r="S31" s="907" t="n">
        <v>180</v>
      </c>
      <c r="T31" s="908">
        <f>TableauProduit[[#This Row],[Poids (g) / unite]]*TableauProduit[[#This Row],[Objectif de vente en unite N2]]/1000</f>
        <v/>
      </c>
      <c r="U31" s="909">
        <f>TableauProduit[[#This Row],[Objectif de vente en unite N2]]*TableauProduit[[#This Row],[Packaging / unite]]</f>
        <v/>
      </c>
      <c r="V31" s="909">
        <f>TableauProduit[[#This Row],[Prix Achat de plante par kg]]*TableauProduit[[#This Row],[Total (kg) N2]]</f>
        <v/>
      </c>
      <c r="W31" s="909">
        <f>TableauProduit[[#This Row],[Prix de vente/kg]]*TableauProduit[[#This Row],[Total (kg) N2]]</f>
        <v/>
      </c>
      <c r="X31" s="910">
        <f>TableauProduit[[#This Row],[Revenue brut N2]]-TableauProduit[[#This Row],[Achat plante / kg de melange N2]]-TableauProduit[[#This Row],[Conditionnement N2]]</f>
        <v/>
      </c>
      <c r="Y31" s="911" t="n">
        <v>180</v>
      </c>
      <c r="Z31" s="912">
        <f>TableauProduit[[#This Row],[Poids (g) / unite]]*TableauProduit[[#This Row],[Objectif de vente en unite N3]]/1000</f>
        <v/>
      </c>
      <c r="AA31" s="913">
        <f>TableauProduit[[#This Row],[Objectif de vente en unite N3]]*TableauProduit[[#This Row],[Packaging / unite]]</f>
        <v/>
      </c>
      <c r="AB31" s="913">
        <f>TableauProduit[[#This Row],[Prix Achat de plante par kg]]*TableauProduit[[#This Row],[Total (kg) N3]]</f>
        <v/>
      </c>
      <c r="AC31" s="913">
        <f>TableauProduit[[#This Row],[Prix de vente/kg]]*TableauProduit[[#This Row],[Total (kg) N3]]</f>
        <v/>
      </c>
      <c r="AD31" s="914">
        <f>TableauProduit[[#This Row],[Revenue brut N3]]-TableauProduit[[#This Row],[Achat plante / kg de melange N3]]-TableauProduit[[#This Row],[Conditionnement N3]]</f>
        <v/>
      </c>
      <c r="AE31" s="915" t="n">
        <v>180</v>
      </c>
      <c r="AF31" s="915">
        <f>TableauProduit[[#This Row],[Poids (g) / unite]]*TableauProduit[[#This Row],[Objectif de vente en unite N4]]/1000</f>
        <v/>
      </c>
      <c r="AG31" s="916">
        <f>TableauProduit[[#This Row],[Objectif de vente en unite N4]]*TableauProduit[[#This Row],[Packaging / unite]]</f>
        <v/>
      </c>
      <c r="AH31" s="916">
        <f>TableauProduit[[#This Row],[Prix Achat de plante par kg]]*TableauProduit[[#This Row],[Total (kg) N4]]</f>
        <v/>
      </c>
      <c r="AI31" s="916">
        <f>TableauProduit[[#This Row],[Prix de vente/kg]]*TableauProduit[[#This Row],[Total (kg) N4]]</f>
        <v/>
      </c>
      <c r="AJ31" s="915">
        <f>TableauProduit[[#This Row],[Revenue brut N4]]-TableauProduit[[#This Row],[Achat plante / kg de melange N4]]-TableauProduit[[#This Row],[Conditionnement N4]]</f>
        <v/>
      </c>
      <c r="AK31" s="917" t="n">
        <v>180</v>
      </c>
      <c r="AL31" s="917">
        <f>TableauProduit[[#This Row],[Poids (g) / unite]]*TableauProduit[[#This Row],[Objectif de vente en unite N5]]/1000</f>
        <v/>
      </c>
      <c r="AM31" s="918">
        <f>TableauProduit[[#This Row],[Objectif de vente en unite N5]]*TableauProduit[[#This Row],[Packaging / unite]]</f>
        <v/>
      </c>
      <c r="AN31" s="918">
        <f>TableauProduit[[#This Row],[Prix Achat de plante par kg]]*TableauProduit[[#This Row],[Total (kg) N5]]</f>
        <v/>
      </c>
      <c r="AO31" s="918">
        <f>TableauProduit[[#This Row],[Prix de vente/kg]]*TableauProduit[[#This Row],[Total (kg) N5]]</f>
        <v/>
      </c>
      <c r="AP31" s="917">
        <f>TableauProduit[[#This Row],[Revenue brut N5]]-TableauProduit[[#This Row],[Achat plante / kg de melange N5]]-TableauProduit[[#This Row],[Conditionnement N5]]</f>
        <v/>
      </c>
      <c r="AQ31" s="919" t="n">
        <v>180</v>
      </c>
      <c r="AR31" s="919">
        <f>TableauProduit[[#This Row],[Poids (g) / unite]]*TableauProduit[[#This Row],[Objectif de vente en unite N6]]/1000</f>
        <v/>
      </c>
      <c r="AS31" s="920">
        <f>TableauProduit[[#This Row],[Objectif de vente en unite N6]]*TableauProduit[[#This Row],[Packaging / unite]]</f>
        <v/>
      </c>
      <c r="AT31" s="920">
        <f>TableauProduit[[#This Row],[Prix Achat de plante par kg]]*TableauProduit[[#This Row],[Total (kg) N6]]</f>
        <v/>
      </c>
      <c r="AU31" s="920">
        <f>TableauProduit[[#This Row],[Prix de vente/kg]]*TableauProduit[[#This Row],[Total (kg) N6]]</f>
        <v/>
      </c>
      <c r="AV31" s="919">
        <f>TableauProduit[[#This Row],[Revenue brut N6]]-TableauProduit[[#This Row],[Achat plante / kg de melange N6]]-TableauProduit[[#This Row],[Conditionnement N6]]</f>
        <v/>
      </c>
      <c r="AW31" s="904" t="n">
        <v>180</v>
      </c>
      <c r="AX31" s="904">
        <f>TableauProduit[[#This Row],[Poids (g) / unite]]*TableauProduit[[#This Row],[Objectif de vente en unite N7]]/1000</f>
        <v/>
      </c>
      <c r="AY31" s="905">
        <f>TableauProduit[[#This Row],[Objectif de vente en unite N7]]*TableauProduit[[#This Row],[Packaging / unite]]</f>
        <v/>
      </c>
      <c r="AZ31" s="905">
        <f>TableauProduit[[#This Row],[Prix Achat de plante par kg]]*TableauProduit[[#This Row],[Total (kg) N7]]</f>
        <v/>
      </c>
      <c r="BA31" s="905">
        <f>TableauProduit[[#This Row],[Prix de vente/kg]]*TableauProduit[[#This Row],[Total (kg) N7]]</f>
        <v/>
      </c>
      <c r="BB31" s="921">
        <f>TableauProduit[[#This Row],[Revenue brut N7]]-TableauProduit[[#This Row],[Achat plante / kg de melange N7]]-TableauProduit[[#This Row],[Conditionnement N7]]</f>
        <v/>
      </c>
      <c r="BC31" s="922" t="n">
        <v>180</v>
      </c>
      <c r="BD31" s="923">
        <f>TableauProduit[[#This Row],[Poids (g) / unite]]*TableauProduit[[#This Row],[Objectif de vente en unite N8]]/1000</f>
        <v/>
      </c>
      <c r="BE31" s="924">
        <f>TableauProduit[[#This Row],[Objectif de vente en unite N8]]*TableauProduit[[#This Row],[Packaging / unite]]</f>
        <v/>
      </c>
      <c r="BF31" s="924">
        <f>TableauProduit[[#This Row],[Prix Achat de plante par kg]]*TableauProduit[[#This Row],[Total (kg) N8]]</f>
        <v/>
      </c>
      <c r="BG31" s="924">
        <f>TableauProduit[[#This Row],[Prix de vente/kg]]*TableauProduit[[#This Row],[Total (kg) N8]]</f>
        <v/>
      </c>
      <c r="BH31" s="925">
        <f>TableauProduit[[#This Row],[Revenue brut N8]]-TableauProduit[[#This Row],[Achat plante / kg de melange N8]]-TableauProduit[[#This Row],[Conditionnement N8]]</f>
        <v/>
      </c>
      <c r="BI31" s="926" t="n">
        <v>180</v>
      </c>
      <c r="BJ31" s="927">
        <f>TableauProduit[[#This Row],[Poids (g) / unite]]*TableauProduit[[#This Row],[Objectif de vente en unite N9]]/1000</f>
        <v/>
      </c>
      <c r="BK31" s="928">
        <f>TableauProduit[[#This Row],[Objectif de vente en unite N9]]*TableauProduit[[#This Row],[Packaging / unite]]</f>
        <v/>
      </c>
      <c r="BL31" s="928">
        <f>TableauProduit[[#This Row],[Prix Achat de plante par kg]]*TableauProduit[[#This Row],[Total (kg) N9]]</f>
        <v/>
      </c>
      <c r="BM31" s="928">
        <f>TableauProduit[[#This Row],[Prix de vente/kg]]*TableauProduit[[#This Row],[Total (kg) N9]]</f>
        <v/>
      </c>
      <c r="BN31" s="927">
        <f>TableauProduit[[#This Row],[Revenue brut N9]]-TableauProduit[[#This Row],[Achat plante / kg de melange N9]]-TableauProduit[[#This Row],[Conditionnement N9]]</f>
        <v/>
      </c>
    </row>
    <row r="32">
      <c r="A32" s="553" t="inlineStr">
        <is>
          <t>Cornichons aigres-doux</t>
        </is>
      </c>
      <c r="B32" s="54">
        <f>TableauProduit[[#This Row],[Recette]]&amp;TableauProduit[[#This Row],[Conditionnement]]</f>
        <v/>
      </c>
      <c r="C32" s="11" t="n">
        <v>1.5</v>
      </c>
      <c r="D32" s="11" t="n">
        <v>900</v>
      </c>
      <c r="E32" s="6" t="inlineStr">
        <is>
          <t>Cornichon doux</t>
        </is>
      </c>
      <c r="F32" s="7">
        <f>IFERROR(VLOOKUP(TableauProduit[[#This Row],[Conditionnement]],TableauConditionnement[[Nom]:[Contenance]],4,FALSE),"")</f>
        <v/>
      </c>
      <c r="G32" s="897">
        <f>IFERROR(SUMIFS(TableauRecette[Prix d''achat / kg],TableauRecette[Recette],TableauProduit[[#This Row],[Recette]],TableauRecette[Conditionnement],TableauProduit[[#This Row],[Conditionnement]]),0)</f>
        <v/>
      </c>
      <c r="H32" s="957" t="n">
        <v>7</v>
      </c>
      <c r="I32" s="899">
        <f>1000*TableauProduit[[#This Row],[Prix de vente/U]]/TableauProduit[[#This Row],[Poids (g) / unite]]</f>
        <v/>
      </c>
      <c r="J32" s="900">
        <f>SUMIFS(TableauConcurence[PRIX_KG],TableauConcurence[PRODUIT],TableauProduit[[#This Row],[Recette]],TableauConcurence[DISTRIBUTION],"magasin NON BIO")</f>
        <v/>
      </c>
      <c r="K32" s="958">
        <f>SUMIFS(TableauConcurence[PRIX_KG],TableauConcurence[PRODUIT],TableauProduit[[#This Row],[Recette]],TableauConcurence[DISTRIBUTION],"magasin BIO")</f>
        <v/>
      </c>
      <c r="L32" s="959">
        <f>SUMIFS(TableauConcurence[PRIX_KG],TableauConcurence[PRODUIT],TableauProduit[[#This Row],[Recette]],TableauConcurence[DISTRIBUTION],"artisanale BIO")</f>
        <v/>
      </c>
      <c r="M32" s="903" t="n">
        <v>150</v>
      </c>
      <c r="N32" s="904">
        <f>TableauProduit[[#This Row],[Poids (g) / unite]]*TableauProduit[[#This Row],[Objectif de vente en unite N1]]/1000</f>
        <v/>
      </c>
      <c r="O32" s="905">
        <f>TableauProduit[[#This Row],[Objectif de vente en unite N1]]*TableauProduit[[#This Row],[Packaging / unite]]</f>
        <v/>
      </c>
      <c r="P32" s="905">
        <f>TableauProduit[[#This Row],[Prix Achat de plante par kg]]*TableauProduit[[#This Row],[Total (kg) N1]]</f>
        <v/>
      </c>
      <c r="Q32" s="905">
        <f>TableauProduit[[#This Row],[Prix de vente/kg]]*TableauProduit[[#This Row],[Total (kg) N1]]</f>
        <v/>
      </c>
      <c r="R32" s="906">
        <f>TableauProduit[[#This Row],[Revenue brut N1]]-TableauProduit[[#This Row],[Achat par kg N1]]-TableauProduit[[#This Row],[Conditionnement N1]]</f>
        <v/>
      </c>
      <c r="S32" s="907" t="n"/>
      <c r="T32" s="908">
        <f>TableauProduit[[#This Row],[Poids (g) / unite]]*TableauProduit[[#This Row],[Objectif de vente en unite N2]]/1000</f>
        <v/>
      </c>
      <c r="U32" s="909">
        <f>TableauProduit[[#This Row],[Objectif de vente en unite N2]]*TableauProduit[[#This Row],[Packaging / unite]]</f>
        <v/>
      </c>
      <c r="V32" s="909">
        <f>TableauProduit[[#This Row],[Prix Achat de plante par kg]]*TableauProduit[[#This Row],[Total (kg) N2]]</f>
        <v/>
      </c>
      <c r="W32" s="909">
        <f>TableauProduit[[#This Row],[Prix de vente/kg]]*TableauProduit[[#This Row],[Total (kg) N2]]</f>
        <v/>
      </c>
      <c r="X32" s="910">
        <f>TableauProduit[[#This Row],[Revenue brut N2]]-TableauProduit[[#This Row],[Achat plante / kg de melange N2]]-TableauProduit[[#This Row],[Conditionnement N2]]</f>
        <v/>
      </c>
      <c r="Y32" s="911" t="n"/>
      <c r="Z32" s="912">
        <f>TableauProduit[[#This Row],[Poids (g) / unite]]*TableauProduit[[#This Row],[Objectif de vente en unite N3]]/1000</f>
        <v/>
      </c>
      <c r="AA32" s="913">
        <f>TableauProduit[[#This Row],[Objectif de vente en unite N3]]*TableauProduit[[#This Row],[Packaging / unite]]</f>
        <v/>
      </c>
      <c r="AB32" s="913">
        <f>TableauProduit[[#This Row],[Prix Achat de plante par kg]]*TableauProduit[[#This Row],[Total (kg) N3]]</f>
        <v/>
      </c>
      <c r="AC32" s="913">
        <f>TableauProduit[[#This Row],[Prix de vente/kg]]*TableauProduit[[#This Row],[Total (kg) N3]]</f>
        <v/>
      </c>
      <c r="AD32" s="914">
        <f>TableauProduit[[#This Row],[Revenue brut N3]]-TableauProduit[[#This Row],[Achat plante / kg de melange N3]]-TableauProduit[[#This Row],[Conditionnement N3]]</f>
        <v/>
      </c>
      <c r="AE32" s="915" t="n"/>
      <c r="AF32" s="915">
        <f>TableauProduit[[#This Row],[Poids (g) / unite]]*TableauProduit[[#This Row],[Objectif de vente en unite N4]]/1000</f>
        <v/>
      </c>
      <c r="AG32" s="916">
        <f>TableauProduit[[#This Row],[Objectif de vente en unite N4]]*TableauProduit[[#This Row],[Packaging / unite]]</f>
        <v/>
      </c>
      <c r="AH32" s="916">
        <f>TableauProduit[[#This Row],[Prix Achat de plante par kg]]*TableauProduit[[#This Row],[Total (kg) N4]]</f>
        <v/>
      </c>
      <c r="AI32" s="916">
        <f>TableauProduit[[#This Row],[Prix de vente/kg]]*TableauProduit[[#This Row],[Total (kg) N4]]</f>
        <v/>
      </c>
      <c r="AJ32" s="915">
        <f>TableauProduit[[#This Row],[Revenue brut N4]]-TableauProduit[[#This Row],[Achat plante / kg de melange N4]]-TableauProduit[[#This Row],[Conditionnement N4]]</f>
        <v/>
      </c>
      <c r="AK32" s="917" t="n"/>
      <c r="AL32" s="917">
        <f>TableauProduit[[#This Row],[Poids (g) / unite]]*TableauProduit[[#This Row],[Objectif de vente en unite N5]]/1000</f>
        <v/>
      </c>
      <c r="AM32" s="918">
        <f>TableauProduit[[#This Row],[Objectif de vente en unite N5]]*TableauProduit[[#This Row],[Packaging / unite]]</f>
        <v/>
      </c>
      <c r="AN32" s="918">
        <f>TableauProduit[[#This Row],[Prix Achat de plante par kg]]*TableauProduit[[#This Row],[Total (kg) N5]]</f>
        <v/>
      </c>
      <c r="AO32" s="918">
        <f>TableauProduit[[#This Row],[Prix de vente/kg]]*TableauProduit[[#This Row],[Total (kg) N5]]</f>
        <v/>
      </c>
      <c r="AP32" s="917">
        <f>TableauProduit[[#This Row],[Revenue brut N5]]-TableauProduit[[#This Row],[Achat plante / kg de melange N5]]-TableauProduit[[#This Row],[Conditionnement N5]]</f>
        <v/>
      </c>
      <c r="AQ32" s="919" t="n"/>
      <c r="AR32" s="919">
        <f>TableauProduit[[#This Row],[Poids (g) / unite]]*TableauProduit[[#This Row],[Objectif de vente en unite N6]]/1000</f>
        <v/>
      </c>
      <c r="AS32" s="920">
        <f>TableauProduit[[#This Row],[Objectif de vente en unite N6]]*TableauProduit[[#This Row],[Packaging / unite]]</f>
        <v/>
      </c>
      <c r="AT32" s="920">
        <f>TableauProduit[[#This Row],[Prix Achat de plante par kg]]*TableauProduit[[#This Row],[Total (kg) N6]]</f>
        <v/>
      </c>
      <c r="AU32" s="920">
        <f>TableauProduit[[#This Row],[Prix de vente/kg]]*TableauProduit[[#This Row],[Total (kg) N6]]</f>
        <v/>
      </c>
      <c r="AV32" s="919">
        <f>TableauProduit[[#This Row],[Revenue brut N6]]-TableauProduit[[#This Row],[Achat plante / kg de melange N6]]-TableauProduit[[#This Row],[Conditionnement N6]]</f>
        <v/>
      </c>
      <c r="AW32" s="904" t="n"/>
      <c r="AX32" s="904">
        <f>TableauProduit[[#This Row],[Poids (g) / unite]]*TableauProduit[[#This Row],[Objectif de vente en unite N7]]/1000</f>
        <v/>
      </c>
      <c r="AY32" s="905">
        <f>TableauProduit[[#This Row],[Objectif de vente en unite N7]]*TableauProduit[[#This Row],[Packaging / unite]]</f>
        <v/>
      </c>
      <c r="AZ32" s="905">
        <f>TableauProduit[[#This Row],[Prix Achat de plante par kg]]*TableauProduit[[#This Row],[Total (kg) N7]]</f>
        <v/>
      </c>
      <c r="BA32" s="905">
        <f>TableauProduit[[#This Row],[Prix de vente/kg]]*TableauProduit[[#This Row],[Total (kg) N7]]</f>
        <v/>
      </c>
      <c r="BB32" s="921">
        <f>TableauProduit[[#This Row],[Revenue brut N7]]-TableauProduit[[#This Row],[Achat plante / kg de melange N7]]-TableauProduit[[#This Row],[Conditionnement N7]]</f>
        <v/>
      </c>
      <c r="BC32" s="922" t="n"/>
      <c r="BD32" s="923">
        <f>TableauProduit[[#This Row],[Poids (g) / unite]]*TableauProduit[[#This Row],[Objectif de vente en unite N8]]/1000</f>
        <v/>
      </c>
      <c r="BE32" s="924">
        <f>TableauProduit[[#This Row],[Objectif de vente en unite N8]]*TableauProduit[[#This Row],[Packaging / unite]]</f>
        <v/>
      </c>
      <c r="BF32" s="924">
        <f>TableauProduit[[#This Row],[Prix Achat de plante par kg]]*TableauProduit[[#This Row],[Total (kg) N8]]</f>
        <v/>
      </c>
      <c r="BG32" s="924">
        <f>TableauProduit[[#This Row],[Prix de vente/kg]]*TableauProduit[[#This Row],[Total (kg) N8]]</f>
        <v/>
      </c>
      <c r="BH32" s="925">
        <f>TableauProduit[[#This Row],[Revenue brut N8]]-TableauProduit[[#This Row],[Achat plante / kg de melange N8]]-TableauProduit[[#This Row],[Conditionnement N8]]</f>
        <v/>
      </c>
      <c r="BI32" s="926" t="n"/>
      <c r="BJ32" s="927">
        <f>TableauProduit[[#This Row],[Poids (g) / unite]]*TableauProduit[[#This Row],[Objectif de vente en unite N9]]/1000</f>
        <v/>
      </c>
      <c r="BK32" s="928">
        <f>TableauProduit[[#This Row],[Objectif de vente en unite N9]]*TableauProduit[[#This Row],[Packaging / unite]]</f>
        <v/>
      </c>
      <c r="BL32" s="928">
        <f>TableauProduit[[#This Row],[Prix Achat de plante par kg]]*TableauProduit[[#This Row],[Total (kg) N9]]</f>
        <v/>
      </c>
      <c r="BM32" s="928">
        <f>TableauProduit[[#This Row],[Prix de vente/kg]]*TableauProduit[[#This Row],[Total (kg) N9]]</f>
        <v/>
      </c>
      <c r="BN32" s="927">
        <f>TableauProduit[[#This Row],[Revenue brut N9]]-TableauProduit[[#This Row],[Achat plante / kg de melange N9]]-TableauProduit[[#This Row],[Conditionnement N9]]</f>
        <v/>
      </c>
    </row>
    <row r="33">
      <c r="A33" s="13" t="inlineStr">
        <is>
          <t>Tabasco violet fort</t>
        </is>
      </c>
      <c r="B33" s="54">
        <f>TableauProduit[[#This Row],[Recette]]&amp;TableauProduit[[#This Row],[Conditionnement]]</f>
        <v/>
      </c>
      <c r="C33" s="11" t="n">
        <v>1</v>
      </c>
      <c r="D33" s="11" t="n">
        <v>100</v>
      </c>
      <c r="E33" s="6" t="inlineStr">
        <is>
          <t>Epice 100ml</t>
        </is>
      </c>
      <c r="F33" s="7">
        <f>IFERROR(VLOOKUP(TableauProduit[[#This Row],[Conditionnement]],TableauConditionnement[[Nom]:[Contenance]],4,FALSE),"")</f>
        <v/>
      </c>
      <c r="G33" s="897">
        <f>IFERROR(SUMIFS(TableauRecette[Prix d''achat / kg],TableauRecette[Recette],TableauProduit[[#This Row],[Recette]],TableauRecette[Conditionnement],TableauProduit[[#This Row],[Conditionnement]]),0)</f>
        <v/>
      </c>
      <c r="H33" s="898" t="n">
        <v>2.9</v>
      </c>
      <c r="I33" s="899">
        <f>1000*TableauProduit[[#This Row],[Prix de vente/U]]/TableauProduit[[#This Row],[Poids (g) / unite]]</f>
        <v/>
      </c>
      <c r="J33" s="900">
        <f>SUMIFS(TableauConcurence[PRIX_KG],TableauConcurence[PRODUIT],TableauProduit[[#This Row],[Recette]],TableauConcurence[DISTRIBUTION],"magasin NON BIO")</f>
        <v/>
      </c>
      <c r="K33" s="901">
        <f>SUMIFS(TableauConcurence[PRIX_KG],TableauConcurence[PRODUIT],TableauProduit[[#This Row],[Recette]],TableauConcurence[DISTRIBUTION],"magasin BIO")</f>
        <v/>
      </c>
      <c r="L33" s="902">
        <f>SUMIFS(TableauConcurence[PRIX_KG],TableauConcurence[PRODUIT],TableauProduit[[#This Row],[Recette]],TableauConcurence[DISTRIBUTION],"artisanale BIO")</f>
        <v/>
      </c>
      <c r="M33" s="903" t="n">
        <v>90</v>
      </c>
      <c r="N33" s="904">
        <f>TableauProduit[[#This Row],[Poids (g) / unite]]*TableauProduit[[#This Row],[Objectif de vente en unite N1]]/1000</f>
        <v/>
      </c>
      <c r="O33" s="905">
        <f>TableauProduit[[#This Row],[Objectif de vente en unite N1]]*TableauProduit[[#This Row],[Packaging / unite]]</f>
        <v/>
      </c>
      <c r="P33" s="905">
        <f>TableauProduit[[#This Row],[Prix Achat de plante par kg]]*TableauProduit[[#This Row],[Total (kg) N1]]</f>
        <v/>
      </c>
      <c r="Q33" s="905">
        <f>TableauProduit[[#This Row],[Prix de vente/kg]]*TableauProduit[[#This Row],[Total (kg) N1]]</f>
        <v/>
      </c>
      <c r="R33" s="906">
        <f>TableauProduit[[#This Row],[Revenue brut N1]]-TableauProduit[[#This Row],[Achat par kg N1]]-TableauProduit[[#This Row],[Conditionnement N1]]</f>
        <v/>
      </c>
      <c r="S33" s="907" t="n">
        <v>90</v>
      </c>
      <c r="T33" s="908">
        <f>TableauProduit[[#This Row],[Poids (g) / unite]]*TableauProduit[[#This Row],[Objectif de vente en unite N2]]/1000</f>
        <v/>
      </c>
      <c r="U33" s="909">
        <f>TableauProduit[[#This Row],[Objectif de vente en unite N2]]*TableauProduit[[#This Row],[Packaging / unite]]</f>
        <v/>
      </c>
      <c r="V33" s="909">
        <f>TableauProduit[[#This Row],[Prix Achat de plante par kg]]*TableauProduit[[#This Row],[Total (kg) N2]]</f>
        <v/>
      </c>
      <c r="W33" s="909">
        <f>TableauProduit[[#This Row],[Prix de vente/kg]]*TableauProduit[[#This Row],[Total (kg) N2]]</f>
        <v/>
      </c>
      <c r="X33" s="910">
        <f>TableauProduit[[#This Row],[Revenue brut N2]]-TableauProduit[[#This Row],[Achat plante / kg de melange N2]]-TableauProduit[[#This Row],[Conditionnement N2]]</f>
        <v/>
      </c>
      <c r="Y33" s="911" t="n">
        <v>90</v>
      </c>
      <c r="Z33" s="912">
        <f>TableauProduit[[#This Row],[Poids (g) / unite]]*TableauProduit[[#This Row],[Objectif de vente en unite N3]]/1000</f>
        <v/>
      </c>
      <c r="AA33" s="913">
        <f>TableauProduit[[#This Row],[Objectif de vente en unite N3]]*TableauProduit[[#This Row],[Packaging / unite]]</f>
        <v/>
      </c>
      <c r="AB33" s="913">
        <f>TableauProduit[[#This Row],[Prix Achat de plante par kg]]*TableauProduit[[#This Row],[Total (kg) N3]]</f>
        <v/>
      </c>
      <c r="AC33" s="913">
        <f>TableauProduit[[#This Row],[Prix de vente/kg]]*TableauProduit[[#This Row],[Total (kg) N3]]</f>
        <v/>
      </c>
      <c r="AD33" s="914">
        <f>TableauProduit[[#This Row],[Revenue brut N3]]-TableauProduit[[#This Row],[Achat plante / kg de melange N3]]-TableauProduit[[#This Row],[Conditionnement N3]]</f>
        <v/>
      </c>
      <c r="AE33" s="915" t="n">
        <v>90</v>
      </c>
      <c r="AF33" s="915">
        <f>TableauProduit[[#This Row],[Poids (g) / unite]]*TableauProduit[[#This Row],[Objectif de vente en unite N4]]/1000</f>
        <v/>
      </c>
      <c r="AG33" s="916">
        <f>TableauProduit[[#This Row],[Objectif de vente en unite N4]]*TableauProduit[[#This Row],[Packaging / unite]]</f>
        <v/>
      </c>
      <c r="AH33" s="916">
        <f>TableauProduit[[#This Row],[Prix Achat de plante par kg]]*TableauProduit[[#This Row],[Total (kg) N4]]</f>
        <v/>
      </c>
      <c r="AI33" s="916">
        <f>TableauProduit[[#This Row],[Prix de vente/kg]]*TableauProduit[[#This Row],[Total (kg) N4]]</f>
        <v/>
      </c>
      <c r="AJ33" s="915">
        <f>TableauProduit[[#This Row],[Revenue brut N4]]-TableauProduit[[#This Row],[Achat plante / kg de melange N4]]-TableauProduit[[#This Row],[Conditionnement N4]]</f>
        <v/>
      </c>
      <c r="AK33" s="917" t="n">
        <v>90</v>
      </c>
      <c r="AL33" s="917">
        <f>TableauProduit[[#This Row],[Poids (g) / unite]]*TableauProduit[[#This Row],[Objectif de vente en unite N5]]/1000</f>
        <v/>
      </c>
      <c r="AM33" s="918">
        <f>TableauProduit[[#This Row],[Objectif de vente en unite N5]]*TableauProduit[[#This Row],[Packaging / unite]]</f>
        <v/>
      </c>
      <c r="AN33" s="918">
        <f>TableauProduit[[#This Row],[Prix Achat de plante par kg]]*TableauProduit[[#This Row],[Total (kg) N5]]</f>
        <v/>
      </c>
      <c r="AO33" s="918">
        <f>TableauProduit[[#This Row],[Prix de vente/kg]]*TableauProduit[[#This Row],[Total (kg) N5]]</f>
        <v/>
      </c>
      <c r="AP33" s="917">
        <f>TableauProduit[[#This Row],[Revenue brut N5]]-TableauProduit[[#This Row],[Achat plante / kg de melange N5]]-TableauProduit[[#This Row],[Conditionnement N5]]</f>
        <v/>
      </c>
      <c r="AQ33" s="919" t="n">
        <v>90</v>
      </c>
      <c r="AR33" s="919">
        <f>TableauProduit[[#This Row],[Poids (g) / unite]]*TableauProduit[[#This Row],[Objectif de vente en unite N6]]/1000</f>
        <v/>
      </c>
      <c r="AS33" s="920">
        <f>TableauProduit[[#This Row],[Objectif de vente en unite N6]]*TableauProduit[[#This Row],[Packaging / unite]]</f>
        <v/>
      </c>
      <c r="AT33" s="920">
        <f>TableauProduit[[#This Row],[Prix Achat de plante par kg]]*TableauProduit[[#This Row],[Total (kg) N6]]</f>
        <v/>
      </c>
      <c r="AU33" s="920">
        <f>TableauProduit[[#This Row],[Prix de vente/kg]]*TableauProduit[[#This Row],[Total (kg) N6]]</f>
        <v/>
      </c>
      <c r="AV33" s="919">
        <f>TableauProduit[[#This Row],[Revenue brut N6]]-TableauProduit[[#This Row],[Achat plante / kg de melange N6]]-TableauProduit[[#This Row],[Conditionnement N6]]</f>
        <v/>
      </c>
      <c r="AW33" s="904" t="n">
        <v>90</v>
      </c>
      <c r="AX33" s="904">
        <f>TableauProduit[[#This Row],[Poids (g) / unite]]*TableauProduit[[#This Row],[Objectif de vente en unite N7]]/1000</f>
        <v/>
      </c>
      <c r="AY33" s="905">
        <f>TableauProduit[[#This Row],[Objectif de vente en unite N7]]*TableauProduit[[#This Row],[Packaging / unite]]</f>
        <v/>
      </c>
      <c r="AZ33" s="905">
        <f>TableauProduit[[#This Row],[Prix Achat de plante par kg]]*TableauProduit[[#This Row],[Total (kg) N7]]</f>
        <v/>
      </c>
      <c r="BA33" s="905">
        <f>TableauProduit[[#This Row],[Prix de vente/kg]]*TableauProduit[[#This Row],[Total (kg) N7]]</f>
        <v/>
      </c>
      <c r="BB33" s="921">
        <f>TableauProduit[[#This Row],[Revenue brut N7]]-TableauProduit[[#This Row],[Achat plante / kg de melange N7]]-TableauProduit[[#This Row],[Conditionnement N7]]</f>
        <v/>
      </c>
      <c r="BC33" s="922" t="n">
        <v>90</v>
      </c>
      <c r="BD33" s="923">
        <f>TableauProduit[[#This Row],[Poids (g) / unite]]*TableauProduit[[#This Row],[Objectif de vente en unite N8]]/1000</f>
        <v/>
      </c>
      <c r="BE33" s="924">
        <f>TableauProduit[[#This Row],[Objectif de vente en unite N8]]*TableauProduit[[#This Row],[Packaging / unite]]</f>
        <v/>
      </c>
      <c r="BF33" s="924">
        <f>TableauProduit[[#This Row],[Prix Achat de plante par kg]]*TableauProduit[[#This Row],[Total (kg) N8]]</f>
        <v/>
      </c>
      <c r="BG33" s="924">
        <f>TableauProduit[[#This Row],[Prix de vente/kg]]*TableauProduit[[#This Row],[Total (kg) N8]]</f>
        <v/>
      </c>
      <c r="BH33" s="925">
        <f>TableauProduit[[#This Row],[Revenue brut N8]]-TableauProduit[[#This Row],[Achat plante / kg de melange N8]]-TableauProduit[[#This Row],[Conditionnement N8]]</f>
        <v/>
      </c>
      <c r="BI33" s="926" t="n">
        <v>90</v>
      </c>
      <c r="BJ33" s="927">
        <f>TableauProduit[[#This Row],[Poids (g) / unite]]*TableauProduit[[#This Row],[Objectif de vente en unite N9]]/1000</f>
        <v/>
      </c>
      <c r="BK33" s="928">
        <f>TableauProduit[[#This Row],[Objectif de vente en unite N9]]*TableauProduit[[#This Row],[Packaging / unite]]</f>
        <v/>
      </c>
      <c r="BL33" s="928">
        <f>TableauProduit[[#This Row],[Prix Achat de plante par kg]]*TableauProduit[[#This Row],[Total (kg) N9]]</f>
        <v/>
      </c>
      <c r="BM33" s="928">
        <f>TableauProduit[[#This Row],[Prix de vente/kg]]*TableauProduit[[#This Row],[Total (kg) N9]]</f>
        <v/>
      </c>
      <c r="BN33" s="927">
        <f>TableauProduit[[#This Row],[Revenue brut N9]]-TableauProduit[[#This Row],[Achat plante / kg de melange N9]]-TableauProduit[[#This Row],[Conditionnement N9]]</f>
        <v/>
      </c>
    </row>
    <row r="34">
      <c r="A34" s="13" t="inlineStr">
        <is>
          <t>Panch phoron</t>
        </is>
      </c>
      <c r="B34" s="54">
        <f>TableauProduit[[#This Row],[Recette]]&amp;TableauProduit[[#This Row],[Conditionnement]]</f>
        <v/>
      </c>
      <c r="C34" s="11" t="n">
        <v>1</v>
      </c>
      <c r="D34" s="11" t="n">
        <v>65</v>
      </c>
      <c r="E34" s="6" t="inlineStr">
        <is>
          <t>Epice 100ml</t>
        </is>
      </c>
      <c r="F34" s="7">
        <f>IFERROR(VLOOKUP(TableauProduit[[#This Row],[Conditionnement]],TableauConditionnement[[Nom]:[Contenance]],4,FALSE),"")</f>
        <v/>
      </c>
      <c r="G34" s="897">
        <f>IFERROR(SUMIFS(TableauRecette[Prix d''achat / kg],TableauRecette[Recette],TableauProduit[[#This Row],[Recette]],TableauRecette[Conditionnement],TableauProduit[[#This Row],[Conditionnement]]),0)</f>
        <v/>
      </c>
      <c r="H34" s="898" t="n">
        <v>5</v>
      </c>
      <c r="I34" s="899">
        <f>1000*TableauProduit[[#This Row],[Prix de vente/U]]/TableauProduit[[#This Row],[Poids (g) / unite]]</f>
        <v/>
      </c>
      <c r="J34" s="900">
        <f>SUMIFS(TableauConcurence[PRIX_KG],TableauConcurence[PRODUIT],TableauProduit[[#This Row],[Recette]],TableauConcurence[DISTRIBUTION],"magasin NON BIO")</f>
        <v/>
      </c>
      <c r="K34" s="901">
        <f>SUMIFS(TableauConcurence[PRIX_KG],TableauConcurence[PRODUIT],TableauProduit[[#This Row],[Recette]],TableauConcurence[DISTRIBUTION],"magasin BIO")</f>
        <v/>
      </c>
      <c r="L34" s="902">
        <f>SUMIFS(TableauConcurence[PRIX_KG],TableauConcurence[PRODUIT],TableauProduit[[#This Row],[Recette]],TableauConcurence[DISTRIBUTION],"artisanale BIO")</f>
        <v/>
      </c>
      <c r="M34" s="903" t="n">
        <v>0</v>
      </c>
      <c r="N34" s="904">
        <f>TableauProduit[[#This Row],[Poids (g) / unite]]*TableauProduit[[#This Row],[Objectif de vente en unite N1]]/1000</f>
        <v/>
      </c>
      <c r="O34" s="905">
        <f>TableauProduit[[#This Row],[Objectif de vente en unite N1]]*TableauProduit[[#This Row],[Packaging / unite]]</f>
        <v/>
      </c>
      <c r="P34" s="905">
        <f>TableauProduit[[#This Row],[Prix Achat de plante par kg]]*TableauProduit[[#This Row],[Total (kg) N1]]</f>
        <v/>
      </c>
      <c r="Q34" s="905">
        <f>TableauProduit[[#This Row],[Prix de vente/kg]]*TableauProduit[[#This Row],[Total (kg) N1]]</f>
        <v/>
      </c>
      <c r="R34" s="906">
        <f>TableauProduit[[#This Row],[Revenue brut N1]]-TableauProduit[[#This Row],[Achat par kg N1]]-TableauProduit[[#This Row],[Conditionnement N1]]</f>
        <v/>
      </c>
      <c r="S34" s="907" t="n">
        <v>0</v>
      </c>
      <c r="T34" s="908">
        <f>TableauProduit[[#This Row],[Poids (g) / unite]]*TableauProduit[[#This Row],[Objectif de vente en unite N2]]/1000</f>
        <v/>
      </c>
      <c r="U34" s="909">
        <f>TableauProduit[[#This Row],[Objectif de vente en unite N2]]*TableauProduit[[#This Row],[Packaging / unite]]</f>
        <v/>
      </c>
      <c r="V34" s="909">
        <f>TableauProduit[[#This Row],[Prix Achat de plante par kg]]*TableauProduit[[#This Row],[Total (kg) N2]]</f>
        <v/>
      </c>
      <c r="W34" s="909">
        <f>TableauProduit[[#This Row],[Prix de vente/kg]]*TableauProduit[[#This Row],[Total (kg) N2]]</f>
        <v/>
      </c>
      <c r="X34" s="910">
        <f>TableauProduit[[#This Row],[Revenue brut N2]]-TableauProduit[[#This Row],[Achat plante / kg de melange N2]]-TableauProduit[[#This Row],[Conditionnement N2]]</f>
        <v/>
      </c>
      <c r="Y34" s="911" t="n">
        <v>0</v>
      </c>
      <c r="Z34" s="912">
        <f>TableauProduit[[#This Row],[Poids (g) / unite]]*TableauProduit[[#This Row],[Objectif de vente en unite N3]]/1000</f>
        <v/>
      </c>
      <c r="AA34" s="913">
        <f>TableauProduit[[#This Row],[Objectif de vente en unite N3]]*TableauProduit[[#This Row],[Packaging / unite]]</f>
        <v/>
      </c>
      <c r="AB34" s="913">
        <f>TableauProduit[[#This Row],[Prix Achat de plante par kg]]*TableauProduit[[#This Row],[Total (kg) N3]]</f>
        <v/>
      </c>
      <c r="AC34" s="913">
        <f>TableauProduit[[#This Row],[Prix de vente/kg]]*TableauProduit[[#This Row],[Total (kg) N3]]</f>
        <v/>
      </c>
      <c r="AD34" s="914">
        <f>TableauProduit[[#This Row],[Revenue brut N3]]-TableauProduit[[#This Row],[Achat plante / kg de melange N3]]-TableauProduit[[#This Row],[Conditionnement N3]]</f>
        <v/>
      </c>
      <c r="AE34" s="915" t="n">
        <v>0</v>
      </c>
      <c r="AF34" s="915">
        <f>TableauProduit[[#This Row],[Poids (g) / unite]]*TableauProduit[[#This Row],[Objectif de vente en unite N4]]/1000</f>
        <v/>
      </c>
      <c r="AG34" s="916">
        <f>TableauProduit[[#This Row],[Objectif de vente en unite N4]]*TableauProduit[[#This Row],[Packaging / unite]]</f>
        <v/>
      </c>
      <c r="AH34" s="916">
        <f>TableauProduit[[#This Row],[Prix Achat de plante par kg]]*TableauProduit[[#This Row],[Total (kg) N4]]</f>
        <v/>
      </c>
      <c r="AI34" s="916">
        <f>TableauProduit[[#This Row],[Prix de vente/kg]]*TableauProduit[[#This Row],[Total (kg) N4]]</f>
        <v/>
      </c>
      <c r="AJ34" s="915">
        <f>TableauProduit[[#This Row],[Revenue brut N4]]-TableauProduit[[#This Row],[Achat plante / kg de melange N4]]-TableauProduit[[#This Row],[Conditionnement N4]]</f>
        <v/>
      </c>
      <c r="AK34" s="917" t="n">
        <v>0</v>
      </c>
      <c r="AL34" s="917">
        <f>TableauProduit[[#This Row],[Poids (g) / unite]]*TableauProduit[[#This Row],[Objectif de vente en unite N5]]/1000</f>
        <v/>
      </c>
      <c r="AM34" s="918">
        <f>TableauProduit[[#This Row],[Objectif de vente en unite N5]]*TableauProduit[[#This Row],[Packaging / unite]]</f>
        <v/>
      </c>
      <c r="AN34" s="918">
        <f>TableauProduit[[#This Row],[Prix Achat de plante par kg]]*TableauProduit[[#This Row],[Total (kg) N5]]</f>
        <v/>
      </c>
      <c r="AO34" s="918">
        <f>TableauProduit[[#This Row],[Prix de vente/kg]]*TableauProduit[[#This Row],[Total (kg) N5]]</f>
        <v/>
      </c>
      <c r="AP34" s="917">
        <f>TableauProduit[[#This Row],[Revenue brut N5]]-TableauProduit[[#This Row],[Achat plante / kg de melange N5]]-TableauProduit[[#This Row],[Conditionnement N5]]</f>
        <v/>
      </c>
      <c r="AQ34" s="919" t="n">
        <v>0</v>
      </c>
      <c r="AR34" s="919">
        <f>TableauProduit[[#This Row],[Poids (g) / unite]]*TableauProduit[[#This Row],[Objectif de vente en unite N6]]/1000</f>
        <v/>
      </c>
      <c r="AS34" s="920">
        <f>TableauProduit[[#This Row],[Objectif de vente en unite N6]]*TableauProduit[[#This Row],[Packaging / unite]]</f>
        <v/>
      </c>
      <c r="AT34" s="920">
        <f>TableauProduit[[#This Row],[Prix Achat de plante par kg]]*TableauProduit[[#This Row],[Total (kg) N6]]</f>
        <v/>
      </c>
      <c r="AU34" s="920">
        <f>TableauProduit[[#This Row],[Prix de vente/kg]]*TableauProduit[[#This Row],[Total (kg) N6]]</f>
        <v/>
      </c>
      <c r="AV34" s="919">
        <f>TableauProduit[[#This Row],[Revenue brut N6]]-TableauProduit[[#This Row],[Achat plante / kg de melange N6]]-TableauProduit[[#This Row],[Conditionnement N6]]</f>
        <v/>
      </c>
      <c r="AW34" s="904" t="n">
        <v>0</v>
      </c>
      <c r="AX34" s="904">
        <f>TableauProduit[[#This Row],[Poids (g) / unite]]*TableauProduit[[#This Row],[Objectif de vente en unite N7]]/1000</f>
        <v/>
      </c>
      <c r="AY34" s="905">
        <f>TableauProduit[[#This Row],[Objectif de vente en unite N7]]*TableauProduit[[#This Row],[Packaging / unite]]</f>
        <v/>
      </c>
      <c r="AZ34" s="905">
        <f>TableauProduit[[#This Row],[Prix Achat de plante par kg]]*TableauProduit[[#This Row],[Total (kg) N7]]</f>
        <v/>
      </c>
      <c r="BA34" s="905">
        <f>TableauProduit[[#This Row],[Prix de vente/kg]]*TableauProduit[[#This Row],[Total (kg) N7]]</f>
        <v/>
      </c>
      <c r="BB34" s="921">
        <f>TableauProduit[[#This Row],[Revenue brut N7]]-TableauProduit[[#This Row],[Achat plante / kg de melange N7]]-TableauProduit[[#This Row],[Conditionnement N7]]</f>
        <v/>
      </c>
      <c r="BC34" s="922" t="n">
        <v>0</v>
      </c>
      <c r="BD34" s="923">
        <f>TableauProduit[[#This Row],[Poids (g) / unite]]*TableauProduit[[#This Row],[Objectif de vente en unite N8]]/1000</f>
        <v/>
      </c>
      <c r="BE34" s="924">
        <f>TableauProduit[[#This Row],[Objectif de vente en unite N8]]*TableauProduit[[#This Row],[Packaging / unite]]</f>
        <v/>
      </c>
      <c r="BF34" s="924">
        <f>TableauProduit[[#This Row],[Prix Achat de plante par kg]]*TableauProduit[[#This Row],[Total (kg) N8]]</f>
        <v/>
      </c>
      <c r="BG34" s="924">
        <f>TableauProduit[[#This Row],[Prix de vente/kg]]*TableauProduit[[#This Row],[Total (kg) N8]]</f>
        <v/>
      </c>
      <c r="BH34" s="925">
        <f>TableauProduit[[#This Row],[Revenue brut N8]]-TableauProduit[[#This Row],[Achat plante / kg de melange N8]]-TableauProduit[[#This Row],[Conditionnement N8]]</f>
        <v/>
      </c>
      <c r="BI34" s="926" t="n">
        <v>0</v>
      </c>
      <c r="BJ34" s="927">
        <f>TableauProduit[[#This Row],[Poids (g) / unite]]*TableauProduit[[#This Row],[Objectif de vente en unite N9]]/1000</f>
        <v/>
      </c>
      <c r="BK34" s="928">
        <f>TableauProduit[[#This Row],[Objectif de vente en unite N9]]*TableauProduit[[#This Row],[Packaging / unite]]</f>
        <v/>
      </c>
      <c r="BL34" s="928">
        <f>TableauProduit[[#This Row],[Prix Achat de plante par kg]]*TableauProduit[[#This Row],[Total (kg) N9]]</f>
        <v/>
      </c>
      <c r="BM34" s="928">
        <f>TableauProduit[[#This Row],[Prix de vente/kg]]*TableauProduit[[#This Row],[Total (kg) N9]]</f>
        <v/>
      </c>
      <c r="BN34" s="927">
        <f>TableauProduit[[#This Row],[Revenue brut N9]]-TableauProduit[[#This Row],[Achat plante / kg de melange N9]]-TableauProduit[[#This Row],[Conditionnement N9]]</f>
        <v/>
      </c>
    </row>
    <row r="35">
      <c r="A35" s="13" t="inlineStr">
        <is>
          <t>Sans sel</t>
        </is>
      </c>
      <c r="B35" s="54">
        <f>TableauProduit[[#This Row],[Recette]]&amp;TableauProduit[[#This Row],[Conditionnement]]</f>
        <v/>
      </c>
      <c r="C35" s="11" t="n">
        <v>1</v>
      </c>
      <c r="D35" s="11" t="n">
        <v>50</v>
      </c>
      <c r="E35" s="6" t="inlineStr">
        <is>
          <t>Epice 100ml</t>
        </is>
      </c>
      <c r="F35" s="7">
        <f>IFERROR(VLOOKUP(TableauProduit[[#This Row],[Conditionnement]],TableauConditionnement[[Nom]:[Contenance]],4,FALSE),"")</f>
        <v/>
      </c>
      <c r="G35" s="897">
        <f>IFERROR(SUMIFS(TableauRecette[Prix d''achat / kg],TableauRecette[Recette],TableauProduit[[#This Row],[Recette]],TableauRecette[Conditionnement],TableauProduit[[#This Row],[Conditionnement]]),0)</f>
        <v/>
      </c>
      <c r="H35" s="898" t="n">
        <v>5</v>
      </c>
      <c r="I35" s="899">
        <f>1000*TableauProduit[[#This Row],[Prix de vente/U]]/TableauProduit[[#This Row],[Poids (g) / unite]]</f>
        <v/>
      </c>
      <c r="J35" s="900">
        <f>SUMIFS(TableauConcurence[PRIX_KG],TableauConcurence[PRODUIT],TableauProduit[[#This Row],[Recette]],TableauConcurence[DISTRIBUTION],"magasin NON BIO")</f>
        <v/>
      </c>
      <c r="K35" s="901">
        <f>SUMIFS(TableauConcurence[PRIX_KG],TableauConcurence[PRODUIT],TableauProduit[[#This Row],[Recette]],TableauConcurence[DISTRIBUTION],"magasin BIO")</f>
        <v/>
      </c>
      <c r="L35" s="902">
        <f>SUMIFS(TableauConcurence[PRIX_KG],TableauConcurence[PRODUIT],TableauProduit[[#This Row],[Recette]],TableauConcurence[DISTRIBUTION],"artisanale BIO")</f>
        <v/>
      </c>
      <c r="M35" s="903" t="n">
        <v>0</v>
      </c>
      <c r="N35" s="904">
        <f>TableauProduit[[#This Row],[Poids (g) / unite]]*TableauProduit[[#This Row],[Objectif de vente en unite N1]]/1000</f>
        <v/>
      </c>
      <c r="O35" s="905">
        <f>TableauProduit[[#This Row],[Objectif de vente en unite N1]]*TableauProduit[[#This Row],[Packaging / unite]]</f>
        <v/>
      </c>
      <c r="P35" s="905">
        <f>TableauProduit[[#This Row],[Prix Achat de plante par kg]]*TableauProduit[[#This Row],[Total (kg) N1]]</f>
        <v/>
      </c>
      <c r="Q35" s="905">
        <f>TableauProduit[[#This Row],[Prix de vente/kg]]*TableauProduit[[#This Row],[Total (kg) N1]]</f>
        <v/>
      </c>
      <c r="R35" s="906">
        <f>TableauProduit[[#This Row],[Revenue brut N1]]-TableauProduit[[#This Row],[Achat par kg N1]]-TableauProduit[[#This Row],[Conditionnement N1]]</f>
        <v/>
      </c>
      <c r="S35" s="907" t="n">
        <v>0</v>
      </c>
      <c r="T35" s="908">
        <f>TableauProduit[[#This Row],[Poids (g) / unite]]*TableauProduit[[#This Row],[Objectif de vente en unite N2]]/1000</f>
        <v/>
      </c>
      <c r="U35" s="909">
        <f>TableauProduit[[#This Row],[Objectif de vente en unite N2]]*TableauProduit[[#This Row],[Packaging / unite]]</f>
        <v/>
      </c>
      <c r="V35" s="909">
        <f>TableauProduit[[#This Row],[Prix Achat de plante par kg]]*TableauProduit[[#This Row],[Total (kg) N2]]</f>
        <v/>
      </c>
      <c r="W35" s="909">
        <f>TableauProduit[[#This Row],[Prix de vente/kg]]*TableauProduit[[#This Row],[Total (kg) N2]]</f>
        <v/>
      </c>
      <c r="X35" s="910">
        <f>TableauProduit[[#This Row],[Revenue brut N2]]-TableauProduit[[#This Row],[Achat plante / kg de melange N2]]-TableauProduit[[#This Row],[Conditionnement N2]]</f>
        <v/>
      </c>
      <c r="Y35" s="911" t="n">
        <v>0</v>
      </c>
      <c r="Z35" s="912">
        <f>TableauProduit[[#This Row],[Poids (g) / unite]]*TableauProduit[[#This Row],[Objectif de vente en unite N3]]/1000</f>
        <v/>
      </c>
      <c r="AA35" s="913">
        <f>TableauProduit[[#This Row],[Objectif de vente en unite N3]]*TableauProduit[[#This Row],[Packaging / unite]]</f>
        <v/>
      </c>
      <c r="AB35" s="913">
        <f>TableauProduit[[#This Row],[Prix Achat de plante par kg]]*TableauProduit[[#This Row],[Total (kg) N3]]</f>
        <v/>
      </c>
      <c r="AC35" s="913">
        <f>TableauProduit[[#This Row],[Prix de vente/kg]]*TableauProduit[[#This Row],[Total (kg) N3]]</f>
        <v/>
      </c>
      <c r="AD35" s="914">
        <f>TableauProduit[[#This Row],[Revenue brut N3]]-TableauProduit[[#This Row],[Achat plante / kg de melange N3]]-TableauProduit[[#This Row],[Conditionnement N3]]</f>
        <v/>
      </c>
      <c r="AE35" s="915" t="n">
        <v>0</v>
      </c>
      <c r="AF35" s="915">
        <f>TableauProduit[[#This Row],[Poids (g) / unite]]*TableauProduit[[#This Row],[Objectif de vente en unite N4]]/1000</f>
        <v/>
      </c>
      <c r="AG35" s="916">
        <f>TableauProduit[[#This Row],[Objectif de vente en unite N4]]*TableauProduit[[#This Row],[Packaging / unite]]</f>
        <v/>
      </c>
      <c r="AH35" s="916">
        <f>TableauProduit[[#This Row],[Prix Achat de plante par kg]]*TableauProduit[[#This Row],[Total (kg) N4]]</f>
        <v/>
      </c>
      <c r="AI35" s="916">
        <f>TableauProduit[[#This Row],[Prix de vente/kg]]*TableauProduit[[#This Row],[Total (kg) N4]]</f>
        <v/>
      </c>
      <c r="AJ35" s="915">
        <f>TableauProduit[[#This Row],[Revenue brut N4]]-TableauProduit[[#This Row],[Achat plante / kg de melange N4]]-TableauProduit[[#This Row],[Conditionnement N4]]</f>
        <v/>
      </c>
      <c r="AK35" s="917" t="n">
        <v>0</v>
      </c>
      <c r="AL35" s="917">
        <f>TableauProduit[[#This Row],[Poids (g) / unite]]*TableauProduit[[#This Row],[Objectif de vente en unite N5]]/1000</f>
        <v/>
      </c>
      <c r="AM35" s="918">
        <f>TableauProduit[[#This Row],[Objectif de vente en unite N5]]*TableauProduit[[#This Row],[Packaging / unite]]</f>
        <v/>
      </c>
      <c r="AN35" s="918">
        <f>TableauProduit[[#This Row],[Prix Achat de plante par kg]]*TableauProduit[[#This Row],[Total (kg) N5]]</f>
        <v/>
      </c>
      <c r="AO35" s="918">
        <f>TableauProduit[[#This Row],[Prix de vente/kg]]*TableauProduit[[#This Row],[Total (kg) N5]]</f>
        <v/>
      </c>
      <c r="AP35" s="917">
        <f>TableauProduit[[#This Row],[Revenue brut N5]]-TableauProduit[[#This Row],[Achat plante / kg de melange N5]]-TableauProduit[[#This Row],[Conditionnement N5]]</f>
        <v/>
      </c>
      <c r="AQ35" s="919" t="n">
        <v>0</v>
      </c>
      <c r="AR35" s="919">
        <f>TableauProduit[[#This Row],[Poids (g) / unite]]*TableauProduit[[#This Row],[Objectif de vente en unite N6]]/1000</f>
        <v/>
      </c>
      <c r="AS35" s="920">
        <f>TableauProduit[[#This Row],[Objectif de vente en unite N6]]*TableauProduit[[#This Row],[Packaging / unite]]</f>
        <v/>
      </c>
      <c r="AT35" s="920">
        <f>TableauProduit[[#This Row],[Prix Achat de plante par kg]]*TableauProduit[[#This Row],[Total (kg) N6]]</f>
        <v/>
      </c>
      <c r="AU35" s="920">
        <f>TableauProduit[[#This Row],[Prix de vente/kg]]*TableauProduit[[#This Row],[Total (kg) N6]]</f>
        <v/>
      </c>
      <c r="AV35" s="919">
        <f>TableauProduit[[#This Row],[Revenue brut N6]]-TableauProduit[[#This Row],[Achat plante / kg de melange N6]]-TableauProduit[[#This Row],[Conditionnement N6]]</f>
        <v/>
      </c>
      <c r="AW35" s="904" t="n">
        <v>0</v>
      </c>
      <c r="AX35" s="904">
        <f>TableauProduit[[#This Row],[Poids (g) / unite]]*TableauProduit[[#This Row],[Objectif de vente en unite N7]]/1000</f>
        <v/>
      </c>
      <c r="AY35" s="905">
        <f>TableauProduit[[#This Row],[Objectif de vente en unite N7]]*TableauProduit[[#This Row],[Packaging / unite]]</f>
        <v/>
      </c>
      <c r="AZ35" s="905">
        <f>TableauProduit[[#This Row],[Prix Achat de plante par kg]]*TableauProduit[[#This Row],[Total (kg) N7]]</f>
        <v/>
      </c>
      <c r="BA35" s="905">
        <f>TableauProduit[[#This Row],[Prix de vente/kg]]*TableauProduit[[#This Row],[Total (kg) N7]]</f>
        <v/>
      </c>
      <c r="BB35" s="921">
        <f>TableauProduit[[#This Row],[Revenue brut N7]]-TableauProduit[[#This Row],[Achat plante / kg de melange N7]]-TableauProduit[[#This Row],[Conditionnement N7]]</f>
        <v/>
      </c>
      <c r="BC35" s="922" t="n">
        <v>0</v>
      </c>
      <c r="BD35" s="923">
        <f>TableauProduit[[#This Row],[Poids (g) / unite]]*TableauProduit[[#This Row],[Objectif de vente en unite N8]]/1000</f>
        <v/>
      </c>
      <c r="BE35" s="924">
        <f>TableauProduit[[#This Row],[Objectif de vente en unite N8]]*TableauProduit[[#This Row],[Packaging / unite]]</f>
        <v/>
      </c>
      <c r="BF35" s="924">
        <f>TableauProduit[[#This Row],[Prix Achat de plante par kg]]*TableauProduit[[#This Row],[Total (kg) N8]]</f>
        <v/>
      </c>
      <c r="BG35" s="924">
        <f>TableauProduit[[#This Row],[Prix de vente/kg]]*TableauProduit[[#This Row],[Total (kg) N8]]</f>
        <v/>
      </c>
      <c r="BH35" s="925">
        <f>TableauProduit[[#This Row],[Revenue brut N8]]-TableauProduit[[#This Row],[Achat plante / kg de melange N8]]-TableauProduit[[#This Row],[Conditionnement N8]]</f>
        <v/>
      </c>
      <c r="BI35" s="926" t="n">
        <v>0</v>
      </c>
      <c r="BJ35" s="927">
        <f>TableauProduit[[#This Row],[Poids (g) / unite]]*TableauProduit[[#This Row],[Objectif de vente en unite N9]]/1000</f>
        <v/>
      </c>
      <c r="BK35" s="928">
        <f>TableauProduit[[#This Row],[Objectif de vente en unite N9]]*TableauProduit[[#This Row],[Packaging / unite]]</f>
        <v/>
      </c>
      <c r="BL35" s="928">
        <f>TableauProduit[[#This Row],[Prix Achat de plante par kg]]*TableauProduit[[#This Row],[Total (kg) N9]]</f>
        <v/>
      </c>
      <c r="BM35" s="928">
        <f>TableauProduit[[#This Row],[Prix de vente/kg]]*TableauProduit[[#This Row],[Total (kg) N9]]</f>
        <v/>
      </c>
      <c r="BN35" s="927">
        <f>TableauProduit[[#This Row],[Revenue brut N9]]-TableauProduit[[#This Row],[Achat plante / kg de melange N9]]-TableauProduit[[#This Row],[Conditionnement N9]]</f>
        <v/>
      </c>
    </row>
    <row r="36">
      <c r="A36" s="13" t="inlineStr">
        <is>
          <t>Shichimi togarashi</t>
        </is>
      </c>
      <c r="B36" s="54">
        <f>TableauProduit[[#This Row],[Recette]]&amp;TableauProduit[[#This Row],[Conditionnement]]</f>
        <v/>
      </c>
      <c r="C36" s="11" t="n">
        <v>1</v>
      </c>
      <c r="D36" s="11" t="n">
        <v>50</v>
      </c>
      <c r="E36" s="6" t="inlineStr">
        <is>
          <t>Epice 100ml</t>
        </is>
      </c>
      <c r="F36" s="7">
        <f>IFERROR(VLOOKUP(TableauProduit[[#This Row],[Conditionnement]],TableauConditionnement[[Nom]:[Contenance]],4,FALSE),"")</f>
        <v/>
      </c>
      <c r="G36" s="897">
        <f>IFERROR(SUMIFS(TableauRecette[Prix d''achat / kg],TableauRecette[Recette],TableauProduit[[#This Row],[Recette]],TableauRecette[Conditionnement],TableauProduit[[#This Row],[Conditionnement]]),0)</f>
        <v/>
      </c>
      <c r="H36" s="898" t="n">
        <v>5</v>
      </c>
      <c r="I36" s="899">
        <f>1000*TableauProduit[[#This Row],[Prix de vente/U]]/TableauProduit[[#This Row],[Poids (g) / unite]]</f>
        <v/>
      </c>
      <c r="J36" s="900">
        <f>SUMIFS(TableauConcurence[PRIX_KG],TableauConcurence[PRODUIT],TableauProduit[[#This Row],[Recette]],TableauConcurence[DISTRIBUTION],"magasin NON BIO")</f>
        <v/>
      </c>
      <c r="K36" s="901">
        <f>SUMIFS(TableauConcurence[PRIX_KG],TableauConcurence[PRODUIT],TableauProduit[[#This Row],[Recette]],TableauConcurence[DISTRIBUTION],"magasin BIO")</f>
        <v/>
      </c>
      <c r="L36" s="902">
        <f>SUMIFS(TableauConcurence[PRIX_KG],TableauConcurence[PRODUIT],TableauProduit[[#This Row],[Recette]],TableauConcurence[DISTRIBUTION],"artisanale BIO")</f>
        <v/>
      </c>
      <c r="M36" s="903" t="n">
        <v>0</v>
      </c>
      <c r="N36" s="904">
        <f>TableauProduit[[#This Row],[Poids (g) / unite]]*TableauProduit[[#This Row],[Objectif de vente en unite N1]]/1000</f>
        <v/>
      </c>
      <c r="O36" s="905">
        <f>TableauProduit[[#This Row],[Objectif de vente en unite N1]]*TableauProduit[[#This Row],[Packaging / unite]]</f>
        <v/>
      </c>
      <c r="P36" s="905">
        <f>TableauProduit[[#This Row],[Prix Achat de plante par kg]]*TableauProduit[[#This Row],[Total (kg) N1]]</f>
        <v/>
      </c>
      <c r="Q36" s="905">
        <f>TableauProduit[[#This Row],[Prix de vente/kg]]*TableauProduit[[#This Row],[Total (kg) N1]]</f>
        <v/>
      </c>
      <c r="R36" s="906">
        <f>TableauProduit[[#This Row],[Revenue brut N1]]-TableauProduit[[#This Row],[Achat par kg N1]]-TableauProduit[[#This Row],[Conditionnement N1]]</f>
        <v/>
      </c>
      <c r="S36" s="907" t="n">
        <v>0</v>
      </c>
      <c r="T36" s="908">
        <f>TableauProduit[[#This Row],[Poids (g) / unite]]*TableauProduit[[#This Row],[Objectif de vente en unite N2]]/1000</f>
        <v/>
      </c>
      <c r="U36" s="909">
        <f>TableauProduit[[#This Row],[Objectif de vente en unite N2]]*TableauProduit[[#This Row],[Packaging / unite]]</f>
        <v/>
      </c>
      <c r="V36" s="909">
        <f>TableauProduit[[#This Row],[Prix Achat de plante par kg]]*TableauProduit[[#This Row],[Total (kg) N2]]</f>
        <v/>
      </c>
      <c r="W36" s="909">
        <f>TableauProduit[[#This Row],[Prix de vente/kg]]*TableauProduit[[#This Row],[Total (kg) N2]]</f>
        <v/>
      </c>
      <c r="X36" s="910">
        <f>TableauProduit[[#This Row],[Revenue brut N2]]-TableauProduit[[#This Row],[Achat plante / kg de melange N2]]-TableauProduit[[#This Row],[Conditionnement N2]]</f>
        <v/>
      </c>
      <c r="Y36" s="911" t="n">
        <v>0</v>
      </c>
      <c r="Z36" s="912">
        <f>TableauProduit[[#This Row],[Poids (g) / unite]]*TableauProduit[[#This Row],[Objectif de vente en unite N3]]/1000</f>
        <v/>
      </c>
      <c r="AA36" s="913">
        <f>TableauProduit[[#This Row],[Objectif de vente en unite N3]]*TableauProduit[[#This Row],[Packaging / unite]]</f>
        <v/>
      </c>
      <c r="AB36" s="913">
        <f>TableauProduit[[#This Row],[Prix Achat de plante par kg]]*TableauProduit[[#This Row],[Total (kg) N3]]</f>
        <v/>
      </c>
      <c r="AC36" s="913">
        <f>TableauProduit[[#This Row],[Prix de vente/kg]]*TableauProduit[[#This Row],[Total (kg) N3]]</f>
        <v/>
      </c>
      <c r="AD36" s="914">
        <f>TableauProduit[[#This Row],[Revenue brut N3]]-TableauProduit[[#This Row],[Achat plante / kg de melange N3]]-TableauProduit[[#This Row],[Conditionnement N3]]</f>
        <v/>
      </c>
      <c r="AE36" s="915" t="n">
        <v>0</v>
      </c>
      <c r="AF36" s="915">
        <f>TableauProduit[[#This Row],[Poids (g) / unite]]*TableauProduit[[#This Row],[Objectif de vente en unite N4]]/1000</f>
        <v/>
      </c>
      <c r="AG36" s="916">
        <f>TableauProduit[[#This Row],[Objectif de vente en unite N4]]*TableauProduit[[#This Row],[Packaging / unite]]</f>
        <v/>
      </c>
      <c r="AH36" s="916">
        <f>TableauProduit[[#This Row],[Prix Achat de plante par kg]]*TableauProduit[[#This Row],[Total (kg) N4]]</f>
        <v/>
      </c>
      <c r="AI36" s="916">
        <f>TableauProduit[[#This Row],[Prix de vente/kg]]*TableauProduit[[#This Row],[Total (kg) N4]]</f>
        <v/>
      </c>
      <c r="AJ36" s="915">
        <f>TableauProduit[[#This Row],[Revenue brut N4]]-TableauProduit[[#This Row],[Achat plante / kg de melange N4]]-TableauProduit[[#This Row],[Conditionnement N4]]</f>
        <v/>
      </c>
      <c r="AK36" s="917" t="n">
        <v>0</v>
      </c>
      <c r="AL36" s="917">
        <f>TableauProduit[[#This Row],[Poids (g) / unite]]*TableauProduit[[#This Row],[Objectif de vente en unite N5]]/1000</f>
        <v/>
      </c>
      <c r="AM36" s="918">
        <f>TableauProduit[[#This Row],[Objectif de vente en unite N5]]*TableauProduit[[#This Row],[Packaging / unite]]</f>
        <v/>
      </c>
      <c r="AN36" s="918">
        <f>TableauProduit[[#This Row],[Prix Achat de plante par kg]]*TableauProduit[[#This Row],[Total (kg) N5]]</f>
        <v/>
      </c>
      <c r="AO36" s="918">
        <f>TableauProduit[[#This Row],[Prix de vente/kg]]*TableauProduit[[#This Row],[Total (kg) N5]]</f>
        <v/>
      </c>
      <c r="AP36" s="917">
        <f>TableauProduit[[#This Row],[Revenue brut N5]]-TableauProduit[[#This Row],[Achat plante / kg de melange N5]]-TableauProduit[[#This Row],[Conditionnement N5]]</f>
        <v/>
      </c>
      <c r="AQ36" s="919" t="n">
        <v>0</v>
      </c>
      <c r="AR36" s="919">
        <f>TableauProduit[[#This Row],[Poids (g) / unite]]*TableauProduit[[#This Row],[Objectif de vente en unite N6]]/1000</f>
        <v/>
      </c>
      <c r="AS36" s="920">
        <f>TableauProduit[[#This Row],[Objectif de vente en unite N6]]*TableauProduit[[#This Row],[Packaging / unite]]</f>
        <v/>
      </c>
      <c r="AT36" s="920">
        <f>TableauProduit[[#This Row],[Prix Achat de plante par kg]]*TableauProduit[[#This Row],[Total (kg) N6]]</f>
        <v/>
      </c>
      <c r="AU36" s="920">
        <f>TableauProduit[[#This Row],[Prix de vente/kg]]*TableauProduit[[#This Row],[Total (kg) N6]]</f>
        <v/>
      </c>
      <c r="AV36" s="919">
        <f>TableauProduit[[#This Row],[Revenue brut N6]]-TableauProduit[[#This Row],[Achat plante / kg de melange N6]]-TableauProduit[[#This Row],[Conditionnement N6]]</f>
        <v/>
      </c>
      <c r="AW36" s="904" t="n">
        <v>0</v>
      </c>
      <c r="AX36" s="904">
        <f>TableauProduit[[#This Row],[Poids (g) / unite]]*TableauProduit[[#This Row],[Objectif de vente en unite N7]]/1000</f>
        <v/>
      </c>
      <c r="AY36" s="905">
        <f>TableauProduit[[#This Row],[Objectif de vente en unite N7]]*TableauProduit[[#This Row],[Packaging / unite]]</f>
        <v/>
      </c>
      <c r="AZ36" s="905">
        <f>TableauProduit[[#This Row],[Prix Achat de plante par kg]]*TableauProduit[[#This Row],[Total (kg) N7]]</f>
        <v/>
      </c>
      <c r="BA36" s="905">
        <f>TableauProduit[[#This Row],[Prix de vente/kg]]*TableauProduit[[#This Row],[Total (kg) N7]]</f>
        <v/>
      </c>
      <c r="BB36" s="921">
        <f>TableauProduit[[#This Row],[Revenue brut N7]]-TableauProduit[[#This Row],[Achat plante / kg de melange N7]]-TableauProduit[[#This Row],[Conditionnement N7]]</f>
        <v/>
      </c>
      <c r="BC36" s="922" t="n">
        <v>0</v>
      </c>
      <c r="BD36" s="923">
        <f>TableauProduit[[#This Row],[Poids (g) / unite]]*TableauProduit[[#This Row],[Objectif de vente en unite N8]]/1000</f>
        <v/>
      </c>
      <c r="BE36" s="924">
        <f>TableauProduit[[#This Row],[Objectif de vente en unite N8]]*TableauProduit[[#This Row],[Packaging / unite]]</f>
        <v/>
      </c>
      <c r="BF36" s="924">
        <f>TableauProduit[[#This Row],[Prix Achat de plante par kg]]*TableauProduit[[#This Row],[Total (kg) N8]]</f>
        <v/>
      </c>
      <c r="BG36" s="924">
        <f>TableauProduit[[#This Row],[Prix de vente/kg]]*TableauProduit[[#This Row],[Total (kg) N8]]</f>
        <v/>
      </c>
      <c r="BH36" s="925">
        <f>TableauProduit[[#This Row],[Revenue brut N8]]-TableauProduit[[#This Row],[Achat plante / kg de melange N8]]-TableauProduit[[#This Row],[Conditionnement N8]]</f>
        <v/>
      </c>
      <c r="BI36" s="926" t="n">
        <v>0</v>
      </c>
      <c r="BJ36" s="927">
        <f>TableauProduit[[#This Row],[Poids (g) / unite]]*TableauProduit[[#This Row],[Objectif de vente en unite N9]]/1000</f>
        <v/>
      </c>
      <c r="BK36" s="928">
        <f>TableauProduit[[#This Row],[Objectif de vente en unite N9]]*TableauProduit[[#This Row],[Packaging / unite]]</f>
        <v/>
      </c>
      <c r="BL36" s="928">
        <f>TableauProduit[[#This Row],[Prix Achat de plante par kg]]*TableauProduit[[#This Row],[Total (kg) N9]]</f>
        <v/>
      </c>
      <c r="BM36" s="928">
        <f>TableauProduit[[#This Row],[Prix de vente/kg]]*TableauProduit[[#This Row],[Total (kg) N9]]</f>
        <v/>
      </c>
      <c r="BN36" s="927">
        <f>TableauProduit[[#This Row],[Revenue brut N9]]-TableauProduit[[#This Row],[Achat plante / kg de melange N9]]-TableauProduit[[#This Row],[Conditionnement N9]]</f>
        <v/>
      </c>
    </row>
    <row r="37">
      <c r="A37" s="13" t="inlineStr">
        <is>
          <t>Ketchup</t>
        </is>
      </c>
      <c r="B37" s="54">
        <f>TableauProduit[[#This Row],[Recette]]&amp;TableauProduit[[#This Row],[Conditionnement]]</f>
        <v/>
      </c>
      <c r="C37" s="11" t="n">
        <v>1</v>
      </c>
      <c r="D37" s="11" t="n">
        <v>230</v>
      </c>
      <c r="E37" s="6" t="inlineStr">
        <is>
          <t>Piment liquide 250ml</t>
        </is>
      </c>
      <c r="F37" s="7">
        <f>IFERROR(VLOOKUP(TableauProduit[[#This Row],[Conditionnement]],TableauConditionnement[[Nom]:[Contenance]],4,FALSE),"")</f>
        <v/>
      </c>
      <c r="G37" s="897">
        <f>IFERROR(SUMIFS(TableauRecette[Prix d''achat / kg],TableauRecette[Recette],TableauProduit[[#This Row],[Recette]],TableauRecette[Conditionnement],TableauProduit[[#This Row],[Conditionnement]]),0)</f>
        <v/>
      </c>
      <c r="H37" s="898" t="n">
        <v>3.5</v>
      </c>
      <c r="I37" s="899">
        <f>1000*TableauProduit[[#This Row],[Prix de vente/U]]/TableauProduit[[#This Row],[Poids (g) / unite]]</f>
        <v/>
      </c>
      <c r="J37" s="900">
        <f>SUMIFS(TableauConcurence[PRIX_KG],TableauConcurence[PRODUIT],TableauProduit[[#This Row],[Recette]],TableauConcurence[DISTRIBUTION],"magasin NON BIO")</f>
        <v/>
      </c>
      <c r="K37" s="901">
        <f>SUMIFS(TableauConcurence[PRIX_KG],TableauConcurence[PRODUIT],TableauProduit[[#This Row],[Recette]],TableauConcurence[DISTRIBUTION],"magasin BIO")</f>
        <v/>
      </c>
      <c r="L37" s="902">
        <f>SUMIFS(TableauConcurence[PRIX_KG],TableauConcurence[PRODUIT],TableauProduit[[#This Row],[Recette]],TableauConcurence[DISTRIBUTION],"artisanale BIO")</f>
        <v/>
      </c>
      <c r="M37" s="903" t="n">
        <v>0</v>
      </c>
      <c r="N37" s="904">
        <f>TableauProduit[[#This Row],[Poids (g) / unite]]*TableauProduit[[#This Row],[Objectif de vente en unite N1]]/1000</f>
        <v/>
      </c>
      <c r="O37" s="905">
        <f>TableauProduit[[#This Row],[Objectif de vente en unite N1]]*TableauProduit[[#This Row],[Packaging / unite]]</f>
        <v/>
      </c>
      <c r="P37" s="905">
        <f>TableauProduit[[#This Row],[Prix Achat de plante par kg]]*TableauProduit[[#This Row],[Total (kg) N1]]</f>
        <v/>
      </c>
      <c r="Q37" s="905">
        <f>TableauProduit[[#This Row],[Prix de vente/kg]]*TableauProduit[[#This Row],[Total (kg) N1]]</f>
        <v/>
      </c>
      <c r="R37" s="906">
        <f>TableauProduit[[#This Row],[Revenue brut N1]]-TableauProduit[[#This Row],[Achat par kg N1]]-TableauProduit[[#This Row],[Conditionnement N1]]</f>
        <v/>
      </c>
      <c r="S37" s="907" t="n">
        <v>1200</v>
      </c>
      <c r="T37" s="908">
        <f>TableauProduit[[#This Row],[Poids (g) / unite]]*TableauProduit[[#This Row],[Objectif de vente en unite N2]]/1000</f>
        <v/>
      </c>
      <c r="U37" s="909">
        <f>TableauProduit[[#This Row],[Objectif de vente en unite N2]]*TableauProduit[[#This Row],[Packaging / unite]]</f>
        <v/>
      </c>
      <c r="V37" s="909">
        <f>TableauProduit[[#This Row],[Prix Achat de plante par kg]]*TableauProduit[[#This Row],[Total (kg) N2]]</f>
        <v/>
      </c>
      <c r="W37" s="909">
        <f>TableauProduit[[#This Row],[Prix de vente/kg]]*TableauProduit[[#This Row],[Total (kg) N2]]</f>
        <v/>
      </c>
      <c r="X37" s="910">
        <f>TableauProduit[[#This Row],[Revenue brut N2]]-TableauProduit[[#This Row],[Achat plante / kg de melange N2]]-TableauProduit[[#This Row],[Conditionnement N2]]</f>
        <v/>
      </c>
      <c r="Y37" s="911" t="n">
        <v>1200</v>
      </c>
      <c r="Z37" s="912">
        <f>TableauProduit[[#This Row],[Poids (g) / unite]]*TableauProduit[[#This Row],[Objectif de vente en unite N3]]/1000</f>
        <v/>
      </c>
      <c r="AA37" s="913">
        <f>TableauProduit[[#This Row],[Objectif de vente en unite N3]]*TableauProduit[[#This Row],[Packaging / unite]]</f>
        <v/>
      </c>
      <c r="AB37" s="913">
        <f>TableauProduit[[#This Row],[Prix Achat de plante par kg]]*TableauProduit[[#This Row],[Total (kg) N3]]</f>
        <v/>
      </c>
      <c r="AC37" s="913">
        <f>TableauProduit[[#This Row],[Prix de vente/kg]]*TableauProduit[[#This Row],[Total (kg) N3]]</f>
        <v/>
      </c>
      <c r="AD37" s="914">
        <f>TableauProduit[[#This Row],[Revenue brut N3]]-TableauProduit[[#This Row],[Achat plante / kg de melange N3]]-TableauProduit[[#This Row],[Conditionnement N3]]</f>
        <v/>
      </c>
      <c r="AE37" s="915" t="n">
        <v>1200</v>
      </c>
      <c r="AF37" s="915">
        <f>TableauProduit[[#This Row],[Poids (g) / unite]]*TableauProduit[[#This Row],[Objectif de vente en unite N4]]/1000</f>
        <v/>
      </c>
      <c r="AG37" s="916">
        <f>TableauProduit[[#This Row],[Objectif de vente en unite N4]]*TableauProduit[[#This Row],[Packaging / unite]]</f>
        <v/>
      </c>
      <c r="AH37" s="916">
        <f>TableauProduit[[#This Row],[Prix Achat de plante par kg]]*TableauProduit[[#This Row],[Total (kg) N4]]</f>
        <v/>
      </c>
      <c r="AI37" s="916">
        <f>TableauProduit[[#This Row],[Prix de vente/kg]]*TableauProduit[[#This Row],[Total (kg) N4]]</f>
        <v/>
      </c>
      <c r="AJ37" s="915">
        <f>TableauProduit[[#This Row],[Revenue brut N4]]-TableauProduit[[#This Row],[Achat plante / kg de melange N4]]-TableauProduit[[#This Row],[Conditionnement N4]]</f>
        <v/>
      </c>
      <c r="AK37" s="917" t="n">
        <v>1200</v>
      </c>
      <c r="AL37" s="917">
        <f>TableauProduit[[#This Row],[Poids (g) / unite]]*TableauProduit[[#This Row],[Objectif de vente en unite N5]]/1000</f>
        <v/>
      </c>
      <c r="AM37" s="918">
        <f>TableauProduit[[#This Row],[Objectif de vente en unite N5]]*TableauProduit[[#This Row],[Packaging / unite]]</f>
        <v/>
      </c>
      <c r="AN37" s="918">
        <f>TableauProduit[[#This Row],[Prix Achat de plante par kg]]*TableauProduit[[#This Row],[Total (kg) N5]]</f>
        <v/>
      </c>
      <c r="AO37" s="918">
        <f>TableauProduit[[#This Row],[Prix de vente/kg]]*TableauProduit[[#This Row],[Total (kg) N5]]</f>
        <v/>
      </c>
      <c r="AP37" s="917">
        <f>TableauProduit[[#This Row],[Revenue brut N5]]-TableauProduit[[#This Row],[Achat plante / kg de melange N5]]-TableauProduit[[#This Row],[Conditionnement N5]]</f>
        <v/>
      </c>
      <c r="AQ37" s="919" t="n">
        <v>1200</v>
      </c>
      <c r="AR37" s="919">
        <f>TableauProduit[[#This Row],[Poids (g) / unite]]*TableauProduit[[#This Row],[Objectif de vente en unite N6]]/1000</f>
        <v/>
      </c>
      <c r="AS37" s="920">
        <f>TableauProduit[[#This Row],[Objectif de vente en unite N6]]*TableauProduit[[#This Row],[Packaging / unite]]</f>
        <v/>
      </c>
      <c r="AT37" s="920">
        <f>TableauProduit[[#This Row],[Prix Achat de plante par kg]]*TableauProduit[[#This Row],[Total (kg) N6]]</f>
        <v/>
      </c>
      <c r="AU37" s="920">
        <f>TableauProduit[[#This Row],[Prix de vente/kg]]*TableauProduit[[#This Row],[Total (kg) N6]]</f>
        <v/>
      </c>
      <c r="AV37" s="919">
        <f>TableauProduit[[#This Row],[Revenue brut N6]]-TableauProduit[[#This Row],[Achat plante / kg de melange N6]]-TableauProduit[[#This Row],[Conditionnement N6]]</f>
        <v/>
      </c>
      <c r="AW37" s="904" t="n">
        <v>1200</v>
      </c>
      <c r="AX37" s="904">
        <f>TableauProduit[[#This Row],[Poids (g) / unite]]*TableauProduit[[#This Row],[Objectif de vente en unite N7]]/1000</f>
        <v/>
      </c>
      <c r="AY37" s="905">
        <f>TableauProduit[[#This Row],[Objectif de vente en unite N7]]*TableauProduit[[#This Row],[Packaging / unite]]</f>
        <v/>
      </c>
      <c r="AZ37" s="905">
        <f>TableauProduit[[#This Row],[Prix Achat de plante par kg]]*TableauProduit[[#This Row],[Total (kg) N7]]</f>
        <v/>
      </c>
      <c r="BA37" s="905">
        <f>TableauProduit[[#This Row],[Prix de vente/kg]]*TableauProduit[[#This Row],[Total (kg) N7]]</f>
        <v/>
      </c>
      <c r="BB37" s="921">
        <f>TableauProduit[[#This Row],[Revenue brut N7]]-TableauProduit[[#This Row],[Achat plante / kg de melange N7]]-TableauProduit[[#This Row],[Conditionnement N7]]</f>
        <v/>
      </c>
      <c r="BC37" s="922" t="n">
        <v>1200</v>
      </c>
      <c r="BD37" s="923">
        <f>TableauProduit[[#This Row],[Poids (g) / unite]]*TableauProduit[[#This Row],[Objectif de vente en unite N8]]/1000</f>
        <v/>
      </c>
      <c r="BE37" s="924">
        <f>TableauProduit[[#This Row],[Objectif de vente en unite N8]]*TableauProduit[[#This Row],[Packaging / unite]]</f>
        <v/>
      </c>
      <c r="BF37" s="924">
        <f>TableauProduit[[#This Row],[Prix Achat de plante par kg]]*TableauProduit[[#This Row],[Total (kg) N8]]</f>
        <v/>
      </c>
      <c r="BG37" s="924">
        <f>TableauProduit[[#This Row],[Prix de vente/kg]]*TableauProduit[[#This Row],[Total (kg) N8]]</f>
        <v/>
      </c>
      <c r="BH37" s="925">
        <f>TableauProduit[[#This Row],[Revenue brut N8]]-TableauProduit[[#This Row],[Achat plante / kg de melange N8]]-TableauProduit[[#This Row],[Conditionnement N8]]</f>
        <v/>
      </c>
      <c r="BI37" s="926" t="n">
        <v>1200</v>
      </c>
      <c r="BJ37" s="927">
        <f>TableauProduit[[#This Row],[Poids (g) / unite]]*TableauProduit[[#This Row],[Objectif de vente en unite N9]]/1000</f>
        <v/>
      </c>
      <c r="BK37" s="928">
        <f>TableauProduit[[#This Row],[Objectif de vente en unite N9]]*TableauProduit[[#This Row],[Packaging / unite]]</f>
        <v/>
      </c>
      <c r="BL37" s="928">
        <f>TableauProduit[[#This Row],[Prix Achat de plante par kg]]*TableauProduit[[#This Row],[Total (kg) N9]]</f>
        <v/>
      </c>
      <c r="BM37" s="928">
        <f>TableauProduit[[#This Row],[Prix de vente/kg]]*TableauProduit[[#This Row],[Total (kg) N9]]</f>
        <v/>
      </c>
      <c r="BN37" s="927">
        <f>TableauProduit[[#This Row],[Revenue brut N9]]-TableauProduit[[#This Row],[Achat plante / kg de melange N9]]-TableauProduit[[#This Row],[Conditionnement N9]]</f>
        <v/>
      </c>
    </row>
    <row r="38">
      <c r="A38" s="13" t="inlineStr">
        <is>
          <t>Gomasio maison</t>
        </is>
      </c>
      <c r="B38" s="54">
        <f>TableauProduit[[#This Row],[Recette]]&amp;TableauProduit[[#This Row],[Conditionnement]]</f>
        <v/>
      </c>
      <c r="C38" s="11" t="n">
        <v>1</v>
      </c>
      <c r="D38" s="11" t="n">
        <v>50</v>
      </c>
      <c r="E38" s="6" t="inlineStr">
        <is>
          <t>Epice 100ml</t>
        </is>
      </c>
      <c r="F38" s="7">
        <f>IFERROR(VLOOKUP(TableauProduit[[#This Row],[Conditionnement]],TableauConditionnement[[Nom]:[Contenance]],4,FALSE),"")</f>
        <v/>
      </c>
      <c r="G38" s="897">
        <f>IFERROR(SUMIFS(TableauRecette[Prix d''achat / kg],TableauRecette[Recette],TableauProduit[[#This Row],[Recette]],TableauRecette[Conditionnement],TableauProduit[[#This Row],[Conditionnement]]),0)</f>
        <v/>
      </c>
      <c r="H38" s="898" t="n">
        <v>5</v>
      </c>
      <c r="I38" s="899">
        <f>1000*TableauProduit[[#This Row],[Prix de vente/U]]/TableauProduit[[#This Row],[Poids (g) / unite]]</f>
        <v/>
      </c>
      <c r="J38" s="900">
        <f>SUMIFS(TableauConcurence[PRIX_KG],TableauConcurence[PRODUIT],TableauProduit[[#This Row],[Recette]],TableauConcurence[DISTRIBUTION],"magasin NON BIO")</f>
        <v/>
      </c>
      <c r="K38" s="901">
        <f>SUMIFS(TableauConcurence[PRIX_KG],TableauConcurence[PRODUIT],TableauProduit[[#This Row],[Recette]],TableauConcurence[DISTRIBUTION],"magasin BIO")</f>
        <v/>
      </c>
      <c r="L38" s="902">
        <f>SUMIFS(TableauConcurence[PRIX_KG],TableauConcurence[PRODUIT],TableauProduit[[#This Row],[Recette]],TableauConcurence[DISTRIBUTION],"artisanale BIO")</f>
        <v/>
      </c>
      <c r="M38" s="903" t="n">
        <v>0</v>
      </c>
      <c r="N38" s="904">
        <f>TableauProduit[[#This Row],[Poids (g) / unite]]*TableauProduit[[#This Row],[Objectif de vente en unite N1]]/1000</f>
        <v/>
      </c>
      <c r="O38" s="905">
        <f>TableauProduit[[#This Row],[Objectif de vente en unite N1]]*TableauProduit[[#This Row],[Packaging / unite]]</f>
        <v/>
      </c>
      <c r="P38" s="905">
        <f>TableauProduit[[#This Row],[Prix Achat de plante par kg]]*TableauProduit[[#This Row],[Total (kg) N1]]</f>
        <v/>
      </c>
      <c r="Q38" s="905">
        <f>TableauProduit[[#This Row],[Prix de vente/kg]]*TableauProduit[[#This Row],[Total (kg) N1]]</f>
        <v/>
      </c>
      <c r="R38" s="906">
        <f>TableauProduit[[#This Row],[Revenue brut N1]]-TableauProduit[[#This Row],[Achat par kg N1]]-TableauProduit[[#This Row],[Conditionnement N1]]</f>
        <v/>
      </c>
      <c r="S38" s="907" t="n">
        <v>0</v>
      </c>
      <c r="T38" s="908">
        <f>TableauProduit[[#This Row],[Poids (g) / unite]]*TableauProduit[[#This Row],[Objectif de vente en unite N2]]/1000</f>
        <v/>
      </c>
      <c r="U38" s="909">
        <f>TableauProduit[[#This Row],[Objectif de vente en unite N2]]*TableauProduit[[#This Row],[Packaging / unite]]</f>
        <v/>
      </c>
      <c r="V38" s="909">
        <f>TableauProduit[[#This Row],[Prix Achat de plante par kg]]*TableauProduit[[#This Row],[Total (kg) N2]]</f>
        <v/>
      </c>
      <c r="W38" s="909">
        <f>TableauProduit[[#This Row],[Prix de vente/kg]]*TableauProduit[[#This Row],[Total (kg) N2]]</f>
        <v/>
      </c>
      <c r="X38" s="910">
        <f>TableauProduit[[#This Row],[Revenue brut N2]]-TableauProduit[[#This Row],[Achat plante / kg de melange N2]]-TableauProduit[[#This Row],[Conditionnement N2]]</f>
        <v/>
      </c>
      <c r="Y38" s="911" t="n">
        <v>0</v>
      </c>
      <c r="Z38" s="912">
        <f>TableauProduit[[#This Row],[Poids (g) / unite]]*TableauProduit[[#This Row],[Objectif de vente en unite N3]]/1000</f>
        <v/>
      </c>
      <c r="AA38" s="913">
        <f>TableauProduit[[#This Row],[Objectif de vente en unite N3]]*TableauProduit[[#This Row],[Packaging / unite]]</f>
        <v/>
      </c>
      <c r="AB38" s="913">
        <f>TableauProduit[[#This Row],[Prix Achat de plante par kg]]*TableauProduit[[#This Row],[Total (kg) N3]]</f>
        <v/>
      </c>
      <c r="AC38" s="913">
        <f>TableauProduit[[#This Row],[Prix de vente/kg]]*TableauProduit[[#This Row],[Total (kg) N3]]</f>
        <v/>
      </c>
      <c r="AD38" s="914">
        <f>TableauProduit[[#This Row],[Revenue brut N3]]-TableauProduit[[#This Row],[Achat plante / kg de melange N3]]-TableauProduit[[#This Row],[Conditionnement N3]]</f>
        <v/>
      </c>
      <c r="AE38" s="915" t="n">
        <v>0</v>
      </c>
      <c r="AF38" s="915">
        <f>TableauProduit[[#This Row],[Poids (g) / unite]]*TableauProduit[[#This Row],[Objectif de vente en unite N4]]/1000</f>
        <v/>
      </c>
      <c r="AG38" s="916">
        <f>TableauProduit[[#This Row],[Objectif de vente en unite N4]]*TableauProduit[[#This Row],[Packaging / unite]]</f>
        <v/>
      </c>
      <c r="AH38" s="916">
        <f>TableauProduit[[#This Row],[Prix Achat de plante par kg]]*TableauProduit[[#This Row],[Total (kg) N4]]</f>
        <v/>
      </c>
      <c r="AI38" s="916">
        <f>TableauProduit[[#This Row],[Prix de vente/kg]]*TableauProduit[[#This Row],[Total (kg) N4]]</f>
        <v/>
      </c>
      <c r="AJ38" s="915">
        <f>TableauProduit[[#This Row],[Revenue brut N4]]-TableauProduit[[#This Row],[Achat plante / kg de melange N4]]-TableauProduit[[#This Row],[Conditionnement N4]]</f>
        <v/>
      </c>
      <c r="AK38" s="917" t="n">
        <v>0</v>
      </c>
      <c r="AL38" s="917">
        <f>TableauProduit[[#This Row],[Poids (g) / unite]]*TableauProduit[[#This Row],[Objectif de vente en unite N5]]/1000</f>
        <v/>
      </c>
      <c r="AM38" s="918">
        <f>TableauProduit[[#This Row],[Objectif de vente en unite N5]]*TableauProduit[[#This Row],[Packaging / unite]]</f>
        <v/>
      </c>
      <c r="AN38" s="918">
        <f>TableauProduit[[#This Row],[Prix Achat de plante par kg]]*TableauProduit[[#This Row],[Total (kg) N5]]</f>
        <v/>
      </c>
      <c r="AO38" s="918">
        <f>TableauProduit[[#This Row],[Prix de vente/kg]]*TableauProduit[[#This Row],[Total (kg) N5]]</f>
        <v/>
      </c>
      <c r="AP38" s="917">
        <f>TableauProduit[[#This Row],[Revenue brut N5]]-TableauProduit[[#This Row],[Achat plante / kg de melange N5]]-TableauProduit[[#This Row],[Conditionnement N5]]</f>
        <v/>
      </c>
      <c r="AQ38" s="919" t="n">
        <v>0</v>
      </c>
      <c r="AR38" s="919">
        <f>TableauProduit[[#This Row],[Poids (g) / unite]]*TableauProduit[[#This Row],[Objectif de vente en unite N6]]/1000</f>
        <v/>
      </c>
      <c r="AS38" s="920">
        <f>TableauProduit[[#This Row],[Objectif de vente en unite N6]]*TableauProduit[[#This Row],[Packaging / unite]]</f>
        <v/>
      </c>
      <c r="AT38" s="920">
        <f>TableauProduit[[#This Row],[Prix Achat de plante par kg]]*TableauProduit[[#This Row],[Total (kg) N6]]</f>
        <v/>
      </c>
      <c r="AU38" s="920">
        <f>TableauProduit[[#This Row],[Prix de vente/kg]]*TableauProduit[[#This Row],[Total (kg) N6]]</f>
        <v/>
      </c>
      <c r="AV38" s="919">
        <f>TableauProduit[[#This Row],[Revenue brut N6]]-TableauProduit[[#This Row],[Achat plante / kg de melange N6]]-TableauProduit[[#This Row],[Conditionnement N6]]</f>
        <v/>
      </c>
      <c r="AW38" s="904" t="n">
        <v>0</v>
      </c>
      <c r="AX38" s="904">
        <f>TableauProduit[[#This Row],[Poids (g) / unite]]*TableauProduit[[#This Row],[Objectif de vente en unite N7]]/1000</f>
        <v/>
      </c>
      <c r="AY38" s="905">
        <f>TableauProduit[[#This Row],[Objectif de vente en unite N7]]*TableauProduit[[#This Row],[Packaging / unite]]</f>
        <v/>
      </c>
      <c r="AZ38" s="905">
        <f>TableauProduit[[#This Row],[Prix Achat de plante par kg]]*TableauProduit[[#This Row],[Total (kg) N7]]</f>
        <v/>
      </c>
      <c r="BA38" s="905">
        <f>TableauProduit[[#This Row],[Prix de vente/kg]]*TableauProduit[[#This Row],[Total (kg) N7]]</f>
        <v/>
      </c>
      <c r="BB38" s="921">
        <f>TableauProduit[[#This Row],[Revenue brut N7]]-TableauProduit[[#This Row],[Achat plante / kg de melange N7]]-TableauProduit[[#This Row],[Conditionnement N7]]</f>
        <v/>
      </c>
      <c r="BC38" s="922" t="n">
        <v>0</v>
      </c>
      <c r="BD38" s="923">
        <f>TableauProduit[[#This Row],[Poids (g) / unite]]*TableauProduit[[#This Row],[Objectif de vente en unite N8]]/1000</f>
        <v/>
      </c>
      <c r="BE38" s="924">
        <f>TableauProduit[[#This Row],[Objectif de vente en unite N8]]*TableauProduit[[#This Row],[Packaging / unite]]</f>
        <v/>
      </c>
      <c r="BF38" s="924">
        <f>TableauProduit[[#This Row],[Prix Achat de plante par kg]]*TableauProduit[[#This Row],[Total (kg) N8]]</f>
        <v/>
      </c>
      <c r="BG38" s="924">
        <f>TableauProduit[[#This Row],[Prix de vente/kg]]*TableauProduit[[#This Row],[Total (kg) N8]]</f>
        <v/>
      </c>
      <c r="BH38" s="925">
        <f>TableauProduit[[#This Row],[Revenue brut N8]]-TableauProduit[[#This Row],[Achat plante / kg de melange N8]]-TableauProduit[[#This Row],[Conditionnement N8]]</f>
        <v/>
      </c>
      <c r="BI38" s="926" t="n">
        <v>0</v>
      </c>
      <c r="BJ38" s="927">
        <f>TableauProduit[[#This Row],[Poids (g) / unite]]*TableauProduit[[#This Row],[Objectif de vente en unite N9]]/1000</f>
        <v/>
      </c>
      <c r="BK38" s="928">
        <f>TableauProduit[[#This Row],[Objectif de vente en unite N9]]*TableauProduit[[#This Row],[Packaging / unite]]</f>
        <v/>
      </c>
      <c r="BL38" s="928">
        <f>TableauProduit[[#This Row],[Prix Achat de plante par kg]]*TableauProduit[[#This Row],[Total (kg) N9]]</f>
        <v/>
      </c>
      <c r="BM38" s="928">
        <f>TableauProduit[[#This Row],[Prix de vente/kg]]*TableauProduit[[#This Row],[Total (kg) N9]]</f>
        <v/>
      </c>
      <c r="BN38" s="927">
        <f>TableauProduit[[#This Row],[Revenue brut N9]]-TableauProduit[[#This Row],[Achat plante / kg de melange N9]]-TableauProduit[[#This Row],[Conditionnement N9]]</f>
        <v/>
      </c>
    </row>
    <row r="39">
      <c r="A39" s="13" t="inlineStr">
        <is>
          <t>Timur ko chhop</t>
        </is>
      </c>
      <c r="B39" s="54">
        <f>TableauProduit[[#This Row],[Recette]]&amp;TableauProduit[[#This Row],[Conditionnement]]</f>
        <v/>
      </c>
      <c r="C39" s="11" t="n">
        <v>1</v>
      </c>
      <c r="D39" s="11" t="n">
        <v>50</v>
      </c>
      <c r="E39" s="6" t="inlineStr">
        <is>
          <t>Epice 100ml</t>
        </is>
      </c>
      <c r="F39" s="7">
        <f>IFERROR(VLOOKUP(TableauProduit[[#This Row],[Conditionnement]],TableauConditionnement[[Nom]:[Contenance]],4,FALSE),"")</f>
        <v/>
      </c>
      <c r="G39" s="897">
        <f>IFERROR(SUMIFS(TableauRecette[Prix d''achat / kg],TableauRecette[Recette],TableauProduit[[#This Row],[Recette]],TableauRecette[Conditionnement],TableauProduit[[#This Row],[Conditionnement]]),0)</f>
        <v/>
      </c>
      <c r="H39" s="898" t="n">
        <v>2.9</v>
      </c>
      <c r="I39" s="899">
        <f>1000*TableauProduit[[#This Row],[Prix de vente/U]]/TableauProduit[[#This Row],[Poids (g) / unite]]</f>
        <v/>
      </c>
      <c r="J39" s="900">
        <f>SUMIFS(TableauConcurence[PRIX_KG],TableauConcurence[PRODUIT],TableauProduit[[#This Row],[Recette]],TableauConcurence[DISTRIBUTION],"magasin NON BIO")</f>
        <v/>
      </c>
      <c r="K39" s="901">
        <f>SUMIFS(TableauConcurence[PRIX_KG],TableauConcurence[PRODUIT],TableauProduit[[#This Row],[Recette]],TableauConcurence[DISTRIBUTION],"magasin BIO")</f>
        <v/>
      </c>
      <c r="L39" s="902">
        <f>SUMIFS(TableauConcurence[PRIX_KG],TableauConcurence[PRODUIT],TableauProduit[[#This Row],[Recette]],TableauConcurence[DISTRIBUTION],"artisanale BIO")</f>
        <v/>
      </c>
      <c r="M39" s="903" t="n">
        <v>0</v>
      </c>
      <c r="N39" s="904">
        <f>TableauProduit[[#This Row],[Poids (g) / unite]]*TableauProduit[[#This Row],[Objectif de vente en unite N1]]/1000</f>
        <v/>
      </c>
      <c r="O39" s="905">
        <f>TableauProduit[[#This Row],[Objectif de vente en unite N1]]*TableauProduit[[#This Row],[Packaging / unite]]</f>
        <v/>
      </c>
      <c r="P39" s="905">
        <f>TableauProduit[[#This Row],[Prix Achat de plante par kg]]*TableauProduit[[#This Row],[Total (kg) N1]]</f>
        <v/>
      </c>
      <c r="Q39" s="905">
        <f>TableauProduit[[#This Row],[Prix de vente/kg]]*TableauProduit[[#This Row],[Total (kg) N1]]</f>
        <v/>
      </c>
      <c r="R39" s="906">
        <f>TableauProduit[[#This Row],[Revenue brut N1]]-TableauProduit[[#This Row],[Achat par kg N1]]-TableauProduit[[#This Row],[Conditionnement N1]]</f>
        <v/>
      </c>
      <c r="S39" s="907" t="n">
        <v>0</v>
      </c>
      <c r="T39" s="908">
        <f>TableauProduit[[#This Row],[Poids (g) / unite]]*TableauProduit[[#This Row],[Objectif de vente en unite N2]]/1000</f>
        <v/>
      </c>
      <c r="U39" s="909">
        <f>TableauProduit[[#This Row],[Objectif de vente en unite N2]]*TableauProduit[[#This Row],[Packaging / unite]]</f>
        <v/>
      </c>
      <c r="V39" s="909">
        <f>TableauProduit[[#This Row],[Prix Achat de plante par kg]]*TableauProduit[[#This Row],[Total (kg) N2]]</f>
        <v/>
      </c>
      <c r="W39" s="909">
        <f>TableauProduit[[#This Row],[Prix de vente/kg]]*TableauProduit[[#This Row],[Total (kg) N2]]</f>
        <v/>
      </c>
      <c r="X39" s="910">
        <f>TableauProduit[[#This Row],[Revenue brut N2]]-TableauProduit[[#This Row],[Achat plante / kg de melange N2]]-TableauProduit[[#This Row],[Conditionnement N2]]</f>
        <v/>
      </c>
      <c r="Y39" s="911" t="n">
        <v>0</v>
      </c>
      <c r="Z39" s="912">
        <f>TableauProduit[[#This Row],[Poids (g) / unite]]*TableauProduit[[#This Row],[Objectif de vente en unite N3]]/1000</f>
        <v/>
      </c>
      <c r="AA39" s="913">
        <f>TableauProduit[[#This Row],[Objectif de vente en unite N3]]*TableauProduit[[#This Row],[Packaging / unite]]</f>
        <v/>
      </c>
      <c r="AB39" s="913">
        <f>TableauProduit[[#This Row],[Prix Achat de plante par kg]]*TableauProduit[[#This Row],[Total (kg) N3]]</f>
        <v/>
      </c>
      <c r="AC39" s="913">
        <f>TableauProduit[[#This Row],[Prix de vente/kg]]*TableauProduit[[#This Row],[Total (kg) N3]]</f>
        <v/>
      </c>
      <c r="AD39" s="914">
        <f>TableauProduit[[#This Row],[Revenue brut N3]]-TableauProduit[[#This Row],[Achat plante / kg de melange N3]]-TableauProduit[[#This Row],[Conditionnement N3]]</f>
        <v/>
      </c>
      <c r="AE39" s="915" t="n">
        <v>0</v>
      </c>
      <c r="AF39" s="915">
        <f>TableauProduit[[#This Row],[Poids (g) / unite]]*TableauProduit[[#This Row],[Objectif de vente en unite N4]]/1000</f>
        <v/>
      </c>
      <c r="AG39" s="916">
        <f>TableauProduit[[#This Row],[Objectif de vente en unite N4]]*TableauProduit[[#This Row],[Packaging / unite]]</f>
        <v/>
      </c>
      <c r="AH39" s="916">
        <f>TableauProduit[[#This Row],[Prix Achat de plante par kg]]*TableauProduit[[#This Row],[Total (kg) N4]]</f>
        <v/>
      </c>
      <c r="AI39" s="916">
        <f>TableauProduit[[#This Row],[Prix de vente/kg]]*TableauProduit[[#This Row],[Total (kg) N4]]</f>
        <v/>
      </c>
      <c r="AJ39" s="915">
        <f>TableauProduit[[#This Row],[Revenue brut N4]]-TableauProduit[[#This Row],[Achat plante / kg de melange N4]]-TableauProduit[[#This Row],[Conditionnement N4]]</f>
        <v/>
      </c>
      <c r="AK39" s="917" t="n">
        <v>0</v>
      </c>
      <c r="AL39" s="917">
        <f>TableauProduit[[#This Row],[Poids (g) / unite]]*TableauProduit[[#This Row],[Objectif de vente en unite N5]]/1000</f>
        <v/>
      </c>
      <c r="AM39" s="918">
        <f>TableauProduit[[#This Row],[Objectif de vente en unite N5]]*TableauProduit[[#This Row],[Packaging / unite]]</f>
        <v/>
      </c>
      <c r="AN39" s="918">
        <f>TableauProduit[[#This Row],[Prix Achat de plante par kg]]*TableauProduit[[#This Row],[Total (kg) N5]]</f>
        <v/>
      </c>
      <c r="AO39" s="918">
        <f>TableauProduit[[#This Row],[Prix de vente/kg]]*TableauProduit[[#This Row],[Total (kg) N5]]</f>
        <v/>
      </c>
      <c r="AP39" s="917">
        <f>TableauProduit[[#This Row],[Revenue brut N5]]-TableauProduit[[#This Row],[Achat plante / kg de melange N5]]-TableauProduit[[#This Row],[Conditionnement N5]]</f>
        <v/>
      </c>
      <c r="AQ39" s="919" t="n">
        <v>0</v>
      </c>
      <c r="AR39" s="919">
        <f>TableauProduit[[#This Row],[Poids (g) / unite]]*TableauProduit[[#This Row],[Objectif de vente en unite N6]]/1000</f>
        <v/>
      </c>
      <c r="AS39" s="920">
        <f>TableauProduit[[#This Row],[Objectif de vente en unite N6]]*TableauProduit[[#This Row],[Packaging / unite]]</f>
        <v/>
      </c>
      <c r="AT39" s="920">
        <f>TableauProduit[[#This Row],[Prix Achat de plante par kg]]*TableauProduit[[#This Row],[Total (kg) N6]]</f>
        <v/>
      </c>
      <c r="AU39" s="920">
        <f>TableauProduit[[#This Row],[Prix de vente/kg]]*TableauProduit[[#This Row],[Total (kg) N6]]</f>
        <v/>
      </c>
      <c r="AV39" s="919">
        <f>TableauProduit[[#This Row],[Revenue brut N6]]-TableauProduit[[#This Row],[Achat plante / kg de melange N6]]-TableauProduit[[#This Row],[Conditionnement N6]]</f>
        <v/>
      </c>
      <c r="AW39" s="904" t="n">
        <v>0</v>
      </c>
      <c r="AX39" s="904">
        <f>TableauProduit[[#This Row],[Poids (g) / unite]]*TableauProduit[[#This Row],[Objectif de vente en unite N7]]/1000</f>
        <v/>
      </c>
      <c r="AY39" s="905">
        <f>TableauProduit[[#This Row],[Objectif de vente en unite N7]]*TableauProduit[[#This Row],[Packaging / unite]]</f>
        <v/>
      </c>
      <c r="AZ39" s="905">
        <f>TableauProduit[[#This Row],[Prix Achat de plante par kg]]*TableauProduit[[#This Row],[Total (kg) N7]]</f>
        <v/>
      </c>
      <c r="BA39" s="905">
        <f>TableauProduit[[#This Row],[Prix de vente/kg]]*TableauProduit[[#This Row],[Total (kg) N7]]</f>
        <v/>
      </c>
      <c r="BB39" s="921">
        <f>TableauProduit[[#This Row],[Revenue brut N7]]-TableauProduit[[#This Row],[Achat plante / kg de melange N7]]-TableauProduit[[#This Row],[Conditionnement N7]]</f>
        <v/>
      </c>
      <c r="BC39" s="922" t="n">
        <v>0</v>
      </c>
      <c r="BD39" s="923">
        <f>TableauProduit[[#This Row],[Poids (g) / unite]]*TableauProduit[[#This Row],[Objectif de vente en unite N8]]/1000</f>
        <v/>
      </c>
      <c r="BE39" s="924">
        <f>TableauProduit[[#This Row],[Objectif de vente en unite N8]]*TableauProduit[[#This Row],[Packaging / unite]]</f>
        <v/>
      </c>
      <c r="BF39" s="924">
        <f>TableauProduit[[#This Row],[Prix Achat de plante par kg]]*TableauProduit[[#This Row],[Total (kg) N8]]</f>
        <v/>
      </c>
      <c r="BG39" s="924">
        <f>TableauProduit[[#This Row],[Prix de vente/kg]]*TableauProduit[[#This Row],[Total (kg) N8]]</f>
        <v/>
      </c>
      <c r="BH39" s="925">
        <f>TableauProduit[[#This Row],[Revenue brut N8]]-TableauProduit[[#This Row],[Achat plante / kg de melange N8]]-TableauProduit[[#This Row],[Conditionnement N8]]</f>
        <v/>
      </c>
      <c r="BI39" s="926" t="n">
        <v>0</v>
      </c>
      <c r="BJ39" s="927">
        <f>TableauProduit[[#This Row],[Poids (g) / unite]]*TableauProduit[[#This Row],[Objectif de vente en unite N9]]/1000</f>
        <v/>
      </c>
      <c r="BK39" s="928">
        <f>TableauProduit[[#This Row],[Objectif de vente en unite N9]]*TableauProduit[[#This Row],[Packaging / unite]]</f>
        <v/>
      </c>
      <c r="BL39" s="928">
        <f>TableauProduit[[#This Row],[Prix Achat de plante par kg]]*TableauProduit[[#This Row],[Total (kg) N9]]</f>
        <v/>
      </c>
      <c r="BM39" s="928">
        <f>TableauProduit[[#This Row],[Prix de vente/kg]]*TableauProduit[[#This Row],[Total (kg) N9]]</f>
        <v/>
      </c>
      <c r="BN39" s="927">
        <f>TableauProduit[[#This Row],[Revenue brut N9]]-TableauProduit[[#This Row],[Achat plante / kg de melange N9]]-TableauProduit[[#This Row],[Conditionnement N9]]</f>
        <v/>
      </c>
    </row>
    <row r="40">
      <c r="A40" s="13" t="inlineStr">
        <is>
          <t>Harissa</t>
        </is>
      </c>
      <c r="B40" s="54">
        <f>TableauProduit[[#This Row],[Recette]]&amp;TableauProduit[[#This Row],[Conditionnement]]</f>
        <v/>
      </c>
      <c r="C40" s="11" t="n">
        <v>1</v>
      </c>
      <c r="D40" s="11" t="n">
        <v>65</v>
      </c>
      <c r="E40" s="6" t="inlineStr">
        <is>
          <t>Epice 100ml</t>
        </is>
      </c>
      <c r="F40" s="7">
        <f>IFERROR(VLOOKUP(TableauProduit[[#This Row],[Conditionnement]],TableauConditionnement[[Nom]:[Contenance]],4,FALSE),"")</f>
        <v/>
      </c>
      <c r="G40" s="897">
        <f>IFERROR(SUMIFS(TableauRecette[Prix d''achat / kg],TableauRecette[Recette],TableauProduit[[#This Row],[Recette]],TableauRecette[Conditionnement],TableauProduit[[#This Row],[Conditionnement]]),0)</f>
        <v/>
      </c>
      <c r="H40" s="898" t="n">
        <v>5</v>
      </c>
      <c r="I40" s="899">
        <f>1000*TableauProduit[[#This Row],[Prix de vente/U]]/TableauProduit[[#This Row],[Poids (g) / unite]]</f>
        <v/>
      </c>
      <c r="J40" s="900">
        <f>SUMIFS(TableauConcurence[PRIX_KG],TableauConcurence[PRODUIT],TableauProduit[[#This Row],[Recette]],TableauConcurence[DISTRIBUTION],"magasin NON BIO")</f>
        <v/>
      </c>
      <c r="K40" s="901">
        <f>SUMIFS(TableauConcurence[PRIX_KG],TableauConcurence[PRODUIT],TableauProduit[[#This Row],[Recette]],TableauConcurence[DISTRIBUTION],"magasin BIO")</f>
        <v/>
      </c>
      <c r="L40" s="902">
        <f>SUMIFS(TableauConcurence[PRIX_KG],TableauConcurence[PRODUIT],TableauProduit[[#This Row],[Recette]],TableauConcurence[DISTRIBUTION],"artisanale BIO")</f>
        <v/>
      </c>
      <c r="M40" s="903" t="n">
        <v>0</v>
      </c>
      <c r="N40" s="904">
        <f>TableauProduit[[#This Row],[Poids (g) / unite]]*TableauProduit[[#This Row],[Objectif de vente en unite N1]]/1000</f>
        <v/>
      </c>
      <c r="O40" s="905">
        <f>TableauProduit[[#This Row],[Objectif de vente en unite N1]]*TableauProduit[[#This Row],[Packaging / unite]]</f>
        <v/>
      </c>
      <c r="P40" s="905">
        <f>TableauProduit[[#This Row],[Prix Achat de plante par kg]]*TableauProduit[[#This Row],[Total (kg) N1]]</f>
        <v/>
      </c>
      <c r="Q40" s="905">
        <f>TableauProduit[[#This Row],[Prix de vente/kg]]*TableauProduit[[#This Row],[Total (kg) N1]]</f>
        <v/>
      </c>
      <c r="R40" s="906">
        <f>TableauProduit[[#This Row],[Revenue brut N1]]-TableauProduit[[#This Row],[Achat par kg N1]]-TableauProduit[[#This Row],[Conditionnement N1]]</f>
        <v/>
      </c>
      <c r="S40" s="907" t="n">
        <v>0</v>
      </c>
      <c r="T40" s="908">
        <f>TableauProduit[[#This Row],[Poids (g) / unite]]*TableauProduit[[#This Row],[Objectif de vente en unite N2]]/1000</f>
        <v/>
      </c>
      <c r="U40" s="909">
        <f>TableauProduit[[#This Row],[Objectif de vente en unite N2]]*TableauProduit[[#This Row],[Packaging / unite]]</f>
        <v/>
      </c>
      <c r="V40" s="909">
        <f>TableauProduit[[#This Row],[Prix Achat de plante par kg]]*TableauProduit[[#This Row],[Total (kg) N2]]</f>
        <v/>
      </c>
      <c r="W40" s="909">
        <f>TableauProduit[[#This Row],[Prix de vente/kg]]*TableauProduit[[#This Row],[Total (kg) N2]]</f>
        <v/>
      </c>
      <c r="X40" s="910">
        <f>TableauProduit[[#This Row],[Revenue brut N2]]-TableauProduit[[#This Row],[Achat plante / kg de melange N2]]-TableauProduit[[#This Row],[Conditionnement N2]]</f>
        <v/>
      </c>
      <c r="Y40" s="911" t="n">
        <v>0</v>
      </c>
      <c r="Z40" s="912">
        <f>TableauProduit[[#This Row],[Poids (g) / unite]]*TableauProduit[[#This Row],[Objectif de vente en unite N3]]/1000</f>
        <v/>
      </c>
      <c r="AA40" s="913">
        <f>TableauProduit[[#This Row],[Objectif de vente en unite N3]]*TableauProduit[[#This Row],[Packaging / unite]]</f>
        <v/>
      </c>
      <c r="AB40" s="913">
        <f>TableauProduit[[#This Row],[Prix Achat de plante par kg]]*TableauProduit[[#This Row],[Total (kg) N3]]</f>
        <v/>
      </c>
      <c r="AC40" s="913">
        <f>TableauProduit[[#This Row],[Prix de vente/kg]]*TableauProduit[[#This Row],[Total (kg) N3]]</f>
        <v/>
      </c>
      <c r="AD40" s="914">
        <f>TableauProduit[[#This Row],[Revenue brut N3]]-TableauProduit[[#This Row],[Achat plante / kg de melange N3]]-TableauProduit[[#This Row],[Conditionnement N3]]</f>
        <v/>
      </c>
      <c r="AE40" s="915" t="n">
        <v>0</v>
      </c>
      <c r="AF40" s="915">
        <f>TableauProduit[[#This Row],[Poids (g) / unite]]*TableauProduit[[#This Row],[Objectif de vente en unite N4]]/1000</f>
        <v/>
      </c>
      <c r="AG40" s="916">
        <f>TableauProduit[[#This Row],[Objectif de vente en unite N4]]*TableauProduit[[#This Row],[Packaging / unite]]</f>
        <v/>
      </c>
      <c r="AH40" s="916">
        <f>TableauProduit[[#This Row],[Prix Achat de plante par kg]]*TableauProduit[[#This Row],[Total (kg) N4]]</f>
        <v/>
      </c>
      <c r="AI40" s="916">
        <f>TableauProduit[[#This Row],[Prix de vente/kg]]*TableauProduit[[#This Row],[Total (kg) N4]]</f>
        <v/>
      </c>
      <c r="AJ40" s="915">
        <f>TableauProduit[[#This Row],[Revenue brut N4]]-TableauProduit[[#This Row],[Achat plante / kg de melange N4]]-TableauProduit[[#This Row],[Conditionnement N4]]</f>
        <v/>
      </c>
      <c r="AK40" s="917" t="n">
        <v>0</v>
      </c>
      <c r="AL40" s="917">
        <f>TableauProduit[[#This Row],[Poids (g) / unite]]*TableauProduit[[#This Row],[Objectif de vente en unite N5]]/1000</f>
        <v/>
      </c>
      <c r="AM40" s="918">
        <f>TableauProduit[[#This Row],[Objectif de vente en unite N5]]*TableauProduit[[#This Row],[Packaging / unite]]</f>
        <v/>
      </c>
      <c r="AN40" s="918">
        <f>TableauProduit[[#This Row],[Prix Achat de plante par kg]]*TableauProduit[[#This Row],[Total (kg) N5]]</f>
        <v/>
      </c>
      <c r="AO40" s="918">
        <f>TableauProduit[[#This Row],[Prix de vente/kg]]*TableauProduit[[#This Row],[Total (kg) N5]]</f>
        <v/>
      </c>
      <c r="AP40" s="917">
        <f>TableauProduit[[#This Row],[Revenue brut N5]]-TableauProduit[[#This Row],[Achat plante / kg de melange N5]]-TableauProduit[[#This Row],[Conditionnement N5]]</f>
        <v/>
      </c>
      <c r="AQ40" s="919" t="n">
        <v>0</v>
      </c>
      <c r="AR40" s="919">
        <f>TableauProduit[[#This Row],[Poids (g) / unite]]*TableauProduit[[#This Row],[Objectif de vente en unite N6]]/1000</f>
        <v/>
      </c>
      <c r="AS40" s="920">
        <f>TableauProduit[[#This Row],[Objectif de vente en unite N6]]*TableauProduit[[#This Row],[Packaging / unite]]</f>
        <v/>
      </c>
      <c r="AT40" s="920">
        <f>TableauProduit[[#This Row],[Prix Achat de plante par kg]]*TableauProduit[[#This Row],[Total (kg) N6]]</f>
        <v/>
      </c>
      <c r="AU40" s="920">
        <f>TableauProduit[[#This Row],[Prix de vente/kg]]*TableauProduit[[#This Row],[Total (kg) N6]]</f>
        <v/>
      </c>
      <c r="AV40" s="919">
        <f>TableauProduit[[#This Row],[Revenue brut N6]]-TableauProduit[[#This Row],[Achat plante / kg de melange N6]]-TableauProduit[[#This Row],[Conditionnement N6]]</f>
        <v/>
      </c>
      <c r="AW40" s="904" t="n">
        <v>0</v>
      </c>
      <c r="AX40" s="904">
        <f>TableauProduit[[#This Row],[Poids (g) / unite]]*TableauProduit[[#This Row],[Objectif de vente en unite N7]]/1000</f>
        <v/>
      </c>
      <c r="AY40" s="905">
        <f>TableauProduit[[#This Row],[Objectif de vente en unite N7]]*TableauProduit[[#This Row],[Packaging / unite]]</f>
        <v/>
      </c>
      <c r="AZ40" s="905">
        <f>TableauProduit[[#This Row],[Prix Achat de plante par kg]]*TableauProduit[[#This Row],[Total (kg) N7]]</f>
        <v/>
      </c>
      <c r="BA40" s="905">
        <f>TableauProduit[[#This Row],[Prix de vente/kg]]*TableauProduit[[#This Row],[Total (kg) N7]]</f>
        <v/>
      </c>
      <c r="BB40" s="921">
        <f>TableauProduit[[#This Row],[Revenue brut N7]]-TableauProduit[[#This Row],[Achat plante / kg de melange N7]]-TableauProduit[[#This Row],[Conditionnement N7]]</f>
        <v/>
      </c>
      <c r="BC40" s="922" t="n">
        <v>0</v>
      </c>
      <c r="BD40" s="923">
        <f>TableauProduit[[#This Row],[Poids (g) / unite]]*TableauProduit[[#This Row],[Objectif de vente en unite N8]]/1000</f>
        <v/>
      </c>
      <c r="BE40" s="924">
        <f>TableauProduit[[#This Row],[Objectif de vente en unite N8]]*TableauProduit[[#This Row],[Packaging / unite]]</f>
        <v/>
      </c>
      <c r="BF40" s="924">
        <f>TableauProduit[[#This Row],[Prix Achat de plante par kg]]*TableauProduit[[#This Row],[Total (kg) N8]]</f>
        <v/>
      </c>
      <c r="BG40" s="924">
        <f>TableauProduit[[#This Row],[Prix de vente/kg]]*TableauProduit[[#This Row],[Total (kg) N8]]</f>
        <v/>
      </c>
      <c r="BH40" s="925">
        <f>TableauProduit[[#This Row],[Revenue brut N8]]-TableauProduit[[#This Row],[Achat plante / kg de melange N8]]-TableauProduit[[#This Row],[Conditionnement N8]]</f>
        <v/>
      </c>
      <c r="BI40" s="926" t="n">
        <v>0</v>
      </c>
      <c r="BJ40" s="927">
        <f>TableauProduit[[#This Row],[Poids (g) / unite]]*TableauProduit[[#This Row],[Objectif de vente en unite N9]]/1000</f>
        <v/>
      </c>
      <c r="BK40" s="928">
        <f>TableauProduit[[#This Row],[Objectif de vente en unite N9]]*TableauProduit[[#This Row],[Packaging / unite]]</f>
        <v/>
      </c>
      <c r="BL40" s="928">
        <f>TableauProduit[[#This Row],[Prix Achat de plante par kg]]*TableauProduit[[#This Row],[Total (kg) N9]]</f>
        <v/>
      </c>
      <c r="BM40" s="928">
        <f>TableauProduit[[#This Row],[Prix de vente/kg]]*TableauProduit[[#This Row],[Total (kg) N9]]</f>
        <v/>
      </c>
      <c r="BN40" s="927">
        <f>TableauProduit[[#This Row],[Revenue brut N9]]-TableauProduit[[#This Row],[Achat plante / kg de melange N9]]-TableauProduit[[#This Row],[Conditionnement N9]]</f>
        <v/>
      </c>
    </row>
    <row r="41">
      <c r="A41" s="13" t="inlineStr">
        <is>
          <t>epices cajun</t>
        </is>
      </c>
      <c r="B41" s="54">
        <f>TableauProduit[[#This Row],[Recette]]&amp;TableauProduit[[#This Row],[Conditionnement]]</f>
        <v/>
      </c>
      <c r="C41" s="11" t="n">
        <v>1</v>
      </c>
      <c r="D41" s="11" t="n">
        <v>50</v>
      </c>
      <c r="E41" s="6" t="inlineStr">
        <is>
          <t>Epice 100ml</t>
        </is>
      </c>
      <c r="F41" s="7">
        <f>IFERROR(VLOOKUP(TableauProduit[[#This Row],[Conditionnement]],TableauConditionnement[[Nom]:[Contenance]],4,FALSE),"")</f>
        <v/>
      </c>
      <c r="G41" s="897">
        <f>IFERROR(SUMIFS(TableauRecette[Prix d''achat / kg],TableauRecette[Recette],TableauProduit[[#This Row],[Recette]],TableauRecette[Conditionnement],TableauProduit[[#This Row],[Conditionnement]]),0)</f>
        <v/>
      </c>
      <c r="H41" s="898" t="n">
        <v>4</v>
      </c>
      <c r="I41" s="899">
        <f>1000*TableauProduit[[#This Row],[Prix de vente/U]]/TableauProduit[[#This Row],[Poids (g) / unite]]</f>
        <v/>
      </c>
      <c r="J41" s="900">
        <f>SUMIFS(TableauConcurence[PRIX_KG],TableauConcurence[PRODUIT],TableauProduit[[#This Row],[Recette]],TableauConcurence[DISTRIBUTION],"magasin NON BIO")</f>
        <v/>
      </c>
      <c r="K41" s="901">
        <f>SUMIFS(TableauConcurence[PRIX_KG],TableauConcurence[PRODUIT],TableauProduit[[#This Row],[Recette]],TableauConcurence[DISTRIBUTION],"magasin BIO")</f>
        <v/>
      </c>
      <c r="L41" s="902">
        <f>SUMIFS(TableauConcurence[PRIX_KG],TableauConcurence[PRODUIT],TableauProduit[[#This Row],[Recette]],TableauConcurence[DISTRIBUTION],"artisanale BIO")</f>
        <v/>
      </c>
      <c r="M41" s="903" t="n">
        <v>0</v>
      </c>
      <c r="N41" s="904">
        <f>TableauProduit[[#This Row],[Poids (g) / unite]]*TableauProduit[[#This Row],[Objectif de vente en unite N1]]/1000</f>
        <v/>
      </c>
      <c r="O41" s="905">
        <f>TableauProduit[[#This Row],[Objectif de vente en unite N1]]*TableauProduit[[#This Row],[Packaging / unite]]</f>
        <v/>
      </c>
      <c r="P41" s="905">
        <f>TableauProduit[[#This Row],[Prix Achat de plante par kg]]*TableauProduit[[#This Row],[Total (kg) N1]]</f>
        <v/>
      </c>
      <c r="Q41" s="905">
        <f>TableauProduit[[#This Row],[Prix de vente/kg]]*TableauProduit[[#This Row],[Total (kg) N1]]</f>
        <v/>
      </c>
      <c r="R41" s="906">
        <f>TableauProduit[[#This Row],[Revenue brut N1]]-TableauProduit[[#This Row],[Achat par kg N1]]-TableauProduit[[#This Row],[Conditionnement N1]]</f>
        <v/>
      </c>
      <c r="S41" s="907" t="n">
        <v>0</v>
      </c>
      <c r="T41" s="908">
        <f>TableauProduit[[#This Row],[Poids (g) / unite]]*TableauProduit[[#This Row],[Objectif de vente en unite N2]]/1000</f>
        <v/>
      </c>
      <c r="U41" s="909">
        <f>TableauProduit[[#This Row],[Objectif de vente en unite N2]]*TableauProduit[[#This Row],[Packaging / unite]]</f>
        <v/>
      </c>
      <c r="V41" s="909">
        <f>TableauProduit[[#This Row],[Prix Achat de plante par kg]]*TableauProduit[[#This Row],[Total (kg) N2]]</f>
        <v/>
      </c>
      <c r="W41" s="909">
        <f>TableauProduit[[#This Row],[Prix de vente/kg]]*TableauProduit[[#This Row],[Total (kg) N2]]</f>
        <v/>
      </c>
      <c r="X41" s="910">
        <f>TableauProduit[[#This Row],[Revenue brut N2]]-TableauProduit[[#This Row],[Achat plante / kg de melange N2]]-TableauProduit[[#This Row],[Conditionnement N2]]</f>
        <v/>
      </c>
      <c r="Y41" s="911" t="n">
        <v>0</v>
      </c>
      <c r="Z41" s="912">
        <f>TableauProduit[[#This Row],[Poids (g) / unite]]*TableauProduit[[#This Row],[Objectif de vente en unite N3]]/1000</f>
        <v/>
      </c>
      <c r="AA41" s="913">
        <f>TableauProduit[[#This Row],[Objectif de vente en unite N3]]*TableauProduit[[#This Row],[Packaging / unite]]</f>
        <v/>
      </c>
      <c r="AB41" s="913">
        <f>TableauProduit[[#This Row],[Prix Achat de plante par kg]]*TableauProduit[[#This Row],[Total (kg) N3]]</f>
        <v/>
      </c>
      <c r="AC41" s="913">
        <f>TableauProduit[[#This Row],[Prix de vente/kg]]*TableauProduit[[#This Row],[Total (kg) N3]]</f>
        <v/>
      </c>
      <c r="AD41" s="914">
        <f>TableauProduit[[#This Row],[Revenue brut N3]]-TableauProduit[[#This Row],[Achat plante / kg de melange N3]]-TableauProduit[[#This Row],[Conditionnement N3]]</f>
        <v/>
      </c>
      <c r="AE41" s="915" t="n">
        <v>0</v>
      </c>
      <c r="AF41" s="915">
        <f>TableauProduit[[#This Row],[Poids (g) / unite]]*TableauProduit[[#This Row],[Objectif de vente en unite N4]]/1000</f>
        <v/>
      </c>
      <c r="AG41" s="916">
        <f>TableauProduit[[#This Row],[Objectif de vente en unite N4]]*TableauProduit[[#This Row],[Packaging / unite]]</f>
        <v/>
      </c>
      <c r="AH41" s="916">
        <f>TableauProduit[[#This Row],[Prix Achat de plante par kg]]*TableauProduit[[#This Row],[Total (kg) N4]]</f>
        <v/>
      </c>
      <c r="AI41" s="916">
        <f>TableauProduit[[#This Row],[Prix de vente/kg]]*TableauProduit[[#This Row],[Total (kg) N4]]</f>
        <v/>
      </c>
      <c r="AJ41" s="915">
        <f>TableauProduit[[#This Row],[Revenue brut N4]]-TableauProduit[[#This Row],[Achat plante / kg de melange N4]]-TableauProduit[[#This Row],[Conditionnement N4]]</f>
        <v/>
      </c>
      <c r="AK41" s="917" t="n">
        <v>0</v>
      </c>
      <c r="AL41" s="917">
        <f>TableauProduit[[#This Row],[Poids (g) / unite]]*TableauProduit[[#This Row],[Objectif de vente en unite N5]]/1000</f>
        <v/>
      </c>
      <c r="AM41" s="918">
        <f>TableauProduit[[#This Row],[Objectif de vente en unite N5]]*TableauProduit[[#This Row],[Packaging / unite]]</f>
        <v/>
      </c>
      <c r="AN41" s="918">
        <f>TableauProduit[[#This Row],[Prix Achat de plante par kg]]*TableauProduit[[#This Row],[Total (kg) N5]]</f>
        <v/>
      </c>
      <c r="AO41" s="918">
        <f>TableauProduit[[#This Row],[Prix de vente/kg]]*TableauProduit[[#This Row],[Total (kg) N5]]</f>
        <v/>
      </c>
      <c r="AP41" s="917">
        <f>TableauProduit[[#This Row],[Revenue brut N5]]-TableauProduit[[#This Row],[Achat plante / kg de melange N5]]-TableauProduit[[#This Row],[Conditionnement N5]]</f>
        <v/>
      </c>
      <c r="AQ41" s="919" t="n">
        <v>0</v>
      </c>
      <c r="AR41" s="919">
        <f>TableauProduit[[#This Row],[Poids (g) / unite]]*TableauProduit[[#This Row],[Objectif de vente en unite N6]]/1000</f>
        <v/>
      </c>
      <c r="AS41" s="920">
        <f>TableauProduit[[#This Row],[Objectif de vente en unite N6]]*TableauProduit[[#This Row],[Packaging / unite]]</f>
        <v/>
      </c>
      <c r="AT41" s="920">
        <f>TableauProduit[[#This Row],[Prix Achat de plante par kg]]*TableauProduit[[#This Row],[Total (kg) N6]]</f>
        <v/>
      </c>
      <c r="AU41" s="920">
        <f>TableauProduit[[#This Row],[Prix de vente/kg]]*TableauProduit[[#This Row],[Total (kg) N6]]</f>
        <v/>
      </c>
      <c r="AV41" s="919">
        <f>TableauProduit[[#This Row],[Revenue brut N6]]-TableauProduit[[#This Row],[Achat plante / kg de melange N6]]-TableauProduit[[#This Row],[Conditionnement N6]]</f>
        <v/>
      </c>
      <c r="AW41" s="904" t="n">
        <v>0</v>
      </c>
      <c r="AX41" s="904">
        <f>TableauProduit[[#This Row],[Poids (g) / unite]]*TableauProduit[[#This Row],[Objectif de vente en unite N7]]/1000</f>
        <v/>
      </c>
      <c r="AY41" s="905">
        <f>TableauProduit[[#This Row],[Objectif de vente en unite N7]]*TableauProduit[[#This Row],[Packaging / unite]]</f>
        <v/>
      </c>
      <c r="AZ41" s="905">
        <f>TableauProduit[[#This Row],[Prix Achat de plante par kg]]*TableauProduit[[#This Row],[Total (kg) N7]]</f>
        <v/>
      </c>
      <c r="BA41" s="905">
        <f>TableauProduit[[#This Row],[Prix de vente/kg]]*TableauProduit[[#This Row],[Total (kg) N7]]</f>
        <v/>
      </c>
      <c r="BB41" s="921">
        <f>TableauProduit[[#This Row],[Revenue brut N7]]-TableauProduit[[#This Row],[Achat plante / kg de melange N7]]-TableauProduit[[#This Row],[Conditionnement N7]]</f>
        <v/>
      </c>
      <c r="BC41" s="922" t="n">
        <v>0</v>
      </c>
      <c r="BD41" s="923">
        <f>TableauProduit[[#This Row],[Poids (g) / unite]]*TableauProduit[[#This Row],[Objectif de vente en unite N8]]/1000</f>
        <v/>
      </c>
      <c r="BE41" s="924">
        <f>TableauProduit[[#This Row],[Objectif de vente en unite N8]]*TableauProduit[[#This Row],[Packaging / unite]]</f>
        <v/>
      </c>
      <c r="BF41" s="924">
        <f>TableauProduit[[#This Row],[Prix Achat de plante par kg]]*TableauProduit[[#This Row],[Total (kg) N8]]</f>
        <v/>
      </c>
      <c r="BG41" s="924">
        <f>TableauProduit[[#This Row],[Prix de vente/kg]]*TableauProduit[[#This Row],[Total (kg) N8]]</f>
        <v/>
      </c>
      <c r="BH41" s="925">
        <f>TableauProduit[[#This Row],[Revenue brut N8]]-TableauProduit[[#This Row],[Achat plante / kg de melange N8]]-TableauProduit[[#This Row],[Conditionnement N8]]</f>
        <v/>
      </c>
      <c r="BI41" s="926" t="n">
        <v>0</v>
      </c>
      <c r="BJ41" s="927">
        <f>TableauProduit[[#This Row],[Poids (g) / unite]]*TableauProduit[[#This Row],[Objectif de vente en unite N9]]/1000</f>
        <v/>
      </c>
      <c r="BK41" s="928">
        <f>TableauProduit[[#This Row],[Objectif de vente en unite N9]]*TableauProduit[[#This Row],[Packaging / unite]]</f>
        <v/>
      </c>
      <c r="BL41" s="928">
        <f>TableauProduit[[#This Row],[Prix Achat de plante par kg]]*TableauProduit[[#This Row],[Total (kg) N9]]</f>
        <v/>
      </c>
      <c r="BM41" s="928">
        <f>TableauProduit[[#This Row],[Prix de vente/kg]]*TableauProduit[[#This Row],[Total (kg) N9]]</f>
        <v/>
      </c>
      <c r="BN41" s="927">
        <f>TableauProduit[[#This Row],[Revenue brut N9]]-TableauProduit[[#This Row],[Achat plante / kg de melange N9]]-TableauProduit[[#This Row],[Conditionnement N9]]</f>
        <v/>
      </c>
    </row>
    <row r="42">
      <c r="A42" s="13" t="inlineStr">
        <is>
          <t>Taklia</t>
        </is>
      </c>
      <c r="B42" s="54">
        <f>TableauProduit[[#This Row],[Recette]]&amp;TableauProduit[[#This Row],[Conditionnement]]</f>
        <v/>
      </c>
      <c r="C42" s="11" t="n">
        <v>1</v>
      </c>
      <c r="D42" s="11" t="n">
        <v>50</v>
      </c>
      <c r="E42" s="6" t="inlineStr">
        <is>
          <t>Epice 100ml</t>
        </is>
      </c>
      <c r="F42" s="7">
        <f>IFERROR(VLOOKUP(TableauProduit[[#This Row],[Conditionnement]],TableauConditionnement[[Nom]:[Contenance]],4,FALSE),"")</f>
        <v/>
      </c>
      <c r="G42" s="897">
        <f>IFERROR(SUMIFS(TableauRecette[Prix d''achat / kg],TableauRecette[Recette],TableauProduit[[#This Row],[Recette]],TableauRecette[Conditionnement],TableauProduit[[#This Row],[Conditionnement]]),0)</f>
        <v/>
      </c>
      <c r="H42" s="898" t="n">
        <v>2.9</v>
      </c>
      <c r="I42" s="899">
        <f>1000*TableauProduit[[#This Row],[Prix de vente/U]]/TableauProduit[[#This Row],[Poids (g) / unite]]</f>
        <v/>
      </c>
      <c r="J42" s="900">
        <f>SUMIFS(TableauConcurence[PRIX_KG],TableauConcurence[PRODUIT],TableauProduit[[#This Row],[Recette]],TableauConcurence[DISTRIBUTION],"magasin NON BIO")</f>
        <v/>
      </c>
      <c r="K42" s="901">
        <f>SUMIFS(TableauConcurence[PRIX_KG],TableauConcurence[PRODUIT],TableauProduit[[#This Row],[Recette]],TableauConcurence[DISTRIBUTION],"magasin BIO")</f>
        <v/>
      </c>
      <c r="L42" s="902">
        <f>SUMIFS(TableauConcurence[PRIX_KG],TableauConcurence[PRODUIT],TableauProduit[[#This Row],[Recette]],TableauConcurence[DISTRIBUTION],"artisanale BIO")</f>
        <v/>
      </c>
      <c r="M42" s="903" t="n">
        <v>0</v>
      </c>
      <c r="N42" s="904">
        <f>TableauProduit[[#This Row],[Poids (g) / unite]]*TableauProduit[[#This Row],[Objectif de vente en unite N1]]/1000</f>
        <v/>
      </c>
      <c r="O42" s="905">
        <f>TableauProduit[[#This Row],[Objectif de vente en unite N1]]*TableauProduit[[#This Row],[Packaging / unite]]</f>
        <v/>
      </c>
      <c r="P42" s="905">
        <f>TableauProduit[[#This Row],[Prix Achat de plante par kg]]*TableauProduit[[#This Row],[Total (kg) N1]]</f>
        <v/>
      </c>
      <c r="Q42" s="905">
        <f>TableauProduit[[#This Row],[Prix de vente/kg]]*TableauProduit[[#This Row],[Total (kg) N1]]</f>
        <v/>
      </c>
      <c r="R42" s="906">
        <f>TableauProduit[[#This Row],[Revenue brut N1]]-TableauProduit[[#This Row],[Achat par kg N1]]-TableauProduit[[#This Row],[Conditionnement N1]]</f>
        <v/>
      </c>
      <c r="S42" s="907" t="n">
        <v>0</v>
      </c>
      <c r="T42" s="908">
        <f>TableauProduit[[#This Row],[Poids (g) / unite]]*TableauProduit[[#This Row],[Objectif de vente en unite N2]]/1000</f>
        <v/>
      </c>
      <c r="U42" s="909">
        <f>TableauProduit[[#This Row],[Objectif de vente en unite N2]]*TableauProduit[[#This Row],[Packaging / unite]]</f>
        <v/>
      </c>
      <c r="V42" s="909">
        <f>TableauProduit[[#This Row],[Prix Achat de plante par kg]]*TableauProduit[[#This Row],[Total (kg) N2]]</f>
        <v/>
      </c>
      <c r="W42" s="909">
        <f>TableauProduit[[#This Row],[Prix de vente/kg]]*TableauProduit[[#This Row],[Total (kg) N2]]</f>
        <v/>
      </c>
      <c r="X42" s="910">
        <f>TableauProduit[[#This Row],[Revenue brut N2]]-TableauProduit[[#This Row],[Achat plante / kg de melange N2]]-TableauProduit[[#This Row],[Conditionnement N2]]</f>
        <v/>
      </c>
      <c r="Y42" s="911" t="n">
        <v>0</v>
      </c>
      <c r="Z42" s="912">
        <f>TableauProduit[[#This Row],[Poids (g) / unite]]*TableauProduit[[#This Row],[Objectif de vente en unite N3]]/1000</f>
        <v/>
      </c>
      <c r="AA42" s="913">
        <f>TableauProduit[[#This Row],[Objectif de vente en unite N3]]*TableauProduit[[#This Row],[Packaging / unite]]</f>
        <v/>
      </c>
      <c r="AB42" s="913">
        <f>TableauProduit[[#This Row],[Prix Achat de plante par kg]]*TableauProduit[[#This Row],[Total (kg) N3]]</f>
        <v/>
      </c>
      <c r="AC42" s="913">
        <f>TableauProduit[[#This Row],[Prix de vente/kg]]*TableauProduit[[#This Row],[Total (kg) N3]]</f>
        <v/>
      </c>
      <c r="AD42" s="914">
        <f>TableauProduit[[#This Row],[Revenue brut N3]]-TableauProduit[[#This Row],[Achat plante / kg de melange N3]]-TableauProduit[[#This Row],[Conditionnement N3]]</f>
        <v/>
      </c>
      <c r="AE42" s="915" t="n">
        <v>0</v>
      </c>
      <c r="AF42" s="915">
        <f>TableauProduit[[#This Row],[Poids (g) / unite]]*TableauProduit[[#This Row],[Objectif de vente en unite N4]]/1000</f>
        <v/>
      </c>
      <c r="AG42" s="916">
        <f>TableauProduit[[#This Row],[Objectif de vente en unite N4]]*TableauProduit[[#This Row],[Packaging / unite]]</f>
        <v/>
      </c>
      <c r="AH42" s="916">
        <f>TableauProduit[[#This Row],[Prix Achat de plante par kg]]*TableauProduit[[#This Row],[Total (kg) N4]]</f>
        <v/>
      </c>
      <c r="AI42" s="916">
        <f>TableauProduit[[#This Row],[Prix de vente/kg]]*TableauProduit[[#This Row],[Total (kg) N4]]</f>
        <v/>
      </c>
      <c r="AJ42" s="915">
        <f>TableauProduit[[#This Row],[Revenue brut N4]]-TableauProduit[[#This Row],[Achat plante / kg de melange N4]]-TableauProduit[[#This Row],[Conditionnement N4]]</f>
        <v/>
      </c>
      <c r="AK42" s="917" t="n">
        <v>0</v>
      </c>
      <c r="AL42" s="917">
        <f>TableauProduit[[#This Row],[Poids (g) / unite]]*TableauProduit[[#This Row],[Objectif de vente en unite N5]]/1000</f>
        <v/>
      </c>
      <c r="AM42" s="918">
        <f>TableauProduit[[#This Row],[Objectif de vente en unite N5]]*TableauProduit[[#This Row],[Packaging / unite]]</f>
        <v/>
      </c>
      <c r="AN42" s="918">
        <f>TableauProduit[[#This Row],[Prix Achat de plante par kg]]*TableauProduit[[#This Row],[Total (kg) N5]]</f>
        <v/>
      </c>
      <c r="AO42" s="918">
        <f>TableauProduit[[#This Row],[Prix de vente/kg]]*TableauProduit[[#This Row],[Total (kg) N5]]</f>
        <v/>
      </c>
      <c r="AP42" s="917">
        <f>TableauProduit[[#This Row],[Revenue brut N5]]-TableauProduit[[#This Row],[Achat plante / kg de melange N5]]-TableauProduit[[#This Row],[Conditionnement N5]]</f>
        <v/>
      </c>
      <c r="AQ42" s="919" t="n">
        <v>0</v>
      </c>
      <c r="AR42" s="919">
        <f>TableauProduit[[#This Row],[Poids (g) / unite]]*TableauProduit[[#This Row],[Objectif de vente en unite N6]]/1000</f>
        <v/>
      </c>
      <c r="AS42" s="920">
        <f>TableauProduit[[#This Row],[Objectif de vente en unite N6]]*TableauProduit[[#This Row],[Packaging / unite]]</f>
        <v/>
      </c>
      <c r="AT42" s="920">
        <f>TableauProduit[[#This Row],[Prix Achat de plante par kg]]*TableauProduit[[#This Row],[Total (kg) N6]]</f>
        <v/>
      </c>
      <c r="AU42" s="920">
        <f>TableauProduit[[#This Row],[Prix de vente/kg]]*TableauProduit[[#This Row],[Total (kg) N6]]</f>
        <v/>
      </c>
      <c r="AV42" s="919">
        <f>TableauProduit[[#This Row],[Revenue brut N6]]-TableauProduit[[#This Row],[Achat plante / kg de melange N6]]-TableauProduit[[#This Row],[Conditionnement N6]]</f>
        <v/>
      </c>
      <c r="AW42" s="904" t="n">
        <v>0</v>
      </c>
      <c r="AX42" s="904">
        <f>TableauProduit[[#This Row],[Poids (g) / unite]]*TableauProduit[[#This Row],[Objectif de vente en unite N7]]/1000</f>
        <v/>
      </c>
      <c r="AY42" s="905">
        <f>TableauProduit[[#This Row],[Objectif de vente en unite N7]]*TableauProduit[[#This Row],[Packaging / unite]]</f>
        <v/>
      </c>
      <c r="AZ42" s="905">
        <f>TableauProduit[[#This Row],[Prix Achat de plante par kg]]*TableauProduit[[#This Row],[Total (kg) N7]]</f>
        <v/>
      </c>
      <c r="BA42" s="905">
        <f>TableauProduit[[#This Row],[Prix de vente/kg]]*TableauProduit[[#This Row],[Total (kg) N7]]</f>
        <v/>
      </c>
      <c r="BB42" s="921">
        <f>TableauProduit[[#This Row],[Revenue brut N7]]-TableauProduit[[#This Row],[Achat plante / kg de melange N7]]-TableauProduit[[#This Row],[Conditionnement N7]]</f>
        <v/>
      </c>
      <c r="BC42" s="922" t="n">
        <v>0</v>
      </c>
      <c r="BD42" s="923">
        <f>TableauProduit[[#This Row],[Poids (g) / unite]]*TableauProduit[[#This Row],[Objectif de vente en unite N8]]/1000</f>
        <v/>
      </c>
      <c r="BE42" s="924">
        <f>TableauProduit[[#This Row],[Objectif de vente en unite N8]]*TableauProduit[[#This Row],[Packaging / unite]]</f>
        <v/>
      </c>
      <c r="BF42" s="924">
        <f>TableauProduit[[#This Row],[Prix Achat de plante par kg]]*TableauProduit[[#This Row],[Total (kg) N8]]</f>
        <v/>
      </c>
      <c r="BG42" s="924">
        <f>TableauProduit[[#This Row],[Prix de vente/kg]]*TableauProduit[[#This Row],[Total (kg) N8]]</f>
        <v/>
      </c>
      <c r="BH42" s="925">
        <f>TableauProduit[[#This Row],[Revenue brut N8]]-TableauProduit[[#This Row],[Achat plante / kg de melange N8]]-TableauProduit[[#This Row],[Conditionnement N8]]</f>
        <v/>
      </c>
      <c r="BI42" s="926" t="n">
        <v>0</v>
      </c>
      <c r="BJ42" s="927">
        <f>TableauProduit[[#This Row],[Poids (g) / unite]]*TableauProduit[[#This Row],[Objectif de vente en unite N9]]/1000</f>
        <v/>
      </c>
      <c r="BK42" s="928">
        <f>TableauProduit[[#This Row],[Objectif de vente en unite N9]]*TableauProduit[[#This Row],[Packaging / unite]]</f>
        <v/>
      </c>
      <c r="BL42" s="928">
        <f>TableauProduit[[#This Row],[Prix Achat de plante par kg]]*TableauProduit[[#This Row],[Total (kg) N9]]</f>
        <v/>
      </c>
      <c r="BM42" s="928">
        <f>TableauProduit[[#This Row],[Prix de vente/kg]]*TableauProduit[[#This Row],[Total (kg) N9]]</f>
        <v/>
      </c>
      <c r="BN42" s="927">
        <f>TableauProduit[[#This Row],[Revenue brut N9]]-TableauProduit[[#This Row],[Achat plante / kg de melange N9]]-TableauProduit[[#This Row],[Conditionnement N9]]</f>
        <v/>
      </c>
    </row>
    <row r="43">
      <c r="A43" s="13" t="inlineStr">
        <is>
          <t>Dukkah</t>
        </is>
      </c>
      <c r="B43" s="54">
        <f>TableauProduit[[#This Row],[Recette]]&amp;TableauProduit[[#This Row],[Conditionnement]]</f>
        <v/>
      </c>
      <c r="C43" s="11" t="n">
        <v>1</v>
      </c>
      <c r="D43" s="11" t="n">
        <v>50</v>
      </c>
      <c r="E43" s="6" t="inlineStr">
        <is>
          <t>Epice 100ml</t>
        </is>
      </c>
      <c r="F43" s="7">
        <f>IFERROR(VLOOKUP(TableauProduit[[#This Row],[Conditionnement]],TableauConditionnement[[Nom]:[Contenance]],4,FALSE),"")</f>
        <v/>
      </c>
      <c r="G43" s="897">
        <f>IFERROR(SUMIFS(TableauRecette[Prix d''achat / kg],TableauRecette[Recette],TableauProduit[[#This Row],[Recette]],TableauRecette[Conditionnement],TableauProduit[[#This Row],[Conditionnement]]),0)</f>
        <v/>
      </c>
      <c r="H43" s="898" t="n">
        <v>4</v>
      </c>
      <c r="I43" s="899">
        <f>1000*TableauProduit[[#This Row],[Prix de vente/U]]/TableauProduit[[#This Row],[Poids (g) / unite]]</f>
        <v/>
      </c>
      <c r="J43" s="900">
        <f>SUMIFS(TableauConcurence[PRIX_KG],TableauConcurence[PRODUIT],TableauProduit[[#This Row],[Recette]],TableauConcurence[DISTRIBUTION],"magasin NON BIO")</f>
        <v/>
      </c>
      <c r="K43" s="901">
        <f>SUMIFS(TableauConcurence[PRIX_KG],TableauConcurence[PRODUIT],TableauProduit[[#This Row],[Recette]],TableauConcurence[DISTRIBUTION],"magasin BIO")</f>
        <v/>
      </c>
      <c r="L43" s="902">
        <f>SUMIFS(TableauConcurence[PRIX_KG],TableauConcurence[PRODUIT],TableauProduit[[#This Row],[Recette]],TableauConcurence[DISTRIBUTION],"artisanale BIO")</f>
        <v/>
      </c>
      <c r="M43" s="903" t="n">
        <v>0</v>
      </c>
      <c r="N43" s="904">
        <f>TableauProduit[[#This Row],[Poids (g) / unite]]*TableauProduit[[#This Row],[Objectif de vente en unite N1]]/1000</f>
        <v/>
      </c>
      <c r="O43" s="905">
        <f>TableauProduit[[#This Row],[Objectif de vente en unite N1]]*TableauProduit[[#This Row],[Packaging / unite]]</f>
        <v/>
      </c>
      <c r="P43" s="905">
        <f>TableauProduit[[#This Row],[Prix Achat de plante par kg]]*TableauProduit[[#This Row],[Total (kg) N1]]</f>
        <v/>
      </c>
      <c r="Q43" s="905">
        <f>TableauProduit[[#This Row],[Prix de vente/kg]]*TableauProduit[[#This Row],[Total (kg) N1]]</f>
        <v/>
      </c>
      <c r="R43" s="906">
        <f>TableauProduit[[#This Row],[Revenue brut N1]]-TableauProduit[[#This Row],[Achat par kg N1]]-TableauProduit[[#This Row],[Conditionnement N1]]</f>
        <v/>
      </c>
      <c r="S43" s="907" t="n">
        <v>0</v>
      </c>
      <c r="T43" s="908">
        <f>TableauProduit[[#This Row],[Poids (g) / unite]]*TableauProduit[[#This Row],[Objectif de vente en unite N2]]/1000</f>
        <v/>
      </c>
      <c r="U43" s="909">
        <f>TableauProduit[[#This Row],[Objectif de vente en unite N2]]*TableauProduit[[#This Row],[Packaging / unite]]</f>
        <v/>
      </c>
      <c r="V43" s="909">
        <f>TableauProduit[[#This Row],[Prix Achat de plante par kg]]*TableauProduit[[#This Row],[Total (kg) N2]]</f>
        <v/>
      </c>
      <c r="W43" s="909">
        <f>TableauProduit[[#This Row],[Prix de vente/kg]]*TableauProduit[[#This Row],[Total (kg) N2]]</f>
        <v/>
      </c>
      <c r="X43" s="910">
        <f>TableauProduit[[#This Row],[Revenue brut N2]]-TableauProduit[[#This Row],[Achat plante / kg de melange N2]]-TableauProduit[[#This Row],[Conditionnement N2]]</f>
        <v/>
      </c>
      <c r="Y43" s="911" t="n">
        <v>0</v>
      </c>
      <c r="Z43" s="912">
        <f>TableauProduit[[#This Row],[Poids (g) / unite]]*TableauProduit[[#This Row],[Objectif de vente en unite N3]]/1000</f>
        <v/>
      </c>
      <c r="AA43" s="913">
        <f>TableauProduit[[#This Row],[Objectif de vente en unite N3]]*TableauProduit[[#This Row],[Packaging / unite]]</f>
        <v/>
      </c>
      <c r="AB43" s="913">
        <f>TableauProduit[[#This Row],[Prix Achat de plante par kg]]*TableauProduit[[#This Row],[Total (kg) N3]]</f>
        <v/>
      </c>
      <c r="AC43" s="913">
        <f>TableauProduit[[#This Row],[Prix de vente/kg]]*TableauProduit[[#This Row],[Total (kg) N3]]</f>
        <v/>
      </c>
      <c r="AD43" s="914">
        <f>TableauProduit[[#This Row],[Revenue brut N3]]-TableauProduit[[#This Row],[Achat plante / kg de melange N3]]-TableauProduit[[#This Row],[Conditionnement N3]]</f>
        <v/>
      </c>
      <c r="AE43" s="915" t="n">
        <v>0</v>
      </c>
      <c r="AF43" s="915">
        <f>TableauProduit[[#This Row],[Poids (g) / unite]]*TableauProduit[[#This Row],[Objectif de vente en unite N4]]/1000</f>
        <v/>
      </c>
      <c r="AG43" s="916">
        <f>TableauProduit[[#This Row],[Objectif de vente en unite N4]]*TableauProduit[[#This Row],[Packaging / unite]]</f>
        <v/>
      </c>
      <c r="AH43" s="916">
        <f>TableauProduit[[#This Row],[Prix Achat de plante par kg]]*TableauProduit[[#This Row],[Total (kg) N4]]</f>
        <v/>
      </c>
      <c r="AI43" s="916">
        <f>TableauProduit[[#This Row],[Prix de vente/kg]]*TableauProduit[[#This Row],[Total (kg) N4]]</f>
        <v/>
      </c>
      <c r="AJ43" s="915">
        <f>TableauProduit[[#This Row],[Revenue brut N4]]-TableauProduit[[#This Row],[Achat plante / kg de melange N4]]-TableauProduit[[#This Row],[Conditionnement N4]]</f>
        <v/>
      </c>
      <c r="AK43" s="917" t="n">
        <v>0</v>
      </c>
      <c r="AL43" s="917">
        <f>TableauProduit[[#This Row],[Poids (g) / unite]]*TableauProduit[[#This Row],[Objectif de vente en unite N5]]/1000</f>
        <v/>
      </c>
      <c r="AM43" s="918">
        <f>TableauProduit[[#This Row],[Objectif de vente en unite N5]]*TableauProduit[[#This Row],[Packaging / unite]]</f>
        <v/>
      </c>
      <c r="AN43" s="918">
        <f>TableauProduit[[#This Row],[Prix Achat de plante par kg]]*TableauProduit[[#This Row],[Total (kg) N5]]</f>
        <v/>
      </c>
      <c r="AO43" s="918">
        <f>TableauProduit[[#This Row],[Prix de vente/kg]]*TableauProduit[[#This Row],[Total (kg) N5]]</f>
        <v/>
      </c>
      <c r="AP43" s="917">
        <f>TableauProduit[[#This Row],[Revenue brut N5]]-TableauProduit[[#This Row],[Achat plante / kg de melange N5]]-TableauProduit[[#This Row],[Conditionnement N5]]</f>
        <v/>
      </c>
      <c r="AQ43" s="919" t="n">
        <v>0</v>
      </c>
      <c r="AR43" s="919">
        <f>TableauProduit[[#This Row],[Poids (g) / unite]]*TableauProduit[[#This Row],[Objectif de vente en unite N6]]/1000</f>
        <v/>
      </c>
      <c r="AS43" s="920">
        <f>TableauProduit[[#This Row],[Objectif de vente en unite N6]]*TableauProduit[[#This Row],[Packaging / unite]]</f>
        <v/>
      </c>
      <c r="AT43" s="920">
        <f>TableauProduit[[#This Row],[Prix Achat de plante par kg]]*TableauProduit[[#This Row],[Total (kg) N6]]</f>
        <v/>
      </c>
      <c r="AU43" s="920">
        <f>TableauProduit[[#This Row],[Prix de vente/kg]]*TableauProduit[[#This Row],[Total (kg) N6]]</f>
        <v/>
      </c>
      <c r="AV43" s="919">
        <f>TableauProduit[[#This Row],[Revenue brut N6]]-TableauProduit[[#This Row],[Achat plante / kg de melange N6]]-TableauProduit[[#This Row],[Conditionnement N6]]</f>
        <v/>
      </c>
      <c r="AW43" s="904" t="n">
        <v>0</v>
      </c>
      <c r="AX43" s="904">
        <f>TableauProduit[[#This Row],[Poids (g) / unite]]*TableauProduit[[#This Row],[Objectif de vente en unite N7]]/1000</f>
        <v/>
      </c>
      <c r="AY43" s="905">
        <f>TableauProduit[[#This Row],[Objectif de vente en unite N7]]*TableauProduit[[#This Row],[Packaging / unite]]</f>
        <v/>
      </c>
      <c r="AZ43" s="905">
        <f>TableauProduit[[#This Row],[Prix Achat de plante par kg]]*TableauProduit[[#This Row],[Total (kg) N7]]</f>
        <v/>
      </c>
      <c r="BA43" s="905">
        <f>TableauProduit[[#This Row],[Prix de vente/kg]]*TableauProduit[[#This Row],[Total (kg) N7]]</f>
        <v/>
      </c>
      <c r="BB43" s="921">
        <f>TableauProduit[[#This Row],[Revenue brut N7]]-TableauProduit[[#This Row],[Achat plante / kg de melange N7]]-TableauProduit[[#This Row],[Conditionnement N7]]</f>
        <v/>
      </c>
      <c r="BC43" s="922" t="n">
        <v>0</v>
      </c>
      <c r="BD43" s="923">
        <f>TableauProduit[[#This Row],[Poids (g) / unite]]*TableauProduit[[#This Row],[Objectif de vente en unite N8]]/1000</f>
        <v/>
      </c>
      <c r="BE43" s="924">
        <f>TableauProduit[[#This Row],[Objectif de vente en unite N8]]*TableauProduit[[#This Row],[Packaging / unite]]</f>
        <v/>
      </c>
      <c r="BF43" s="924">
        <f>TableauProduit[[#This Row],[Prix Achat de plante par kg]]*TableauProduit[[#This Row],[Total (kg) N8]]</f>
        <v/>
      </c>
      <c r="BG43" s="924">
        <f>TableauProduit[[#This Row],[Prix de vente/kg]]*TableauProduit[[#This Row],[Total (kg) N8]]</f>
        <v/>
      </c>
      <c r="BH43" s="925">
        <f>TableauProduit[[#This Row],[Revenue brut N8]]-TableauProduit[[#This Row],[Achat plante / kg de melange N8]]-TableauProduit[[#This Row],[Conditionnement N8]]</f>
        <v/>
      </c>
      <c r="BI43" s="926" t="n">
        <v>0</v>
      </c>
      <c r="BJ43" s="927">
        <f>TableauProduit[[#This Row],[Poids (g) / unite]]*TableauProduit[[#This Row],[Objectif de vente en unite N9]]/1000</f>
        <v/>
      </c>
      <c r="BK43" s="928">
        <f>TableauProduit[[#This Row],[Objectif de vente en unite N9]]*TableauProduit[[#This Row],[Packaging / unite]]</f>
        <v/>
      </c>
      <c r="BL43" s="928">
        <f>TableauProduit[[#This Row],[Prix Achat de plante par kg]]*TableauProduit[[#This Row],[Total (kg) N9]]</f>
        <v/>
      </c>
      <c r="BM43" s="928">
        <f>TableauProduit[[#This Row],[Prix de vente/kg]]*TableauProduit[[#This Row],[Total (kg) N9]]</f>
        <v/>
      </c>
      <c r="BN43" s="927">
        <f>TableauProduit[[#This Row],[Revenue brut N9]]-TableauProduit[[#This Row],[Achat plante / kg de melange N9]]-TableauProduit[[#This Row],[Conditionnement N9]]</f>
        <v/>
      </c>
    </row>
    <row r="44">
      <c r="A44" s="13" t="inlineStr">
        <is>
          <t>Tabel ou Tabil tunisien</t>
        </is>
      </c>
      <c r="B44" s="54">
        <f>TableauProduit[[#This Row],[Recette]]&amp;TableauProduit[[#This Row],[Conditionnement]]</f>
        <v/>
      </c>
      <c r="C44" s="11" t="n">
        <v>1</v>
      </c>
      <c r="D44" s="11" t="n">
        <v>50</v>
      </c>
      <c r="E44" s="6" t="inlineStr">
        <is>
          <t>Epice 100ml</t>
        </is>
      </c>
      <c r="F44" s="7">
        <f>IFERROR(VLOOKUP(TableauProduit[[#This Row],[Conditionnement]],TableauConditionnement[[Nom]:[Contenance]],4,FALSE),"")</f>
        <v/>
      </c>
      <c r="G44" s="897">
        <f>IFERROR(SUMIFS(TableauRecette[Prix d''achat / kg],TableauRecette[Recette],TableauProduit[[#This Row],[Recette]],TableauRecette[Conditionnement],TableauProduit[[#This Row],[Conditionnement]]),0)</f>
        <v/>
      </c>
      <c r="H44" s="898" t="n">
        <v>2.9</v>
      </c>
      <c r="I44" s="899">
        <f>1000*TableauProduit[[#This Row],[Prix de vente/U]]/TableauProduit[[#This Row],[Poids (g) / unite]]</f>
        <v/>
      </c>
      <c r="J44" s="900">
        <f>SUMIFS(TableauConcurence[PRIX_KG],TableauConcurence[PRODUIT],TableauProduit[[#This Row],[Recette]],TableauConcurence[DISTRIBUTION],"magasin NON BIO")</f>
        <v/>
      </c>
      <c r="K44" s="901">
        <f>SUMIFS(TableauConcurence[PRIX_KG],TableauConcurence[PRODUIT],TableauProduit[[#This Row],[Recette]],TableauConcurence[DISTRIBUTION],"magasin BIO")</f>
        <v/>
      </c>
      <c r="L44" s="902">
        <f>SUMIFS(TableauConcurence[PRIX_KG],TableauConcurence[PRODUIT],TableauProduit[[#This Row],[Recette]],TableauConcurence[DISTRIBUTION],"artisanale BIO")</f>
        <v/>
      </c>
      <c r="M44" s="903" t="n">
        <v>0</v>
      </c>
      <c r="N44" s="904">
        <f>TableauProduit[[#This Row],[Poids (g) / unite]]*TableauProduit[[#This Row],[Objectif de vente en unite N1]]/1000</f>
        <v/>
      </c>
      <c r="O44" s="905">
        <f>TableauProduit[[#This Row],[Objectif de vente en unite N1]]*TableauProduit[[#This Row],[Packaging / unite]]</f>
        <v/>
      </c>
      <c r="P44" s="905">
        <f>TableauProduit[[#This Row],[Prix Achat de plante par kg]]*TableauProduit[[#This Row],[Total (kg) N1]]</f>
        <v/>
      </c>
      <c r="Q44" s="905">
        <f>TableauProduit[[#This Row],[Prix de vente/kg]]*TableauProduit[[#This Row],[Total (kg) N1]]</f>
        <v/>
      </c>
      <c r="R44" s="906">
        <f>TableauProduit[[#This Row],[Revenue brut N1]]-TableauProduit[[#This Row],[Achat par kg N1]]-TableauProduit[[#This Row],[Conditionnement N1]]</f>
        <v/>
      </c>
      <c r="S44" s="907" t="n">
        <v>0</v>
      </c>
      <c r="T44" s="908">
        <f>TableauProduit[[#This Row],[Poids (g) / unite]]*TableauProduit[[#This Row],[Objectif de vente en unite N2]]/1000</f>
        <v/>
      </c>
      <c r="U44" s="909">
        <f>TableauProduit[[#This Row],[Objectif de vente en unite N2]]*TableauProduit[[#This Row],[Packaging / unite]]</f>
        <v/>
      </c>
      <c r="V44" s="909">
        <f>TableauProduit[[#This Row],[Prix Achat de plante par kg]]*TableauProduit[[#This Row],[Total (kg) N2]]</f>
        <v/>
      </c>
      <c r="W44" s="909">
        <f>TableauProduit[[#This Row],[Prix de vente/kg]]*TableauProduit[[#This Row],[Total (kg) N2]]</f>
        <v/>
      </c>
      <c r="X44" s="910">
        <f>TableauProduit[[#This Row],[Revenue brut N2]]-TableauProduit[[#This Row],[Achat plante / kg de melange N2]]-TableauProduit[[#This Row],[Conditionnement N2]]</f>
        <v/>
      </c>
      <c r="Y44" s="911" t="n">
        <v>0</v>
      </c>
      <c r="Z44" s="912">
        <f>TableauProduit[[#This Row],[Poids (g) / unite]]*TableauProduit[[#This Row],[Objectif de vente en unite N3]]/1000</f>
        <v/>
      </c>
      <c r="AA44" s="913">
        <f>TableauProduit[[#This Row],[Objectif de vente en unite N3]]*TableauProduit[[#This Row],[Packaging / unite]]</f>
        <v/>
      </c>
      <c r="AB44" s="913">
        <f>TableauProduit[[#This Row],[Prix Achat de plante par kg]]*TableauProduit[[#This Row],[Total (kg) N3]]</f>
        <v/>
      </c>
      <c r="AC44" s="913">
        <f>TableauProduit[[#This Row],[Prix de vente/kg]]*TableauProduit[[#This Row],[Total (kg) N3]]</f>
        <v/>
      </c>
      <c r="AD44" s="914">
        <f>TableauProduit[[#This Row],[Revenue brut N3]]-TableauProduit[[#This Row],[Achat plante / kg de melange N3]]-TableauProduit[[#This Row],[Conditionnement N3]]</f>
        <v/>
      </c>
      <c r="AE44" s="915" t="n">
        <v>0</v>
      </c>
      <c r="AF44" s="915">
        <f>TableauProduit[[#This Row],[Poids (g) / unite]]*TableauProduit[[#This Row],[Objectif de vente en unite N4]]/1000</f>
        <v/>
      </c>
      <c r="AG44" s="916">
        <f>TableauProduit[[#This Row],[Objectif de vente en unite N4]]*TableauProduit[[#This Row],[Packaging / unite]]</f>
        <v/>
      </c>
      <c r="AH44" s="916">
        <f>TableauProduit[[#This Row],[Prix Achat de plante par kg]]*TableauProduit[[#This Row],[Total (kg) N4]]</f>
        <v/>
      </c>
      <c r="AI44" s="916">
        <f>TableauProduit[[#This Row],[Prix de vente/kg]]*TableauProduit[[#This Row],[Total (kg) N4]]</f>
        <v/>
      </c>
      <c r="AJ44" s="915">
        <f>TableauProduit[[#This Row],[Revenue brut N4]]-TableauProduit[[#This Row],[Achat plante / kg de melange N4]]-TableauProduit[[#This Row],[Conditionnement N4]]</f>
        <v/>
      </c>
      <c r="AK44" s="917" t="n">
        <v>0</v>
      </c>
      <c r="AL44" s="917">
        <f>TableauProduit[[#This Row],[Poids (g) / unite]]*TableauProduit[[#This Row],[Objectif de vente en unite N5]]/1000</f>
        <v/>
      </c>
      <c r="AM44" s="918">
        <f>TableauProduit[[#This Row],[Objectif de vente en unite N5]]*TableauProduit[[#This Row],[Packaging / unite]]</f>
        <v/>
      </c>
      <c r="AN44" s="918">
        <f>TableauProduit[[#This Row],[Prix Achat de plante par kg]]*TableauProduit[[#This Row],[Total (kg) N5]]</f>
        <v/>
      </c>
      <c r="AO44" s="918">
        <f>TableauProduit[[#This Row],[Prix de vente/kg]]*TableauProduit[[#This Row],[Total (kg) N5]]</f>
        <v/>
      </c>
      <c r="AP44" s="917">
        <f>TableauProduit[[#This Row],[Revenue brut N5]]-TableauProduit[[#This Row],[Achat plante / kg de melange N5]]-TableauProduit[[#This Row],[Conditionnement N5]]</f>
        <v/>
      </c>
      <c r="AQ44" s="919" t="n">
        <v>0</v>
      </c>
      <c r="AR44" s="919">
        <f>TableauProduit[[#This Row],[Poids (g) / unite]]*TableauProduit[[#This Row],[Objectif de vente en unite N6]]/1000</f>
        <v/>
      </c>
      <c r="AS44" s="920">
        <f>TableauProduit[[#This Row],[Objectif de vente en unite N6]]*TableauProduit[[#This Row],[Packaging / unite]]</f>
        <v/>
      </c>
      <c r="AT44" s="920">
        <f>TableauProduit[[#This Row],[Prix Achat de plante par kg]]*TableauProduit[[#This Row],[Total (kg) N6]]</f>
        <v/>
      </c>
      <c r="AU44" s="920">
        <f>TableauProduit[[#This Row],[Prix de vente/kg]]*TableauProduit[[#This Row],[Total (kg) N6]]</f>
        <v/>
      </c>
      <c r="AV44" s="919">
        <f>TableauProduit[[#This Row],[Revenue brut N6]]-TableauProduit[[#This Row],[Achat plante / kg de melange N6]]-TableauProduit[[#This Row],[Conditionnement N6]]</f>
        <v/>
      </c>
      <c r="AW44" s="904" t="n">
        <v>0</v>
      </c>
      <c r="AX44" s="904">
        <f>TableauProduit[[#This Row],[Poids (g) / unite]]*TableauProduit[[#This Row],[Objectif de vente en unite N7]]/1000</f>
        <v/>
      </c>
      <c r="AY44" s="905">
        <f>TableauProduit[[#This Row],[Objectif de vente en unite N7]]*TableauProduit[[#This Row],[Packaging / unite]]</f>
        <v/>
      </c>
      <c r="AZ44" s="905">
        <f>TableauProduit[[#This Row],[Prix Achat de plante par kg]]*TableauProduit[[#This Row],[Total (kg) N7]]</f>
        <v/>
      </c>
      <c r="BA44" s="905">
        <f>TableauProduit[[#This Row],[Prix de vente/kg]]*TableauProduit[[#This Row],[Total (kg) N7]]</f>
        <v/>
      </c>
      <c r="BB44" s="921">
        <f>TableauProduit[[#This Row],[Revenue brut N7]]-TableauProduit[[#This Row],[Achat plante / kg de melange N7]]-TableauProduit[[#This Row],[Conditionnement N7]]</f>
        <v/>
      </c>
      <c r="BC44" s="922" t="n">
        <v>0</v>
      </c>
      <c r="BD44" s="923">
        <f>TableauProduit[[#This Row],[Poids (g) / unite]]*TableauProduit[[#This Row],[Objectif de vente en unite N8]]/1000</f>
        <v/>
      </c>
      <c r="BE44" s="924">
        <f>TableauProduit[[#This Row],[Objectif de vente en unite N8]]*TableauProduit[[#This Row],[Packaging / unite]]</f>
        <v/>
      </c>
      <c r="BF44" s="924">
        <f>TableauProduit[[#This Row],[Prix Achat de plante par kg]]*TableauProduit[[#This Row],[Total (kg) N8]]</f>
        <v/>
      </c>
      <c r="BG44" s="924">
        <f>TableauProduit[[#This Row],[Prix de vente/kg]]*TableauProduit[[#This Row],[Total (kg) N8]]</f>
        <v/>
      </c>
      <c r="BH44" s="925">
        <f>TableauProduit[[#This Row],[Revenue brut N8]]-TableauProduit[[#This Row],[Achat plante / kg de melange N8]]-TableauProduit[[#This Row],[Conditionnement N8]]</f>
        <v/>
      </c>
      <c r="BI44" s="926" t="n">
        <v>0</v>
      </c>
      <c r="BJ44" s="927">
        <f>TableauProduit[[#This Row],[Poids (g) / unite]]*TableauProduit[[#This Row],[Objectif de vente en unite N9]]/1000</f>
        <v/>
      </c>
      <c r="BK44" s="928">
        <f>TableauProduit[[#This Row],[Objectif de vente en unite N9]]*TableauProduit[[#This Row],[Packaging / unite]]</f>
        <v/>
      </c>
      <c r="BL44" s="928">
        <f>TableauProduit[[#This Row],[Prix Achat de plante par kg]]*TableauProduit[[#This Row],[Total (kg) N9]]</f>
        <v/>
      </c>
      <c r="BM44" s="928">
        <f>TableauProduit[[#This Row],[Prix de vente/kg]]*TableauProduit[[#This Row],[Total (kg) N9]]</f>
        <v/>
      </c>
      <c r="BN44" s="927">
        <f>TableauProduit[[#This Row],[Revenue brut N9]]-TableauProduit[[#This Row],[Achat plante / kg de melange N9]]-TableauProduit[[#This Row],[Conditionnement N9]]</f>
        <v/>
      </c>
    </row>
    <row r="45">
      <c r="A45" s="13" t="inlineStr">
        <is>
          <t>Zhug</t>
        </is>
      </c>
      <c r="B45" s="54">
        <f>TableauProduit[[#This Row],[Recette]]&amp;TableauProduit[[#This Row],[Conditionnement]]</f>
        <v/>
      </c>
      <c r="C45" s="11" t="n">
        <v>1</v>
      </c>
      <c r="D45" s="11" t="n">
        <v>50</v>
      </c>
      <c r="E45" s="6" t="inlineStr">
        <is>
          <t>Epice 100ml</t>
        </is>
      </c>
      <c r="F45" s="7">
        <f>IFERROR(VLOOKUP(TableauProduit[[#This Row],[Conditionnement]],TableauConditionnement[[Nom]:[Contenance]],4,FALSE),"")</f>
        <v/>
      </c>
      <c r="G45" s="897">
        <f>IFERROR(SUMIFS(TableauRecette[Prix d''achat / kg],TableauRecette[Recette],TableauProduit[[#This Row],[Recette]],TableauRecette[Conditionnement],TableauProduit[[#This Row],[Conditionnement]]),0)</f>
        <v/>
      </c>
      <c r="H45" s="898" t="n">
        <v>2.9</v>
      </c>
      <c r="I45" s="899">
        <f>1000*TableauProduit[[#This Row],[Prix de vente/U]]/TableauProduit[[#This Row],[Poids (g) / unite]]</f>
        <v/>
      </c>
      <c r="J45" s="900">
        <f>SUMIFS(TableauConcurence[PRIX_KG],TableauConcurence[PRODUIT],TableauProduit[[#This Row],[Recette]],TableauConcurence[DISTRIBUTION],"magasin NON BIO")</f>
        <v/>
      </c>
      <c r="K45" s="901">
        <f>SUMIFS(TableauConcurence[PRIX_KG],TableauConcurence[PRODUIT],TableauProduit[[#This Row],[Recette]],TableauConcurence[DISTRIBUTION],"magasin BIO")</f>
        <v/>
      </c>
      <c r="L45" s="902">
        <f>SUMIFS(TableauConcurence[PRIX_KG],TableauConcurence[PRODUIT],TableauProduit[[#This Row],[Recette]],TableauConcurence[DISTRIBUTION],"artisanale BIO")</f>
        <v/>
      </c>
      <c r="M45" s="903" t="n">
        <v>0</v>
      </c>
      <c r="N45" s="904">
        <f>TableauProduit[[#This Row],[Poids (g) / unite]]*TableauProduit[[#This Row],[Objectif de vente en unite N1]]/1000</f>
        <v/>
      </c>
      <c r="O45" s="905">
        <f>TableauProduit[[#This Row],[Objectif de vente en unite N1]]*TableauProduit[[#This Row],[Packaging / unite]]</f>
        <v/>
      </c>
      <c r="P45" s="905">
        <f>TableauProduit[[#This Row],[Prix Achat de plante par kg]]*TableauProduit[[#This Row],[Total (kg) N1]]</f>
        <v/>
      </c>
      <c r="Q45" s="905">
        <f>TableauProduit[[#This Row],[Prix de vente/kg]]*TableauProduit[[#This Row],[Total (kg) N1]]</f>
        <v/>
      </c>
      <c r="R45" s="906">
        <f>TableauProduit[[#This Row],[Revenue brut N1]]-TableauProduit[[#This Row],[Achat par kg N1]]-TableauProduit[[#This Row],[Conditionnement N1]]</f>
        <v/>
      </c>
      <c r="S45" s="907" t="n">
        <v>0</v>
      </c>
      <c r="T45" s="908">
        <f>TableauProduit[[#This Row],[Poids (g) / unite]]*TableauProduit[[#This Row],[Objectif de vente en unite N2]]/1000</f>
        <v/>
      </c>
      <c r="U45" s="909">
        <f>TableauProduit[[#This Row],[Objectif de vente en unite N2]]*TableauProduit[[#This Row],[Packaging / unite]]</f>
        <v/>
      </c>
      <c r="V45" s="909">
        <f>TableauProduit[[#This Row],[Prix Achat de plante par kg]]*TableauProduit[[#This Row],[Total (kg) N2]]</f>
        <v/>
      </c>
      <c r="W45" s="909">
        <f>TableauProduit[[#This Row],[Prix de vente/kg]]*TableauProduit[[#This Row],[Total (kg) N2]]</f>
        <v/>
      </c>
      <c r="X45" s="910">
        <f>TableauProduit[[#This Row],[Revenue brut N2]]-TableauProduit[[#This Row],[Achat plante / kg de melange N2]]-TableauProduit[[#This Row],[Conditionnement N2]]</f>
        <v/>
      </c>
      <c r="Y45" s="911" t="n">
        <v>0</v>
      </c>
      <c r="Z45" s="912">
        <f>TableauProduit[[#This Row],[Poids (g) / unite]]*TableauProduit[[#This Row],[Objectif de vente en unite N3]]/1000</f>
        <v/>
      </c>
      <c r="AA45" s="913">
        <f>TableauProduit[[#This Row],[Objectif de vente en unite N3]]*TableauProduit[[#This Row],[Packaging / unite]]</f>
        <v/>
      </c>
      <c r="AB45" s="913">
        <f>TableauProduit[[#This Row],[Prix Achat de plante par kg]]*TableauProduit[[#This Row],[Total (kg) N3]]</f>
        <v/>
      </c>
      <c r="AC45" s="913">
        <f>TableauProduit[[#This Row],[Prix de vente/kg]]*TableauProduit[[#This Row],[Total (kg) N3]]</f>
        <v/>
      </c>
      <c r="AD45" s="914">
        <f>TableauProduit[[#This Row],[Revenue brut N3]]-TableauProduit[[#This Row],[Achat plante / kg de melange N3]]-TableauProduit[[#This Row],[Conditionnement N3]]</f>
        <v/>
      </c>
      <c r="AE45" s="915" t="n">
        <v>0</v>
      </c>
      <c r="AF45" s="915">
        <f>TableauProduit[[#This Row],[Poids (g) / unite]]*TableauProduit[[#This Row],[Objectif de vente en unite N4]]/1000</f>
        <v/>
      </c>
      <c r="AG45" s="916">
        <f>TableauProduit[[#This Row],[Objectif de vente en unite N4]]*TableauProduit[[#This Row],[Packaging / unite]]</f>
        <v/>
      </c>
      <c r="AH45" s="916">
        <f>TableauProduit[[#This Row],[Prix Achat de plante par kg]]*TableauProduit[[#This Row],[Total (kg) N4]]</f>
        <v/>
      </c>
      <c r="AI45" s="916">
        <f>TableauProduit[[#This Row],[Prix de vente/kg]]*TableauProduit[[#This Row],[Total (kg) N4]]</f>
        <v/>
      </c>
      <c r="AJ45" s="915">
        <f>TableauProduit[[#This Row],[Revenue brut N4]]-TableauProduit[[#This Row],[Achat plante / kg de melange N4]]-TableauProduit[[#This Row],[Conditionnement N4]]</f>
        <v/>
      </c>
      <c r="AK45" s="917" t="n">
        <v>0</v>
      </c>
      <c r="AL45" s="917">
        <f>TableauProduit[[#This Row],[Poids (g) / unite]]*TableauProduit[[#This Row],[Objectif de vente en unite N5]]/1000</f>
        <v/>
      </c>
      <c r="AM45" s="918">
        <f>TableauProduit[[#This Row],[Objectif de vente en unite N5]]*TableauProduit[[#This Row],[Packaging / unite]]</f>
        <v/>
      </c>
      <c r="AN45" s="918">
        <f>TableauProduit[[#This Row],[Prix Achat de plante par kg]]*TableauProduit[[#This Row],[Total (kg) N5]]</f>
        <v/>
      </c>
      <c r="AO45" s="918">
        <f>TableauProduit[[#This Row],[Prix de vente/kg]]*TableauProduit[[#This Row],[Total (kg) N5]]</f>
        <v/>
      </c>
      <c r="AP45" s="917">
        <f>TableauProduit[[#This Row],[Revenue brut N5]]-TableauProduit[[#This Row],[Achat plante / kg de melange N5]]-TableauProduit[[#This Row],[Conditionnement N5]]</f>
        <v/>
      </c>
      <c r="AQ45" s="919" t="n">
        <v>0</v>
      </c>
      <c r="AR45" s="919">
        <f>TableauProduit[[#This Row],[Poids (g) / unite]]*TableauProduit[[#This Row],[Objectif de vente en unite N6]]/1000</f>
        <v/>
      </c>
      <c r="AS45" s="920">
        <f>TableauProduit[[#This Row],[Objectif de vente en unite N6]]*TableauProduit[[#This Row],[Packaging / unite]]</f>
        <v/>
      </c>
      <c r="AT45" s="920">
        <f>TableauProduit[[#This Row],[Prix Achat de plante par kg]]*TableauProduit[[#This Row],[Total (kg) N6]]</f>
        <v/>
      </c>
      <c r="AU45" s="920">
        <f>TableauProduit[[#This Row],[Prix de vente/kg]]*TableauProduit[[#This Row],[Total (kg) N6]]</f>
        <v/>
      </c>
      <c r="AV45" s="919">
        <f>TableauProduit[[#This Row],[Revenue brut N6]]-TableauProduit[[#This Row],[Achat plante / kg de melange N6]]-TableauProduit[[#This Row],[Conditionnement N6]]</f>
        <v/>
      </c>
      <c r="AW45" s="904" t="n">
        <v>0</v>
      </c>
      <c r="AX45" s="904">
        <f>TableauProduit[[#This Row],[Poids (g) / unite]]*TableauProduit[[#This Row],[Objectif de vente en unite N7]]/1000</f>
        <v/>
      </c>
      <c r="AY45" s="905">
        <f>TableauProduit[[#This Row],[Objectif de vente en unite N7]]*TableauProduit[[#This Row],[Packaging / unite]]</f>
        <v/>
      </c>
      <c r="AZ45" s="905">
        <f>TableauProduit[[#This Row],[Prix Achat de plante par kg]]*TableauProduit[[#This Row],[Total (kg) N7]]</f>
        <v/>
      </c>
      <c r="BA45" s="905">
        <f>TableauProduit[[#This Row],[Prix de vente/kg]]*TableauProduit[[#This Row],[Total (kg) N7]]</f>
        <v/>
      </c>
      <c r="BB45" s="921">
        <f>TableauProduit[[#This Row],[Revenue brut N7]]-TableauProduit[[#This Row],[Achat plante / kg de melange N7]]-TableauProduit[[#This Row],[Conditionnement N7]]</f>
        <v/>
      </c>
      <c r="BC45" s="922" t="n">
        <v>0</v>
      </c>
      <c r="BD45" s="923">
        <f>TableauProduit[[#This Row],[Poids (g) / unite]]*TableauProduit[[#This Row],[Objectif de vente en unite N8]]/1000</f>
        <v/>
      </c>
      <c r="BE45" s="924">
        <f>TableauProduit[[#This Row],[Objectif de vente en unite N8]]*TableauProduit[[#This Row],[Packaging / unite]]</f>
        <v/>
      </c>
      <c r="BF45" s="924">
        <f>TableauProduit[[#This Row],[Prix Achat de plante par kg]]*TableauProduit[[#This Row],[Total (kg) N8]]</f>
        <v/>
      </c>
      <c r="BG45" s="924">
        <f>TableauProduit[[#This Row],[Prix de vente/kg]]*TableauProduit[[#This Row],[Total (kg) N8]]</f>
        <v/>
      </c>
      <c r="BH45" s="925">
        <f>TableauProduit[[#This Row],[Revenue brut N8]]-TableauProduit[[#This Row],[Achat plante / kg de melange N8]]-TableauProduit[[#This Row],[Conditionnement N8]]</f>
        <v/>
      </c>
      <c r="BI45" s="926" t="n">
        <v>0</v>
      </c>
      <c r="BJ45" s="927">
        <f>TableauProduit[[#This Row],[Poids (g) / unite]]*TableauProduit[[#This Row],[Objectif de vente en unite N9]]/1000</f>
        <v/>
      </c>
      <c r="BK45" s="928">
        <f>TableauProduit[[#This Row],[Objectif de vente en unite N9]]*TableauProduit[[#This Row],[Packaging / unite]]</f>
        <v/>
      </c>
      <c r="BL45" s="928">
        <f>TableauProduit[[#This Row],[Prix Achat de plante par kg]]*TableauProduit[[#This Row],[Total (kg) N9]]</f>
        <v/>
      </c>
      <c r="BM45" s="928">
        <f>TableauProduit[[#This Row],[Prix de vente/kg]]*TableauProduit[[#This Row],[Total (kg) N9]]</f>
        <v/>
      </c>
      <c r="BN45" s="927">
        <f>TableauProduit[[#This Row],[Revenue brut N9]]-TableauProduit[[#This Row],[Achat plante / kg de melange N9]]-TableauProduit[[#This Row],[Conditionnement N9]]</f>
        <v/>
      </c>
    </row>
    <row r="46">
      <c r="A46" s="13" t="inlineStr">
        <is>
          <t>epices pour marinade</t>
        </is>
      </c>
      <c r="B46" s="54">
        <f>TableauProduit[[#This Row],[Recette]]&amp;TableauProduit[[#This Row],[Conditionnement]]</f>
        <v/>
      </c>
      <c r="C46" s="11" t="n">
        <v>1</v>
      </c>
      <c r="D46" s="11" t="n">
        <v>50</v>
      </c>
      <c r="E46" s="6" t="inlineStr">
        <is>
          <t>Epice 100ml</t>
        </is>
      </c>
      <c r="F46" s="7">
        <f>IFERROR(VLOOKUP(TableauProduit[[#This Row],[Conditionnement]],TableauConditionnement[[Nom]:[Contenance]],4,FALSE),"")</f>
        <v/>
      </c>
      <c r="G46" s="897">
        <f>IFERROR(SUMIFS(TableauRecette[Prix d''achat / kg],TableauRecette[Recette],TableauProduit[[#This Row],[Recette]],TableauRecette[Conditionnement],TableauProduit[[#This Row],[Conditionnement]]),0)</f>
        <v/>
      </c>
      <c r="H46" s="898" t="n">
        <v>5</v>
      </c>
      <c r="I46" s="899">
        <f>1000*TableauProduit[[#This Row],[Prix de vente/U]]/TableauProduit[[#This Row],[Poids (g) / unite]]</f>
        <v/>
      </c>
      <c r="J46" s="900">
        <f>SUMIFS(TableauConcurence[PRIX_KG],TableauConcurence[PRODUIT],TableauProduit[[#This Row],[Recette]],TableauConcurence[DISTRIBUTION],"magasin NON BIO")</f>
        <v/>
      </c>
      <c r="K46" s="901">
        <f>SUMIFS(TableauConcurence[PRIX_KG],TableauConcurence[PRODUIT],TableauProduit[[#This Row],[Recette]],TableauConcurence[DISTRIBUTION],"magasin BIO")</f>
        <v/>
      </c>
      <c r="L46" s="902">
        <f>SUMIFS(TableauConcurence[PRIX_KG],TableauConcurence[PRODUIT],TableauProduit[[#This Row],[Recette]],TableauConcurence[DISTRIBUTION],"artisanale BIO")</f>
        <v/>
      </c>
      <c r="M46" s="903" t="n">
        <v>0</v>
      </c>
      <c r="N46" s="904">
        <f>TableauProduit[[#This Row],[Poids (g) / unite]]*TableauProduit[[#This Row],[Objectif de vente en unite N1]]/1000</f>
        <v/>
      </c>
      <c r="O46" s="905">
        <f>TableauProduit[[#This Row],[Objectif de vente en unite N1]]*TableauProduit[[#This Row],[Packaging / unite]]</f>
        <v/>
      </c>
      <c r="P46" s="905">
        <f>TableauProduit[[#This Row],[Prix Achat de plante par kg]]*TableauProduit[[#This Row],[Total (kg) N1]]</f>
        <v/>
      </c>
      <c r="Q46" s="905">
        <f>TableauProduit[[#This Row],[Prix de vente/kg]]*TableauProduit[[#This Row],[Total (kg) N1]]</f>
        <v/>
      </c>
      <c r="R46" s="906">
        <f>TableauProduit[[#This Row],[Revenue brut N1]]-TableauProduit[[#This Row],[Achat par kg N1]]-TableauProduit[[#This Row],[Conditionnement N1]]</f>
        <v/>
      </c>
      <c r="S46" s="907" t="n">
        <v>0</v>
      </c>
      <c r="T46" s="908">
        <f>TableauProduit[[#This Row],[Poids (g) / unite]]*TableauProduit[[#This Row],[Objectif de vente en unite N2]]/1000</f>
        <v/>
      </c>
      <c r="U46" s="909">
        <f>TableauProduit[[#This Row],[Objectif de vente en unite N2]]*TableauProduit[[#This Row],[Packaging / unite]]</f>
        <v/>
      </c>
      <c r="V46" s="909">
        <f>TableauProduit[[#This Row],[Prix Achat de plante par kg]]*TableauProduit[[#This Row],[Total (kg) N2]]</f>
        <v/>
      </c>
      <c r="W46" s="909">
        <f>TableauProduit[[#This Row],[Prix de vente/kg]]*TableauProduit[[#This Row],[Total (kg) N2]]</f>
        <v/>
      </c>
      <c r="X46" s="910">
        <f>TableauProduit[[#This Row],[Revenue brut N2]]-TableauProduit[[#This Row],[Achat plante / kg de melange N2]]-TableauProduit[[#This Row],[Conditionnement N2]]</f>
        <v/>
      </c>
      <c r="Y46" s="911" t="n">
        <v>0</v>
      </c>
      <c r="Z46" s="912">
        <f>TableauProduit[[#This Row],[Poids (g) / unite]]*TableauProduit[[#This Row],[Objectif de vente en unite N3]]/1000</f>
        <v/>
      </c>
      <c r="AA46" s="913">
        <f>TableauProduit[[#This Row],[Objectif de vente en unite N3]]*TableauProduit[[#This Row],[Packaging / unite]]</f>
        <v/>
      </c>
      <c r="AB46" s="913">
        <f>TableauProduit[[#This Row],[Prix Achat de plante par kg]]*TableauProduit[[#This Row],[Total (kg) N3]]</f>
        <v/>
      </c>
      <c r="AC46" s="913">
        <f>TableauProduit[[#This Row],[Prix de vente/kg]]*TableauProduit[[#This Row],[Total (kg) N3]]</f>
        <v/>
      </c>
      <c r="AD46" s="914">
        <f>TableauProduit[[#This Row],[Revenue brut N3]]-TableauProduit[[#This Row],[Achat plante / kg de melange N3]]-TableauProduit[[#This Row],[Conditionnement N3]]</f>
        <v/>
      </c>
      <c r="AE46" s="915" t="n">
        <v>0</v>
      </c>
      <c r="AF46" s="915">
        <f>TableauProduit[[#This Row],[Poids (g) / unite]]*TableauProduit[[#This Row],[Objectif de vente en unite N4]]/1000</f>
        <v/>
      </c>
      <c r="AG46" s="916">
        <f>TableauProduit[[#This Row],[Objectif de vente en unite N4]]*TableauProduit[[#This Row],[Packaging / unite]]</f>
        <v/>
      </c>
      <c r="AH46" s="916">
        <f>TableauProduit[[#This Row],[Prix Achat de plante par kg]]*TableauProduit[[#This Row],[Total (kg) N4]]</f>
        <v/>
      </c>
      <c r="AI46" s="916">
        <f>TableauProduit[[#This Row],[Prix de vente/kg]]*TableauProduit[[#This Row],[Total (kg) N4]]</f>
        <v/>
      </c>
      <c r="AJ46" s="915">
        <f>TableauProduit[[#This Row],[Revenue brut N4]]-TableauProduit[[#This Row],[Achat plante / kg de melange N4]]-TableauProduit[[#This Row],[Conditionnement N4]]</f>
        <v/>
      </c>
      <c r="AK46" s="917" t="n">
        <v>0</v>
      </c>
      <c r="AL46" s="917">
        <f>TableauProduit[[#This Row],[Poids (g) / unite]]*TableauProduit[[#This Row],[Objectif de vente en unite N5]]/1000</f>
        <v/>
      </c>
      <c r="AM46" s="918">
        <f>TableauProduit[[#This Row],[Objectif de vente en unite N5]]*TableauProduit[[#This Row],[Packaging / unite]]</f>
        <v/>
      </c>
      <c r="AN46" s="918">
        <f>TableauProduit[[#This Row],[Prix Achat de plante par kg]]*TableauProduit[[#This Row],[Total (kg) N5]]</f>
        <v/>
      </c>
      <c r="AO46" s="918">
        <f>TableauProduit[[#This Row],[Prix de vente/kg]]*TableauProduit[[#This Row],[Total (kg) N5]]</f>
        <v/>
      </c>
      <c r="AP46" s="917">
        <f>TableauProduit[[#This Row],[Revenue brut N5]]-TableauProduit[[#This Row],[Achat plante / kg de melange N5]]-TableauProduit[[#This Row],[Conditionnement N5]]</f>
        <v/>
      </c>
      <c r="AQ46" s="919" t="n">
        <v>0</v>
      </c>
      <c r="AR46" s="919">
        <f>TableauProduit[[#This Row],[Poids (g) / unite]]*TableauProduit[[#This Row],[Objectif de vente en unite N6]]/1000</f>
        <v/>
      </c>
      <c r="AS46" s="920">
        <f>TableauProduit[[#This Row],[Objectif de vente en unite N6]]*TableauProduit[[#This Row],[Packaging / unite]]</f>
        <v/>
      </c>
      <c r="AT46" s="920">
        <f>TableauProduit[[#This Row],[Prix Achat de plante par kg]]*TableauProduit[[#This Row],[Total (kg) N6]]</f>
        <v/>
      </c>
      <c r="AU46" s="920">
        <f>TableauProduit[[#This Row],[Prix de vente/kg]]*TableauProduit[[#This Row],[Total (kg) N6]]</f>
        <v/>
      </c>
      <c r="AV46" s="919">
        <f>TableauProduit[[#This Row],[Revenue brut N6]]-TableauProduit[[#This Row],[Achat plante / kg de melange N6]]-TableauProduit[[#This Row],[Conditionnement N6]]</f>
        <v/>
      </c>
      <c r="AW46" s="904" t="n">
        <v>0</v>
      </c>
      <c r="AX46" s="904">
        <f>TableauProduit[[#This Row],[Poids (g) / unite]]*TableauProduit[[#This Row],[Objectif de vente en unite N7]]/1000</f>
        <v/>
      </c>
      <c r="AY46" s="905">
        <f>TableauProduit[[#This Row],[Objectif de vente en unite N7]]*TableauProduit[[#This Row],[Packaging / unite]]</f>
        <v/>
      </c>
      <c r="AZ46" s="905">
        <f>TableauProduit[[#This Row],[Prix Achat de plante par kg]]*TableauProduit[[#This Row],[Total (kg) N7]]</f>
        <v/>
      </c>
      <c r="BA46" s="905">
        <f>TableauProduit[[#This Row],[Prix de vente/kg]]*TableauProduit[[#This Row],[Total (kg) N7]]</f>
        <v/>
      </c>
      <c r="BB46" s="921">
        <f>TableauProduit[[#This Row],[Revenue brut N7]]-TableauProduit[[#This Row],[Achat plante / kg de melange N7]]-TableauProduit[[#This Row],[Conditionnement N7]]</f>
        <v/>
      </c>
      <c r="BC46" s="922" t="n">
        <v>0</v>
      </c>
      <c r="BD46" s="923">
        <f>TableauProduit[[#This Row],[Poids (g) / unite]]*TableauProduit[[#This Row],[Objectif de vente en unite N8]]/1000</f>
        <v/>
      </c>
      <c r="BE46" s="924">
        <f>TableauProduit[[#This Row],[Objectif de vente en unite N8]]*TableauProduit[[#This Row],[Packaging / unite]]</f>
        <v/>
      </c>
      <c r="BF46" s="924">
        <f>TableauProduit[[#This Row],[Prix Achat de plante par kg]]*TableauProduit[[#This Row],[Total (kg) N8]]</f>
        <v/>
      </c>
      <c r="BG46" s="924">
        <f>TableauProduit[[#This Row],[Prix de vente/kg]]*TableauProduit[[#This Row],[Total (kg) N8]]</f>
        <v/>
      </c>
      <c r="BH46" s="925">
        <f>TableauProduit[[#This Row],[Revenue brut N8]]-TableauProduit[[#This Row],[Achat plante / kg de melange N8]]-TableauProduit[[#This Row],[Conditionnement N8]]</f>
        <v/>
      </c>
      <c r="BI46" s="926" t="n">
        <v>0</v>
      </c>
      <c r="BJ46" s="927">
        <f>TableauProduit[[#This Row],[Poids (g) / unite]]*TableauProduit[[#This Row],[Objectif de vente en unite N9]]/1000</f>
        <v/>
      </c>
      <c r="BK46" s="928">
        <f>TableauProduit[[#This Row],[Objectif de vente en unite N9]]*TableauProduit[[#This Row],[Packaging / unite]]</f>
        <v/>
      </c>
      <c r="BL46" s="928">
        <f>TableauProduit[[#This Row],[Prix Achat de plante par kg]]*TableauProduit[[#This Row],[Total (kg) N9]]</f>
        <v/>
      </c>
      <c r="BM46" s="928">
        <f>TableauProduit[[#This Row],[Prix de vente/kg]]*TableauProduit[[#This Row],[Total (kg) N9]]</f>
        <v/>
      </c>
      <c r="BN46" s="927">
        <f>TableauProduit[[#This Row],[Revenue brut N9]]-TableauProduit[[#This Row],[Achat plante / kg de melange N9]]-TableauProduit[[#This Row],[Conditionnement N9]]</f>
        <v/>
      </c>
    </row>
    <row r="47">
      <c r="A47" s="13" t="inlineStr">
        <is>
          <t>epices poissons et fruits de mer</t>
        </is>
      </c>
      <c r="B47" s="54">
        <f>TableauProduit[[#This Row],[Recette]]&amp;TableauProduit[[#This Row],[Conditionnement]]</f>
        <v/>
      </c>
      <c r="C47" s="11" t="n">
        <v>1</v>
      </c>
      <c r="D47" s="11" t="n">
        <v>50</v>
      </c>
      <c r="E47" s="6" t="inlineStr">
        <is>
          <t>Epice 100ml</t>
        </is>
      </c>
      <c r="F47" s="7">
        <f>IFERROR(VLOOKUP(TableauProduit[[#This Row],[Conditionnement]],TableauConditionnement[[Nom]:[Contenance]],4,FALSE),"")</f>
        <v/>
      </c>
      <c r="G47" s="897">
        <f>IFERROR(SUMIFS(TableauRecette[Prix d''achat / kg],TableauRecette[Recette],TableauProduit[[#This Row],[Recette]],TableauRecette[Conditionnement],TableauProduit[[#This Row],[Conditionnement]]),0)</f>
        <v/>
      </c>
      <c r="H47" s="898" t="n">
        <v>5</v>
      </c>
      <c r="I47" s="899">
        <f>1000*TableauProduit[[#This Row],[Prix de vente/U]]/TableauProduit[[#This Row],[Poids (g) / unite]]</f>
        <v/>
      </c>
      <c r="J47" s="900">
        <f>SUMIFS(TableauConcurence[PRIX_KG],TableauConcurence[PRODUIT],TableauProduit[[#This Row],[Recette]],TableauConcurence[DISTRIBUTION],"magasin NON BIO")</f>
        <v/>
      </c>
      <c r="K47" s="901">
        <f>SUMIFS(TableauConcurence[PRIX_KG],TableauConcurence[PRODUIT],TableauProduit[[#This Row],[Recette]],TableauConcurence[DISTRIBUTION],"magasin BIO")</f>
        <v/>
      </c>
      <c r="L47" s="902">
        <f>SUMIFS(TableauConcurence[PRIX_KG],TableauConcurence[PRODUIT],TableauProduit[[#This Row],[Recette]],TableauConcurence[DISTRIBUTION],"artisanale BIO")</f>
        <v/>
      </c>
      <c r="M47" s="903" t="n">
        <v>0</v>
      </c>
      <c r="N47" s="904">
        <f>TableauProduit[[#This Row],[Poids (g) / unite]]*TableauProduit[[#This Row],[Objectif de vente en unite N1]]/1000</f>
        <v/>
      </c>
      <c r="O47" s="905">
        <f>TableauProduit[[#This Row],[Objectif de vente en unite N1]]*TableauProduit[[#This Row],[Packaging / unite]]</f>
        <v/>
      </c>
      <c r="P47" s="905">
        <f>TableauProduit[[#This Row],[Prix Achat de plante par kg]]*TableauProduit[[#This Row],[Total (kg) N1]]</f>
        <v/>
      </c>
      <c r="Q47" s="905">
        <f>TableauProduit[[#This Row],[Prix de vente/kg]]*TableauProduit[[#This Row],[Total (kg) N1]]</f>
        <v/>
      </c>
      <c r="R47" s="906">
        <f>TableauProduit[[#This Row],[Revenue brut N1]]-TableauProduit[[#This Row],[Achat par kg N1]]-TableauProduit[[#This Row],[Conditionnement N1]]</f>
        <v/>
      </c>
      <c r="S47" s="907" t="n">
        <v>0</v>
      </c>
      <c r="T47" s="908">
        <f>TableauProduit[[#This Row],[Poids (g) / unite]]*TableauProduit[[#This Row],[Objectif de vente en unite N2]]/1000</f>
        <v/>
      </c>
      <c r="U47" s="909">
        <f>TableauProduit[[#This Row],[Objectif de vente en unite N2]]*TableauProduit[[#This Row],[Packaging / unite]]</f>
        <v/>
      </c>
      <c r="V47" s="909">
        <f>TableauProduit[[#This Row],[Prix Achat de plante par kg]]*TableauProduit[[#This Row],[Total (kg) N2]]</f>
        <v/>
      </c>
      <c r="W47" s="909">
        <f>TableauProduit[[#This Row],[Prix de vente/kg]]*TableauProduit[[#This Row],[Total (kg) N2]]</f>
        <v/>
      </c>
      <c r="X47" s="910">
        <f>TableauProduit[[#This Row],[Revenue brut N2]]-TableauProduit[[#This Row],[Achat plante / kg de melange N2]]-TableauProduit[[#This Row],[Conditionnement N2]]</f>
        <v/>
      </c>
      <c r="Y47" s="911" t="n">
        <v>0</v>
      </c>
      <c r="Z47" s="912">
        <f>TableauProduit[[#This Row],[Poids (g) / unite]]*TableauProduit[[#This Row],[Objectif de vente en unite N3]]/1000</f>
        <v/>
      </c>
      <c r="AA47" s="913">
        <f>TableauProduit[[#This Row],[Objectif de vente en unite N3]]*TableauProduit[[#This Row],[Packaging / unite]]</f>
        <v/>
      </c>
      <c r="AB47" s="913">
        <f>TableauProduit[[#This Row],[Prix Achat de plante par kg]]*TableauProduit[[#This Row],[Total (kg) N3]]</f>
        <v/>
      </c>
      <c r="AC47" s="913">
        <f>TableauProduit[[#This Row],[Prix de vente/kg]]*TableauProduit[[#This Row],[Total (kg) N3]]</f>
        <v/>
      </c>
      <c r="AD47" s="914">
        <f>TableauProduit[[#This Row],[Revenue brut N3]]-TableauProduit[[#This Row],[Achat plante / kg de melange N3]]-TableauProduit[[#This Row],[Conditionnement N3]]</f>
        <v/>
      </c>
      <c r="AE47" s="915" t="n">
        <v>0</v>
      </c>
      <c r="AF47" s="915">
        <f>TableauProduit[[#This Row],[Poids (g) / unite]]*TableauProduit[[#This Row],[Objectif de vente en unite N4]]/1000</f>
        <v/>
      </c>
      <c r="AG47" s="916">
        <f>TableauProduit[[#This Row],[Objectif de vente en unite N4]]*TableauProduit[[#This Row],[Packaging / unite]]</f>
        <v/>
      </c>
      <c r="AH47" s="916">
        <f>TableauProduit[[#This Row],[Prix Achat de plante par kg]]*TableauProduit[[#This Row],[Total (kg) N4]]</f>
        <v/>
      </c>
      <c r="AI47" s="916">
        <f>TableauProduit[[#This Row],[Prix de vente/kg]]*TableauProduit[[#This Row],[Total (kg) N4]]</f>
        <v/>
      </c>
      <c r="AJ47" s="915">
        <f>TableauProduit[[#This Row],[Revenue brut N4]]-TableauProduit[[#This Row],[Achat plante / kg de melange N4]]-TableauProduit[[#This Row],[Conditionnement N4]]</f>
        <v/>
      </c>
      <c r="AK47" s="917" t="n">
        <v>0</v>
      </c>
      <c r="AL47" s="917">
        <f>TableauProduit[[#This Row],[Poids (g) / unite]]*TableauProduit[[#This Row],[Objectif de vente en unite N5]]/1000</f>
        <v/>
      </c>
      <c r="AM47" s="918">
        <f>TableauProduit[[#This Row],[Objectif de vente en unite N5]]*TableauProduit[[#This Row],[Packaging / unite]]</f>
        <v/>
      </c>
      <c r="AN47" s="918">
        <f>TableauProduit[[#This Row],[Prix Achat de plante par kg]]*TableauProduit[[#This Row],[Total (kg) N5]]</f>
        <v/>
      </c>
      <c r="AO47" s="918">
        <f>TableauProduit[[#This Row],[Prix de vente/kg]]*TableauProduit[[#This Row],[Total (kg) N5]]</f>
        <v/>
      </c>
      <c r="AP47" s="917">
        <f>TableauProduit[[#This Row],[Revenue brut N5]]-TableauProduit[[#This Row],[Achat plante / kg de melange N5]]-TableauProduit[[#This Row],[Conditionnement N5]]</f>
        <v/>
      </c>
      <c r="AQ47" s="919" t="n">
        <v>0</v>
      </c>
      <c r="AR47" s="919">
        <f>TableauProduit[[#This Row],[Poids (g) / unite]]*TableauProduit[[#This Row],[Objectif de vente en unite N6]]/1000</f>
        <v/>
      </c>
      <c r="AS47" s="920">
        <f>TableauProduit[[#This Row],[Objectif de vente en unite N6]]*TableauProduit[[#This Row],[Packaging / unite]]</f>
        <v/>
      </c>
      <c r="AT47" s="920">
        <f>TableauProduit[[#This Row],[Prix Achat de plante par kg]]*TableauProduit[[#This Row],[Total (kg) N6]]</f>
        <v/>
      </c>
      <c r="AU47" s="920">
        <f>TableauProduit[[#This Row],[Prix de vente/kg]]*TableauProduit[[#This Row],[Total (kg) N6]]</f>
        <v/>
      </c>
      <c r="AV47" s="919">
        <f>TableauProduit[[#This Row],[Revenue brut N6]]-TableauProduit[[#This Row],[Achat plante / kg de melange N6]]-TableauProduit[[#This Row],[Conditionnement N6]]</f>
        <v/>
      </c>
      <c r="AW47" s="904" t="n">
        <v>0</v>
      </c>
      <c r="AX47" s="904">
        <f>TableauProduit[[#This Row],[Poids (g) / unite]]*TableauProduit[[#This Row],[Objectif de vente en unite N7]]/1000</f>
        <v/>
      </c>
      <c r="AY47" s="905">
        <f>TableauProduit[[#This Row],[Objectif de vente en unite N7]]*TableauProduit[[#This Row],[Packaging / unite]]</f>
        <v/>
      </c>
      <c r="AZ47" s="905">
        <f>TableauProduit[[#This Row],[Prix Achat de plante par kg]]*TableauProduit[[#This Row],[Total (kg) N7]]</f>
        <v/>
      </c>
      <c r="BA47" s="905">
        <f>TableauProduit[[#This Row],[Prix de vente/kg]]*TableauProduit[[#This Row],[Total (kg) N7]]</f>
        <v/>
      </c>
      <c r="BB47" s="921">
        <f>TableauProduit[[#This Row],[Revenue brut N7]]-TableauProduit[[#This Row],[Achat plante / kg de melange N7]]-TableauProduit[[#This Row],[Conditionnement N7]]</f>
        <v/>
      </c>
      <c r="BC47" s="922" t="n">
        <v>0</v>
      </c>
      <c r="BD47" s="923">
        <f>TableauProduit[[#This Row],[Poids (g) / unite]]*TableauProduit[[#This Row],[Objectif de vente en unite N8]]/1000</f>
        <v/>
      </c>
      <c r="BE47" s="924">
        <f>TableauProduit[[#This Row],[Objectif de vente en unite N8]]*TableauProduit[[#This Row],[Packaging / unite]]</f>
        <v/>
      </c>
      <c r="BF47" s="924">
        <f>TableauProduit[[#This Row],[Prix Achat de plante par kg]]*TableauProduit[[#This Row],[Total (kg) N8]]</f>
        <v/>
      </c>
      <c r="BG47" s="924">
        <f>TableauProduit[[#This Row],[Prix de vente/kg]]*TableauProduit[[#This Row],[Total (kg) N8]]</f>
        <v/>
      </c>
      <c r="BH47" s="925">
        <f>TableauProduit[[#This Row],[Revenue brut N8]]-TableauProduit[[#This Row],[Achat plante / kg de melange N8]]-TableauProduit[[#This Row],[Conditionnement N8]]</f>
        <v/>
      </c>
      <c r="BI47" s="926" t="n">
        <v>0</v>
      </c>
      <c r="BJ47" s="927">
        <f>TableauProduit[[#This Row],[Poids (g) / unite]]*TableauProduit[[#This Row],[Objectif de vente en unite N9]]/1000</f>
        <v/>
      </c>
      <c r="BK47" s="928">
        <f>TableauProduit[[#This Row],[Objectif de vente en unite N9]]*TableauProduit[[#This Row],[Packaging / unite]]</f>
        <v/>
      </c>
      <c r="BL47" s="928">
        <f>TableauProduit[[#This Row],[Prix Achat de plante par kg]]*TableauProduit[[#This Row],[Total (kg) N9]]</f>
        <v/>
      </c>
      <c r="BM47" s="928">
        <f>TableauProduit[[#This Row],[Prix de vente/kg]]*TableauProduit[[#This Row],[Total (kg) N9]]</f>
        <v/>
      </c>
      <c r="BN47" s="927">
        <f>TableauProduit[[#This Row],[Revenue brut N9]]-TableauProduit[[#This Row],[Achat plante / kg de melange N9]]-TableauProduit[[#This Row],[Conditionnement N9]]</f>
        <v/>
      </c>
    </row>
    <row r="48">
      <c r="A48" s="13" t="inlineStr">
        <is>
          <t>Suya ghaneen</t>
        </is>
      </c>
      <c r="B48" s="54">
        <f>TableauProduit[[#This Row],[Recette]]&amp;TableauProduit[[#This Row],[Conditionnement]]</f>
        <v/>
      </c>
      <c r="C48" s="11" t="n">
        <v>1</v>
      </c>
      <c r="D48" s="11" t="n">
        <v>40</v>
      </c>
      <c r="E48" s="6" t="inlineStr">
        <is>
          <t>Epice 100ml</t>
        </is>
      </c>
      <c r="F48" s="7">
        <f>IFERROR(VLOOKUP(TableauProduit[[#This Row],[Conditionnement]],TableauConditionnement[[Nom]:[Contenance]],4,FALSE),"")</f>
        <v/>
      </c>
      <c r="G48" s="897">
        <f>IFERROR(SUMIFS(TableauRecette[Prix d''achat / kg],TableauRecette[Recette],TableauProduit[[#This Row],[Recette]],TableauRecette[Conditionnement],TableauProduit[[#This Row],[Conditionnement]]),0)</f>
        <v/>
      </c>
      <c r="H48" s="898" t="n">
        <v>5</v>
      </c>
      <c r="I48" s="899">
        <f>1000*TableauProduit[[#This Row],[Prix de vente/U]]/TableauProduit[[#This Row],[Poids (g) / unite]]</f>
        <v/>
      </c>
      <c r="J48" s="900">
        <f>SUMIFS(TableauConcurence[PRIX_KG],TableauConcurence[PRODUIT],TableauProduit[[#This Row],[Recette]],TableauConcurence[DISTRIBUTION],"magasin NON BIO")</f>
        <v/>
      </c>
      <c r="K48" s="901">
        <f>SUMIFS(TableauConcurence[PRIX_KG],TableauConcurence[PRODUIT],TableauProduit[[#This Row],[Recette]],TableauConcurence[DISTRIBUTION],"magasin BIO")</f>
        <v/>
      </c>
      <c r="L48" s="902">
        <f>SUMIFS(TableauConcurence[PRIX_KG],TableauConcurence[PRODUIT],TableauProduit[[#This Row],[Recette]],TableauConcurence[DISTRIBUTION],"artisanale BIO")</f>
        <v/>
      </c>
      <c r="M48" s="903" t="n">
        <v>0</v>
      </c>
      <c r="N48" s="904">
        <f>TableauProduit[[#This Row],[Poids (g) / unite]]*TableauProduit[[#This Row],[Objectif de vente en unite N1]]/1000</f>
        <v/>
      </c>
      <c r="O48" s="905">
        <f>TableauProduit[[#This Row],[Objectif de vente en unite N1]]*TableauProduit[[#This Row],[Packaging / unite]]</f>
        <v/>
      </c>
      <c r="P48" s="905">
        <f>TableauProduit[[#This Row],[Prix Achat de plante par kg]]*TableauProduit[[#This Row],[Total (kg) N1]]</f>
        <v/>
      </c>
      <c r="Q48" s="905">
        <f>TableauProduit[[#This Row],[Prix de vente/kg]]*TableauProduit[[#This Row],[Total (kg) N1]]</f>
        <v/>
      </c>
      <c r="R48" s="906">
        <f>TableauProduit[[#This Row],[Revenue brut N1]]-TableauProduit[[#This Row],[Achat par kg N1]]-TableauProduit[[#This Row],[Conditionnement N1]]</f>
        <v/>
      </c>
      <c r="S48" s="907" t="n">
        <v>0</v>
      </c>
      <c r="T48" s="908">
        <f>TableauProduit[[#This Row],[Poids (g) / unite]]*TableauProduit[[#This Row],[Objectif de vente en unite N2]]/1000</f>
        <v/>
      </c>
      <c r="U48" s="909">
        <f>TableauProduit[[#This Row],[Objectif de vente en unite N2]]*TableauProduit[[#This Row],[Packaging / unite]]</f>
        <v/>
      </c>
      <c r="V48" s="909">
        <f>TableauProduit[[#This Row],[Prix Achat de plante par kg]]*TableauProduit[[#This Row],[Total (kg) N2]]</f>
        <v/>
      </c>
      <c r="W48" s="909">
        <f>TableauProduit[[#This Row],[Prix de vente/kg]]*TableauProduit[[#This Row],[Total (kg) N2]]</f>
        <v/>
      </c>
      <c r="X48" s="910">
        <f>TableauProduit[[#This Row],[Revenue brut N2]]-TableauProduit[[#This Row],[Achat plante / kg de melange N2]]-TableauProduit[[#This Row],[Conditionnement N2]]</f>
        <v/>
      </c>
      <c r="Y48" s="911" t="n">
        <v>0</v>
      </c>
      <c r="Z48" s="912">
        <f>TableauProduit[[#This Row],[Poids (g) / unite]]*TableauProduit[[#This Row],[Objectif de vente en unite N3]]/1000</f>
        <v/>
      </c>
      <c r="AA48" s="913">
        <f>TableauProduit[[#This Row],[Objectif de vente en unite N3]]*TableauProduit[[#This Row],[Packaging / unite]]</f>
        <v/>
      </c>
      <c r="AB48" s="913">
        <f>TableauProduit[[#This Row],[Prix Achat de plante par kg]]*TableauProduit[[#This Row],[Total (kg) N3]]</f>
        <v/>
      </c>
      <c r="AC48" s="913">
        <f>TableauProduit[[#This Row],[Prix de vente/kg]]*TableauProduit[[#This Row],[Total (kg) N3]]</f>
        <v/>
      </c>
      <c r="AD48" s="914">
        <f>TableauProduit[[#This Row],[Revenue brut N3]]-TableauProduit[[#This Row],[Achat plante / kg de melange N3]]-TableauProduit[[#This Row],[Conditionnement N3]]</f>
        <v/>
      </c>
      <c r="AE48" s="915" t="n">
        <v>0</v>
      </c>
      <c r="AF48" s="915">
        <f>TableauProduit[[#This Row],[Poids (g) / unite]]*TableauProduit[[#This Row],[Objectif de vente en unite N4]]/1000</f>
        <v/>
      </c>
      <c r="AG48" s="916">
        <f>TableauProduit[[#This Row],[Objectif de vente en unite N4]]*TableauProduit[[#This Row],[Packaging / unite]]</f>
        <v/>
      </c>
      <c r="AH48" s="916">
        <f>TableauProduit[[#This Row],[Prix Achat de plante par kg]]*TableauProduit[[#This Row],[Total (kg) N4]]</f>
        <v/>
      </c>
      <c r="AI48" s="916">
        <f>TableauProduit[[#This Row],[Prix de vente/kg]]*TableauProduit[[#This Row],[Total (kg) N4]]</f>
        <v/>
      </c>
      <c r="AJ48" s="915">
        <f>TableauProduit[[#This Row],[Revenue brut N4]]-TableauProduit[[#This Row],[Achat plante / kg de melange N4]]-TableauProduit[[#This Row],[Conditionnement N4]]</f>
        <v/>
      </c>
      <c r="AK48" s="917" t="n">
        <v>0</v>
      </c>
      <c r="AL48" s="917">
        <f>TableauProduit[[#This Row],[Poids (g) / unite]]*TableauProduit[[#This Row],[Objectif de vente en unite N5]]/1000</f>
        <v/>
      </c>
      <c r="AM48" s="918">
        <f>TableauProduit[[#This Row],[Objectif de vente en unite N5]]*TableauProduit[[#This Row],[Packaging / unite]]</f>
        <v/>
      </c>
      <c r="AN48" s="918">
        <f>TableauProduit[[#This Row],[Prix Achat de plante par kg]]*TableauProduit[[#This Row],[Total (kg) N5]]</f>
        <v/>
      </c>
      <c r="AO48" s="918">
        <f>TableauProduit[[#This Row],[Prix de vente/kg]]*TableauProduit[[#This Row],[Total (kg) N5]]</f>
        <v/>
      </c>
      <c r="AP48" s="917">
        <f>TableauProduit[[#This Row],[Revenue brut N5]]-TableauProduit[[#This Row],[Achat plante / kg de melange N5]]-TableauProduit[[#This Row],[Conditionnement N5]]</f>
        <v/>
      </c>
      <c r="AQ48" s="919" t="n">
        <v>0</v>
      </c>
      <c r="AR48" s="919">
        <f>TableauProduit[[#This Row],[Poids (g) / unite]]*TableauProduit[[#This Row],[Objectif de vente en unite N6]]/1000</f>
        <v/>
      </c>
      <c r="AS48" s="920">
        <f>TableauProduit[[#This Row],[Objectif de vente en unite N6]]*TableauProduit[[#This Row],[Packaging / unite]]</f>
        <v/>
      </c>
      <c r="AT48" s="920">
        <f>TableauProduit[[#This Row],[Prix Achat de plante par kg]]*TableauProduit[[#This Row],[Total (kg) N6]]</f>
        <v/>
      </c>
      <c r="AU48" s="920">
        <f>TableauProduit[[#This Row],[Prix de vente/kg]]*TableauProduit[[#This Row],[Total (kg) N6]]</f>
        <v/>
      </c>
      <c r="AV48" s="919">
        <f>TableauProduit[[#This Row],[Revenue brut N6]]-TableauProduit[[#This Row],[Achat plante / kg de melange N6]]-TableauProduit[[#This Row],[Conditionnement N6]]</f>
        <v/>
      </c>
      <c r="AW48" s="904" t="n">
        <v>0</v>
      </c>
      <c r="AX48" s="904">
        <f>TableauProduit[[#This Row],[Poids (g) / unite]]*TableauProduit[[#This Row],[Objectif de vente en unite N7]]/1000</f>
        <v/>
      </c>
      <c r="AY48" s="905">
        <f>TableauProduit[[#This Row],[Objectif de vente en unite N7]]*TableauProduit[[#This Row],[Packaging / unite]]</f>
        <v/>
      </c>
      <c r="AZ48" s="905">
        <f>TableauProduit[[#This Row],[Prix Achat de plante par kg]]*TableauProduit[[#This Row],[Total (kg) N7]]</f>
        <v/>
      </c>
      <c r="BA48" s="905">
        <f>TableauProduit[[#This Row],[Prix de vente/kg]]*TableauProduit[[#This Row],[Total (kg) N7]]</f>
        <v/>
      </c>
      <c r="BB48" s="921">
        <f>TableauProduit[[#This Row],[Revenue brut N7]]-TableauProduit[[#This Row],[Achat plante / kg de melange N7]]-TableauProduit[[#This Row],[Conditionnement N7]]</f>
        <v/>
      </c>
      <c r="BC48" s="922" t="n">
        <v>0</v>
      </c>
      <c r="BD48" s="923">
        <f>TableauProduit[[#This Row],[Poids (g) / unite]]*TableauProduit[[#This Row],[Objectif de vente en unite N8]]/1000</f>
        <v/>
      </c>
      <c r="BE48" s="924">
        <f>TableauProduit[[#This Row],[Objectif de vente en unite N8]]*TableauProduit[[#This Row],[Packaging / unite]]</f>
        <v/>
      </c>
      <c r="BF48" s="924">
        <f>TableauProduit[[#This Row],[Prix Achat de plante par kg]]*TableauProduit[[#This Row],[Total (kg) N8]]</f>
        <v/>
      </c>
      <c r="BG48" s="924">
        <f>TableauProduit[[#This Row],[Prix de vente/kg]]*TableauProduit[[#This Row],[Total (kg) N8]]</f>
        <v/>
      </c>
      <c r="BH48" s="925">
        <f>TableauProduit[[#This Row],[Revenue brut N8]]-TableauProduit[[#This Row],[Achat plante / kg de melange N8]]-TableauProduit[[#This Row],[Conditionnement N8]]</f>
        <v/>
      </c>
      <c r="BI48" s="926" t="n">
        <v>0</v>
      </c>
      <c r="BJ48" s="927">
        <f>TableauProduit[[#This Row],[Poids (g) / unite]]*TableauProduit[[#This Row],[Objectif de vente en unite N9]]/1000</f>
        <v/>
      </c>
      <c r="BK48" s="928">
        <f>TableauProduit[[#This Row],[Objectif de vente en unite N9]]*TableauProduit[[#This Row],[Packaging / unite]]</f>
        <v/>
      </c>
      <c r="BL48" s="928">
        <f>TableauProduit[[#This Row],[Prix Achat de plante par kg]]*TableauProduit[[#This Row],[Total (kg) N9]]</f>
        <v/>
      </c>
      <c r="BM48" s="928">
        <f>TableauProduit[[#This Row],[Prix de vente/kg]]*TableauProduit[[#This Row],[Total (kg) N9]]</f>
        <v/>
      </c>
      <c r="BN48" s="927">
        <f>TableauProduit[[#This Row],[Revenue brut N9]]-TableauProduit[[#This Row],[Achat plante / kg de melange N9]]-TableauProduit[[#This Row],[Conditionnement N9]]</f>
        <v/>
      </c>
    </row>
    <row r="49">
      <c r="A49" s="13" t="inlineStr">
        <is>
          <t>Steak de Montreal</t>
        </is>
      </c>
      <c r="B49" s="54">
        <f>TableauProduit[[#This Row],[Recette]]&amp;TableauProduit[[#This Row],[Conditionnement]]</f>
        <v/>
      </c>
      <c r="C49" s="11" t="n">
        <v>1</v>
      </c>
      <c r="D49" s="11" t="n">
        <v>50</v>
      </c>
      <c r="E49" s="6" t="inlineStr">
        <is>
          <t>Epice 100ml</t>
        </is>
      </c>
      <c r="F49" s="7">
        <f>IFERROR(VLOOKUP(TableauProduit[[#This Row],[Conditionnement]],TableauConditionnement[[Nom]:[Contenance]],4,FALSE),"")</f>
        <v/>
      </c>
      <c r="G49" s="897">
        <f>IFERROR(SUMIFS(TableauRecette[Prix d''achat / kg],TableauRecette[Recette],TableauProduit[[#This Row],[Recette]],TableauRecette[Conditionnement],TableauProduit[[#This Row],[Conditionnement]]),0)</f>
        <v/>
      </c>
      <c r="H49" s="898" t="n">
        <v>5</v>
      </c>
      <c r="I49" s="899">
        <f>1000*TableauProduit[[#This Row],[Prix de vente/U]]/TableauProduit[[#This Row],[Poids (g) / unite]]</f>
        <v/>
      </c>
      <c r="J49" s="900">
        <f>SUMIFS(TableauConcurence[PRIX_KG],TableauConcurence[PRODUIT],TableauProduit[[#This Row],[Recette]],TableauConcurence[DISTRIBUTION],"magasin NON BIO")</f>
        <v/>
      </c>
      <c r="K49" s="901">
        <f>SUMIFS(TableauConcurence[PRIX_KG],TableauConcurence[PRODUIT],TableauProduit[[#This Row],[Recette]],TableauConcurence[DISTRIBUTION],"magasin BIO")</f>
        <v/>
      </c>
      <c r="L49" s="902">
        <f>SUMIFS(TableauConcurence[PRIX_KG],TableauConcurence[PRODUIT],TableauProduit[[#This Row],[Recette]],TableauConcurence[DISTRIBUTION],"artisanale BIO")</f>
        <v/>
      </c>
      <c r="M49" s="903" t="n">
        <v>0</v>
      </c>
      <c r="N49" s="904">
        <f>TableauProduit[[#This Row],[Poids (g) / unite]]*TableauProduit[[#This Row],[Objectif de vente en unite N1]]/1000</f>
        <v/>
      </c>
      <c r="O49" s="905">
        <f>TableauProduit[[#This Row],[Objectif de vente en unite N1]]*TableauProduit[[#This Row],[Packaging / unite]]</f>
        <v/>
      </c>
      <c r="P49" s="905">
        <f>TableauProduit[[#This Row],[Prix Achat de plante par kg]]*TableauProduit[[#This Row],[Total (kg) N1]]</f>
        <v/>
      </c>
      <c r="Q49" s="905">
        <f>TableauProduit[[#This Row],[Prix de vente/kg]]*TableauProduit[[#This Row],[Total (kg) N1]]</f>
        <v/>
      </c>
      <c r="R49" s="906">
        <f>TableauProduit[[#This Row],[Revenue brut N1]]-TableauProduit[[#This Row],[Achat par kg N1]]-TableauProduit[[#This Row],[Conditionnement N1]]</f>
        <v/>
      </c>
      <c r="S49" s="907" t="n">
        <v>0</v>
      </c>
      <c r="T49" s="908">
        <f>TableauProduit[[#This Row],[Poids (g) / unite]]*TableauProduit[[#This Row],[Objectif de vente en unite N2]]/1000</f>
        <v/>
      </c>
      <c r="U49" s="909">
        <f>TableauProduit[[#This Row],[Objectif de vente en unite N2]]*TableauProduit[[#This Row],[Packaging / unite]]</f>
        <v/>
      </c>
      <c r="V49" s="909">
        <f>TableauProduit[[#This Row],[Prix Achat de plante par kg]]*TableauProduit[[#This Row],[Total (kg) N2]]</f>
        <v/>
      </c>
      <c r="W49" s="909">
        <f>TableauProduit[[#This Row],[Prix de vente/kg]]*TableauProduit[[#This Row],[Total (kg) N2]]</f>
        <v/>
      </c>
      <c r="X49" s="910">
        <f>TableauProduit[[#This Row],[Revenue brut N2]]-TableauProduit[[#This Row],[Achat plante / kg de melange N2]]-TableauProduit[[#This Row],[Conditionnement N2]]</f>
        <v/>
      </c>
      <c r="Y49" s="911" t="n">
        <v>0</v>
      </c>
      <c r="Z49" s="912">
        <f>TableauProduit[[#This Row],[Poids (g) / unite]]*TableauProduit[[#This Row],[Objectif de vente en unite N3]]/1000</f>
        <v/>
      </c>
      <c r="AA49" s="913">
        <f>TableauProduit[[#This Row],[Objectif de vente en unite N3]]*TableauProduit[[#This Row],[Packaging / unite]]</f>
        <v/>
      </c>
      <c r="AB49" s="913">
        <f>TableauProduit[[#This Row],[Prix Achat de plante par kg]]*TableauProduit[[#This Row],[Total (kg) N3]]</f>
        <v/>
      </c>
      <c r="AC49" s="913">
        <f>TableauProduit[[#This Row],[Prix de vente/kg]]*TableauProduit[[#This Row],[Total (kg) N3]]</f>
        <v/>
      </c>
      <c r="AD49" s="914">
        <f>TableauProduit[[#This Row],[Revenue brut N3]]-TableauProduit[[#This Row],[Achat plante / kg de melange N3]]-TableauProduit[[#This Row],[Conditionnement N3]]</f>
        <v/>
      </c>
      <c r="AE49" s="915" t="n">
        <v>0</v>
      </c>
      <c r="AF49" s="915">
        <f>TableauProduit[[#This Row],[Poids (g) / unite]]*TableauProduit[[#This Row],[Objectif de vente en unite N4]]/1000</f>
        <v/>
      </c>
      <c r="AG49" s="916">
        <f>TableauProduit[[#This Row],[Objectif de vente en unite N4]]*TableauProduit[[#This Row],[Packaging / unite]]</f>
        <v/>
      </c>
      <c r="AH49" s="916">
        <f>TableauProduit[[#This Row],[Prix Achat de plante par kg]]*TableauProduit[[#This Row],[Total (kg) N4]]</f>
        <v/>
      </c>
      <c r="AI49" s="916">
        <f>TableauProduit[[#This Row],[Prix de vente/kg]]*TableauProduit[[#This Row],[Total (kg) N4]]</f>
        <v/>
      </c>
      <c r="AJ49" s="915">
        <f>TableauProduit[[#This Row],[Revenue brut N4]]-TableauProduit[[#This Row],[Achat plante / kg de melange N4]]-TableauProduit[[#This Row],[Conditionnement N4]]</f>
        <v/>
      </c>
      <c r="AK49" s="917" t="n">
        <v>0</v>
      </c>
      <c r="AL49" s="917">
        <f>TableauProduit[[#This Row],[Poids (g) / unite]]*TableauProduit[[#This Row],[Objectif de vente en unite N5]]/1000</f>
        <v/>
      </c>
      <c r="AM49" s="918">
        <f>TableauProduit[[#This Row],[Objectif de vente en unite N5]]*TableauProduit[[#This Row],[Packaging / unite]]</f>
        <v/>
      </c>
      <c r="AN49" s="918">
        <f>TableauProduit[[#This Row],[Prix Achat de plante par kg]]*TableauProduit[[#This Row],[Total (kg) N5]]</f>
        <v/>
      </c>
      <c r="AO49" s="918">
        <f>TableauProduit[[#This Row],[Prix de vente/kg]]*TableauProduit[[#This Row],[Total (kg) N5]]</f>
        <v/>
      </c>
      <c r="AP49" s="917">
        <f>TableauProduit[[#This Row],[Revenue brut N5]]-TableauProduit[[#This Row],[Achat plante / kg de melange N5]]-TableauProduit[[#This Row],[Conditionnement N5]]</f>
        <v/>
      </c>
      <c r="AQ49" s="919" t="n">
        <v>0</v>
      </c>
      <c r="AR49" s="919">
        <f>TableauProduit[[#This Row],[Poids (g) / unite]]*TableauProduit[[#This Row],[Objectif de vente en unite N6]]/1000</f>
        <v/>
      </c>
      <c r="AS49" s="920">
        <f>TableauProduit[[#This Row],[Objectif de vente en unite N6]]*TableauProduit[[#This Row],[Packaging / unite]]</f>
        <v/>
      </c>
      <c r="AT49" s="920">
        <f>TableauProduit[[#This Row],[Prix Achat de plante par kg]]*TableauProduit[[#This Row],[Total (kg) N6]]</f>
        <v/>
      </c>
      <c r="AU49" s="920">
        <f>TableauProduit[[#This Row],[Prix de vente/kg]]*TableauProduit[[#This Row],[Total (kg) N6]]</f>
        <v/>
      </c>
      <c r="AV49" s="919">
        <f>TableauProduit[[#This Row],[Revenue brut N6]]-TableauProduit[[#This Row],[Achat plante / kg de melange N6]]-TableauProduit[[#This Row],[Conditionnement N6]]</f>
        <v/>
      </c>
      <c r="AW49" s="904" t="n">
        <v>0</v>
      </c>
      <c r="AX49" s="904">
        <f>TableauProduit[[#This Row],[Poids (g) / unite]]*TableauProduit[[#This Row],[Objectif de vente en unite N7]]/1000</f>
        <v/>
      </c>
      <c r="AY49" s="905">
        <f>TableauProduit[[#This Row],[Objectif de vente en unite N7]]*TableauProduit[[#This Row],[Packaging / unite]]</f>
        <v/>
      </c>
      <c r="AZ49" s="905">
        <f>TableauProduit[[#This Row],[Prix Achat de plante par kg]]*TableauProduit[[#This Row],[Total (kg) N7]]</f>
        <v/>
      </c>
      <c r="BA49" s="905">
        <f>TableauProduit[[#This Row],[Prix de vente/kg]]*TableauProduit[[#This Row],[Total (kg) N7]]</f>
        <v/>
      </c>
      <c r="BB49" s="921">
        <f>TableauProduit[[#This Row],[Revenue brut N7]]-TableauProduit[[#This Row],[Achat plante / kg de melange N7]]-TableauProduit[[#This Row],[Conditionnement N7]]</f>
        <v/>
      </c>
      <c r="BC49" s="922" t="n">
        <v>0</v>
      </c>
      <c r="BD49" s="923">
        <f>TableauProduit[[#This Row],[Poids (g) / unite]]*TableauProduit[[#This Row],[Objectif de vente en unite N8]]/1000</f>
        <v/>
      </c>
      <c r="BE49" s="924">
        <f>TableauProduit[[#This Row],[Objectif de vente en unite N8]]*TableauProduit[[#This Row],[Packaging / unite]]</f>
        <v/>
      </c>
      <c r="BF49" s="924">
        <f>TableauProduit[[#This Row],[Prix Achat de plante par kg]]*TableauProduit[[#This Row],[Total (kg) N8]]</f>
        <v/>
      </c>
      <c r="BG49" s="924">
        <f>TableauProduit[[#This Row],[Prix de vente/kg]]*TableauProduit[[#This Row],[Total (kg) N8]]</f>
        <v/>
      </c>
      <c r="BH49" s="925">
        <f>TableauProduit[[#This Row],[Revenue brut N8]]-TableauProduit[[#This Row],[Achat plante / kg de melange N8]]-TableauProduit[[#This Row],[Conditionnement N8]]</f>
        <v/>
      </c>
      <c r="BI49" s="926" t="n">
        <v>0</v>
      </c>
      <c r="BJ49" s="927">
        <f>TableauProduit[[#This Row],[Poids (g) / unite]]*TableauProduit[[#This Row],[Objectif de vente en unite N9]]/1000</f>
        <v/>
      </c>
      <c r="BK49" s="928">
        <f>TableauProduit[[#This Row],[Objectif de vente en unite N9]]*TableauProduit[[#This Row],[Packaging / unite]]</f>
        <v/>
      </c>
      <c r="BL49" s="928">
        <f>TableauProduit[[#This Row],[Prix Achat de plante par kg]]*TableauProduit[[#This Row],[Total (kg) N9]]</f>
        <v/>
      </c>
      <c r="BM49" s="928">
        <f>TableauProduit[[#This Row],[Prix de vente/kg]]*TableauProduit[[#This Row],[Total (kg) N9]]</f>
        <v/>
      </c>
      <c r="BN49" s="927">
        <f>TableauProduit[[#This Row],[Revenue brut N9]]-TableauProduit[[#This Row],[Achat plante / kg de melange N9]]-TableauProduit[[#This Row],[Conditionnement N9]]</f>
        <v/>
      </c>
    </row>
    <row r="50">
      <c r="A50" s="13" t="inlineStr">
        <is>
          <t>Colombo</t>
        </is>
      </c>
      <c r="B50" s="54">
        <f>TableauProduit[[#This Row],[Recette]]&amp;TableauProduit[[#This Row],[Conditionnement]]</f>
        <v/>
      </c>
      <c r="C50" s="11" t="n">
        <v>1</v>
      </c>
      <c r="D50" s="11" t="n">
        <v>45</v>
      </c>
      <c r="E50" s="6" t="inlineStr">
        <is>
          <t>Epice 100ml</t>
        </is>
      </c>
      <c r="F50" s="7">
        <f>IFERROR(VLOOKUP(TableauProduit[[#This Row],[Conditionnement]],TableauConditionnement[[Nom]:[Contenance]],4,FALSE),"")</f>
        <v/>
      </c>
      <c r="G50" s="897">
        <f>IFERROR(SUMIFS(TableauRecette[Prix d''achat / kg],TableauRecette[Recette],TableauProduit[[#This Row],[Recette]],TableauRecette[Conditionnement],TableauProduit[[#This Row],[Conditionnement]]),0)</f>
        <v/>
      </c>
      <c r="H50" s="898" t="n">
        <v>4.5</v>
      </c>
      <c r="I50" s="899">
        <f>1000*TableauProduit[[#This Row],[Prix de vente/U]]/TableauProduit[[#This Row],[Poids (g) / unite]]</f>
        <v/>
      </c>
      <c r="J50" s="900">
        <f>SUMIFS(TableauConcurence[PRIX_KG],TableauConcurence[PRODUIT],TableauProduit[[#This Row],[Recette]],TableauConcurence[DISTRIBUTION],"magasin NON BIO")</f>
        <v/>
      </c>
      <c r="K50" s="901">
        <f>SUMIFS(TableauConcurence[PRIX_KG],TableauConcurence[PRODUIT],TableauProduit[[#This Row],[Recette]],TableauConcurence[DISTRIBUTION],"magasin BIO")</f>
        <v/>
      </c>
      <c r="L50" s="902">
        <f>SUMIFS(TableauConcurence[PRIX_KG],TableauConcurence[PRODUIT],TableauProduit[[#This Row],[Recette]],TableauConcurence[DISTRIBUTION],"artisanale BIO")</f>
        <v/>
      </c>
      <c r="M50" s="903" t="n">
        <v>0</v>
      </c>
      <c r="N50" s="904">
        <f>TableauProduit[[#This Row],[Poids (g) / unite]]*TableauProduit[[#This Row],[Objectif de vente en unite N1]]/1000</f>
        <v/>
      </c>
      <c r="O50" s="905">
        <f>TableauProduit[[#This Row],[Objectif de vente en unite N1]]*TableauProduit[[#This Row],[Packaging / unite]]</f>
        <v/>
      </c>
      <c r="P50" s="905">
        <f>TableauProduit[[#This Row],[Prix Achat de plante par kg]]*TableauProduit[[#This Row],[Total (kg) N1]]</f>
        <v/>
      </c>
      <c r="Q50" s="905">
        <f>TableauProduit[[#This Row],[Prix de vente/kg]]*TableauProduit[[#This Row],[Total (kg) N1]]</f>
        <v/>
      </c>
      <c r="R50" s="906">
        <f>TableauProduit[[#This Row],[Revenue brut N1]]-TableauProduit[[#This Row],[Achat par kg N1]]-TableauProduit[[#This Row],[Conditionnement N1]]</f>
        <v/>
      </c>
      <c r="S50" s="907" t="n">
        <v>0</v>
      </c>
      <c r="T50" s="908">
        <f>TableauProduit[[#This Row],[Poids (g) / unite]]*TableauProduit[[#This Row],[Objectif de vente en unite N2]]/1000</f>
        <v/>
      </c>
      <c r="U50" s="909">
        <f>TableauProduit[[#This Row],[Objectif de vente en unite N2]]*TableauProduit[[#This Row],[Packaging / unite]]</f>
        <v/>
      </c>
      <c r="V50" s="909">
        <f>TableauProduit[[#This Row],[Prix Achat de plante par kg]]*TableauProduit[[#This Row],[Total (kg) N2]]</f>
        <v/>
      </c>
      <c r="W50" s="909">
        <f>TableauProduit[[#This Row],[Prix de vente/kg]]*TableauProduit[[#This Row],[Total (kg) N2]]</f>
        <v/>
      </c>
      <c r="X50" s="910">
        <f>TableauProduit[[#This Row],[Revenue brut N2]]-TableauProduit[[#This Row],[Achat plante / kg de melange N2]]-TableauProduit[[#This Row],[Conditionnement N2]]</f>
        <v/>
      </c>
      <c r="Y50" s="911" t="n">
        <v>0</v>
      </c>
      <c r="Z50" s="912">
        <f>TableauProduit[[#This Row],[Poids (g) / unite]]*TableauProduit[[#This Row],[Objectif de vente en unite N3]]/1000</f>
        <v/>
      </c>
      <c r="AA50" s="913">
        <f>TableauProduit[[#This Row],[Objectif de vente en unite N3]]*TableauProduit[[#This Row],[Packaging / unite]]</f>
        <v/>
      </c>
      <c r="AB50" s="913">
        <f>TableauProduit[[#This Row],[Prix Achat de plante par kg]]*TableauProduit[[#This Row],[Total (kg) N3]]</f>
        <v/>
      </c>
      <c r="AC50" s="913">
        <f>TableauProduit[[#This Row],[Prix de vente/kg]]*TableauProduit[[#This Row],[Total (kg) N3]]</f>
        <v/>
      </c>
      <c r="AD50" s="914">
        <f>TableauProduit[[#This Row],[Revenue brut N3]]-TableauProduit[[#This Row],[Achat plante / kg de melange N3]]-TableauProduit[[#This Row],[Conditionnement N3]]</f>
        <v/>
      </c>
      <c r="AE50" s="915" t="n">
        <v>0</v>
      </c>
      <c r="AF50" s="915">
        <f>TableauProduit[[#This Row],[Poids (g) / unite]]*TableauProduit[[#This Row],[Objectif de vente en unite N4]]/1000</f>
        <v/>
      </c>
      <c r="AG50" s="916">
        <f>TableauProduit[[#This Row],[Objectif de vente en unite N4]]*TableauProduit[[#This Row],[Packaging / unite]]</f>
        <v/>
      </c>
      <c r="AH50" s="916">
        <f>TableauProduit[[#This Row],[Prix Achat de plante par kg]]*TableauProduit[[#This Row],[Total (kg) N4]]</f>
        <v/>
      </c>
      <c r="AI50" s="916">
        <f>TableauProduit[[#This Row],[Prix de vente/kg]]*TableauProduit[[#This Row],[Total (kg) N4]]</f>
        <v/>
      </c>
      <c r="AJ50" s="915">
        <f>TableauProduit[[#This Row],[Revenue brut N4]]-TableauProduit[[#This Row],[Achat plante / kg de melange N4]]-TableauProduit[[#This Row],[Conditionnement N4]]</f>
        <v/>
      </c>
      <c r="AK50" s="917" t="n">
        <v>0</v>
      </c>
      <c r="AL50" s="917">
        <f>TableauProduit[[#This Row],[Poids (g) / unite]]*TableauProduit[[#This Row],[Objectif de vente en unite N5]]/1000</f>
        <v/>
      </c>
      <c r="AM50" s="918">
        <f>TableauProduit[[#This Row],[Objectif de vente en unite N5]]*TableauProduit[[#This Row],[Packaging / unite]]</f>
        <v/>
      </c>
      <c r="AN50" s="918">
        <f>TableauProduit[[#This Row],[Prix Achat de plante par kg]]*TableauProduit[[#This Row],[Total (kg) N5]]</f>
        <v/>
      </c>
      <c r="AO50" s="918">
        <f>TableauProduit[[#This Row],[Prix de vente/kg]]*TableauProduit[[#This Row],[Total (kg) N5]]</f>
        <v/>
      </c>
      <c r="AP50" s="917">
        <f>TableauProduit[[#This Row],[Revenue brut N5]]-TableauProduit[[#This Row],[Achat plante / kg de melange N5]]-TableauProduit[[#This Row],[Conditionnement N5]]</f>
        <v/>
      </c>
      <c r="AQ50" s="919" t="n">
        <v>0</v>
      </c>
      <c r="AR50" s="919">
        <f>TableauProduit[[#This Row],[Poids (g) / unite]]*TableauProduit[[#This Row],[Objectif de vente en unite N6]]/1000</f>
        <v/>
      </c>
      <c r="AS50" s="920">
        <f>TableauProduit[[#This Row],[Objectif de vente en unite N6]]*TableauProduit[[#This Row],[Packaging / unite]]</f>
        <v/>
      </c>
      <c r="AT50" s="920">
        <f>TableauProduit[[#This Row],[Prix Achat de plante par kg]]*TableauProduit[[#This Row],[Total (kg) N6]]</f>
        <v/>
      </c>
      <c r="AU50" s="920">
        <f>TableauProduit[[#This Row],[Prix de vente/kg]]*TableauProduit[[#This Row],[Total (kg) N6]]</f>
        <v/>
      </c>
      <c r="AV50" s="919">
        <f>TableauProduit[[#This Row],[Revenue brut N6]]-TableauProduit[[#This Row],[Achat plante / kg de melange N6]]-TableauProduit[[#This Row],[Conditionnement N6]]</f>
        <v/>
      </c>
      <c r="AW50" s="904" t="n">
        <v>0</v>
      </c>
      <c r="AX50" s="904">
        <f>TableauProduit[[#This Row],[Poids (g) / unite]]*TableauProduit[[#This Row],[Objectif de vente en unite N7]]/1000</f>
        <v/>
      </c>
      <c r="AY50" s="905">
        <f>TableauProduit[[#This Row],[Objectif de vente en unite N7]]*TableauProduit[[#This Row],[Packaging / unite]]</f>
        <v/>
      </c>
      <c r="AZ50" s="905">
        <f>TableauProduit[[#This Row],[Prix Achat de plante par kg]]*TableauProduit[[#This Row],[Total (kg) N7]]</f>
        <v/>
      </c>
      <c r="BA50" s="905">
        <f>TableauProduit[[#This Row],[Prix de vente/kg]]*TableauProduit[[#This Row],[Total (kg) N7]]</f>
        <v/>
      </c>
      <c r="BB50" s="921">
        <f>TableauProduit[[#This Row],[Revenue brut N7]]-TableauProduit[[#This Row],[Achat plante / kg de melange N7]]-TableauProduit[[#This Row],[Conditionnement N7]]</f>
        <v/>
      </c>
      <c r="BC50" s="922" t="n">
        <v>0</v>
      </c>
      <c r="BD50" s="923">
        <f>TableauProduit[[#This Row],[Poids (g) / unite]]*TableauProduit[[#This Row],[Objectif de vente en unite N8]]/1000</f>
        <v/>
      </c>
      <c r="BE50" s="924">
        <f>TableauProduit[[#This Row],[Objectif de vente en unite N8]]*TableauProduit[[#This Row],[Packaging / unite]]</f>
        <v/>
      </c>
      <c r="BF50" s="924">
        <f>TableauProduit[[#This Row],[Prix Achat de plante par kg]]*TableauProduit[[#This Row],[Total (kg) N8]]</f>
        <v/>
      </c>
      <c r="BG50" s="924">
        <f>TableauProduit[[#This Row],[Prix de vente/kg]]*TableauProduit[[#This Row],[Total (kg) N8]]</f>
        <v/>
      </c>
      <c r="BH50" s="925">
        <f>TableauProduit[[#This Row],[Revenue brut N8]]-TableauProduit[[#This Row],[Achat plante / kg de melange N8]]-TableauProduit[[#This Row],[Conditionnement N8]]</f>
        <v/>
      </c>
      <c r="BI50" s="926" t="n">
        <v>0</v>
      </c>
      <c r="BJ50" s="927">
        <f>TableauProduit[[#This Row],[Poids (g) / unite]]*TableauProduit[[#This Row],[Objectif de vente en unite N9]]/1000</f>
        <v/>
      </c>
      <c r="BK50" s="928">
        <f>TableauProduit[[#This Row],[Objectif de vente en unite N9]]*TableauProduit[[#This Row],[Packaging / unite]]</f>
        <v/>
      </c>
      <c r="BL50" s="928">
        <f>TableauProduit[[#This Row],[Prix Achat de plante par kg]]*TableauProduit[[#This Row],[Total (kg) N9]]</f>
        <v/>
      </c>
      <c r="BM50" s="928">
        <f>TableauProduit[[#This Row],[Prix de vente/kg]]*TableauProduit[[#This Row],[Total (kg) N9]]</f>
        <v/>
      </c>
      <c r="BN50" s="927">
        <f>TableauProduit[[#This Row],[Revenue brut N9]]-TableauProduit[[#This Row],[Achat plante / kg de melange N9]]-TableauProduit[[#This Row],[Conditionnement N9]]</f>
        <v/>
      </c>
    </row>
    <row r="51">
      <c r="A51" s="13" t="inlineStr">
        <is>
          <t>Vindaloo masala</t>
        </is>
      </c>
      <c r="B51" s="54">
        <f>TableauProduit[[#This Row],[Recette]]&amp;TableauProduit[[#This Row],[Conditionnement]]</f>
        <v/>
      </c>
      <c r="C51" s="11" t="n">
        <v>1</v>
      </c>
      <c r="D51" s="11" t="n">
        <v>50</v>
      </c>
      <c r="E51" s="6" t="inlineStr">
        <is>
          <t>Epice 100ml</t>
        </is>
      </c>
      <c r="F51" s="7">
        <f>IFERROR(VLOOKUP(TableauProduit[[#This Row],[Conditionnement]],TableauConditionnement[[Nom]:[Contenance]],4,FALSE),"")</f>
        <v/>
      </c>
      <c r="G51" s="897">
        <f>IFERROR(SUMIFS(TableauRecette[Prix d''achat / kg],TableauRecette[Recette],TableauProduit[[#This Row],[Recette]],TableauRecette[Conditionnement],TableauProduit[[#This Row],[Conditionnement]]),0)</f>
        <v/>
      </c>
      <c r="H51" s="898" t="n">
        <v>2.9</v>
      </c>
      <c r="I51" s="899">
        <f>1000*TableauProduit[[#This Row],[Prix de vente/U]]/TableauProduit[[#This Row],[Poids (g) / unite]]</f>
        <v/>
      </c>
      <c r="J51" s="900">
        <f>SUMIFS(TableauConcurence[PRIX_KG],TableauConcurence[PRODUIT],TableauProduit[[#This Row],[Recette]],TableauConcurence[DISTRIBUTION],"magasin NON BIO")</f>
        <v/>
      </c>
      <c r="K51" s="901">
        <f>SUMIFS(TableauConcurence[PRIX_KG],TableauConcurence[PRODUIT],TableauProduit[[#This Row],[Recette]],TableauConcurence[DISTRIBUTION],"magasin BIO")</f>
        <v/>
      </c>
      <c r="L51" s="902">
        <f>SUMIFS(TableauConcurence[PRIX_KG],TableauConcurence[PRODUIT],TableauProduit[[#This Row],[Recette]],TableauConcurence[DISTRIBUTION],"artisanale BIO")</f>
        <v/>
      </c>
      <c r="M51" s="903" t="n">
        <v>0</v>
      </c>
      <c r="N51" s="904">
        <f>TableauProduit[[#This Row],[Poids (g) / unite]]*TableauProduit[[#This Row],[Objectif de vente en unite N1]]/1000</f>
        <v/>
      </c>
      <c r="O51" s="905">
        <f>TableauProduit[[#This Row],[Objectif de vente en unite N1]]*TableauProduit[[#This Row],[Packaging / unite]]</f>
        <v/>
      </c>
      <c r="P51" s="905">
        <f>TableauProduit[[#This Row],[Prix Achat de plante par kg]]*TableauProduit[[#This Row],[Total (kg) N1]]</f>
        <v/>
      </c>
      <c r="Q51" s="905">
        <f>TableauProduit[[#This Row],[Prix de vente/kg]]*TableauProduit[[#This Row],[Total (kg) N1]]</f>
        <v/>
      </c>
      <c r="R51" s="906">
        <f>TableauProduit[[#This Row],[Revenue brut N1]]-TableauProduit[[#This Row],[Achat par kg N1]]-TableauProduit[[#This Row],[Conditionnement N1]]</f>
        <v/>
      </c>
      <c r="S51" s="907" t="n">
        <v>0</v>
      </c>
      <c r="T51" s="908">
        <f>TableauProduit[[#This Row],[Poids (g) / unite]]*TableauProduit[[#This Row],[Objectif de vente en unite N2]]/1000</f>
        <v/>
      </c>
      <c r="U51" s="909">
        <f>TableauProduit[[#This Row],[Objectif de vente en unite N2]]*TableauProduit[[#This Row],[Packaging / unite]]</f>
        <v/>
      </c>
      <c r="V51" s="909">
        <f>TableauProduit[[#This Row],[Prix Achat de plante par kg]]*TableauProduit[[#This Row],[Total (kg) N2]]</f>
        <v/>
      </c>
      <c r="W51" s="909">
        <f>TableauProduit[[#This Row],[Prix de vente/kg]]*TableauProduit[[#This Row],[Total (kg) N2]]</f>
        <v/>
      </c>
      <c r="X51" s="910">
        <f>TableauProduit[[#This Row],[Revenue brut N2]]-TableauProduit[[#This Row],[Achat plante / kg de melange N2]]-TableauProduit[[#This Row],[Conditionnement N2]]</f>
        <v/>
      </c>
      <c r="Y51" s="911" t="n">
        <v>0</v>
      </c>
      <c r="Z51" s="912">
        <f>TableauProduit[[#This Row],[Poids (g) / unite]]*TableauProduit[[#This Row],[Objectif de vente en unite N3]]/1000</f>
        <v/>
      </c>
      <c r="AA51" s="913">
        <f>TableauProduit[[#This Row],[Objectif de vente en unite N3]]*TableauProduit[[#This Row],[Packaging / unite]]</f>
        <v/>
      </c>
      <c r="AB51" s="913">
        <f>TableauProduit[[#This Row],[Prix Achat de plante par kg]]*TableauProduit[[#This Row],[Total (kg) N3]]</f>
        <v/>
      </c>
      <c r="AC51" s="913">
        <f>TableauProduit[[#This Row],[Prix de vente/kg]]*TableauProduit[[#This Row],[Total (kg) N3]]</f>
        <v/>
      </c>
      <c r="AD51" s="914">
        <f>TableauProduit[[#This Row],[Revenue brut N3]]-TableauProduit[[#This Row],[Achat plante / kg de melange N3]]-TableauProduit[[#This Row],[Conditionnement N3]]</f>
        <v/>
      </c>
      <c r="AE51" s="915" t="n">
        <v>0</v>
      </c>
      <c r="AF51" s="915">
        <f>TableauProduit[[#This Row],[Poids (g) / unite]]*TableauProduit[[#This Row],[Objectif de vente en unite N4]]/1000</f>
        <v/>
      </c>
      <c r="AG51" s="916">
        <f>TableauProduit[[#This Row],[Objectif de vente en unite N4]]*TableauProduit[[#This Row],[Packaging / unite]]</f>
        <v/>
      </c>
      <c r="AH51" s="916">
        <f>TableauProduit[[#This Row],[Prix Achat de plante par kg]]*TableauProduit[[#This Row],[Total (kg) N4]]</f>
        <v/>
      </c>
      <c r="AI51" s="916">
        <f>TableauProduit[[#This Row],[Prix de vente/kg]]*TableauProduit[[#This Row],[Total (kg) N4]]</f>
        <v/>
      </c>
      <c r="AJ51" s="915">
        <f>TableauProduit[[#This Row],[Revenue brut N4]]-TableauProduit[[#This Row],[Achat plante / kg de melange N4]]-TableauProduit[[#This Row],[Conditionnement N4]]</f>
        <v/>
      </c>
      <c r="AK51" s="917" t="n">
        <v>0</v>
      </c>
      <c r="AL51" s="917">
        <f>TableauProduit[[#This Row],[Poids (g) / unite]]*TableauProduit[[#This Row],[Objectif de vente en unite N5]]/1000</f>
        <v/>
      </c>
      <c r="AM51" s="918">
        <f>TableauProduit[[#This Row],[Objectif de vente en unite N5]]*TableauProduit[[#This Row],[Packaging / unite]]</f>
        <v/>
      </c>
      <c r="AN51" s="918">
        <f>TableauProduit[[#This Row],[Prix Achat de plante par kg]]*TableauProduit[[#This Row],[Total (kg) N5]]</f>
        <v/>
      </c>
      <c r="AO51" s="918">
        <f>TableauProduit[[#This Row],[Prix de vente/kg]]*TableauProduit[[#This Row],[Total (kg) N5]]</f>
        <v/>
      </c>
      <c r="AP51" s="917">
        <f>TableauProduit[[#This Row],[Revenue brut N5]]-TableauProduit[[#This Row],[Achat plante / kg de melange N5]]-TableauProduit[[#This Row],[Conditionnement N5]]</f>
        <v/>
      </c>
      <c r="AQ51" s="919" t="n">
        <v>0</v>
      </c>
      <c r="AR51" s="919">
        <f>TableauProduit[[#This Row],[Poids (g) / unite]]*TableauProduit[[#This Row],[Objectif de vente en unite N6]]/1000</f>
        <v/>
      </c>
      <c r="AS51" s="920">
        <f>TableauProduit[[#This Row],[Objectif de vente en unite N6]]*TableauProduit[[#This Row],[Packaging / unite]]</f>
        <v/>
      </c>
      <c r="AT51" s="920">
        <f>TableauProduit[[#This Row],[Prix Achat de plante par kg]]*TableauProduit[[#This Row],[Total (kg) N6]]</f>
        <v/>
      </c>
      <c r="AU51" s="920">
        <f>TableauProduit[[#This Row],[Prix de vente/kg]]*TableauProduit[[#This Row],[Total (kg) N6]]</f>
        <v/>
      </c>
      <c r="AV51" s="919">
        <f>TableauProduit[[#This Row],[Revenue brut N6]]-TableauProduit[[#This Row],[Achat plante / kg de melange N6]]-TableauProduit[[#This Row],[Conditionnement N6]]</f>
        <v/>
      </c>
      <c r="AW51" s="904" t="n">
        <v>0</v>
      </c>
      <c r="AX51" s="904">
        <f>TableauProduit[[#This Row],[Poids (g) / unite]]*TableauProduit[[#This Row],[Objectif de vente en unite N7]]/1000</f>
        <v/>
      </c>
      <c r="AY51" s="905">
        <f>TableauProduit[[#This Row],[Objectif de vente en unite N7]]*TableauProduit[[#This Row],[Packaging / unite]]</f>
        <v/>
      </c>
      <c r="AZ51" s="905">
        <f>TableauProduit[[#This Row],[Prix Achat de plante par kg]]*TableauProduit[[#This Row],[Total (kg) N7]]</f>
        <v/>
      </c>
      <c r="BA51" s="905">
        <f>TableauProduit[[#This Row],[Prix de vente/kg]]*TableauProduit[[#This Row],[Total (kg) N7]]</f>
        <v/>
      </c>
      <c r="BB51" s="921">
        <f>TableauProduit[[#This Row],[Revenue brut N7]]-TableauProduit[[#This Row],[Achat plante / kg de melange N7]]-TableauProduit[[#This Row],[Conditionnement N7]]</f>
        <v/>
      </c>
      <c r="BC51" s="922" t="n">
        <v>0</v>
      </c>
      <c r="BD51" s="923">
        <f>TableauProduit[[#This Row],[Poids (g) / unite]]*TableauProduit[[#This Row],[Objectif de vente en unite N8]]/1000</f>
        <v/>
      </c>
      <c r="BE51" s="924">
        <f>TableauProduit[[#This Row],[Objectif de vente en unite N8]]*TableauProduit[[#This Row],[Packaging / unite]]</f>
        <v/>
      </c>
      <c r="BF51" s="924">
        <f>TableauProduit[[#This Row],[Prix Achat de plante par kg]]*TableauProduit[[#This Row],[Total (kg) N8]]</f>
        <v/>
      </c>
      <c r="BG51" s="924">
        <f>TableauProduit[[#This Row],[Prix de vente/kg]]*TableauProduit[[#This Row],[Total (kg) N8]]</f>
        <v/>
      </c>
      <c r="BH51" s="925">
        <f>TableauProduit[[#This Row],[Revenue brut N8]]-TableauProduit[[#This Row],[Achat plante / kg de melange N8]]-TableauProduit[[#This Row],[Conditionnement N8]]</f>
        <v/>
      </c>
      <c r="BI51" s="926" t="n">
        <v>0</v>
      </c>
      <c r="BJ51" s="927">
        <f>TableauProduit[[#This Row],[Poids (g) / unite]]*TableauProduit[[#This Row],[Objectif de vente en unite N9]]/1000</f>
        <v/>
      </c>
      <c r="BK51" s="928">
        <f>TableauProduit[[#This Row],[Objectif de vente en unite N9]]*TableauProduit[[#This Row],[Packaging / unite]]</f>
        <v/>
      </c>
      <c r="BL51" s="928">
        <f>TableauProduit[[#This Row],[Prix Achat de plante par kg]]*TableauProduit[[#This Row],[Total (kg) N9]]</f>
        <v/>
      </c>
      <c r="BM51" s="928">
        <f>TableauProduit[[#This Row],[Prix de vente/kg]]*TableauProduit[[#This Row],[Total (kg) N9]]</f>
        <v/>
      </c>
      <c r="BN51" s="927">
        <f>TableauProduit[[#This Row],[Revenue brut N9]]-TableauProduit[[#This Row],[Achat plante / kg de melange N9]]-TableauProduit[[#This Row],[Conditionnement N9]]</f>
        <v/>
      </c>
    </row>
    <row r="52">
      <c r="A52" s="13" t="inlineStr">
        <is>
          <t>Nuoc chan</t>
        </is>
      </c>
      <c r="B52" s="54">
        <f>TableauProduit[[#This Row],[Recette]]&amp;TableauProduit[[#This Row],[Conditionnement]]</f>
        <v/>
      </c>
      <c r="C52" s="11" t="n">
        <v>1</v>
      </c>
      <c r="D52" s="11" t="n">
        <v>50</v>
      </c>
      <c r="E52" s="6" t="inlineStr">
        <is>
          <t>Epice 100ml</t>
        </is>
      </c>
      <c r="F52" s="7">
        <f>IFERROR(VLOOKUP(TableauProduit[[#This Row],[Conditionnement]],TableauConditionnement[[Nom]:[Contenance]],4,FALSE),"")</f>
        <v/>
      </c>
      <c r="G52" s="897">
        <f>IFERROR(SUMIFS(TableauRecette[Prix d''achat / kg],TableauRecette[Recette],TableauProduit[[#This Row],[Recette]],TableauRecette[Conditionnement],TableauProduit[[#This Row],[Conditionnement]]),0)</f>
        <v/>
      </c>
      <c r="H52" s="898" t="n">
        <v>5</v>
      </c>
      <c r="I52" s="899">
        <f>1000*TableauProduit[[#This Row],[Prix de vente/U]]/TableauProduit[[#This Row],[Poids (g) / unite]]</f>
        <v/>
      </c>
      <c r="J52" s="900">
        <f>SUMIFS(TableauConcurence[PRIX_KG],TableauConcurence[PRODUIT],TableauProduit[[#This Row],[Recette]],TableauConcurence[DISTRIBUTION],"magasin NON BIO")</f>
        <v/>
      </c>
      <c r="K52" s="901">
        <f>SUMIFS(TableauConcurence[PRIX_KG],TableauConcurence[PRODUIT],TableauProduit[[#This Row],[Recette]],TableauConcurence[DISTRIBUTION],"magasin BIO")</f>
        <v/>
      </c>
      <c r="L52" s="902">
        <f>SUMIFS(TableauConcurence[PRIX_KG],TableauConcurence[PRODUIT],TableauProduit[[#This Row],[Recette]],TableauConcurence[DISTRIBUTION],"artisanale BIO")</f>
        <v/>
      </c>
      <c r="M52" s="903" t="n">
        <v>0</v>
      </c>
      <c r="N52" s="904">
        <f>TableauProduit[[#This Row],[Poids (g) / unite]]*TableauProduit[[#This Row],[Objectif de vente en unite N1]]/1000</f>
        <v/>
      </c>
      <c r="O52" s="905">
        <f>TableauProduit[[#This Row],[Objectif de vente en unite N1]]*TableauProduit[[#This Row],[Packaging / unite]]</f>
        <v/>
      </c>
      <c r="P52" s="905">
        <f>TableauProduit[[#This Row],[Prix Achat de plante par kg]]*TableauProduit[[#This Row],[Total (kg) N1]]</f>
        <v/>
      </c>
      <c r="Q52" s="905">
        <f>TableauProduit[[#This Row],[Prix de vente/kg]]*TableauProduit[[#This Row],[Total (kg) N1]]</f>
        <v/>
      </c>
      <c r="R52" s="906">
        <f>TableauProduit[[#This Row],[Revenue brut N1]]-TableauProduit[[#This Row],[Achat par kg N1]]-TableauProduit[[#This Row],[Conditionnement N1]]</f>
        <v/>
      </c>
      <c r="S52" s="907" t="n">
        <v>0</v>
      </c>
      <c r="T52" s="908">
        <f>TableauProduit[[#This Row],[Poids (g) / unite]]*TableauProduit[[#This Row],[Objectif de vente en unite N2]]/1000</f>
        <v/>
      </c>
      <c r="U52" s="909">
        <f>TableauProduit[[#This Row],[Objectif de vente en unite N2]]*TableauProduit[[#This Row],[Packaging / unite]]</f>
        <v/>
      </c>
      <c r="V52" s="909">
        <f>TableauProduit[[#This Row],[Prix Achat de plante par kg]]*TableauProduit[[#This Row],[Total (kg) N2]]</f>
        <v/>
      </c>
      <c r="W52" s="909">
        <f>TableauProduit[[#This Row],[Prix de vente/kg]]*TableauProduit[[#This Row],[Total (kg) N2]]</f>
        <v/>
      </c>
      <c r="X52" s="910">
        <f>TableauProduit[[#This Row],[Revenue brut N2]]-TableauProduit[[#This Row],[Achat plante / kg de melange N2]]-TableauProduit[[#This Row],[Conditionnement N2]]</f>
        <v/>
      </c>
      <c r="Y52" s="911" t="n">
        <v>0</v>
      </c>
      <c r="Z52" s="912">
        <f>TableauProduit[[#This Row],[Poids (g) / unite]]*TableauProduit[[#This Row],[Objectif de vente en unite N3]]/1000</f>
        <v/>
      </c>
      <c r="AA52" s="913">
        <f>TableauProduit[[#This Row],[Objectif de vente en unite N3]]*TableauProduit[[#This Row],[Packaging / unite]]</f>
        <v/>
      </c>
      <c r="AB52" s="913">
        <f>TableauProduit[[#This Row],[Prix Achat de plante par kg]]*TableauProduit[[#This Row],[Total (kg) N3]]</f>
        <v/>
      </c>
      <c r="AC52" s="913">
        <f>TableauProduit[[#This Row],[Prix de vente/kg]]*TableauProduit[[#This Row],[Total (kg) N3]]</f>
        <v/>
      </c>
      <c r="AD52" s="914">
        <f>TableauProduit[[#This Row],[Revenue brut N3]]-TableauProduit[[#This Row],[Achat plante / kg de melange N3]]-TableauProduit[[#This Row],[Conditionnement N3]]</f>
        <v/>
      </c>
      <c r="AE52" s="915" t="n">
        <v>0</v>
      </c>
      <c r="AF52" s="915">
        <f>TableauProduit[[#This Row],[Poids (g) / unite]]*TableauProduit[[#This Row],[Objectif de vente en unite N4]]/1000</f>
        <v/>
      </c>
      <c r="AG52" s="916">
        <f>TableauProduit[[#This Row],[Objectif de vente en unite N4]]*TableauProduit[[#This Row],[Packaging / unite]]</f>
        <v/>
      </c>
      <c r="AH52" s="916">
        <f>TableauProduit[[#This Row],[Prix Achat de plante par kg]]*TableauProduit[[#This Row],[Total (kg) N4]]</f>
        <v/>
      </c>
      <c r="AI52" s="916">
        <f>TableauProduit[[#This Row],[Prix de vente/kg]]*TableauProduit[[#This Row],[Total (kg) N4]]</f>
        <v/>
      </c>
      <c r="AJ52" s="915">
        <f>TableauProduit[[#This Row],[Revenue brut N4]]-TableauProduit[[#This Row],[Achat plante / kg de melange N4]]-TableauProduit[[#This Row],[Conditionnement N4]]</f>
        <v/>
      </c>
      <c r="AK52" s="917" t="n">
        <v>0</v>
      </c>
      <c r="AL52" s="917">
        <f>TableauProduit[[#This Row],[Poids (g) / unite]]*TableauProduit[[#This Row],[Objectif de vente en unite N5]]/1000</f>
        <v/>
      </c>
      <c r="AM52" s="918">
        <f>TableauProduit[[#This Row],[Objectif de vente en unite N5]]*TableauProduit[[#This Row],[Packaging / unite]]</f>
        <v/>
      </c>
      <c r="AN52" s="918">
        <f>TableauProduit[[#This Row],[Prix Achat de plante par kg]]*TableauProduit[[#This Row],[Total (kg) N5]]</f>
        <v/>
      </c>
      <c r="AO52" s="918">
        <f>TableauProduit[[#This Row],[Prix de vente/kg]]*TableauProduit[[#This Row],[Total (kg) N5]]</f>
        <v/>
      </c>
      <c r="AP52" s="917">
        <f>TableauProduit[[#This Row],[Revenue brut N5]]-TableauProduit[[#This Row],[Achat plante / kg de melange N5]]-TableauProduit[[#This Row],[Conditionnement N5]]</f>
        <v/>
      </c>
      <c r="AQ52" s="919" t="n">
        <v>0</v>
      </c>
      <c r="AR52" s="919">
        <f>TableauProduit[[#This Row],[Poids (g) / unite]]*TableauProduit[[#This Row],[Objectif de vente en unite N6]]/1000</f>
        <v/>
      </c>
      <c r="AS52" s="920">
        <f>TableauProduit[[#This Row],[Objectif de vente en unite N6]]*TableauProduit[[#This Row],[Packaging / unite]]</f>
        <v/>
      </c>
      <c r="AT52" s="920">
        <f>TableauProduit[[#This Row],[Prix Achat de plante par kg]]*TableauProduit[[#This Row],[Total (kg) N6]]</f>
        <v/>
      </c>
      <c r="AU52" s="920">
        <f>TableauProduit[[#This Row],[Prix de vente/kg]]*TableauProduit[[#This Row],[Total (kg) N6]]</f>
        <v/>
      </c>
      <c r="AV52" s="919">
        <f>TableauProduit[[#This Row],[Revenue brut N6]]-TableauProduit[[#This Row],[Achat plante / kg de melange N6]]-TableauProduit[[#This Row],[Conditionnement N6]]</f>
        <v/>
      </c>
      <c r="AW52" s="904" t="n">
        <v>0</v>
      </c>
      <c r="AX52" s="904">
        <f>TableauProduit[[#This Row],[Poids (g) / unite]]*TableauProduit[[#This Row],[Objectif de vente en unite N7]]/1000</f>
        <v/>
      </c>
      <c r="AY52" s="905">
        <f>TableauProduit[[#This Row],[Objectif de vente en unite N7]]*TableauProduit[[#This Row],[Packaging / unite]]</f>
        <v/>
      </c>
      <c r="AZ52" s="905">
        <f>TableauProduit[[#This Row],[Prix Achat de plante par kg]]*TableauProduit[[#This Row],[Total (kg) N7]]</f>
        <v/>
      </c>
      <c r="BA52" s="905">
        <f>TableauProduit[[#This Row],[Prix de vente/kg]]*TableauProduit[[#This Row],[Total (kg) N7]]</f>
        <v/>
      </c>
      <c r="BB52" s="921">
        <f>TableauProduit[[#This Row],[Revenue brut N7]]-TableauProduit[[#This Row],[Achat plante / kg de melange N7]]-TableauProduit[[#This Row],[Conditionnement N7]]</f>
        <v/>
      </c>
      <c r="BC52" s="922" t="n">
        <v>0</v>
      </c>
      <c r="BD52" s="923">
        <f>TableauProduit[[#This Row],[Poids (g) / unite]]*TableauProduit[[#This Row],[Objectif de vente en unite N8]]/1000</f>
        <v/>
      </c>
      <c r="BE52" s="924">
        <f>TableauProduit[[#This Row],[Objectif de vente en unite N8]]*TableauProduit[[#This Row],[Packaging / unite]]</f>
        <v/>
      </c>
      <c r="BF52" s="924">
        <f>TableauProduit[[#This Row],[Prix Achat de plante par kg]]*TableauProduit[[#This Row],[Total (kg) N8]]</f>
        <v/>
      </c>
      <c r="BG52" s="924">
        <f>TableauProduit[[#This Row],[Prix de vente/kg]]*TableauProduit[[#This Row],[Total (kg) N8]]</f>
        <v/>
      </c>
      <c r="BH52" s="925">
        <f>TableauProduit[[#This Row],[Revenue brut N8]]-TableauProduit[[#This Row],[Achat plante / kg de melange N8]]-TableauProduit[[#This Row],[Conditionnement N8]]</f>
        <v/>
      </c>
      <c r="BI52" s="926" t="n">
        <v>0</v>
      </c>
      <c r="BJ52" s="927">
        <f>TableauProduit[[#This Row],[Poids (g) / unite]]*TableauProduit[[#This Row],[Objectif de vente en unite N9]]/1000</f>
        <v/>
      </c>
      <c r="BK52" s="928">
        <f>TableauProduit[[#This Row],[Objectif de vente en unite N9]]*TableauProduit[[#This Row],[Packaging / unite]]</f>
        <v/>
      </c>
      <c r="BL52" s="928">
        <f>TableauProduit[[#This Row],[Prix Achat de plante par kg]]*TableauProduit[[#This Row],[Total (kg) N9]]</f>
        <v/>
      </c>
      <c r="BM52" s="928">
        <f>TableauProduit[[#This Row],[Prix de vente/kg]]*TableauProduit[[#This Row],[Total (kg) N9]]</f>
        <v/>
      </c>
      <c r="BN52" s="927">
        <f>TableauProduit[[#This Row],[Revenue brut N9]]-TableauProduit[[#This Row],[Achat plante / kg de melange N9]]-TableauProduit[[#This Row],[Conditionnement N9]]</f>
        <v/>
      </c>
    </row>
    <row r="53">
      <c r="A53" s="13" t="inlineStr">
        <is>
          <t>epices guacamole</t>
        </is>
      </c>
      <c r="B53" s="54">
        <f>TableauProduit[[#This Row],[Recette]]&amp;TableauProduit[[#This Row],[Conditionnement]]</f>
        <v/>
      </c>
      <c r="C53" s="11" t="n">
        <v>1</v>
      </c>
      <c r="D53" s="11" t="n">
        <v>40</v>
      </c>
      <c r="E53" s="6" t="inlineStr">
        <is>
          <t>Epice 100ml</t>
        </is>
      </c>
      <c r="F53" s="7">
        <f>IFERROR(VLOOKUP(TableauProduit[[#This Row],[Conditionnement]],TableauConditionnement[[Nom]:[Contenance]],4,FALSE),"")</f>
        <v/>
      </c>
      <c r="G53" s="897">
        <f>IFERROR(SUMIFS(TableauRecette[Prix d''achat / kg],TableauRecette[Recette],TableauProduit[[#This Row],[Recette]],TableauRecette[Conditionnement],TableauProduit[[#This Row],[Conditionnement]]),0)</f>
        <v/>
      </c>
      <c r="H53" s="898" t="n">
        <v>4</v>
      </c>
      <c r="I53" s="899">
        <f>1000*TableauProduit[[#This Row],[Prix de vente/U]]/TableauProduit[[#This Row],[Poids (g) / unite]]</f>
        <v/>
      </c>
      <c r="J53" s="900">
        <f>SUMIFS(TableauConcurence[PRIX_KG],TableauConcurence[PRODUIT],TableauProduit[[#This Row],[Recette]],TableauConcurence[DISTRIBUTION],"magasin NON BIO")</f>
        <v/>
      </c>
      <c r="K53" s="901">
        <f>SUMIFS(TableauConcurence[PRIX_KG],TableauConcurence[PRODUIT],TableauProduit[[#This Row],[Recette]],TableauConcurence[DISTRIBUTION],"magasin BIO")</f>
        <v/>
      </c>
      <c r="L53" s="902">
        <f>SUMIFS(TableauConcurence[PRIX_KG],TableauConcurence[PRODUIT],TableauProduit[[#This Row],[Recette]],TableauConcurence[DISTRIBUTION],"artisanale BIO")</f>
        <v/>
      </c>
      <c r="M53" s="903" t="n">
        <v>0</v>
      </c>
      <c r="N53" s="904">
        <f>TableauProduit[[#This Row],[Poids (g) / unite]]*TableauProduit[[#This Row],[Objectif de vente en unite N1]]/1000</f>
        <v/>
      </c>
      <c r="O53" s="905">
        <f>TableauProduit[[#This Row],[Objectif de vente en unite N1]]*TableauProduit[[#This Row],[Packaging / unite]]</f>
        <v/>
      </c>
      <c r="P53" s="905">
        <f>TableauProduit[[#This Row],[Prix Achat de plante par kg]]*TableauProduit[[#This Row],[Total (kg) N1]]</f>
        <v/>
      </c>
      <c r="Q53" s="905">
        <f>TableauProduit[[#This Row],[Prix de vente/kg]]*TableauProduit[[#This Row],[Total (kg) N1]]</f>
        <v/>
      </c>
      <c r="R53" s="906">
        <f>TableauProduit[[#This Row],[Revenue brut N1]]-TableauProduit[[#This Row],[Achat par kg N1]]-TableauProduit[[#This Row],[Conditionnement N1]]</f>
        <v/>
      </c>
      <c r="S53" s="907" t="n">
        <v>0</v>
      </c>
      <c r="T53" s="908">
        <f>TableauProduit[[#This Row],[Poids (g) / unite]]*TableauProduit[[#This Row],[Objectif de vente en unite N2]]/1000</f>
        <v/>
      </c>
      <c r="U53" s="909">
        <f>TableauProduit[[#This Row],[Objectif de vente en unite N2]]*TableauProduit[[#This Row],[Packaging / unite]]</f>
        <v/>
      </c>
      <c r="V53" s="909">
        <f>TableauProduit[[#This Row],[Prix Achat de plante par kg]]*TableauProduit[[#This Row],[Total (kg) N2]]</f>
        <v/>
      </c>
      <c r="W53" s="909">
        <f>TableauProduit[[#This Row],[Prix de vente/kg]]*TableauProduit[[#This Row],[Total (kg) N2]]</f>
        <v/>
      </c>
      <c r="X53" s="910">
        <f>TableauProduit[[#This Row],[Revenue brut N2]]-TableauProduit[[#This Row],[Achat plante / kg de melange N2]]-TableauProduit[[#This Row],[Conditionnement N2]]</f>
        <v/>
      </c>
      <c r="Y53" s="911" t="n">
        <v>0</v>
      </c>
      <c r="Z53" s="912">
        <f>TableauProduit[[#This Row],[Poids (g) / unite]]*TableauProduit[[#This Row],[Objectif de vente en unite N3]]/1000</f>
        <v/>
      </c>
      <c r="AA53" s="913">
        <f>TableauProduit[[#This Row],[Objectif de vente en unite N3]]*TableauProduit[[#This Row],[Packaging / unite]]</f>
        <v/>
      </c>
      <c r="AB53" s="913">
        <f>TableauProduit[[#This Row],[Prix Achat de plante par kg]]*TableauProduit[[#This Row],[Total (kg) N3]]</f>
        <v/>
      </c>
      <c r="AC53" s="913">
        <f>TableauProduit[[#This Row],[Prix de vente/kg]]*TableauProduit[[#This Row],[Total (kg) N3]]</f>
        <v/>
      </c>
      <c r="AD53" s="914">
        <f>TableauProduit[[#This Row],[Revenue brut N3]]-TableauProduit[[#This Row],[Achat plante / kg de melange N3]]-TableauProduit[[#This Row],[Conditionnement N3]]</f>
        <v/>
      </c>
      <c r="AE53" s="915" t="n">
        <v>0</v>
      </c>
      <c r="AF53" s="915">
        <f>TableauProduit[[#This Row],[Poids (g) / unite]]*TableauProduit[[#This Row],[Objectif de vente en unite N4]]/1000</f>
        <v/>
      </c>
      <c r="AG53" s="916">
        <f>TableauProduit[[#This Row],[Objectif de vente en unite N4]]*TableauProduit[[#This Row],[Packaging / unite]]</f>
        <v/>
      </c>
      <c r="AH53" s="916">
        <f>TableauProduit[[#This Row],[Prix Achat de plante par kg]]*TableauProduit[[#This Row],[Total (kg) N4]]</f>
        <v/>
      </c>
      <c r="AI53" s="916">
        <f>TableauProduit[[#This Row],[Prix de vente/kg]]*TableauProduit[[#This Row],[Total (kg) N4]]</f>
        <v/>
      </c>
      <c r="AJ53" s="915">
        <f>TableauProduit[[#This Row],[Revenue brut N4]]-TableauProduit[[#This Row],[Achat plante / kg de melange N4]]-TableauProduit[[#This Row],[Conditionnement N4]]</f>
        <v/>
      </c>
      <c r="AK53" s="917" t="n">
        <v>0</v>
      </c>
      <c r="AL53" s="917">
        <f>TableauProduit[[#This Row],[Poids (g) / unite]]*TableauProduit[[#This Row],[Objectif de vente en unite N5]]/1000</f>
        <v/>
      </c>
      <c r="AM53" s="918">
        <f>TableauProduit[[#This Row],[Objectif de vente en unite N5]]*TableauProduit[[#This Row],[Packaging / unite]]</f>
        <v/>
      </c>
      <c r="AN53" s="918">
        <f>TableauProduit[[#This Row],[Prix Achat de plante par kg]]*TableauProduit[[#This Row],[Total (kg) N5]]</f>
        <v/>
      </c>
      <c r="AO53" s="918">
        <f>TableauProduit[[#This Row],[Prix de vente/kg]]*TableauProduit[[#This Row],[Total (kg) N5]]</f>
        <v/>
      </c>
      <c r="AP53" s="917">
        <f>TableauProduit[[#This Row],[Revenue brut N5]]-TableauProduit[[#This Row],[Achat plante / kg de melange N5]]-TableauProduit[[#This Row],[Conditionnement N5]]</f>
        <v/>
      </c>
      <c r="AQ53" s="919" t="n">
        <v>0</v>
      </c>
      <c r="AR53" s="919">
        <f>TableauProduit[[#This Row],[Poids (g) / unite]]*TableauProduit[[#This Row],[Objectif de vente en unite N6]]/1000</f>
        <v/>
      </c>
      <c r="AS53" s="920">
        <f>TableauProduit[[#This Row],[Objectif de vente en unite N6]]*TableauProduit[[#This Row],[Packaging / unite]]</f>
        <v/>
      </c>
      <c r="AT53" s="920">
        <f>TableauProduit[[#This Row],[Prix Achat de plante par kg]]*TableauProduit[[#This Row],[Total (kg) N6]]</f>
        <v/>
      </c>
      <c r="AU53" s="920">
        <f>TableauProduit[[#This Row],[Prix de vente/kg]]*TableauProduit[[#This Row],[Total (kg) N6]]</f>
        <v/>
      </c>
      <c r="AV53" s="919">
        <f>TableauProduit[[#This Row],[Revenue brut N6]]-TableauProduit[[#This Row],[Achat plante / kg de melange N6]]-TableauProduit[[#This Row],[Conditionnement N6]]</f>
        <v/>
      </c>
      <c r="AW53" s="904" t="n">
        <v>0</v>
      </c>
      <c r="AX53" s="904">
        <f>TableauProduit[[#This Row],[Poids (g) / unite]]*TableauProduit[[#This Row],[Objectif de vente en unite N7]]/1000</f>
        <v/>
      </c>
      <c r="AY53" s="905">
        <f>TableauProduit[[#This Row],[Objectif de vente en unite N7]]*TableauProduit[[#This Row],[Packaging / unite]]</f>
        <v/>
      </c>
      <c r="AZ53" s="905">
        <f>TableauProduit[[#This Row],[Prix Achat de plante par kg]]*TableauProduit[[#This Row],[Total (kg) N7]]</f>
        <v/>
      </c>
      <c r="BA53" s="905">
        <f>TableauProduit[[#This Row],[Prix de vente/kg]]*TableauProduit[[#This Row],[Total (kg) N7]]</f>
        <v/>
      </c>
      <c r="BB53" s="921">
        <f>TableauProduit[[#This Row],[Revenue brut N7]]-TableauProduit[[#This Row],[Achat plante / kg de melange N7]]-TableauProduit[[#This Row],[Conditionnement N7]]</f>
        <v/>
      </c>
      <c r="BC53" s="922" t="n">
        <v>0</v>
      </c>
      <c r="BD53" s="923">
        <f>TableauProduit[[#This Row],[Poids (g) / unite]]*TableauProduit[[#This Row],[Objectif de vente en unite N8]]/1000</f>
        <v/>
      </c>
      <c r="BE53" s="924">
        <f>TableauProduit[[#This Row],[Objectif de vente en unite N8]]*TableauProduit[[#This Row],[Packaging / unite]]</f>
        <v/>
      </c>
      <c r="BF53" s="924">
        <f>TableauProduit[[#This Row],[Prix Achat de plante par kg]]*TableauProduit[[#This Row],[Total (kg) N8]]</f>
        <v/>
      </c>
      <c r="BG53" s="924">
        <f>TableauProduit[[#This Row],[Prix de vente/kg]]*TableauProduit[[#This Row],[Total (kg) N8]]</f>
        <v/>
      </c>
      <c r="BH53" s="925">
        <f>TableauProduit[[#This Row],[Revenue brut N8]]-TableauProduit[[#This Row],[Achat plante / kg de melange N8]]-TableauProduit[[#This Row],[Conditionnement N8]]</f>
        <v/>
      </c>
      <c r="BI53" s="926" t="n">
        <v>0</v>
      </c>
      <c r="BJ53" s="927">
        <f>TableauProduit[[#This Row],[Poids (g) / unite]]*TableauProduit[[#This Row],[Objectif de vente en unite N9]]/1000</f>
        <v/>
      </c>
      <c r="BK53" s="928">
        <f>TableauProduit[[#This Row],[Objectif de vente en unite N9]]*TableauProduit[[#This Row],[Packaging / unite]]</f>
        <v/>
      </c>
      <c r="BL53" s="928">
        <f>TableauProduit[[#This Row],[Prix Achat de plante par kg]]*TableauProduit[[#This Row],[Total (kg) N9]]</f>
        <v/>
      </c>
      <c r="BM53" s="928">
        <f>TableauProduit[[#This Row],[Prix de vente/kg]]*TableauProduit[[#This Row],[Total (kg) N9]]</f>
        <v/>
      </c>
      <c r="BN53" s="927">
        <f>TableauProduit[[#This Row],[Revenue brut N9]]-TableauProduit[[#This Row],[Achat plante / kg de melange N9]]-TableauProduit[[#This Row],[Conditionnement N9]]</f>
        <v/>
      </c>
    </row>
    <row r="54">
      <c r="A54" s="13" t="inlineStr">
        <is>
          <t>Huile massage anti-arthrite</t>
        </is>
      </c>
      <c r="B54" s="54">
        <f>TableauProduit[[#This Row],[Recette]]&amp;TableauProduit[[#This Row],[Conditionnement]]</f>
        <v/>
      </c>
      <c r="C54" s="11" t="n">
        <v>1</v>
      </c>
      <c r="D54" s="11" t="n">
        <v>100</v>
      </c>
      <c r="E54" s="6" t="inlineStr">
        <is>
          <t>Epice 100ml</t>
        </is>
      </c>
      <c r="F54" s="7">
        <f>IFERROR(VLOOKUP(TableauProduit[[#This Row],[Conditionnement]],TableauConditionnement[[Nom]:[Contenance]],4,FALSE),"")</f>
        <v/>
      </c>
      <c r="G54" s="897">
        <f>IFERROR(SUMIFS(TableauRecette[Prix d''achat / kg],TableauRecette[Recette],TableauProduit[[#This Row],[Recette]],TableauRecette[Conditionnement],TableauProduit[[#This Row],[Conditionnement]]),0)</f>
        <v/>
      </c>
      <c r="H54" s="898" t="n">
        <v>5</v>
      </c>
      <c r="I54" s="899">
        <f>1000*TableauProduit[[#This Row],[Prix de vente/U]]/TableauProduit[[#This Row],[Poids (g) / unite]]</f>
        <v/>
      </c>
      <c r="J54" s="900">
        <f>SUMIFS(TableauConcurence[PRIX_KG],TableauConcurence[PRODUIT],TableauProduit[[#This Row],[Recette]],TableauConcurence[DISTRIBUTION],"magasin NON BIO")</f>
        <v/>
      </c>
      <c r="K54" s="901">
        <f>SUMIFS(TableauConcurence[PRIX_KG],TableauConcurence[PRODUIT],TableauProduit[[#This Row],[Recette]],TableauConcurence[DISTRIBUTION],"magasin BIO")</f>
        <v/>
      </c>
      <c r="L54" s="902">
        <f>SUMIFS(TableauConcurence[PRIX_KG],TableauConcurence[PRODUIT],TableauProduit[[#This Row],[Recette]],TableauConcurence[DISTRIBUTION],"artisanale BIO")</f>
        <v/>
      </c>
      <c r="M54" s="903" t="n">
        <v>0</v>
      </c>
      <c r="N54" s="904">
        <f>TableauProduit[[#This Row],[Poids (g) / unite]]*TableauProduit[[#This Row],[Objectif de vente en unite N1]]/1000</f>
        <v/>
      </c>
      <c r="O54" s="905">
        <f>TableauProduit[[#This Row],[Objectif de vente en unite N1]]*TableauProduit[[#This Row],[Packaging / unite]]</f>
        <v/>
      </c>
      <c r="P54" s="905">
        <f>TableauProduit[[#This Row],[Prix Achat de plante par kg]]*TableauProduit[[#This Row],[Total (kg) N1]]</f>
        <v/>
      </c>
      <c r="Q54" s="905">
        <f>TableauProduit[[#This Row],[Prix de vente/kg]]*TableauProduit[[#This Row],[Total (kg) N1]]</f>
        <v/>
      </c>
      <c r="R54" s="906">
        <f>TableauProduit[[#This Row],[Revenue brut N1]]-TableauProduit[[#This Row],[Achat par kg N1]]-TableauProduit[[#This Row],[Conditionnement N1]]</f>
        <v/>
      </c>
      <c r="S54" s="907" t="n">
        <v>0</v>
      </c>
      <c r="T54" s="908">
        <f>TableauProduit[[#This Row],[Poids (g) / unite]]*TableauProduit[[#This Row],[Objectif de vente en unite N2]]/1000</f>
        <v/>
      </c>
      <c r="U54" s="909">
        <f>TableauProduit[[#This Row],[Objectif de vente en unite N2]]*TableauProduit[[#This Row],[Packaging / unite]]</f>
        <v/>
      </c>
      <c r="V54" s="909">
        <f>TableauProduit[[#This Row],[Prix Achat de plante par kg]]*TableauProduit[[#This Row],[Total (kg) N2]]</f>
        <v/>
      </c>
      <c r="W54" s="909">
        <f>TableauProduit[[#This Row],[Prix de vente/kg]]*TableauProduit[[#This Row],[Total (kg) N2]]</f>
        <v/>
      </c>
      <c r="X54" s="910">
        <f>TableauProduit[[#This Row],[Revenue brut N2]]-TableauProduit[[#This Row],[Achat plante / kg de melange N2]]-TableauProduit[[#This Row],[Conditionnement N2]]</f>
        <v/>
      </c>
      <c r="Y54" s="911" t="n">
        <v>0</v>
      </c>
      <c r="Z54" s="912">
        <f>TableauProduit[[#This Row],[Poids (g) / unite]]*TableauProduit[[#This Row],[Objectif de vente en unite N3]]/1000</f>
        <v/>
      </c>
      <c r="AA54" s="913">
        <f>TableauProduit[[#This Row],[Objectif de vente en unite N3]]*TableauProduit[[#This Row],[Packaging / unite]]</f>
        <v/>
      </c>
      <c r="AB54" s="913">
        <f>TableauProduit[[#This Row],[Prix Achat de plante par kg]]*TableauProduit[[#This Row],[Total (kg) N3]]</f>
        <v/>
      </c>
      <c r="AC54" s="913">
        <f>TableauProduit[[#This Row],[Prix de vente/kg]]*TableauProduit[[#This Row],[Total (kg) N3]]</f>
        <v/>
      </c>
      <c r="AD54" s="914">
        <f>TableauProduit[[#This Row],[Revenue brut N3]]-TableauProduit[[#This Row],[Achat plante / kg de melange N3]]-TableauProduit[[#This Row],[Conditionnement N3]]</f>
        <v/>
      </c>
      <c r="AE54" s="915" t="n">
        <v>0</v>
      </c>
      <c r="AF54" s="915">
        <f>TableauProduit[[#This Row],[Poids (g) / unite]]*TableauProduit[[#This Row],[Objectif de vente en unite N4]]/1000</f>
        <v/>
      </c>
      <c r="AG54" s="916">
        <f>TableauProduit[[#This Row],[Objectif de vente en unite N4]]*TableauProduit[[#This Row],[Packaging / unite]]</f>
        <v/>
      </c>
      <c r="AH54" s="916">
        <f>TableauProduit[[#This Row],[Prix Achat de plante par kg]]*TableauProduit[[#This Row],[Total (kg) N4]]</f>
        <v/>
      </c>
      <c r="AI54" s="916">
        <f>TableauProduit[[#This Row],[Prix de vente/kg]]*TableauProduit[[#This Row],[Total (kg) N4]]</f>
        <v/>
      </c>
      <c r="AJ54" s="915">
        <f>TableauProduit[[#This Row],[Revenue brut N4]]-TableauProduit[[#This Row],[Achat plante / kg de melange N4]]-TableauProduit[[#This Row],[Conditionnement N4]]</f>
        <v/>
      </c>
      <c r="AK54" s="917" t="n">
        <v>0</v>
      </c>
      <c r="AL54" s="917">
        <f>TableauProduit[[#This Row],[Poids (g) / unite]]*TableauProduit[[#This Row],[Objectif de vente en unite N5]]/1000</f>
        <v/>
      </c>
      <c r="AM54" s="918">
        <f>TableauProduit[[#This Row],[Objectif de vente en unite N5]]*TableauProduit[[#This Row],[Packaging / unite]]</f>
        <v/>
      </c>
      <c r="AN54" s="918">
        <f>TableauProduit[[#This Row],[Prix Achat de plante par kg]]*TableauProduit[[#This Row],[Total (kg) N5]]</f>
        <v/>
      </c>
      <c r="AO54" s="918">
        <f>TableauProduit[[#This Row],[Prix de vente/kg]]*TableauProduit[[#This Row],[Total (kg) N5]]</f>
        <v/>
      </c>
      <c r="AP54" s="917">
        <f>TableauProduit[[#This Row],[Revenue brut N5]]-TableauProduit[[#This Row],[Achat plante / kg de melange N5]]-TableauProduit[[#This Row],[Conditionnement N5]]</f>
        <v/>
      </c>
      <c r="AQ54" s="919" t="n">
        <v>0</v>
      </c>
      <c r="AR54" s="919">
        <f>TableauProduit[[#This Row],[Poids (g) / unite]]*TableauProduit[[#This Row],[Objectif de vente en unite N6]]/1000</f>
        <v/>
      </c>
      <c r="AS54" s="920">
        <f>TableauProduit[[#This Row],[Objectif de vente en unite N6]]*TableauProduit[[#This Row],[Packaging / unite]]</f>
        <v/>
      </c>
      <c r="AT54" s="920">
        <f>TableauProduit[[#This Row],[Prix Achat de plante par kg]]*TableauProduit[[#This Row],[Total (kg) N6]]</f>
        <v/>
      </c>
      <c r="AU54" s="920">
        <f>TableauProduit[[#This Row],[Prix de vente/kg]]*TableauProduit[[#This Row],[Total (kg) N6]]</f>
        <v/>
      </c>
      <c r="AV54" s="919">
        <f>TableauProduit[[#This Row],[Revenue brut N6]]-TableauProduit[[#This Row],[Achat plante / kg de melange N6]]-TableauProduit[[#This Row],[Conditionnement N6]]</f>
        <v/>
      </c>
      <c r="AW54" s="904" t="n">
        <v>0</v>
      </c>
      <c r="AX54" s="904">
        <f>TableauProduit[[#This Row],[Poids (g) / unite]]*TableauProduit[[#This Row],[Objectif de vente en unite N7]]/1000</f>
        <v/>
      </c>
      <c r="AY54" s="905">
        <f>TableauProduit[[#This Row],[Objectif de vente en unite N7]]*TableauProduit[[#This Row],[Packaging / unite]]</f>
        <v/>
      </c>
      <c r="AZ54" s="905">
        <f>TableauProduit[[#This Row],[Prix Achat de plante par kg]]*TableauProduit[[#This Row],[Total (kg) N7]]</f>
        <v/>
      </c>
      <c r="BA54" s="905">
        <f>TableauProduit[[#This Row],[Prix de vente/kg]]*TableauProduit[[#This Row],[Total (kg) N7]]</f>
        <v/>
      </c>
      <c r="BB54" s="921">
        <f>TableauProduit[[#This Row],[Revenue brut N7]]-TableauProduit[[#This Row],[Achat plante / kg de melange N7]]-TableauProduit[[#This Row],[Conditionnement N7]]</f>
        <v/>
      </c>
      <c r="BC54" s="922" t="n">
        <v>0</v>
      </c>
      <c r="BD54" s="923">
        <f>TableauProduit[[#This Row],[Poids (g) / unite]]*TableauProduit[[#This Row],[Objectif de vente en unite N8]]/1000</f>
        <v/>
      </c>
      <c r="BE54" s="924">
        <f>TableauProduit[[#This Row],[Objectif de vente en unite N8]]*TableauProduit[[#This Row],[Packaging / unite]]</f>
        <v/>
      </c>
      <c r="BF54" s="924">
        <f>TableauProduit[[#This Row],[Prix Achat de plante par kg]]*TableauProduit[[#This Row],[Total (kg) N8]]</f>
        <v/>
      </c>
      <c r="BG54" s="924">
        <f>TableauProduit[[#This Row],[Prix de vente/kg]]*TableauProduit[[#This Row],[Total (kg) N8]]</f>
        <v/>
      </c>
      <c r="BH54" s="925">
        <f>TableauProduit[[#This Row],[Revenue brut N8]]-TableauProduit[[#This Row],[Achat plante / kg de melange N8]]-TableauProduit[[#This Row],[Conditionnement N8]]</f>
        <v/>
      </c>
      <c r="BI54" s="926" t="n">
        <v>0</v>
      </c>
      <c r="BJ54" s="927">
        <f>TableauProduit[[#This Row],[Poids (g) / unite]]*TableauProduit[[#This Row],[Objectif de vente en unite N9]]/1000</f>
        <v/>
      </c>
      <c r="BK54" s="928">
        <f>TableauProduit[[#This Row],[Objectif de vente en unite N9]]*TableauProduit[[#This Row],[Packaging / unite]]</f>
        <v/>
      </c>
      <c r="BL54" s="928">
        <f>TableauProduit[[#This Row],[Prix Achat de plante par kg]]*TableauProduit[[#This Row],[Total (kg) N9]]</f>
        <v/>
      </c>
      <c r="BM54" s="928">
        <f>TableauProduit[[#This Row],[Prix de vente/kg]]*TableauProduit[[#This Row],[Total (kg) N9]]</f>
        <v/>
      </c>
      <c r="BN54" s="927">
        <f>TableauProduit[[#This Row],[Revenue brut N9]]-TableauProduit[[#This Row],[Achat plante / kg de melange N9]]-TableauProduit[[#This Row],[Conditionnement N9]]</f>
        <v/>
      </c>
    </row>
    <row r="55">
      <c r="A55" s="13" t="inlineStr">
        <is>
          <t>Sriratcha</t>
        </is>
      </c>
      <c r="B55" s="54">
        <f>TableauProduit[[#This Row],[Recette]]&amp;TableauProduit[[#This Row],[Conditionnement]]</f>
        <v/>
      </c>
      <c r="C55" s="11" t="n">
        <v>1</v>
      </c>
      <c r="D55" s="11" t="n">
        <v>280</v>
      </c>
      <c r="E55" s="6" t="inlineStr">
        <is>
          <t>Epice 100ml</t>
        </is>
      </c>
      <c r="F55" s="7">
        <f>IFERROR(VLOOKUP(TableauProduit[[#This Row],[Conditionnement]],TableauConditionnement[[Nom]:[Contenance]],4,FALSE),"")</f>
        <v/>
      </c>
      <c r="G55" s="897">
        <f>IFERROR(SUMIFS(TableauRecette[Prix d''achat / kg],TableauRecette[Recette],TableauProduit[[#This Row],[Recette]],TableauRecette[Conditionnement],TableauProduit[[#This Row],[Conditionnement]]),0)</f>
        <v/>
      </c>
      <c r="H55" s="898" t="n">
        <v>5</v>
      </c>
      <c r="I55" s="899">
        <f>1000*TableauProduit[[#This Row],[Prix de vente/U]]/TableauProduit[[#This Row],[Poids (g) / unite]]</f>
        <v/>
      </c>
      <c r="J55" s="900">
        <f>SUMIFS(TableauConcurence[PRIX_KG],TableauConcurence[PRODUIT],TableauProduit[[#This Row],[Recette]],TableauConcurence[DISTRIBUTION],"magasin NON BIO")</f>
        <v/>
      </c>
      <c r="K55" s="901">
        <f>SUMIFS(TableauConcurence[PRIX_KG],TableauConcurence[PRODUIT],TableauProduit[[#This Row],[Recette]],TableauConcurence[DISTRIBUTION],"magasin BIO")</f>
        <v/>
      </c>
      <c r="L55" s="902">
        <f>SUMIFS(TableauConcurence[PRIX_KG],TableauConcurence[PRODUIT],TableauProduit[[#This Row],[Recette]],TableauConcurence[DISTRIBUTION],"artisanale BIO")</f>
        <v/>
      </c>
      <c r="M55" s="903" t="n">
        <v>0</v>
      </c>
      <c r="N55" s="904">
        <f>TableauProduit[[#This Row],[Poids (g) / unite]]*TableauProduit[[#This Row],[Objectif de vente en unite N1]]/1000</f>
        <v/>
      </c>
      <c r="O55" s="905">
        <f>TableauProduit[[#This Row],[Objectif de vente en unite N1]]*TableauProduit[[#This Row],[Packaging / unite]]</f>
        <v/>
      </c>
      <c r="P55" s="905">
        <f>TableauProduit[[#This Row],[Prix Achat de plante par kg]]*TableauProduit[[#This Row],[Total (kg) N1]]</f>
        <v/>
      </c>
      <c r="Q55" s="905">
        <f>TableauProduit[[#This Row],[Prix de vente/kg]]*TableauProduit[[#This Row],[Total (kg) N1]]</f>
        <v/>
      </c>
      <c r="R55" s="906">
        <f>TableauProduit[[#This Row],[Revenue brut N1]]-TableauProduit[[#This Row],[Achat par kg N1]]-TableauProduit[[#This Row],[Conditionnement N1]]</f>
        <v/>
      </c>
      <c r="S55" s="907" t="n">
        <v>0</v>
      </c>
      <c r="T55" s="908">
        <f>TableauProduit[[#This Row],[Poids (g) / unite]]*TableauProduit[[#This Row],[Objectif de vente en unite N2]]/1000</f>
        <v/>
      </c>
      <c r="U55" s="909">
        <f>TableauProduit[[#This Row],[Objectif de vente en unite N2]]*TableauProduit[[#This Row],[Packaging / unite]]</f>
        <v/>
      </c>
      <c r="V55" s="909">
        <f>TableauProduit[[#This Row],[Prix Achat de plante par kg]]*TableauProduit[[#This Row],[Total (kg) N2]]</f>
        <v/>
      </c>
      <c r="W55" s="909">
        <f>TableauProduit[[#This Row],[Prix de vente/kg]]*TableauProduit[[#This Row],[Total (kg) N2]]</f>
        <v/>
      </c>
      <c r="X55" s="910">
        <f>TableauProduit[[#This Row],[Revenue brut N2]]-TableauProduit[[#This Row],[Achat plante / kg de melange N2]]-TableauProduit[[#This Row],[Conditionnement N2]]</f>
        <v/>
      </c>
      <c r="Y55" s="911" t="n">
        <v>0</v>
      </c>
      <c r="Z55" s="912">
        <f>TableauProduit[[#This Row],[Poids (g) / unite]]*TableauProduit[[#This Row],[Objectif de vente en unite N3]]/1000</f>
        <v/>
      </c>
      <c r="AA55" s="913">
        <f>TableauProduit[[#This Row],[Objectif de vente en unite N3]]*TableauProduit[[#This Row],[Packaging / unite]]</f>
        <v/>
      </c>
      <c r="AB55" s="913">
        <f>TableauProduit[[#This Row],[Prix Achat de plante par kg]]*TableauProduit[[#This Row],[Total (kg) N3]]</f>
        <v/>
      </c>
      <c r="AC55" s="913">
        <f>TableauProduit[[#This Row],[Prix de vente/kg]]*TableauProduit[[#This Row],[Total (kg) N3]]</f>
        <v/>
      </c>
      <c r="AD55" s="914">
        <f>TableauProduit[[#This Row],[Revenue brut N3]]-TableauProduit[[#This Row],[Achat plante / kg de melange N3]]-TableauProduit[[#This Row],[Conditionnement N3]]</f>
        <v/>
      </c>
      <c r="AE55" s="915" t="n">
        <v>0</v>
      </c>
      <c r="AF55" s="915">
        <f>TableauProduit[[#This Row],[Poids (g) / unite]]*TableauProduit[[#This Row],[Objectif de vente en unite N4]]/1000</f>
        <v/>
      </c>
      <c r="AG55" s="916">
        <f>TableauProduit[[#This Row],[Objectif de vente en unite N4]]*TableauProduit[[#This Row],[Packaging / unite]]</f>
        <v/>
      </c>
      <c r="AH55" s="916">
        <f>TableauProduit[[#This Row],[Prix Achat de plante par kg]]*TableauProduit[[#This Row],[Total (kg) N4]]</f>
        <v/>
      </c>
      <c r="AI55" s="916">
        <f>TableauProduit[[#This Row],[Prix de vente/kg]]*TableauProduit[[#This Row],[Total (kg) N4]]</f>
        <v/>
      </c>
      <c r="AJ55" s="915">
        <f>TableauProduit[[#This Row],[Revenue brut N4]]-TableauProduit[[#This Row],[Achat plante / kg de melange N4]]-TableauProduit[[#This Row],[Conditionnement N4]]</f>
        <v/>
      </c>
      <c r="AK55" s="917" t="n">
        <v>0</v>
      </c>
      <c r="AL55" s="917">
        <f>TableauProduit[[#This Row],[Poids (g) / unite]]*TableauProduit[[#This Row],[Objectif de vente en unite N5]]/1000</f>
        <v/>
      </c>
      <c r="AM55" s="918">
        <f>TableauProduit[[#This Row],[Objectif de vente en unite N5]]*TableauProduit[[#This Row],[Packaging / unite]]</f>
        <v/>
      </c>
      <c r="AN55" s="918">
        <f>TableauProduit[[#This Row],[Prix Achat de plante par kg]]*TableauProduit[[#This Row],[Total (kg) N5]]</f>
        <v/>
      </c>
      <c r="AO55" s="918">
        <f>TableauProduit[[#This Row],[Prix de vente/kg]]*TableauProduit[[#This Row],[Total (kg) N5]]</f>
        <v/>
      </c>
      <c r="AP55" s="917">
        <f>TableauProduit[[#This Row],[Revenue brut N5]]-TableauProduit[[#This Row],[Achat plante / kg de melange N5]]-TableauProduit[[#This Row],[Conditionnement N5]]</f>
        <v/>
      </c>
      <c r="AQ55" s="919" t="n">
        <v>0</v>
      </c>
      <c r="AR55" s="919">
        <f>TableauProduit[[#This Row],[Poids (g) / unite]]*TableauProduit[[#This Row],[Objectif de vente en unite N6]]/1000</f>
        <v/>
      </c>
      <c r="AS55" s="920">
        <f>TableauProduit[[#This Row],[Objectif de vente en unite N6]]*TableauProduit[[#This Row],[Packaging / unite]]</f>
        <v/>
      </c>
      <c r="AT55" s="920">
        <f>TableauProduit[[#This Row],[Prix Achat de plante par kg]]*TableauProduit[[#This Row],[Total (kg) N6]]</f>
        <v/>
      </c>
      <c r="AU55" s="920">
        <f>TableauProduit[[#This Row],[Prix de vente/kg]]*TableauProduit[[#This Row],[Total (kg) N6]]</f>
        <v/>
      </c>
      <c r="AV55" s="919">
        <f>TableauProduit[[#This Row],[Revenue brut N6]]-TableauProduit[[#This Row],[Achat plante / kg de melange N6]]-TableauProduit[[#This Row],[Conditionnement N6]]</f>
        <v/>
      </c>
      <c r="AW55" s="904" t="n">
        <v>0</v>
      </c>
      <c r="AX55" s="904">
        <f>TableauProduit[[#This Row],[Poids (g) / unite]]*TableauProduit[[#This Row],[Objectif de vente en unite N7]]/1000</f>
        <v/>
      </c>
      <c r="AY55" s="905">
        <f>TableauProduit[[#This Row],[Objectif de vente en unite N7]]*TableauProduit[[#This Row],[Packaging / unite]]</f>
        <v/>
      </c>
      <c r="AZ55" s="905">
        <f>TableauProduit[[#This Row],[Prix Achat de plante par kg]]*TableauProduit[[#This Row],[Total (kg) N7]]</f>
        <v/>
      </c>
      <c r="BA55" s="905">
        <f>TableauProduit[[#This Row],[Prix de vente/kg]]*TableauProduit[[#This Row],[Total (kg) N7]]</f>
        <v/>
      </c>
      <c r="BB55" s="921">
        <f>TableauProduit[[#This Row],[Revenue brut N7]]-TableauProduit[[#This Row],[Achat plante / kg de melange N7]]-TableauProduit[[#This Row],[Conditionnement N7]]</f>
        <v/>
      </c>
      <c r="BC55" s="922" t="n">
        <v>0</v>
      </c>
      <c r="BD55" s="923">
        <f>TableauProduit[[#This Row],[Poids (g) / unite]]*TableauProduit[[#This Row],[Objectif de vente en unite N8]]/1000</f>
        <v/>
      </c>
      <c r="BE55" s="924">
        <f>TableauProduit[[#This Row],[Objectif de vente en unite N8]]*TableauProduit[[#This Row],[Packaging / unite]]</f>
        <v/>
      </c>
      <c r="BF55" s="924">
        <f>TableauProduit[[#This Row],[Prix Achat de plante par kg]]*TableauProduit[[#This Row],[Total (kg) N8]]</f>
        <v/>
      </c>
      <c r="BG55" s="924">
        <f>TableauProduit[[#This Row],[Prix de vente/kg]]*TableauProduit[[#This Row],[Total (kg) N8]]</f>
        <v/>
      </c>
      <c r="BH55" s="925">
        <f>TableauProduit[[#This Row],[Revenue brut N8]]-TableauProduit[[#This Row],[Achat plante / kg de melange N8]]-TableauProduit[[#This Row],[Conditionnement N8]]</f>
        <v/>
      </c>
      <c r="BI55" s="926" t="n">
        <v>0</v>
      </c>
      <c r="BJ55" s="927">
        <f>TableauProduit[[#This Row],[Poids (g) / unite]]*TableauProduit[[#This Row],[Objectif de vente en unite N9]]/1000</f>
        <v/>
      </c>
      <c r="BK55" s="928">
        <f>TableauProduit[[#This Row],[Objectif de vente en unite N9]]*TableauProduit[[#This Row],[Packaging / unite]]</f>
        <v/>
      </c>
      <c r="BL55" s="928">
        <f>TableauProduit[[#This Row],[Prix Achat de plante par kg]]*TableauProduit[[#This Row],[Total (kg) N9]]</f>
        <v/>
      </c>
      <c r="BM55" s="928">
        <f>TableauProduit[[#This Row],[Prix de vente/kg]]*TableauProduit[[#This Row],[Total (kg) N9]]</f>
        <v/>
      </c>
      <c r="BN55" s="927">
        <f>TableauProduit[[#This Row],[Revenue brut N9]]-TableauProduit[[#This Row],[Achat plante / kg de melange N9]]-TableauProduit[[#This Row],[Conditionnement N9]]</f>
        <v/>
      </c>
    </row>
    <row r="56">
      <c r="A56" s="13" t="inlineStr">
        <is>
          <t>Ras el hanout</t>
        </is>
      </c>
      <c r="B56" s="54">
        <f>TableauProduit[[#This Row],[Recette]]&amp;TableauProduit[[#This Row],[Conditionnement]]</f>
        <v/>
      </c>
      <c r="C56" s="11" t="n">
        <v>1</v>
      </c>
      <c r="D56" s="11" t="n">
        <v>50</v>
      </c>
      <c r="E56" s="6" t="inlineStr">
        <is>
          <t>Epice 100ml</t>
        </is>
      </c>
      <c r="F56" s="7">
        <f>IFERROR(VLOOKUP(TableauProduit[[#This Row],[Conditionnement]],TableauConditionnement[[Nom]:[Contenance]],4,FALSE),"")</f>
        <v/>
      </c>
      <c r="G56" s="897">
        <f>IFERROR(SUMIFS(TableauRecette[Prix d''achat / kg],TableauRecette[Recette],TableauProduit[[#This Row],[Recette]],TableauRecette[Conditionnement],TableauProduit[[#This Row],[Conditionnement]]),0)</f>
        <v/>
      </c>
      <c r="H56" s="898" t="n">
        <v>5</v>
      </c>
      <c r="I56" s="899">
        <f>1000*TableauProduit[[#This Row],[Prix de vente/U]]/TableauProduit[[#This Row],[Poids (g) / unite]]</f>
        <v/>
      </c>
      <c r="J56" s="900">
        <f>SUMIFS(TableauConcurence[PRIX_KG],TableauConcurence[PRODUIT],TableauProduit[[#This Row],[Recette]],TableauConcurence[DISTRIBUTION],"magasin NON BIO")</f>
        <v/>
      </c>
      <c r="K56" s="901">
        <f>SUMIFS(TableauConcurence[PRIX_KG],TableauConcurence[PRODUIT],TableauProduit[[#This Row],[Recette]],TableauConcurence[DISTRIBUTION],"magasin BIO")</f>
        <v/>
      </c>
      <c r="L56" s="902">
        <f>SUMIFS(TableauConcurence[PRIX_KG],TableauConcurence[PRODUIT],TableauProduit[[#This Row],[Recette]],TableauConcurence[DISTRIBUTION],"artisanale BIO")</f>
        <v/>
      </c>
      <c r="M56" s="903" t="n">
        <v>0</v>
      </c>
      <c r="N56" s="904">
        <f>TableauProduit[[#This Row],[Poids (g) / unite]]*TableauProduit[[#This Row],[Objectif de vente en unite N1]]/1000</f>
        <v/>
      </c>
      <c r="O56" s="905">
        <f>TableauProduit[[#This Row],[Objectif de vente en unite N1]]*TableauProduit[[#This Row],[Packaging / unite]]</f>
        <v/>
      </c>
      <c r="P56" s="905">
        <f>TableauProduit[[#This Row],[Prix Achat de plante par kg]]*TableauProduit[[#This Row],[Total (kg) N1]]</f>
        <v/>
      </c>
      <c r="Q56" s="905">
        <f>TableauProduit[[#This Row],[Prix de vente/kg]]*TableauProduit[[#This Row],[Total (kg) N1]]</f>
        <v/>
      </c>
      <c r="R56" s="921">
        <f>TableauProduit[[#This Row],[Revenue brut N1]]-TableauProduit[[#This Row],[Achat par kg N1]]-TableauProduit[[#This Row],[Conditionnement N1]]</f>
        <v/>
      </c>
      <c r="S56" s="907" t="n">
        <v>0</v>
      </c>
      <c r="T56" s="908">
        <f>TableauProduit[[#This Row],[Poids (g) / unite]]*TableauProduit[[#This Row],[Objectif de vente en unite N2]]/1000</f>
        <v/>
      </c>
      <c r="U56" s="909">
        <f>TableauProduit[[#This Row],[Objectif de vente en unite N2]]*TableauProduit[[#This Row],[Packaging / unite]]</f>
        <v/>
      </c>
      <c r="V56" s="909">
        <f>TableauProduit[[#This Row],[Prix Achat de plante par kg]]*TableauProduit[[#This Row],[Total (kg) N2]]</f>
        <v/>
      </c>
      <c r="W56" s="909">
        <f>TableauProduit[[#This Row],[Prix de vente/kg]]*TableauProduit[[#This Row],[Total (kg) N2]]</f>
        <v/>
      </c>
      <c r="X56" s="910">
        <f>TableauProduit[[#This Row],[Revenue brut N2]]-TableauProduit[[#This Row],[Achat plante / kg de melange N2]]-TableauProduit[[#This Row],[Conditionnement N2]]</f>
        <v/>
      </c>
      <c r="Y56" s="911" t="n">
        <v>0</v>
      </c>
      <c r="Z56" s="912">
        <f>TableauProduit[[#This Row],[Poids (g) / unite]]*TableauProduit[[#This Row],[Objectif de vente en unite N3]]/1000</f>
        <v/>
      </c>
      <c r="AA56" s="913">
        <f>TableauProduit[[#This Row],[Objectif de vente en unite N3]]*TableauProduit[[#This Row],[Packaging / unite]]</f>
        <v/>
      </c>
      <c r="AB56" s="913">
        <f>TableauProduit[[#This Row],[Prix Achat de plante par kg]]*TableauProduit[[#This Row],[Total (kg) N3]]</f>
        <v/>
      </c>
      <c r="AC56" s="913">
        <f>TableauProduit[[#This Row],[Prix de vente/kg]]*TableauProduit[[#This Row],[Total (kg) N3]]</f>
        <v/>
      </c>
      <c r="AD56" s="914">
        <f>TableauProduit[[#This Row],[Revenue brut N3]]-TableauProduit[[#This Row],[Achat plante / kg de melange N3]]-TableauProduit[[#This Row],[Conditionnement N3]]</f>
        <v/>
      </c>
      <c r="AE56" s="915" t="n">
        <v>0</v>
      </c>
      <c r="AF56" s="915">
        <f>TableauProduit[[#This Row],[Poids (g) / unite]]*TableauProduit[[#This Row],[Objectif de vente en unite N4]]/1000</f>
        <v/>
      </c>
      <c r="AG56" s="916">
        <f>TableauProduit[[#This Row],[Objectif de vente en unite N4]]*TableauProduit[[#This Row],[Packaging / unite]]</f>
        <v/>
      </c>
      <c r="AH56" s="916">
        <f>TableauProduit[[#This Row],[Prix Achat de plante par kg]]*TableauProduit[[#This Row],[Total (kg) N4]]</f>
        <v/>
      </c>
      <c r="AI56" s="916">
        <f>TableauProduit[[#This Row],[Prix de vente/kg]]*TableauProduit[[#This Row],[Total (kg) N4]]</f>
        <v/>
      </c>
      <c r="AJ56" s="915">
        <f>TableauProduit[[#This Row],[Revenue brut N4]]-TableauProduit[[#This Row],[Achat plante / kg de melange N4]]-TableauProduit[[#This Row],[Conditionnement N4]]</f>
        <v/>
      </c>
      <c r="AK56" s="917" t="n">
        <v>0</v>
      </c>
      <c r="AL56" s="917">
        <f>TableauProduit[[#This Row],[Poids (g) / unite]]*TableauProduit[[#This Row],[Objectif de vente en unite N5]]/1000</f>
        <v/>
      </c>
      <c r="AM56" s="918">
        <f>TableauProduit[[#This Row],[Objectif de vente en unite N5]]*TableauProduit[[#This Row],[Packaging / unite]]</f>
        <v/>
      </c>
      <c r="AN56" s="918">
        <f>TableauProduit[[#This Row],[Prix Achat de plante par kg]]*TableauProduit[[#This Row],[Total (kg) N5]]</f>
        <v/>
      </c>
      <c r="AO56" s="918">
        <f>TableauProduit[[#This Row],[Prix de vente/kg]]*TableauProduit[[#This Row],[Total (kg) N5]]</f>
        <v/>
      </c>
      <c r="AP56" s="917">
        <f>TableauProduit[[#This Row],[Revenue brut N5]]-TableauProduit[[#This Row],[Achat plante / kg de melange N5]]-TableauProduit[[#This Row],[Conditionnement N5]]</f>
        <v/>
      </c>
      <c r="AQ56" s="919" t="n">
        <v>0</v>
      </c>
      <c r="AR56" s="919">
        <f>TableauProduit[[#This Row],[Poids (g) / unite]]*TableauProduit[[#This Row],[Objectif de vente en unite N6]]/1000</f>
        <v/>
      </c>
      <c r="AS56" s="920">
        <f>TableauProduit[[#This Row],[Objectif de vente en unite N6]]*TableauProduit[[#This Row],[Packaging / unite]]</f>
        <v/>
      </c>
      <c r="AT56" s="920">
        <f>TableauProduit[[#This Row],[Prix Achat de plante par kg]]*TableauProduit[[#This Row],[Total (kg) N6]]</f>
        <v/>
      </c>
      <c r="AU56" s="920">
        <f>TableauProduit[[#This Row],[Prix de vente/kg]]*TableauProduit[[#This Row],[Total (kg) N6]]</f>
        <v/>
      </c>
      <c r="AV56" s="919">
        <f>TableauProduit[[#This Row],[Revenue brut N6]]-TableauProduit[[#This Row],[Achat plante / kg de melange N6]]-TableauProduit[[#This Row],[Conditionnement N6]]</f>
        <v/>
      </c>
      <c r="AW56" s="904" t="n">
        <v>0</v>
      </c>
      <c r="AX56" s="904">
        <f>TableauProduit[[#This Row],[Poids (g) / unite]]*TableauProduit[[#This Row],[Objectif de vente en unite N7]]/1000</f>
        <v/>
      </c>
      <c r="AY56" s="905">
        <f>TableauProduit[[#This Row],[Objectif de vente en unite N7]]*TableauProduit[[#This Row],[Packaging / unite]]</f>
        <v/>
      </c>
      <c r="AZ56" s="905">
        <f>TableauProduit[[#This Row],[Prix Achat de plante par kg]]*TableauProduit[[#This Row],[Total (kg) N7]]</f>
        <v/>
      </c>
      <c r="BA56" s="905">
        <f>TableauProduit[[#This Row],[Prix de vente/kg]]*TableauProduit[[#This Row],[Total (kg) N7]]</f>
        <v/>
      </c>
      <c r="BB56" s="921">
        <f>TableauProduit[[#This Row],[Revenue brut N7]]-TableauProduit[[#This Row],[Achat plante / kg de melange N7]]-TableauProduit[[#This Row],[Conditionnement N7]]</f>
        <v/>
      </c>
      <c r="BC56" s="922" t="n">
        <v>0</v>
      </c>
      <c r="BD56" s="923">
        <f>TableauProduit[[#This Row],[Poids (g) / unite]]*TableauProduit[[#This Row],[Objectif de vente en unite N8]]/1000</f>
        <v/>
      </c>
      <c r="BE56" s="924">
        <f>TableauProduit[[#This Row],[Objectif de vente en unite N8]]*TableauProduit[[#This Row],[Packaging / unite]]</f>
        <v/>
      </c>
      <c r="BF56" s="924">
        <f>TableauProduit[[#This Row],[Prix Achat de plante par kg]]*TableauProduit[[#This Row],[Total (kg) N8]]</f>
        <v/>
      </c>
      <c r="BG56" s="924">
        <f>TableauProduit[[#This Row],[Prix de vente/kg]]*TableauProduit[[#This Row],[Total (kg) N8]]</f>
        <v/>
      </c>
      <c r="BH56" s="925">
        <f>TableauProduit[[#This Row],[Revenue brut N8]]-TableauProduit[[#This Row],[Achat plante / kg de melange N8]]-TableauProduit[[#This Row],[Conditionnement N8]]</f>
        <v/>
      </c>
      <c r="BI56" s="926" t="n">
        <v>0</v>
      </c>
      <c r="BJ56" s="927">
        <f>TableauProduit[[#This Row],[Poids (g) / unite]]*TableauProduit[[#This Row],[Objectif de vente en unite N9]]/1000</f>
        <v/>
      </c>
      <c r="BK56" s="928">
        <f>TableauProduit[[#This Row],[Objectif de vente en unite N9]]*TableauProduit[[#This Row],[Packaging / unite]]</f>
        <v/>
      </c>
      <c r="BL56" s="928">
        <f>TableauProduit[[#This Row],[Prix Achat de plante par kg]]*TableauProduit[[#This Row],[Total (kg) N9]]</f>
        <v/>
      </c>
      <c r="BM56" s="928">
        <f>TableauProduit[[#This Row],[Prix de vente/kg]]*TableauProduit[[#This Row],[Total (kg) N9]]</f>
        <v/>
      </c>
      <c r="BN56" s="927">
        <f>TableauProduit[[#This Row],[Revenue brut N9]]-TableauProduit[[#This Row],[Achat plante / kg de melange N9]]-TableauProduit[[#This Row],[Conditionnement N9]]</f>
        <v/>
      </c>
    </row>
    <row r="57">
      <c r="A57" s="13" t="inlineStr">
        <is>
          <t>Jamaican Jerk</t>
        </is>
      </c>
      <c r="B57" s="54">
        <f>TableauProduit[[#This Row],[Recette]]&amp;TableauProduit[[#This Row],[Conditionnement]]</f>
        <v/>
      </c>
      <c r="C57" s="11" t="n">
        <v>1</v>
      </c>
      <c r="D57" s="11" t="n">
        <v>50</v>
      </c>
      <c r="E57" s="6" t="inlineStr">
        <is>
          <t>Epice 100ml</t>
        </is>
      </c>
      <c r="F57" s="7">
        <f>IFERROR(VLOOKUP(TableauProduit[[#This Row],[Conditionnement]],TableauConditionnement[[Nom]:[Contenance]],4,FALSE),"")</f>
        <v/>
      </c>
      <c r="G57" s="897">
        <f>IFERROR(SUMIFS(TableauRecette[Prix d''achat / kg],TableauRecette[Recette],TableauProduit[[#This Row],[Recette]],TableauRecette[Conditionnement],TableauProduit[[#This Row],[Conditionnement]]),0)</f>
        <v/>
      </c>
      <c r="H57" s="898" t="n">
        <v>5</v>
      </c>
      <c r="I57" s="899">
        <f>1000*TableauProduit[[#This Row],[Prix de vente/U]]/TableauProduit[[#This Row],[Poids (g) / unite]]</f>
        <v/>
      </c>
      <c r="J57" s="900">
        <f>SUMIFS(TableauConcurence[PRIX_KG],TableauConcurence[PRODUIT],TableauProduit[[#This Row],[Recette]],TableauConcurence[DISTRIBUTION],"magasin NON BIO")</f>
        <v/>
      </c>
      <c r="K57" s="901">
        <f>SUMIFS(TableauConcurence[PRIX_KG],TableauConcurence[PRODUIT],TableauProduit[[#This Row],[Recette]],TableauConcurence[DISTRIBUTION],"magasin BIO")</f>
        <v/>
      </c>
      <c r="L57" s="902">
        <f>SUMIFS(TableauConcurence[PRIX_KG],TableauConcurence[PRODUIT],TableauProduit[[#This Row],[Recette]],TableauConcurence[DISTRIBUTION],"artisanale BIO")</f>
        <v/>
      </c>
      <c r="M57" s="903" t="n">
        <v>0</v>
      </c>
      <c r="N57" s="904">
        <f>TableauProduit[[#This Row],[Poids (g) / unite]]*TableauProduit[[#This Row],[Objectif de vente en unite N1]]/1000</f>
        <v/>
      </c>
      <c r="O57" s="905">
        <f>TableauProduit[[#This Row],[Objectif de vente en unite N1]]*TableauProduit[[#This Row],[Packaging / unite]]</f>
        <v/>
      </c>
      <c r="P57" s="905">
        <f>TableauProduit[[#This Row],[Prix Achat de plante par kg]]*TableauProduit[[#This Row],[Total (kg) N1]]</f>
        <v/>
      </c>
      <c r="Q57" s="905">
        <f>TableauProduit[[#This Row],[Prix de vente/kg]]*TableauProduit[[#This Row],[Total (kg) N1]]</f>
        <v/>
      </c>
      <c r="R57" s="921">
        <f>TableauProduit[[#This Row],[Revenue brut N1]]-TableauProduit[[#This Row],[Achat par kg N1]]-TableauProduit[[#This Row],[Conditionnement N1]]</f>
        <v/>
      </c>
      <c r="S57" s="907" t="n">
        <v>0</v>
      </c>
      <c r="T57" s="908">
        <f>TableauProduit[[#This Row],[Poids (g) / unite]]*TableauProduit[[#This Row],[Objectif de vente en unite N2]]/1000</f>
        <v/>
      </c>
      <c r="U57" s="909">
        <f>TableauProduit[[#This Row],[Objectif de vente en unite N2]]*TableauProduit[[#This Row],[Packaging / unite]]</f>
        <v/>
      </c>
      <c r="V57" s="909">
        <f>TableauProduit[[#This Row],[Prix Achat de plante par kg]]*TableauProduit[[#This Row],[Total (kg) N2]]</f>
        <v/>
      </c>
      <c r="W57" s="909">
        <f>TableauProduit[[#This Row],[Prix de vente/kg]]*TableauProduit[[#This Row],[Total (kg) N2]]</f>
        <v/>
      </c>
      <c r="X57" s="910">
        <f>TableauProduit[[#This Row],[Revenue brut N2]]-TableauProduit[[#This Row],[Achat plante / kg de melange N2]]-TableauProduit[[#This Row],[Conditionnement N2]]</f>
        <v/>
      </c>
      <c r="Y57" s="911" t="n">
        <v>0</v>
      </c>
      <c r="Z57" s="912">
        <f>TableauProduit[[#This Row],[Poids (g) / unite]]*TableauProduit[[#This Row],[Objectif de vente en unite N3]]/1000</f>
        <v/>
      </c>
      <c r="AA57" s="913">
        <f>TableauProduit[[#This Row],[Objectif de vente en unite N3]]*TableauProduit[[#This Row],[Packaging / unite]]</f>
        <v/>
      </c>
      <c r="AB57" s="913">
        <f>TableauProduit[[#This Row],[Prix Achat de plante par kg]]*TableauProduit[[#This Row],[Total (kg) N3]]</f>
        <v/>
      </c>
      <c r="AC57" s="913">
        <f>TableauProduit[[#This Row],[Prix de vente/kg]]*TableauProduit[[#This Row],[Total (kg) N3]]</f>
        <v/>
      </c>
      <c r="AD57" s="914">
        <f>TableauProduit[[#This Row],[Revenue brut N3]]-TableauProduit[[#This Row],[Achat plante / kg de melange N3]]-TableauProduit[[#This Row],[Conditionnement N3]]</f>
        <v/>
      </c>
      <c r="AE57" s="915" t="n">
        <v>0</v>
      </c>
      <c r="AF57" s="915">
        <f>TableauProduit[[#This Row],[Poids (g) / unite]]*TableauProduit[[#This Row],[Objectif de vente en unite N4]]/1000</f>
        <v/>
      </c>
      <c r="AG57" s="916">
        <f>TableauProduit[[#This Row],[Objectif de vente en unite N4]]*TableauProduit[[#This Row],[Packaging / unite]]</f>
        <v/>
      </c>
      <c r="AH57" s="916">
        <f>TableauProduit[[#This Row],[Prix Achat de plante par kg]]*TableauProduit[[#This Row],[Total (kg) N4]]</f>
        <v/>
      </c>
      <c r="AI57" s="916">
        <f>TableauProduit[[#This Row],[Prix de vente/kg]]*TableauProduit[[#This Row],[Total (kg) N4]]</f>
        <v/>
      </c>
      <c r="AJ57" s="915">
        <f>TableauProduit[[#This Row],[Revenue brut N4]]-TableauProduit[[#This Row],[Achat plante / kg de melange N4]]-TableauProduit[[#This Row],[Conditionnement N4]]</f>
        <v/>
      </c>
      <c r="AK57" s="917" t="n">
        <v>0</v>
      </c>
      <c r="AL57" s="917">
        <f>TableauProduit[[#This Row],[Poids (g) / unite]]*TableauProduit[[#This Row],[Objectif de vente en unite N5]]/1000</f>
        <v/>
      </c>
      <c r="AM57" s="918">
        <f>TableauProduit[[#This Row],[Objectif de vente en unite N5]]*TableauProduit[[#This Row],[Packaging / unite]]</f>
        <v/>
      </c>
      <c r="AN57" s="918">
        <f>TableauProduit[[#This Row],[Prix Achat de plante par kg]]*TableauProduit[[#This Row],[Total (kg) N5]]</f>
        <v/>
      </c>
      <c r="AO57" s="918">
        <f>TableauProduit[[#This Row],[Prix de vente/kg]]*TableauProduit[[#This Row],[Total (kg) N5]]</f>
        <v/>
      </c>
      <c r="AP57" s="917">
        <f>TableauProduit[[#This Row],[Revenue brut N5]]-TableauProduit[[#This Row],[Achat plante / kg de melange N5]]-TableauProduit[[#This Row],[Conditionnement N5]]</f>
        <v/>
      </c>
      <c r="AQ57" s="919" t="n">
        <v>0</v>
      </c>
      <c r="AR57" s="919">
        <f>TableauProduit[[#This Row],[Poids (g) / unite]]*TableauProduit[[#This Row],[Objectif de vente en unite N6]]/1000</f>
        <v/>
      </c>
      <c r="AS57" s="920">
        <f>TableauProduit[[#This Row],[Objectif de vente en unite N6]]*TableauProduit[[#This Row],[Packaging / unite]]</f>
        <v/>
      </c>
      <c r="AT57" s="920">
        <f>TableauProduit[[#This Row],[Prix Achat de plante par kg]]*TableauProduit[[#This Row],[Total (kg) N6]]</f>
        <v/>
      </c>
      <c r="AU57" s="920">
        <f>TableauProduit[[#This Row],[Prix de vente/kg]]*TableauProduit[[#This Row],[Total (kg) N6]]</f>
        <v/>
      </c>
      <c r="AV57" s="919">
        <f>TableauProduit[[#This Row],[Revenue brut N6]]-TableauProduit[[#This Row],[Achat plante / kg de melange N6]]-TableauProduit[[#This Row],[Conditionnement N6]]</f>
        <v/>
      </c>
      <c r="AW57" s="904" t="n">
        <v>0</v>
      </c>
      <c r="AX57" s="904">
        <f>TableauProduit[[#This Row],[Poids (g) / unite]]*TableauProduit[[#This Row],[Objectif de vente en unite N7]]/1000</f>
        <v/>
      </c>
      <c r="AY57" s="905">
        <f>TableauProduit[[#This Row],[Objectif de vente en unite N7]]*TableauProduit[[#This Row],[Packaging / unite]]</f>
        <v/>
      </c>
      <c r="AZ57" s="905">
        <f>TableauProduit[[#This Row],[Prix Achat de plante par kg]]*TableauProduit[[#This Row],[Total (kg) N7]]</f>
        <v/>
      </c>
      <c r="BA57" s="905">
        <f>TableauProduit[[#This Row],[Prix de vente/kg]]*TableauProduit[[#This Row],[Total (kg) N7]]</f>
        <v/>
      </c>
      <c r="BB57" s="921">
        <f>TableauProduit[[#This Row],[Revenue brut N7]]-TableauProduit[[#This Row],[Achat plante / kg de melange N7]]-TableauProduit[[#This Row],[Conditionnement N7]]</f>
        <v/>
      </c>
      <c r="BC57" s="922" t="n">
        <v>0</v>
      </c>
      <c r="BD57" s="923">
        <f>TableauProduit[[#This Row],[Poids (g) / unite]]*TableauProduit[[#This Row],[Objectif de vente en unite N8]]/1000</f>
        <v/>
      </c>
      <c r="BE57" s="924">
        <f>TableauProduit[[#This Row],[Objectif de vente en unite N8]]*TableauProduit[[#This Row],[Packaging / unite]]</f>
        <v/>
      </c>
      <c r="BF57" s="924">
        <f>TableauProduit[[#This Row],[Prix Achat de plante par kg]]*TableauProduit[[#This Row],[Total (kg) N8]]</f>
        <v/>
      </c>
      <c r="BG57" s="924">
        <f>TableauProduit[[#This Row],[Prix de vente/kg]]*TableauProduit[[#This Row],[Total (kg) N8]]</f>
        <v/>
      </c>
      <c r="BH57" s="925">
        <f>TableauProduit[[#This Row],[Revenue brut N8]]-TableauProduit[[#This Row],[Achat plante / kg de melange N8]]-TableauProduit[[#This Row],[Conditionnement N8]]</f>
        <v/>
      </c>
      <c r="BI57" s="926" t="n">
        <v>0</v>
      </c>
      <c r="BJ57" s="927">
        <f>TableauProduit[[#This Row],[Poids (g) / unite]]*TableauProduit[[#This Row],[Objectif de vente en unite N9]]/1000</f>
        <v/>
      </c>
      <c r="BK57" s="928">
        <f>TableauProduit[[#This Row],[Objectif de vente en unite N9]]*TableauProduit[[#This Row],[Packaging / unite]]</f>
        <v/>
      </c>
      <c r="BL57" s="928">
        <f>TableauProduit[[#This Row],[Prix Achat de plante par kg]]*TableauProduit[[#This Row],[Total (kg) N9]]</f>
        <v/>
      </c>
      <c r="BM57" s="928">
        <f>TableauProduit[[#This Row],[Prix de vente/kg]]*TableauProduit[[#This Row],[Total (kg) N9]]</f>
        <v/>
      </c>
      <c r="BN57" s="927">
        <f>TableauProduit[[#This Row],[Revenue brut N9]]-TableauProduit[[#This Row],[Achat plante / kg de melange N9]]-TableauProduit[[#This Row],[Conditionnement N9]]</f>
        <v/>
      </c>
    </row>
    <row r="58">
      <c r="A58" s="536" t="inlineStr">
        <is>
          <t>Durban masala</t>
        </is>
      </c>
      <c r="B58" s="54">
        <f>TableauProduit[[#This Row],[Recette]]&amp;TableauProduit[[#This Row],[Conditionnement]]</f>
        <v/>
      </c>
      <c r="C58" s="11" t="n">
        <v>1</v>
      </c>
      <c r="D58" s="11" t="n">
        <v>50</v>
      </c>
      <c r="E58" s="6" t="inlineStr">
        <is>
          <t>Epice 100ml</t>
        </is>
      </c>
      <c r="F58" s="7">
        <f>IFERROR(VLOOKUP(TableauProduit[[#This Row],[Conditionnement]],TableauConditionnement[[Nom]:[Contenance]],4,FALSE),"")</f>
        <v/>
      </c>
      <c r="G58" s="897">
        <f>IFERROR(SUMIFS(TableauRecette[Prix d''achat / kg],TableauRecette[Recette],TableauProduit[[#This Row],[Recette]],TableauRecette[Conditionnement],TableauProduit[[#This Row],[Conditionnement]]),0)</f>
        <v/>
      </c>
      <c r="H58" s="929" t="n">
        <v>4</v>
      </c>
      <c r="I58" s="899">
        <f>1000*TableauProduit[[#This Row],[Prix de vente/U]]/TableauProduit[[#This Row],[Poids (g) / unite]]</f>
        <v/>
      </c>
      <c r="J58" s="900">
        <f>SUMIFS(TableauConcurence[PRIX_KG],TableauConcurence[PRODUIT],TableauProduit[[#This Row],[Recette]],TableauConcurence[DISTRIBUTION],"magasin NON BIO")</f>
        <v/>
      </c>
      <c r="K58" s="901">
        <f>SUMIFS(TableauConcurence[PRIX_KG],TableauConcurence[PRODUIT],TableauProduit[[#This Row],[Recette]],TableauConcurence[DISTRIBUTION],"magasin BIO")</f>
        <v/>
      </c>
      <c r="L58" s="902">
        <f>SUMIFS(TableauConcurence[PRIX_KG],TableauConcurence[PRODUIT],TableauProduit[[#This Row],[Recette]],TableauConcurence[DISTRIBUTION],"artisanale BIO")</f>
        <v/>
      </c>
      <c r="M58" s="903" t="n">
        <v>0</v>
      </c>
      <c r="N58" s="960">
        <f>TableauProduit[[#This Row],[Poids (g) / unite]]*TableauProduit[[#This Row],[Objectif de vente en unite N1]]/1000</f>
        <v/>
      </c>
      <c r="O58" s="905">
        <f>TableauProduit[[#This Row],[Objectif de vente en unite N1]]*TableauProduit[[#This Row],[Packaging / unite]]</f>
        <v/>
      </c>
      <c r="P58" s="905">
        <f>TableauProduit[[#This Row],[Prix Achat de plante par kg]]*TableauProduit[[#This Row],[Total (kg) N1]]</f>
        <v/>
      </c>
      <c r="Q58" s="905">
        <f>TableauProduit[[#This Row],[Prix de vente/kg]]*TableauProduit[[#This Row],[Total (kg) N1]]</f>
        <v/>
      </c>
      <c r="R58" s="921">
        <f>TableauProduit[[#This Row],[Revenue brut N1]]-TableauProduit[[#This Row],[Achat par kg N1]]-TableauProduit[[#This Row],[Conditionnement N1]]</f>
        <v/>
      </c>
      <c r="S58" s="910" t="n">
        <v>0</v>
      </c>
      <c r="T58" s="930">
        <f>TableauProduit[[#This Row],[Poids (g) / unite]]*TableauProduit[[#This Row],[Objectif de vente en unite N2]]/1000</f>
        <v/>
      </c>
      <c r="U58" s="931">
        <f>TableauProduit[[#This Row],[Objectif de vente en unite N2]]*TableauProduit[[#This Row],[Packaging / unite]]</f>
        <v/>
      </c>
      <c r="V58" s="909">
        <f>TableauProduit[[#This Row],[Prix Achat de plante par kg]]*TableauProduit[[#This Row],[Total (kg) N2]]</f>
        <v/>
      </c>
      <c r="W58" s="932">
        <f>TableauProduit[[#This Row],[Prix de vente/kg]]*TableauProduit[[#This Row],[Total (kg) N2]]</f>
        <v/>
      </c>
      <c r="X58" s="961">
        <f>TableauProduit[[#This Row],[Revenue brut N2]]-TableauProduit[[#This Row],[Achat plante / kg de melange N2]]-TableauProduit[[#This Row],[Conditionnement N2]]</f>
        <v/>
      </c>
      <c r="Y58" s="962" t="n">
        <v>0</v>
      </c>
      <c r="Z58" s="933">
        <f>TableauProduit[[#This Row],[Poids (g) / unite]]*TableauProduit[[#This Row],[Objectif de vente en unite N3]]/1000</f>
        <v/>
      </c>
      <c r="AA58" s="934">
        <f>TableauProduit[[#This Row],[Objectif de vente en unite N3]]*TableauProduit[[#This Row],[Packaging / unite]]</f>
        <v/>
      </c>
      <c r="AB58" s="913">
        <f>TableauProduit[[#This Row],[Prix Achat de plante par kg]]*TableauProduit[[#This Row],[Total (kg) N3]]</f>
        <v/>
      </c>
      <c r="AC58" s="935">
        <f>TableauProduit[[#This Row],[Prix de vente/kg]]*TableauProduit[[#This Row],[Total (kg) N3]]</f>
        <v/>
      </c>
      <c r="AD58" s="963">
        <f>TableauProduit[[#This Row],[Revenue brut N3]]-TableauProduit[[#This Row],[Achat plante / kg de melange N3]]-TableauProduit[[#This Row],[Conditionnement N3]]</f>
        <v/>
      </c>
      <c r="AE58" s="964" t="n">
        <v>0</v>
      </c>
      <c r="AF58" s="936">
        <f>TableauProduit[[#This Row],[Poids (g) / unite]]*TableauProduit[[#This Row],[Objectif de vente en unite N4]]/1000</f>
        <v/>
      </c>
      <c r="AG58" s="937">
        <f>TableauProduit[[#This Row],[Objectif de vente en unite N4]]*TableauProduit[[#This Row],[Packaging / unite]]</f>
        <v/>
      </c>
      <c r="AH58" s="916">
        <f>TableauProduit[[#This Row],[Prix Achat de plante par kg]]*TableauProduit[[#This Row],[Total (kg) N4]]</f>
        <v/>
      </c>
      <c r="AI58" s="938">
        <f>TableauProduit[[#This Row],[Prix de vente/kg]]*TableauProduit[[#This Row],[Total (kg) N4]]</f>
        <v/>
      </c>
      <c r="AJ58" s="939">
        <f>TableauProduit[[#This Row],[Revenue brut N4]]-TableauProduit[[#This Row],[Achat plante / kg de melange N4]]-TableauProduit[[#This Row],[Conditionnement N4]]</f>
        <v/>
      </c>
      <c r="AK58" s="965" t="n">
        <v>0</v>
      </c>
      <c r="AL58" s="940">
        <f>TableauProduit[[#This Row],[Poids (g) / unite]]*TableauProduit[[#This Row],[Objectif de vente en unite N5]]/1000</f>
        <v/>
      </c>
      <c r="AM58" s="941">
        <f>TableauProduit[[#This Row],[Objectif de vente en unite N5]]*TableauProduit[[#This Row],[Packaging / unite]]</f>
        <v/>
      </c>
      <c r="AN58" s="918">
        <f>TableauProduit[[#This Row],[Prix Achat de plante par kg]]*TableauProduit[[#This Row],[Total (kg) N5]]</f>
        <v/>
      </c>
      <c r="AO58" s="942">
        <f>TableauProduit[[#This Row],[Prix de vente/kg]]*TableauProduit[[#This Row],[Total (kg) N5]]</f>
        <v/>
      </c>
      <c r="AP58" s="943">
        <f>TableauProduit[[#This Row],[Revenue brut N5]]-TableauProduit[[#This Row],[Achat plante / kg de melange N5]]-TableauProduit[[#This Row],[Conditionnement N5]]</f>
        <v/>
      </c>
      <c r="AQ58" s="966" t="n">
        <v>0</v>
      </c>
      <c r="AR58" s="944">
        <f>TableauProduit[[#This Row],[Poids (g) / unite]]*TableauProduit[[#This Row],[Objectif de vente en unite N6]]/1000</f>
        <v/>
      </c>
      <c r="AS58" s="945">
        <f>TableauProduit[[#This Row],[Objectif de vente en unite N6]]*TableauProduit[[#This Row],[Packaging / unite]]</f>
        <v/>
      </c>
      <c r="AT58" s="920">
        <f>TableauProduit[[#This Row],[Prix Achat de plante par kg]]*TableauProduit[[#This Row],[Total (kg) N6]]</f>
        <v/>
      </c>
      <c r="AU58" s="946">
        <f>TableauProduit[[#This Row],[Prix de vente/kg]]*TableauProduit[[#This Row],[Total (kg) N6]]</f>
        <v/>
      </c>
      <c r="AV58" s="947">
        <f>TableauProduit[[#This Row],[Revenue brut N6]]-TableauProduit[[#This Row],[Achat plante / kg de melange N6]]-TableauProduit[[#This Row],[Conditionnement N6]]</f>
        <v/>
      </c>
      <c r="AW58" s="960" t="n">
        <v>0</v>
      </c>
      <c r="AX58" s="948">
        <f>TableauProduit[[#This Row],[Poids (g) / unite]]*TableauProduit[[#This Row],[Objectif de vente en unite N7]]/1000</f>
        <v/>
      </c>
      <c r="AY58" s="949">
        <f>TableauProduit[[#This Row],[Objectif de vente en unite N7]]*TableauProduit[[#This Row],[Packaging / unite]]</f>
        <v/>
      </c>
      <c r="AZ58" s="905">
        <f>TableauProduit[[#This Row],[Prix Achat de plante par kg]]*TableauProduit[[#This Row],[Total (kg) N7]]</f>
        <v/>
      </c>
      <c r="BA58" s="950">
        <f>TableauProduit[[#This Row],[Prix de vente/kg]]*TableauProduit[[#This Row],[Total (kg) N7]]</f>
        <v/>
      </c>
      <c r="BB58" s="921">
        <f>TableauProduit[[#This Row],[Revenue brut N7]]-TableauProduit[[#This Row],[Achat plante / kg de melange N7]]-TableauProduit[[#This Row],[Conditionnement N7]]</f>
        <v/>
      </c>
      <c r="BC58" s="967" t="n">
        <v>0</v>
      </c>
      <c r="BD58" s="951">
        <f>TableauProduit[[#This Row],[Poids (g) / unite]]*TableauProduit[[#This Row],[Objectif de vente en unite N8]]/1000</f>
        <v/>
      </c>
      <c r="BE58" s="952">
        <f>TableauProduit[[#This Row],[Objectif de vente en unite N8]]*TableauProduit[[#This Row],[Packaging / unite]]</f>
        <v/>
      </c>
      <c r="BF58" s="924">
        <f>TableauProduit[[#This Row],[Prix Achat de plante par kg]]*TableauProduit[[#This Row],[Total (kg) N8]]</f>
        <v/>
      </c>
      <c r="BG58" s="953">
        <f>TableauProduit[[#This Row],[Prix de vente/kg]]*TableauProduit[[#This Row],[Total (kg) N8]]</f>
        <v/>
      </c>
      <c r="BH58" s="954">
        <f>TableauProduit[[#This Row],[Revenue brut N8]]-TableauProduit[[#This Row],[Achat plante / kg de melange N8]]-TableauProduit[[#This Row],[Conditionnement N8]]</f>
        <v/>
      </c>
      <c r="BI58" s="968" t="n">
        <v>0</v>
      </c>
      <c r="BJ58" s="926">
        <f>TableauProduit[[#This Row],[Poids (g) / unite]]*TableauProduit[[#This Row],[Objectif de vente en unite N9]]/1000</f>
        <v/>
      </c>
      <c r="BK58" s="955">
        <f>TableauProduit[[#This Row],[Objectif de vente en unite N9]]*TableauProduit[[#This Row],[Packaging / unite]]</f>
        <v/>
      </c>
      <c r="BL58" s="928">
        <f>TableauProduit[[#This Row],[Prix Achat de plante par kg]]*TableauProduit[[#This Row],[Total (kg) N9]]</f>
        <v/>
      </c>
      <c r="BM58" s="956">
        <f>TableauProduit[[#This Row],[Prix de vente/kg]]*TableauProduit[[#This Row],[Total (kg) N9]]</f>
        <v/>
      </c>
      <c r="BN58" s="927">
        <f>TableauProduit[[#This Row],[Revenue brut N9]]-TableauProduit[[#This Row],[Achat plante / kg de melange N9]]-TableauProduit[[#This Row],[Conditionnement N9]]</f>
        <v/>
      </c>
    </row>
    <row r="59">
      <c r="A59" s="536" t="inlineStr">
        <is>
          <t>Curry japonais</t>
        </is>
      </c>
      <c r="B59" s="54">
        <f>TableauProduit[[#This Row],[Recette]]&amp;TableauProduit[[#This Row],[Conditionnement]]</f>
        <v/>
      </c>
      <c r="C59" s="11" t="n">
        <v>1</v>
      </c>
      <c r="D59" s="11" t="n">
        <v>40</v>
      </c>
      <c r="E59" s="6" t="inlineStr">
        <is>
          <t>Epice 100ml</t>
        </is>
      </c>
      <c r="F59" s="7">
        <f>IFERROR(VLOOKUP(TableauProduit[[#This Row],[Conditionnement]],TableauConditionnement[[Nom]:[Contenance]],4,FALSE),"")</f>
        <v/>
      </c>
      <c r="G59" s="897">
        <f>IFERROR(SUMIFS(TableauRecette[Prix d''achat / kg],TableauRecette[Recette],TableauProduit[[#This Row],[Recette]],TableauRecette[Conditionnement],TableauProduit[[#This Row],[Conditionnement]]),0)</f>
        <v/>
      </c>
      <c r="H59" s="929" t="n">
        <v>4</v>
      </c>
      <c r="I59" s="899">
        <f>1000*TableauProduit[[#This Row],[Prix de vente/U]]/TableauProduit[[#This Row],[Poids (g) / unite]]</f>
        <v/>
      </c>
      <c r="J59" s="900">
        <f>SUMIFS(TableauConcurence[PRIX_KG],TableauConcurence[PRODUIT],TableauProduit[[#This Row],[Recette]],TableauConcurence[DISTRIBUTION],"magasin NON BIO")</f>
        <v/>
      </c>
      <c r="K59" s="901">
        <f>SUMIFS(TableauConcurence[PRIX_KG],TableauConcurence[PRODUIT],TableauProduit[[#This Row],[Recette]],TableauConcurence[DISTRIBUTION],"magasin BIO")</f>
        <v/>
      </c>
      <c r="L59" s="902">
        <f>SUMIFS(TableauConcurence[PRIX_KG],TableauConcurence[PRODUIT],TableauProduit[[#This Row],[Recette]],TableauConcurence[DISTRIBUTION],"artisanale BIO")</f>
        <v/>
      </c>
      <c r="M59" s="903" t="n">
        <v>0</v>
      </c>
      <c r="N59" s="960">
        <f>TableauProduit[[#This Row],[Poids (g) / unite]]*TableauProduit[[#This Row],[Objectif de vente en unite N1]]/1000</f>
        <v/>
      </c>
      <c r="O59" s="905">
        <f>TableauProduit[[#This Row],[Objectif de vente en unite N1]]*TableauProduit[[#This Row],[Packaging / unite]]</f>
        <v/>
      </c>
      <c r="P59" s="905">
        <f>TableauProduit[[#This Row],[Prix Achat de plante par kg]]*TableauProduit[[#This Row],[Total (kg) N1]]</f>
        <v/>
      </c>
      <c r="Q59" s="905">
        <f>TableauProduit[[#This Row],[Prix de vente/kg]]*TableauProduit[[#This Row],[Total (kg) N1]]</f>
        <v/>
      </c>
      <c r="R59" s="921">
        <f>TableauProduit[[#This Row],[Revenue brut N1]]-TableauProduit[[#This Row],[Achat par kg N1]]-TableauProduit[[#This Row],[Conditionnement N1]]</f>
        <v/>
      </c>
      <c r="S59" s="910" t="n">
        <v>0</v>
      </c>
      <c r="T59" s="930">
        <f>TableauProduit[[#This Row],[Poids (g) / unite]]*TableauProduit[[#This Row],[Objectif de vente en unite N2]]/1000</f>
        <v/>
      </c>
      <c r="U59" s="931">
        <f>TableauProduit[[#This Row],[Objectif de vente en unite N2]]*TableauProduit[[#This Row],[Packaging / unite]]</f>
        <v/>
      </c>
      <c r="V59" s="909">
        <f>TableauProduit[[#This Row],[Prix Achat de plante par kg]]*TableauProduit[[#This Row],[Total (kg) N2]]</f>
        <v/>
      </c>
      <c r="W59" s="932">
        <f>TableauProduit[[#This Row],[Prix de vente/kg]]*TableauProduit[[#This Row],[Total (kg) N2]]</f>
        <v/>
      </c>
      <c r="X59" s="961">
        <f>TableauProduit[[#This Row],[Revenue brut N2]]-TableauProduit[[#This Row],[Achat plante / kg de melange N2]]-TableauProduit[[#This Row],[Conditionnement N2]]</f>
        <v/>
      </c>
      <c r="Y59" s="962" t="n">
        <v>0</v>
      </c>
      <c r="Z59" s="933">
        <f>TableauProduit[[#This Row],[Poids (g) / unite]]*TableauProduit[[#This Row],[Objectif de vente en unite N3]]/1000</f>
        <v/>
      </c>
      <c r="AA59" s="934">
        <f>TableauProduit[[#This Row],[Objectif de vente en unite N3]]*TableauProduit[[#This Row],[Packaging / unite]]</f>
        <v/>
      </c>
      <c r="AB59" s="913">
        <f>TableauProduit[[#This Row],[Prix Achat de plante par kg]]*TableauProduit[[#This Row],[Total (kg) N3]]</f>
        <v/>
      </c>
      <c r="AC59" s="935">
        <f>TableauProduit[[#This Row],[Prix de vente/kg]]*TableauProduit[[#This Row],[Total (kg) N3]]</f>
        <v/>
      </c>
      <c r="AD59" s="963">
        <f>TableauProduit[[#This Row],[Revenue brut N3]]-TableauProduit[[#This Row],[Achat plante / kg de melange N3]]-TableauProduit[[#This Row],[Conditionnement N3]]</f>
        <v/>
      </c>
      <c r="AE59" s="964" t="n">
        <v>0</v>
      </c>
      <c r="AF59" s="936">
        <f>TableauProduit[[#This Row],[Poids (g) / unite]]*TableauProduit[[#This Row],[Objectif de vente en unite N4]]/1000</f>
        <v/>
      </c>
      <c r="AG59" s="937">
        <f>TableauProduit[[#This Row],[Objectif de vente en unite N4]]*TableauProduit[[#This Row],[Packaging / unite]]</f>
        <v/>
      </c>
      <c r="AH59" s="916">
        <f>TableauProduit[[#This Row],[Prix Achat de plante par kg]]*TableauProduit[[#This Row],[Total (kg) N4]]</f>
        <v/>
      </c>
      <c r="AI59" s="938">
        <f>TableauProduit[[#This Row],[Prix de vente/kg]]*TableauProduit[[#This Row],[Total (kg) N4]]</f>
        <v/>
      </c>
      <c r="AJ59" s="939">
        <f>TableauProduit[[#This Row],[Revenue brut N4]]-TableauProduit[[#This Row],[Achat plante / kg de melange N4]]-TableauProduit[[#This Row],[Conditionnement N4]]</f>
        <v/>
      </c>
      <c r="AK59" s="965" t="n">
        <v>0</v>
      </c>
      <c r="AL59" s="940">
        <f>TableauProduit[[#This Row],[Poids (g) / unite]]*TableauProduit[[#This Row],[Objectif de vente en unite N5]]/1000</f>
        <v/>
      </c>
      <c r="AM59" s="941">
        <f>TableauProduit[[#This Row],[Objectif de vente en unite N5]]*TableauProduit[[#This Row],[Packaging / unite]]</f>
        <v/>
      </c>
      <c r="AN59" s="918">
        <f>TableauProduit[[#This Row],[Prix Achat de plante par kg]]*TableauProduit[[#This Row],[Total (kg) N5]]</f>
        <v/>
      </c>
      <c r="AO59" s="942">
        <f>TableauProduit[[#This Row],[Prix de vente/kg]]*TableauProduit[[#This Row],[Total (kg) N5]]</f>
        <v/>
      </c>
      <c r="AP59" s="943">
        <f>TableauProduit[[#This Row],[Revenue brut N5]]-TableauProduit[[#This Row],[Achat plante / kg de melange N5]]-TableauProduit[[#This Row],[Conditionnement N5]]</f>
        <v/>
      </c>
      <c r="AQ59" s="966" t="n">
        <v>0</v>
      </c>
      <c r="AR59" s="944">
        <f>TableauProduit[[#This Row],[Poids (g) / unite]]*TableauProduit[[#This Row],[Objectif de vente en unite N6]]/1000</f>
        <v/>
      </c>
      <c r="AS59" s="945">
        <f>TableauProduit[[#This Row],[Objectif de vente en unite N6]]*TableauProduit[[#This Row],[Packaging / unite]]</f>
        <v/>
      </c>
      <c r="AT59" s="920">
        <f>TableauProduit[[#This Row],[Prix Achat de plante par kg]]*TableauProduit[[#This Row],[Total (kg) N6]]</f>
        <v/>
      </c>
      <c r="AU59" s="946">
        <f>TableauProduit[[#This Row],[Prix de vente/kg]]*TableauProduit[[#This Row],[Total (kg) N6]]</f>
        <v/>
      </c>
      <c r="AV59" s="947">
        <f>TableauProduit[[#This Row],[Revenue brut N6]]-TableauProduit[[#This Row],[Achat plante / kg de melange N6]]-TableauProduit[[#This Row],[Conditionnement N6]]</f>
        <v/>
      </c>
      <c r="AW59" s="960" t="n">
        <v>0</v>
      </c>
      <c r="AX59" s="948">
        <f>TableauProduit[[#This Row],[Poids (g) / unite]]*TableauProduit[[#This Row],[Objectif de vente en unite N7]]/1000</f>
        <v/>
      </c>
      <c r="AY59" s="949">
        <f>TableauProduit[[#This Row],[Objectif de vente en unite N7]]*TableauProduit[[#This Row],[Packaging / unite]]</f>
        <v/>
      </c>
      <c r="AZ59" s="905">
        <f>TableauProduit[[#This Row],[Prix Achat de plante par kg]]*TableauProduit[[#This Row],[Total (kg) N7]]</f>
        <v/>
      </c>
      <c r="BA59" s="950">
        <f>TableauProduit[[#This Row],[Prix de vente/kg]]*TableauProduit[[#This Row],[Total (kg) N7]]</f>
        <v/>
      </c>
      <c r="BB59" s="921">
        <f>TableauProduit[[#This Row],[Revenue brut N7]]-TableauProduit[[#This Row],[Achat plante / kg de melange N7]]-TableauProduit[[#This Row],[Conditionnement N7]]</f>
        <v/>
      </c>
      <c r="BC59" s="967" t="n">
        <v>0</v>
      </c>
      <c r="BD59" s="951">
        <f>TableauProduit[[#This Row],[Poids (g) / unite]]*TableauProduit[[#This Row],[Objectif de vente en unite N8]]/1000</f>
        <v/>
      </c>
      <c r="BE59" s="952">
        <f>TableauProduit[[#This Row],[Objectif de vente en unite N8]]*TableauProduit[[#This Row],[Packaging / unite]]</f>
        <v/>
      </c>
      <c r="BF59" s="924">
        <f>TableauProduit[[#This Row],[Prix Achat de plante par kg]]*TableauProduit[[#This Row],[Total (kg) N8]]</f>
        <v/>
      </c>
      <c r="BG59" s="953">
        <f>TableauProduit[[#This Row],[Prix de vente/kg]]*TableauProduit[[#This Row],[Total (kg) N8]]</f>
        <v/>
      </c>
      <c r="BH59" s="954">
        <f>TableauProduit[[#This Row],[Revenue brut N8]]-TableauProduit[[#This Row],[Achat plante / kg de melange N8]]-TableauProduit[[#This Row],[Conditionnement N8]]</f>
        <v/>
      </c>
      <c r="BI59" s="968" t="n">
        <v>0</v>
      </c>
      <c r="BJ59" s="926">
        <f>TableauProduit[[#This Row],[Poids (g) / unite]]*TableauProduit[[#This Row],[Objectif de vente en unite N9]]/1000</f>
        <v/>
      </c>
      <c r="BK59" s="955">
        <f>TableauProduit[[#This Row],[Objectif de vente en unite N9]]*TableauProduit[[#This Row],[Packaging / unite]]</f>
        <v/>
      </c>
      <c r="BL59" s="928">
        <f>TableauProduit[[#This Row],[Prix Achat de plante par kg]]*TableauProduit[[#This Row],[Total (kg) N9]]</f>
        <v/>
      </c>
      <c r="BM59" s="956">
        <f>TableauProduit[[#This Row],[Prix de vente/kg]]*TableauProduit[[#This Row],[Total (kg) N9]]</f>
        <v/>
      </c>
      <c r="BN59" s="927">
        <f>TableauProduit[[#This Row],[Revenue brut N9]]-TableauProduit[[#This Row],[Achat plante / kg de melange N9]]-TableauProduit[[#This Row],[Conditionnement N9]]</f>
        <v/>
      </c>
    </row>
    <row r="60">
      <c r="A60" s="536" t="inlineStr">
        <is>
          <t>Chaat masala</t>
        </is>
      </c>
      <c r="B60" s="54">
        <f>TableauProduit[[#This Row],[Recette]]&amp;TableauProduit[[#This Row],[Conditionnement]]</f>
        <v/>
      </c>
      <c r="C60" s="11" t="n">
        <v>1</v>
      </c>
      <c r="D60" s="11" t="n">
        <v>50</v>
      </c>
      <c r="E60" s="6" t="inlineStr">
        <is>
          <t>Epice 100ml</t>
        </is>
      </c>
      <c r="F60" s="7">
        <f>IFERROR(VLOOKUP(TableauProduit[[#This Row],[Conditionnement]],TableauConditionnement[[Nom]:[Contenance]],4,FALSE),"")</f>
        <v/>
      </c>
      <c r="G60" s="897">
        <f>IFERROR(SUMIFS(TableauRecette[Prix d''achat / kg],TableauRecette[Recette],TableauProduit[[#This Row],[Recette]],TableauRecette[Conditionnement],TableauProduit[[#This Row],[Conditionnement]]),0)</f>
        <v/>
      </c>
      <c r="H60" s="929" t="n">
        <v>4.225</v>
      </c>
      <c r="I60" s="899">
        <f>1000*TableauProduit[[#This Row],[Prix de vente/U]]/TableauProduit[[#This Row],[Poids (g) / unite]]</f>
        <v/>
      </c>
      <c r="J60" s="900">
        <f>SUMIFS(TableauConcurence[PRIX_KG],TableauConcurence[PRODUIT],TableauProduit[[#This Row],[Recette]],TableauConcurence[DISTRIBUTION],"magasin NON BIO")</f>
        <v/>
      </c>
      <c r="K60" s="901">
        <f>SUMIFS(TableauConcurence[PRIX_KG],TableauConcurence[PRODUIT],TableauProduit[[#This Row],[Recette]],TableauConcurence[DISTRIBUTION],"magasin BIO")</f>
        <v/>
      </c>
      <c r="L60" s="902">
        <f>SUMIFS(TableauConcurence[PRIX_KG],TableauConcurence[PRODUIT],TableauProduit[[#This Row],[Recette]],TableauConcurence[DISTRIBUTION],"artisanale BIO")</f>
        <v/>
      </c>
      <c r="M60" s="903" t="n">
        <v>0</v>
      </c>
      <c r="N60" s="960">
        <f>TableauProduit[[#This Row],[Poids (g) / unite]]*TableauProduit[[#This Row],[Objectif de vente en unite N1]]/1000</f>
        <v/>
      </c>
      <c r="O60" s="905">
        <f>TableauProduit[[#This Row],[Objectif de vente en unite N1]]*TableauProduit[[#This Row],[Packaging / unite]]</f>
        <v/>
      </c>
      <c r="P60" s="905">
        <f>TableauProduit[[#This Row],[Prix Achat de plante par kg]]*TableauProduit[[#This Row],[Total (kg) N1]]</f>
        <v/>
      </c>
      <c r="Q60" s="905">
        <f>TableauProduit[[#This Row],[Prix de vente/kg]]*TableauProduit[[#This Row],[Total (kg) N1]]</f>
        <v/>
      </c>
      <c r="R60" s="921">
        <f>TableauProduit[[#This Row],[Revenue brut N1]]-TableauProduit[[#This Row],[Achat par kg N1]]-TableauProduit[[#This Row],[Conditionnement N1]]</f>
        <v/>
      </c>
      <c r="S60" s="910" t="n">
        <v>0</v>
      </c>
      <c r="T60" s="930">
        <f>TableauProduit[[#This Row],[Poids (g) / unite]]*TableauProduit[[#This Row],[Objectif de vente en unite N2]]/1000</f>
        <v/>
      </c>
      <c r="U60" s="931">
        <f>TableauProduit[[#This Row],[Objectif de vente en unite N2]]*TableauProduit[[#This Row],[Packaging / unite]]</f>
        <v/>
      </c>
      <c r="V60" s="909">
        <f>TableauProduit[[#This Row],[Prix Achat de plante par kg]]*TableauProduit[[#This Row],[Total (kg) N2]]</f>
        <v/>
      </c>
      <c r="W60" s="932">
        <f>TableauProduit[[#This Row],[Prix de vente/kg]]*TableauProduit[[#This Row],[Total (kg) N2]]</f>
        <v/>
      </c>
      <c r="X60" s="961">
        <f>TableauProduit[[#This Row],[Revenue brut N2]]-TableauProduit[[#This Row],[Achat plante / kg de melange N2]]-TableauProduit[[#This Row],[Conditionnement N2]]</f>
        <v/>
      </c>
      <c r="Y60" s="962" t="n">
        <v>0</v>
      </c>
      <c r="Z60" s="933">
        <f>TableauProduit[[#This Row],[Poids (g) / unite]]*TableauProduit[[#This Row],[Objectif de vente en unite N3]]/1000</f>
        <v/>
      </c>
      <c r="AA60" s="934">
        <f>TableauProduit[[#This Row],[Objectif de vente en unite N3]]*TableauProduit[[#This Row],[Packaging / unite]]</f>
        <v/>
      </c>
      <c r="AB60" s="913">
        <f>TableauProduit[[#This Row],[Prix Achat de plante par kg]]*TableauProduit[[#This Row],[Total (kg) N3]]</f>
        <v/>
      </c>
      <c r="AC60" s="935">
        <f>TableauProduit[[#This Row],[Prix de vente/kg]]*TableauProduit[[#This Row],[Total (kg) N3]]</f>
        <v/>
      </c>
      <c r="AD60" s="963">
        <f>TableauProduit[[#This Row],[Revenue brut N3]]-TableauProduit[[#This Row],[Achat plante / kg de melange N3]]-TableauProduit[[#This Row],[Conditionnement N3]]</f>
        <v/>
      </c>
      <c r="AE60" s="964" t="n">
        <v>0</v>
      </c>
      <c r="AF60" s="936">
        <f>TableauProduit[[#This Row],[Poids (g) / unite]]*TableauProduit[[#This Row],[Objectif de vente en unite N4]]/1000</f>
        <v/>
      </c>
      <c r="AG60" s="937">
        <f>TableauProduit[[#This Row],[Objectif de vente en unite N4]]*TableauProduit[[#This Row],[Packaging / unite]]</f>
        <v/>
      </c>
      <c r="AH60" s="916">
        <f>TableauProduit[[#This Row],[Prix Achat de plante par kg]]*TableauProduit[[#This Row],[Total (kg) N4]]</f>
        <v/>
      </c>
      <c r="AI60" s="938">
        <f>TableauProduit[[#This Row],[Prix de vente/kg]]*TableauProduit[[#This Row],[Total (kg) N4]]</f>
        <v/>
      </c>
      <c r="AJ60" s="939">
        <f>TableauProduit[[#This Row],[Revenue brut N4]]-TableauProduit[[#This Row],[Achat plante / kg de melange N4]]-TableauProduit[[#This Row],[Conditionnement N4]]</f>
        <v/>
      </c>
      <c r="AK60" s="965" t="n">
        <v>0</v>
      </c>
      <c r="AL60" s="940">
        <f>TableauProduit[[#This Row],[Poids (g) / unite]]*TableauProduit[[#This Row],[Objectif de vente en unite N5]]/1000</f>
        <v/>
      </c>
      <c r="AM60" s="941">
        <f>TableauProduit[[#This Row],[Objectif de vente en unite N5]]*TableauProduit[[#This Row],[Packaging / unite]]</f>
        <v/>
      </c>
      <c r="AN60" s="918">
        <f>TableauProduit[[#This Row],[Prix Achat de plante par kg]]*TableauProduit[[#This Row],[Total (kg) N5]]</f>
        <v/>
      </c>
      <c r="AO60" s="942">
        <f>TableauProduit[[#This Row],[Prix de vente/kg]]*TableauProduit[[#This Row],[Total (kg) N5]]</f>
        <v/>
      </c>
      <c r="AP60" s="943">
        <f>TableauProduit[[#This Row],[Revenue brut N5]]-TableauProduit[[#This Row],[Achat plante / kg de melange N5]]-TableauProduit[[#This Row],[Conditionnement N5]]</f>
        <v/>
      </c>
      <c r="AQ60" s="966" t="n">
        <v>0</v>
      </c>
      <c r="AR60" s="944">
        <f>TableauProduit[[#This Row],[Poids (g) / unite]]*TableauProduit[[#This Row],[Objectif de vente en unite N6]]/1000</f>
        <v/>
      </c>
      <c r="AS60" s="945">
        <f>TableauProduit[[#This Row],[Objectif de vente en unite N6]]*TableauProduit[[#This Row],[Packaging / unite]]</f>
        <v/>
      </c>
      <c r="AT60" s="920">
        <f>TableauProduit[[#This Row],[Prix Achat de plante par kg]]*TableauProduit[[#This Row],[Total (kg) N6]]</f>
        <v/>
      </c>
      <c r="AU60" s="946">
        <f>TableauProduit[[#This Row],[Prix de vente/kg]]*TableauProduit[[#This Row],[Total (kg) N6]]</f>
        <v/>
      </c>
      <c r="AV60" s="947">
        <f>TableauProduit[[#This Row],[Revenue brut N6]]-TableauProduit[[#This Row],[Achat plante / kg de melange N6]]-TableauProduit[[#This Row],[Conditionnement N6]]</f>
        <v/>
      </c>
      <c r="AW60" s="960" t="n">
        <v>0</v>
      </c>
      <c r="AX60" s="948">
        <f>TableauProduit[[#This Row],[Poids (g) / unite]]*TableauProduit[[#This Row],[Objectif de vente en unite N7]]/1000</f>
        <v/>
      </c>
      <c r="AY60" s="949">
        <f>TableauProduit[[#This Row],[Objectif de vente en unite N7]]*TableauProduit[[#This Row],[Packaging / unite]]</f>
        <v/>
      </c>
      <c r="AZ60" s="905">
        <f>TableauProduit[[#This Row],[Prix Achat de plante par kg]]*TableauProduit[[#This Row],[Total (kg) N7]]</f>
        <v/>
      </c>
      <c r="BA60" s="950">
        <f>TableauProduit[[#This Row],[Prix de vente/kg]]*TableauProduit[[#This Row],[Total (kg) N7]]</f>
        <v/>
      </c>
      <c r="BB60" s="921">
        <f>TableauProduit[[#This Row],[Revenue brut N7]]-TableauProduit[[#This Row],[Achat plante / kg de melange N7]]-TableauProduit[[#This Row],[Conditionnement N7]]</f>
        <v/>
      </c>
      <c r="BC60" s="967" t="n">
        <v>0</v>
      </c>
      <c r="BD60" s="951">
        <f>TableauProduit[[#This Row],[Poids (g) / unite]]*TableauProduit[[#This Row],[Objectif de vente en unite N8]]/1000</f>
        <v/>
      </c>
      <c r="BE60" s="952">
        <f>TableauProduit[[#This Row],[Objectif de vente en unite N8]]*TableauProduit[[#This Row],[Packaging / unite]]</f>
        <v/>
      </c>
      <c r="BF60" s="924">
        <f>TableauProduit[[#This Row],[Prix Achat de plante par kg]]*TableauProduit[[#This Row],[Total (kg) N8]]</f>
        <v/>
      </c>
      <c r="BG60" s="953">
        <f>TableauProduit[[#This Row],[Prix de vente/kg]]*TableauProduit[[#This Row],[Total (kg) N8]]</f>
        <v/>
      </c>
      <c r="BH60" s="954">
        <f>TableauProduit[[#This Row],[Revenue brut N8]]-TableauProduit[[#This Row],[Achat plante / kg de melange N8]]-TableauProduit[[#This Row],[Conditionnement N8]]</f>
        <v/>
      </c>
      <c r="BI60" s="968" t="n">
        <v>0</v>
      </c>
      <c r="BJ60" s="926">
        <f>TableauProduit[[#This Row],[Poids (g) / unite]]*TableauProduit[[#This Row],[Objectif de vente en unite N9]]/1000</f>
        <v/>
      </c>
      <c r="BK60" s="955">
        <f>TableauProduit[[#This Row],[Objectif de vente en unite N9]]*TableauProduit[[#This Row],[Packaging / unite]]</f>
        <v/>
      </c>
      <c r="BL60" s="928">
        <f>TableauProduit[[#This Row],[Prix Achat de plante par kg]]*TableauProduit[[#This Row],[Total (kg) N9]]</f>
        <v/>
      </c>
      <c r="BM60" s="956">
        <f>TableauProduit[[#This Row],[Prix de vente/kg]]*TableauProduit[[#This Row],[Total (kg) N9]]</f>
        <v/>
      </c>
      <c r="BN60" s="927">
        <f>TableauProduit[[#This Row],[Revenue brut N9]]-TableauProduit[[#This Row],[Achat plante / kg de melange N9]]-TableauProduit[[#This Row],[Conditionnement N9]]</f>
        <v/>
      </c>
    </row>
    <row r="61">
      <c r="A61" s="536" t="inlineStr">
        <is>
          <t>Hawaij</t>
        </is>
      </c>
      <c r="B61" s="54">
        <f>TableauProduit[[#This Row],[Recette]]&amp;TableauProduit[[#This Row],[Conditionnement]]</f>
        <v/>
      </c>
      <c r="C61" s="11" t="n">
        <v>1</v>
      </c>
      <c r="D61" s="11" t="n">
        <v>50</v>
      </c>
      <c r="E61" s="6" t="inlineStr">
        <is>
          <t>Epice 100ml</t>
        </is>
      </c>
      <c r="F61" s="7">
        <f>IFERROR(VLOOKUP(TableauProduit[[#This Row],[Conditionnement]],TableauConditionnement[[Nom]:[Contenance]],4,FALSE),"")</f>
        <v/>
      </c>
      <c r="G61" s="897">
        <f>IFERROR(SUMIFS(TableauRecette[Prix d''achat / kg],TableauRecette[Recette],TableauProduit[[#This Row],[Recette]],TableauRecette[Conditionnement],TableauProduit[[#This Row],[Conditionnement]]),0)</f>
        <v/>
      </c>
      <c r="H61" s="929" t="n">
        <v>5</v>
      </c>
      <c r="I61" s="899">
        <f>1000*TableauProduit[[#This Row],[Prix de vente/U]]/TableauProduit[[#This Row],[Poids (g) / unite]]</f>
        <v/>
      </c>
      <c r="J61" s="900">
        <f>SUMIFS(TableauConcurence[PRIX_KG],TableauConcurence[PRODUIT],TableauProduit[[#This Row],[Recette]],TableauConcurence[DISTRIBUTION],"magasin NON BIO")</f>
        <v/>
      </c>
      <c r="K61" s="901">
        <f>SUMIFS(TableauConcurence[PRIX_KG],TableauConcurence[PRODUIT],TableauProduit[[#This Row],[Recette]],TableauConcurence[DISTRIBUTION],"magasin BIO")</f>
        <v/>
      </c>
      <c r="L61" s="902">
        <f>SUMIFS(TableauConcurence[PRIX_KG],TableauConcurence[PRODUIT],TableauProduit[[#This Row],[Recette]],TableauConcurence[DISTRIBUTION],"artisanale BIO")</f>
        <v/>
      </c>
      <c r="M61" s="903" t="n">
        <v>0</v>
      </c>
      <c r="N61" s="960">
        <f>TableauProduit[[#This Row],[Poids (g) / unite]]*TableauProduit[[#This Row],[Objectif de vente en unite N1]]/1000</f>
        <v/>
      </c>
      <c r="O61" s="905">
        <f>TableauProduit[[#This Row],[Objectif de vente en unite N1]]*TableauProduit[[#This Row],[Packaging / unite]]</f>
        <v/>
      </c>
      <c r="P61" s="905">
        <f>TableauProduit[[#This Row],[Prix Achat de plante par kg]]*TableauProduit[[#This Row],[Total (kg) N1]]</f>
        <v/>
      </c>
      <c r="Q61" s="905">
        <f>TableauProduit[[#This Row],[Prix de vente/kg]]*TableauProduit[[#This Row],[Total (kg) N1]]</f>
        <v/>
      </c>
      <c r="R61" s="921">
        <f>TableauProduit[[#This Row],[Revenue brut N1]]-TableauProduit[[#This Row],[Achat par kg N1]]-TableauProduit[[#This Row],[Conditionnement N1]]</f>
        <v/>
      </c>
      <c r="S61" s="910" t="n">
        <v>0</v>
      </c>
      <c r="T61" s="930">
        <f>TableauProduit[[#This Row],[Poids (g) / unite]]*TableauProduit[[#This Row],[Objectif de vente en unite N2]]/1000</f>
        <v/>
      </c>
      <c r="U61" s="931">
        <f>TableauProduit[[#This Row],[Objectif de vente en unite N2]]*TableauProduit[[#This Row],[Packaging / unite]]</f>
        <v/>
      </c>
      <c r="V61" s="909">
        <f>TableauProduit[[#This Row],[Prix Achat de plante par kg]]*TableauProduit[[#This Row],[Total (kg) N2]]</f>
        <v/>
      </c>
      <c r="W61" s="932">
        <f>TableauProduit[[#This Row],[Prix de vente/kg]]*TableauProduit[[#This Row],[Total (kg) N2]]</f>
        <v/>
      </c>
      <c r="X61" s="961">
        <f>TableauProduit[[#This Row],[Revenue brut N2]]-TableauProduit[[#This Row],[Achat plante / kg de melange N2]]-TableauProduit[[#This Row],[Conditionnement N2]]</f>
        <v/>
      </c>
      <c r="Y61" s="962" t="n">
        <v>0</v>
      </c>
      <c r="Z61" s="933">
        <f>TableauProduit[[#This Row],[Poids (g) / unite]]*TableauProduit[[#This Row],[Objectif de vente en unite N3]]/1000</f>
        <v/>
      </c>
      <c r="AA61" s="934">
        <f>TableauProduit[[#This Row],[Objectif de vente en unite N3]]*TableauProduit[[#This Row],[Packaging / unite]]</f>
        <v/>
      </c>
      <c r="AB61" s="913">
        <f>TableauProduit[[#This Row],[Prix Achat de plante par kg]]*TableauProduit[[#This Row],[Total (kg) N3]]</f>
        <v/>
      </c>
      <c r="AC61" s="935">
        <f>TableauProduit[[#This Row],[Prix de vente/kg]]*TableauProduit[[#This Row],[Total (kg) N3]]</f>
        <v/>
      </c>
      <c r="AD61" s="963">
        <f>TableauProduit[[#This Row],[Revenue brut N3]]-TableauProduit[[#This Row],[Achat plante / kg de melange N3]]-TableauProduit[[#This Row],[Conditionnement N3]]</f>
        <v/>
      </c>
      <c r="AE61" s="964" t="n">
        <v>0</v>
      </c>
      <c r="AF61" s="936">
        <f>TableauProduit[[#This Row],[Poids (g) / unite]]*TableauProduit[[#This Row],[Objectif de vente en unite N4]]/1000</f>
        <v/>
      </c>
      <c r="AG61" s="937">
        <f>TableauProduit[[#This Row],[Objectif de vente en unite N4]]*TableauProduit[[#This Row],[Packaging / unite]]</f>
        <v/>
      </c>
      <c r="AH61" s="916">
        <f>TableauProduit[[#This Row],[Prix Achat de plante par kg]]*TableauProduit[[#This Row],[Total (kg) N4]]</f>
        <v/>
      </c>
      <c r="AI61" s="938">
        <f>TableauProduit[[#This Row],[Prix de vente/kg]]*TableauProduit[[#This Row],[Total (kg) N4]]</f>
        <v/>
      </c>
      <c r="AJ61" s="939">
        <f>TableauProduit[[#This Row],[Revenue brut N4]]-TableauProduit[[#This Row],[Achat plante / kg de melange N4]]-TableauProduit[[#This Row],[Conditionnement N4]]</f>
        <v/>
      </c>
      <c r="AK61" s="965" t="n">
        <v>0</v>
      </c>
      <c r="AL61" s="940">
        <f>TableauProduit[[#This Row],[Poids (g) / unite]]*TableauProduit[[#This Row],[Objectif de vente en unite N5]]/1000</f>
        <v/>
      </c>
      <c r="AM61" s="941">
        <f>TableauProduit[[#This Row],[Objectif de vente en unite N5]]*TableauProduit[[#This Row],[Packaging / unite]]</f>
        <v/>
      </c>
      <c r="AN61" s="918">
        <f>TableauProduit[[#This Row],[Prix Achat de plante par kg]]*TableauProduit[[#This Row],[Total (kg) N5]]</f>
        <v/>
      </c>
      <c r="AO61" s="942">
        <f>TableauProduit[[#This Row],[Prix de vente/kg]]*TableauProduit[[#This Row],[Total (kg) N5]]</f>
        <v/>
      </c>
      <c r="AP61" s="943">
        <f>TableauProduit[[#This Row],[Revenue brut N5]]-TableauProduit[[#This Row],[Achat plante / kg de melange N5]]-TableauProduit[[#This Row],[Conditionnement N5]]</f>
        <v/>
      </c>
      <c r="AQ61" s="966" t="n">
        <v>0</v>
      </c>
      <c r="AR61" s="944">
        <f>TableauProduit[[#This Row],[Poids (g) / unite]]*TableauProduit[[#This Row],[Objectif de vente en unite N6]]/1000</f>
        <v/>
      </c>
      <c r="AS61" s="945">
        <f>TableauProduit[[#This Row],[Objectif de vente en unite N6]]*TableauProduit[[#This Row],[Packaging / unite]]</f>
        <v/>
      </c>
      <c r="AT61" s="920">
        <f>TableauProduit[[#This Row],[Prix Achat de plante par kg]]*TableauProduit[[#This Row],[Total (kg) N6]]</f>
        <v/>
      </c>
      <c r="AU61" s="946">
        <f>TableauProduit[[#This Row],[Prix de vente/kg]]*TableauProduit[[#This Row],[Total (kg) N6]]</f>
        <v/>
      </c>
      <c r="AV61" s="947">
        <f>TableauProduit[[#This Row],[Revenue brut N6]]-TableauProduit[[#This Row],[Achat plante / kg de melange N6]]-TableauProduit[[#This Row],[Conditionnement N6]]</f>
        <v/>
      </c>
      <c r="AW61" s="960" t="n">
        <v>0</v>
      </c>
      <c r="AX61" s="948">
        <f>TableauProduit[[#This Row],[Poids (g) / unite]]*TableauProduit[[#This Row],[Objectif de vente en unite N7]]/1000</f>
        <v/>
      </c>
      <c r="AY61" s="949">
        <f>TableauProduit[[#This Row],[Objectif de vente en unite N7]]*TableauProduit[[#This Row],[Packaging / unite]]</f>
        <v/>
      </c>
      <c r="AZ61" s="905">
        <f>TableauProduit[[#This Row],[Prix Achat de plante par kg]]*TableauProduit[[#This Row],[Total (kg) N7]]</f>
        <v/>
      </c>
      <c r="BA61" s="950">
        <f>TableauProduit[[#This Row],[Prix de vente/kg]]*TableauProduit[[#This Row],[Total (kg) N7]]</f>
        <v/>
      </c>
      <c r="BB61" s="921">
        <f>TableauProduit[[#This Row],[Revenue brut N7]]-TableauProduit[[#This Row],[Achat plante / kg de melange N7]]-TableauProduit[[#This Row],[Conditionnement N7]]</f>
        <v/>
      </c>
      <c r="BC61" s="967" t="n">
        <v>0</v>
      </c>
      <c r="BD61" s="951">
        <f>TableauProduit[[#This Row],[Poids (g) / unite]]*TableauProduit[[#This Row],[Objectif de vente en unite N8]]/1000</f>
        <v/>
      </c>
      <c r="BE61" s="952">
        <f>TableauProduit[[#This Row],[Objectif de vente en unite N8]]*TableauProduit[[#This Row],[Packaging / unite]]</f>
        <v/>
      </c>
      <c r="BF61" s="924">
        <f>TableauProduit[[#This Row],[Prix Achat de plante par kg]]*TableauProduit[[#This Row],[Total (kg) N8]]</f>
        <v/>
      </c>
      <c r="BG61" s="953">
        <f>TableauProduit[[#This Row],[Prix de vente/kg]]*TableauProduit[[#This Row],[Total (kg) N8]]</f>
        <v/>
      </c>
      <c r="BH61" s="954">
        <f>TableauProduit[[#This Row],[Revenue brut N8]]-TableauProduit[[#This Row],[Achat plante / kg de melange N8]]-TableauProduit[[#This Row],[Conditionnement N8]]</f>
        <v/>
      </c>
      <c r="BI61" s="968" t="n">
        <v>0</v>
      </c>
      <c r="BJ61" s="926">
        <f>TableauProduit[[#This Row],[Poids (g) / unite]]*TableauProduit[[#This Row],[Objectif de vente en unite N9]]/1000</f>
        <v/>
      </c>
      <c r="BK61" s="955">
        <f>TableauProduit[[#This Row],[Objectif de vente en unite N9]]*TableauProduit[[#This Row],[Packaging / unite]]</f>
        <v/>
      </c>
      <c r="BL61" s="928">
        <f>TableauProduit[[#This Row],[Prix Achat de plante par kg]]*TableauProduit[[#This Row],[Total (kg) N9]]</f>
        <v/>
      </c>
      <c r="BM61" s="956">
        <f>TableauProduit[[#This Row],[Prix de vente/kg]]*TableauProduit[[#This Row],[Total (kg) N9]]</f>
        <v/>
      </c>
      <c r="BN61" s="927">
        <f>TableauProduit[[#This Row],[Revenue brut N9]]-TableauProduit[[#This Row],[Achat plante / kg de melange N9]]-TableauProduit[[#This Row],[Conditionnement N9]]</f>
        <v/>
      </c>
    </row>
    <row r="62">
      <c r="A62" s="536" t="inlineStr">
        <is>
          <t>Carvi moulue</t>
        </is>
      </c>
      <c r="B62" s="54">
        <f>TableauProduit[[#This Row],[Recette]]&amp;TableauProduit[[#This Row],[Conditionnement]]</f>
        <v/>
      </c>
      <c r="C62" s="11" t="n">
        <v>1</v>
      </c>
      <c r="D62" s="11" t="n">
        <v>65</v>
      </c>
      <c r="E62" s="6" t="inlineStr">
        <is>
          <t>Epice 100ml</t>
        </is>
      </c>
      <c r="F62" s="7">
        <f>IFERROR(VLOOKUP(TableauProduit[[#This Row],[Conditionnement]],TableauConditionnement[[Nom]:[Contenance]],4,FALSE),"")</f>
        <v/>
      </c>
      <c r="G62" s="897">
        <f>IFERROR(SUMIFS(TableauRecette[Prix d''achat / kg],TableauRecette[Recette],TableauProduit[[#This Row],[Recette]],TableauRecette[Conditionnement],TableauProduit[[#This Row],[Conditionnement]]),0)</f>
        <v/>
      </c>
      <c r="H62" s="929" t="n">
        <v>4.225</v>
      </c>
      <c r="I62" s="899">
        <f>1000*TableauProduit[[#This Row],[Prix de vente/U]]/TableauProduit[[#This Row],[Poids (g) / unite]]</f>
        <v/>
      </c>
      <c r="J62" s="900">
        <f>SUMIFS(TableauConcurence[PRIX_KG],TableauConcurence[PRODUIT],TableauProduit[[#This Row],[Recette]],TableauConcurence[DISTRIBUTION],"magasin NON BIO")</f>
        <v/>
      </c>
      <c r="K62" s="901">
        <f>SUMIFS(TableauConcurence[PRIX_KG],TableauConcurence[PRODUIT],TableauProduit[[#This Row],[Recette]],TableauConcurence[DISTRIBUTION],"magasin BIO")</f>
        <v/>
      </c>
      <c r="L62" s="902">
        <f>SUMIFS(TableauConcurence[PRIX_KG],TableauConcurence[PRODUIT],TableauProduit[[#This Row],[Recette]],TableauConcurence[DISTRIBUTION],"artisanale BIO")</f>
        <v/>
      </c>
      <c r="M62" s="903" t="n">
        <v>0</v>
      </c>
      <c r="N62" s="960">
        <f>TableauProduit[[#This Row],[Poids (g) / unite]]*TableauProduit[[#This Row],[Objectif de vente en unite N1]]/1000</f>
        <v/>
      </c>
      <c r="O62" s="905">
        <f>TableauProduit[[#This Row],[Objectif de vente en unite N1]]*TableauProduit[[#This Row],[Packaging / unite]]</f>
        <v/>
      </c>
      <c r="P62" s="905">
        <f>TableauProduit[[#This Row],[Prix Achat de plante par kg]]*TableauProduit[[#This Row],[Total (kg) N1]]</f>
        <v/>
      </c>
      <c r="Q62" s="905">
        <f>TableauProduit[[#This Row],[Prix de vente/kg]]*TableauProduit[[#This Row],[Total (kg) N1]]</f>
        <v/>
      </c>
      <c r="R62" s="921">
        <f>TableauProduit[[#This Row],[Revenue brut N1]]-TableauProduit[[#This Row],[Achat par kg N1]]-TableauProduit[[#This Row],[Conditionnement N1]]</f>
        <v/>
      </c>
      <c r="S62" s="910" t="n">
        <v>0</v>
      </c>
      <c r="T62" s="930">
        <f>TableauProduit[[#This Row],[Poids (g) / unite]]*TableauProduit[[#This Row],[Objectif de vente en unite N2]]/1000</f>
        <v/>
      </c>
      <c r="U62" s="931">
        <f>TableauProduit[[#This Row],[Objectif de vente en unite N2]]*TableauProduit[[#This Row],[Packaging / unite]]</f>
        <v/>
      </c>
      <c r="V62" s="909">
        <f>TableauProduit[[#This Row],[Prix Achat de plante par kg]]*TableauProduit[[#This Row],[Total (kg) N2]]</f>
        <v/>
      </c>
      <c r="W62" s="932">
        <f>TableauProduit[[#This Row],[Prix de vente/kg]]*TableauProduit[[#This Row],[Total (kg) N2]]</f>
        <v/>
      </c>
      <c r="X62" s="961">
        <f>TableauProduit[[#This Row],[Revenue brut N2]]-TableauProduit[[#This Row],[Achat plante / kg de melange N2]]-TableauProduit[[#This Row],[Conditionnement N2]]</f>
        <v/>
      </c>
      <c r="Y62" s="962" t="n">
        <v>0</v>
      </c>
      <c r="Z62" s="933">
        <f>TableauProduit[[#This Row],[Poids (g) / unite]]*TableauProduit[[#This Row],[Objectif de vente en unite N3]]/1000</f>
        <v/>
      </c>
      <c r="AA62" s="934">
        <f>TableauProduit[[#This Row],[Objectif de vente en unite N3]]*TableauProduit[[#This Row],[Packaging / unite]]</f>
        <v/>
      </c>
      <c r="AB62" s="913">
        <f>TableauProduit[[#This Row],[Prix Achat de plante par kg]]*TableauProduit[[#This Row],[Total (kg) N3]]</f>
        <v/>
      </c>
      <c r="AC62" s="935">
        <f>TableauProduit[[#This Row],[Prix de vente/kg]]*TableauProduit[[#This Row],[Total (kg) N3]]</f>
        <v/>
      </c>
      <c r="AD62" s="963">
        <f>TableauProduit[[#This Row],[Revenue brut N3]]-TableauProduit[[#This Row],[Achat plante / kg de melange N3]]-TableauProduit[[#This Row],[Conditionnement N3]]</f>
        <v/>
      </c>
      <c r="AE62" s="964" t="n">
        <v>0</v>
      </c>
      <c r="AF62" s="936">
        <f>TableauProduit[[#This Row],[Poids (g) / unite]]*TableauProduit[[#This Row],[Objectif de vente en unite N4]]/1000</f>
        <v/>
      </c>
      <c r="AG62" s="937">
        <f>TableauProduit[[#This Row],[Objectif de vente en unite N4]]*TableauProduit[[#This Row],[Packaging / unite]]</f>
        <v/>
      </c>
      <c r="AH62" s="916">
        <f>TableauProduit[[#This Row],[Prix Achat de plante par kg]]*TableauProduit[[#This Row],[Total (kg) N4]]</f>
        <v/>
      </c>
      <c r="AI62" s="938">
        <f>TableauProduit[[#This Row],[Prix de vente/kg]]*TableauProduit[[#This Row],[Total (kg) N4]]</f>
        <v/>
      </c>
      <c r="AJ62" s="939">
        <f>TableauProduit[[#This Row],[Revenue brut N4]]-TableauProduit[[#This Row],[Achat plante / kg de melange N4]]-TableauProduit[[#This Row],[Conditionnement N4]]</f>
        <v/>
      </c>
      <c r="AK62" s="965" t="n">
        <v>0</v>
      </c>
      <c r="AL62" s="940">
        <f>TableauProduit[[#This Row],[Poids (g) / unite]]*TableauProduit[[#This Row],[Objectif de vente en unite N5]]/1000</f>
        <v/>
      </c>
      <c r="AM62" s="941">
        <f>TableauProduit[[#This Row],[Objectif de vente en unite N5]]*TableauProduit[[#This Row],[Packaging / unite]]</f>
        <v/>
      </c>
      <c r="AN62" s="918">
        <f>TableauProduit[[#This Row],[Prix Achat de plante par kg]]*TableauProduit[[#This Row],[Total (kg) N5]]</f>
        <v/>
      </c>
      <c r="AO62" s="942">
        <f>TableauProduit[[#This Row],[Prix de vente/kg]]*TableauProduit[[#This Row],[Total (kg) N5]]</f>
        <v/>
      </c>
      <c r="AP62" s="943">
        <f>TableauProduit[[#This Row],[Revenue brut N5]]-TableauProduit[[#This Row],[Achat plante / kg de melange N5]]-TableauProduit[[#This Row],[Conditionnement N5]]</f>
        <v/>
      </c>
      <c r="AQ62" s="966" t="n">
        <v>0</v>
      </c>
      <c r="AR62" s="944">
        <f>TableauProduit[[#This Row],[Poids (g) / unite]]*TableauProduit[[#This Row],[Objectif de vente en unite N6]]/1000</f>
        <v/>
      </c>
      <c r="AS62" s="945">
        <f>TableauProduit[[#This Row],[Objectif de vente en unite N6]]*TableauProduit[[#This Row],[Packaging / unite]]</f>
        <v/>
      </c>
      <c r="AT62" s="920">
        <f>TableauProduit[[#This Row],[Prix Achat de plante par kg]]*TableauProduit[[#This Row],[Total (kg) N6]]</f>
        <v/>
      </c>
      <c r="AU62" s="946">
        <f>TableauProduit[[#This Row],[Prix de vente/kg]]*TableauProduit[[#This Row],[Total (kg) N6]]</f>
        <v/>
      </c>
      <c r="AV62" s="947">
        <f>TableauProduit[[#This Row],[Revenue brut N6]]-TableauProduit[[#This Row],[Achat plante / kg de melange N6]]-TableauProduit[[#This Row],[Conditionnement N6]]</f>
        <v/>
      </c>
      <c r="AW62" s="960" t="n">
        <v>0</v>
      </c>
      <c r="AX62" s="948">
        <f>TableauProduit[[#This Row],[Poids (g) / unite]]*TableauProduit[[#This Row],[Objectif de vente en unite N7]]/1000</f>
        <v/>
      </c>
      <c r="AY62" s="949">
        <f>TableauProduit[[#This Row],[Objectif de vente en unite N7]]*TableauProduit[[#This Row],[Packaging / unite]]</f>
        <v/>
      </c>
      <c r="AZ62" s="905">
        <f>TableauProduit[[#This Row],[Prix Achat de plante par kg]]*TableauProduit[[#This Row],[Total (kg) N7]]</f>
        <v/>
      </c>
      <c r="BA62" s="950">
        <f>TableauProduit[[#This Row],[Prix de vente/kg]]*TableauProduit[[#This Row],[Total (kg) N7]]</f>
        <v/>
      </c>
      <c r="BB62" s="921">
        <f>TableauProduit[[#This Row],[Revenue brut N7]]-TableauProduit[[#This Row],[Achat plante / kg de melange N7]]-TableauProduit[[#This Row],[Conditionnement N7]]</f>
        <v/>
      </c>
      <c r="BC62" s="967" t="n">
        <v>0</v>
      </c>
      <c r="BD62" s="951">
        <f>TableauProduit[[#This Row],[Poids (g) / unite]]*TableauProduit[[#This Row],[Objectif de vente en unite N8]]/1000</f>
        <v/>
      </c>
      <c r="BE62" s="952">
        <f>TableauProduit[[#This Row],[Objectif de vente en unite N8]]*TableauProduit[[#This Row],[Packaging / unite]]</f>
        <v/>
      </c>
      <c r="BF62" s="924">
        <f>TableauProduit[[#This Row],[Prix Achat de plante par kg]]*TableauProduit[[#This Row],[Total (kg) N8]]</f>
        <v/>
      </c>
      <c r="BG62" s="953">
        <f>TableauProduit[[#This Row],[Prix de vente/kg]]*TableauProduit[[#This Row],[Total (kg) N8]]</f>
        <v/>
      </c>
      <c r="BH62" s="954">
        <f>TableauProduit[[#This Row],[Revenue brut N8]]-TableauProduit[[#This Row],[Achat plante / kg de melange N8]]-TableauProduit[[#This Row],[Conditionnement N8]]</f>
        <v/>
      </c>
      <c r="BI62" s="968" t="n">
        <v>0</v>
      </c>
      <c r="BJ62" s="926">
        <f>TableauProduit[[#This Row],[Poids (g) / unite]]*TableauProduit[[#This Row],[Objectif de vente en unite N9]]/1000</f>
        <v/>
      </c>
      <c r="BK62" s="955">
        <f>TableauProduit[[#This Row],[Objectif de vente en unite N9]]*TableauProduit[[#This Row],[Packaging / unite]]</f>
        <v/>
      </c>
      <c r="BL62" s="928">
        <f>TableauProduit[[#This Row],[Prix Achat de plante par kg]]*TableauProduit[[#This Row],[Total (kg) N9]]</f>
        <v/>
      </c>
      <c r="BM62" s="956">
        <f>TableauProduit[[#This Row],[Prix de vente/kg]]*TableauProduit[[#This Row],[Total (kg) N9]]</f>
        <v/>
      </c>
      <c r="BN62" s="927">
        <f>TableauProduit[[#This Row],[Revenue brut N9]]-TableauProduit[[#This Row],[Achat plante / kg de melange N9]]-TableauProduit[[#This Row],[Conditionnement N9]]</f>
        <v/>
      </c>
    </row>
    <row r="63">
      <c r="A63" s="536" t="inlineStr">
        <is>
          <t>Baharat arabe</t>
        </is>
      </c>
      <c r="B63" s="54">
        <f>TableauProduit[[#This Row],[Recette]]&amp;TableauProduit[[#This Row],[Conditionnement]]</f>
        <v/>
      </c>
      <c r="C63" s="11" t="n">
        <v>1</v>
      </c>
      <c r="D63" s="11" t="n">
        <v>45</v>
      </c>
      <c r="E63" s="6" t="inlineStr">
        <is>
          <t>Epice 100ml</t>
        </is>
      </c>
      <c r="F63" s="7">
        <f>IFERROR(VLOOKUP(TableauProduit[[#This Row],[Conditionnement]],TableauConditionnement[[Nom]:[Contenance]],4,FALSE),"")</f>
        <v/>
      </c>
      <c r="G63" s="897">
        <f>IFERROR(SUMIFS(TableauRecette[Prix d''achat / kg],TableauRecette[Recette],TableauProduit[[#This Row],[Recette]],TableauRecette[Conditionnement],TableauProduit[[#This Row],[Conditionnement]]),0)</f>
        <v/>
      </c>
      <c r="H63" s="929" t="n">
        <v>7.3125</v>
      </c>
      <c r="I63" s="899">
        <f>1000*TableauProduit[[#This Row],[Prix de vente/U]]/TableauProduit[[#This Row],[Poids (g) / unite]]</f>
        <v/>
      </c>
      <c r="J63" s="900">
        <f>SUMIFS(TableauConcurence[PRIX_KG],TableauConcurence[PRODUIT],TableauProduit[[#This Row],[Recette]],TableauConcurence[DISTRIBUTION],"magasin NON BIO")</f>
        <v/>
      </c>
      <c r="K63" s="901">
        <f>SUMIFS(TableauConcurence[PRIX_KG],TableauConcurence[PRODUIT],TableauProduit[[#This Row],[Recette]],TableauConcurence[DISTRIBUTION],"magasin BIO")</f>
        <v/>
      </c>
      <c r="L63" s="902">
        <f>SUMIFS(TableauConcurence[PRIX_KG],TableauConcurence[PRODUIT],TableauProduit[[#This Row],[Recette]],TableauConcurence[DISTRIBUTION],"artisanale BIO")</f>
        <v/>
      </c>
      <c r="M63" s="903" t="n">
        <v>0</v>
      </c>
      <c r="N63" s="960">
        <f>TableauProduit[[#This Row],[Poids (g) / unite]]*TableauProduit[[#This Row],[Objectif de vente en unite N1]]/1000</f>
        <v/>
      </c>
      <c r="O63" s="905">
        <f>TableauProduit[[#This Row],[Objectif de vente en unite N1]]*TableauProduit[[#This Row],[Packaging / unite]]</f>
        <v/>
      </c>
      <c r="P63" s="905">
        <f>TableauProduit[[#This Row],[Prix Achat de plante par kg]]*TableauProduit[[#This Row],[Total (kg) N1]]</f>
        <v/>
      </c>
      <c r="Q63" s="905">
        <f>TableauProduit[[#This Row],[Prix de vente/kg]]*TableauProduit[[#This Row],[Total (kg) N1]]</f>
        <v/>
      </c>
      <c r="R63" s="921">
        <f>TableauProduit[[#This Row],[Revenue brut N1]]-TableauProduit[[#This Row],[Achat par kg N1]]-TableauProduit[[#This Row],[Conditionnement N1]]</f>
        <v/>
      </c>
      <c r="S63" s="910" t="n">
        <v>0</v>
      </c>
      <c r="T63" s="930">
        <f>TableauProduit[[#This Row],[Poids (g) / unite]]*TableauProduit[[#This Row],[Objectif de vente en unite N2]]/1000</f>
        <v/>
      </c>
      <c r="U63" s="931">
        <f>TableauProduit[[#This Row],[Objectif de vente en unite N2]]*TableauProduit[[#This Row],[Packaging / unite]]</f>
        <v/>
      </c>
      <c r="V63" s="909">
        <f>TableauProduit[[#This Row],[Prix Achat de plante par kg]]*TableauProduit[[#This Row],[Total (kg) N2]]</f>
        <v/>
      </c>
      <c r="W63" s="932">
        <f>TableauProduit[[#This Row],[Prix de vente/kg]]*TableauProduit[[#This Row],[Total (kg) N2]]</f>
        <v/>
      </c>
      <c r="X63" s="961">
        <f>TableauProduit[[#This Row],[Revenue brut N2]]-TableauProduit[[#This Row],[Achat plante / kg de melange N2]]-TableauProduit[[#This Row],[Conditionnement N2]]</f>
        <v/>
      </c>
      <c r="Y63" s="962" t="n">
        <v>0</v>
      </c>
      <c r="Z63" s="933">
        <f>TableauProduit[[#This Row],[Poids (g) / unite]]*TableauProduit[[#This Row],[Objectif de vente en unite N3]]/1000</f>
        <v/>
      </c>
      <c r="AA63" s="934">
        <f>TableauProduit[[#This Row],[Objectif de vente en unite N3]]*TableauProduit[[#This Row],[Packaging / unite]]</f>
        <v/>
      </c>
      <c r="AB63" s="913">
        <f>TableauProduit[[#This Row],[Prix Achat de plante par kg]]*TableauProduit[[#This Row],[Total (kg) N3]]</f>
        <v/>
      </c>
      <c r="AC63" s="935">
        <f>TableauProduit[[#This Row],[Prix de vente/kg]]*TableauProduit[[#This Row],[Total (kg) N3]]</f>
        <v/>
      </c>
      <c r="AD63" s="963">
        <f>TableauProduit[[#This Row],[Revenue brut N3]]-TableauProduit[[#This Row],[Achat plante / kg de melange N3]]-TableauProduit[[#This Row],[Conditionnement N3]]</f>
        <v/>
      </c>
      <c r="AE63" s="964" t="n">
        <v>0</v>
      </c>
      <c r="AF63" s="936">
        <f>TableauProduit[[#This Row],[Poids (g) / unite]]*TableauProduit[[#This Row],[Objectif de vente en unite N4]]/1000</f>
        <v/>
      </c>
      <c r="AG63" s="937">
        <f>TableauProduit[[#This Row],[Objectif de vente en unite N4]]*TableauProduit[[#This Row],[Packaging / unite]]</f>
        <v/>
      </c>
      <c r="AH63" s="916">
        <f>TableauProduit[[#This Row],[Prix Achat de plante par kg]]*TableauProduit[[#This Row],[Total (kg) N4]]</f>
        <v/>
      </c>
      <c r="AI63" s="938">
        <f>TableauProduit[[#This Row],[Prix de vente/kg]]*TableauProduit[[#This Row],[Total (kg) N4]]</f>
        <v/>
      </c>
      <c r="AJ63" s="939">
        <f>TableauProduit[[#This Row],[Revenue brut N4]]-TableauProduit[[#This Row],[Achat plante / kg de melange N4]]-TableauProduit[[#This Row],[Conditionnement N4]]</f>
        <v/>
      </c>
      <c r="AK63" s="965" t="n">
        <v>0</v>
      </c>
      <c r="AL63" s="940">
        <f>TableauProduit[[#This Row],[Poids (g) / unite]]*TableauProduit[[#This Row],[Objectif de vente en unite N5]]/1000</f>
        <v/>
      </c>
      <c r="AM63" s="941">
        <f>TableauProduit[[#This Row],[Objectif de vente en unite N5]]*TableauProduit[[#This Row],[Packaging / unite]]</f>
        <v/>
      </c>
      <c r="AN63" s="918">
        <f>TableauProduit[[#This Row],[Prix Achat de plante par kg]]*TableauProduit[[#This Row],[Total (kg) N5]]</f>
        <v/>
      </c>
      <c r="AO63" s="942">
        <f>TableauProduit[[#This Row],[Prix de vente/kg]]*TableauProduit[[#This Row],[Total (kg) N5]]</f>
        <v/>
      </c>
      <c r="AP63" s="943">
        <f>TableauProduit[[#This Row],[Revenue brut N5]]-TableauProduit[[#This Row],[Achat plante / kg de melange N5]]-TableauProduit[[#This Row],[Conditionnement N5]]</f>
        <v/>
      </c>
      <c r="AQ63" s="966" t="n">
        <v>0</v>
      </c>
      <c r="AR63" s="944">
        <f>TableauProduit[[#This Row],[Poids (g) / unite]]*TableauProduit[[#This Row],[Objectif de vente en unite N6]]/1000</f>
        <v/>
      </c>
      <c r="AS63" s="945">
        <f>TableauProduit[[#This Row],[Objectif de vente en unite N6]]*TableauProduit[[#This Row],[Packaging / unite]]</f>
        <v/>
      </c>
      <c r="AT63" s="920">
        <f>TableauProduit[[#This Row],[Prix Achat de plante par kg]]*TableauProduit[[#This Row],[Total (kg) N6]]</f>
        <v/>
      </c>
      <c r="AU63" s="946">
        <f>TableauProduit[[#This Row],[Prix de vente/kg]]*TableauProduit[[#This Row],[Total (kg) N6]]</f>
        <v/>
      </c>
      <c r="AV63" s="947">
        <f>TableauProduit[[#This Row],[Revenue brut N6]]-TableauProduit[[#This Row],[Achat plante / kg de melange N6]]-TableauProduit[[#This Row],[Conditionnement N6]]</f>
        <v/>
      </c>
      <c r="AW63" s="960" t="n">
        <v>0</v>
      </c>
      <c r="AX63" s="948">
        <f>TableauProduit[[#This Row],[Poids (g) / unite]]*TableauProduit[[#This Row],[Objectif de vente en unite N7]]/1000</f>
        <v/>
      </c>
      <c r="AY63" s="949">
        <f>TableauProduit[[#This Row],[Objectif de vente en unite N7]]*TableauProduit[[#This Row],[Packaging / unite]]</f>
        <v/>
      </c>
      <c r="AZ63" s="905">
        <f>TableauProduit[[#This Row],[Prix Achat de plante par kg]]*TableauProduit[[#This Row],[Total (kg) N7]]</f>
        <v/>
      </c>
      <c r="BA63" s="950">
        <f>TableauProduit[[#This Row],[Prix de vente/kg]]*TableauProduit[[#This Row],[Total (kg) N7]]</f>
        <v/>
      </c>
      <c r="BB63" s="921">
        <f>TableauProduit[[#This Row],[Revenue brut N7]]-TableauProduit[[#This Row],[Achat plante / kg de melange N7]]-TableauProduit[[#This Row],[Conditionnement N7]]</f>
        <v/>
      </c>
      <c r="BC63" s="967" t="n">
        <v>0</v>
      </c>
      <c r="BD63" s="951">
        <f>TableauProduit[[#This Row],[Poids (g) / unite]]*TableauProduit[[#This Row],[Objectif de vente en unite N8]]/1000</f>
        <v/>
      </c>
      <c r="BE63" s="952">
        <f>TableauProduit[[#This Row],[Objectif de vente en unite N8]]*TableauProduit[[#This Row],[Packaging / unite]]</f>
        <v/>
      </c>
      <c r="BF63" s="924">
        <f>TableauProduit[[#This Row],[Prix Achat de plante par kg]]*TableauProduit[[#This Row],[Total (kg) N8]]</f>
        <v/>
      </c>
      <c r="BG63" s="953">
        <f>TableauProduit[[#This Row],[Prix de vente/kg]]*TableauProduit[[#This Row],[Total (kg) N8]]</f>
        <v/>
      </c>
      <c r="BH63" s="954">
        <f>TableauProduit[[#This Row],[Revenue brut N8]]-TableauProduit[[#This Row],[Achat plante / kg de melange N8]]-TableauProduit[[#This Row],[Conditionnement N8]]</f>
        <v/>
      </c>
      <c r="BI63" s="968" t="n">
        <v>0</v>
      </c>
      <c r="BJ63" s="926">
        <f>TableauProduit[[#This Row],[Poids (g) / unite]]*TableauProduit[[#This Row],[Objectif de vente en unite N9]]/1000</f>
        <v/>
      </c>
      <c r="BK63" s="955">
        <f>TableauProduit[[#This Row],[Objectif de vente en unite N9]]*TableauProduit[[#This Row],[Packaging / unite]]</f>
        <v/>
      </c>
      <c r="BL63" s="928">
        <f>TableauProduit[[#This Row],[Prix Achat de plante par kg]]*TableauProduit[[#This Row],[Total (kg) N9]]</f>
        <v/>
      </c>
      <c r="BM63" s="956">
        <f>TableauProduit[[#This Row],[Prix de vente/kg]]*TableauProduit[[#This Row],[Total (kg) N9]]</f>
        <v/>
      </c>
      <c r="BN63" s="927">
        <f>TableauProduit[[#This Row],[Revenue brut N9]]-TableauProduit[[#This Row],[Achat plante / kg de melange N9]]-TableauProduit[[#This Row],[Conditionnement N9]]</f>
        <v/>
      </c>
    </row>
    <row r="64">
      <c r="A64" s="536" t="inlineStr">
        <is>
          <t>Pâte vindaloo</t>
        </is>
      </c>
      <c r="B64" s="54">
        <f>TableauProduit[[#This Row],[Recette]]&amp;TableauProduit[[#This Row],[Conditionnement]]</f>
        <v/>
      </c>
      <c r="C64" s="11" t="n">
        <v>1</v>
      </c>
      <c r="D64" s="11" t="n">
        <v>50</v>
      </c>
      <c r="E64" s="6" t="inlineStr">
        <is>
          <t>Epice 100ml</t>
        </is>
      </c>
      <c r="F64" s="7">
        <f>IFERROR(VLOOKUP(TableauProduit[[#This Row],[Conditionnement]],TableauConditionnement[[Nom]:[Contenance]],4,FALSE),"")</f>
        <v/>
      </c>
      <c r="G64" s="897">
        <f>IFERROR(SUMIFS(TableauRecette[Prix d''achat / kg],TableauRecette[Recette],TableauProduit[[#This Row],[Recette]],TableauRecette[Conditionnement],TableauProduit[[#This Row],[Conditionnement]]),0)</f>
        <v/>
      </c>
      <c r="H64" s="929" t="n">
        <v>5</v>
      </c>
      <c r="I64" s="899">
        <f>1000*TableauProduit[[#This Row],[Prix de vente/U]]/TableauProduit[[#This Row],[Poids (g) / unite]]</f>
        <v/>
      </c>
      <c r="J64" s="900">
        <f>SUMIFS(TableauConcurence[PRIX_KG],TableauConcurence[PRODUIT],TableauProduit[[#This Row],[Recette]],TableauConcurence[DISTRIBUTION],"magasin NON BIO")</f>
        <v/>
      </c>
      <c r="K64" s="901">
        <f>SUMIFS(TableauConcurence[PRIX_KG],TableauConcurence[PRODUIT],TableauProduit[[#This Row],[Recette]],TableauConcurence[DISTRIBUTION],"magasin BIO")</f>
        <v/>
      </c>
      <c r="L64" s="902">
        <f>SUMIFS(TableauConcurence[PRIX_KG],TableauConcurence[PRODUIT],TableauProduit[[#This Row],[Recette]],TableauConcurence[DISTRIBUTION],"artisanale BIO")</f>
        <v/>
      </c>
      <c r="M64" s="903" t="n">
        <v>0</v>
      </c>
      <c r="N64" s="960">
        <f>TableauProduit[[#This Row],[Poids (g) / unite]]*TableauProduit[[#This Row],[Objectif de vente en unite N1]]/1000</f>
        <v/>
      </c>
      <c r="O64" s="905">
        <f>TableauProduit[[#This Row],[Objectif de vente en unite N1]]*TableauProduit[[#This Row],[Packaging / unite]]</f>
        <v/>
      </c>
      <c r="P64" s="905">
        <f>TableauProduit[[#This Row],[Prix Achat de plante par kg]]*TableauProduit[[#This Row],[Total (kg) N1]]</f>
        <v/>
      </c>
      <c r="Q64" s="905">
        <f>TableauProduit[[#This Row],[Prix de vente/kg]]*TableauProduit[[#This Row],[Total (kg) N1]]</f>
        <v/>
      </c>
      <c r="R64" s="921">
        <f>TableauProduit[[#This Row],[Revenue brut N1]]-TableauProduit[[#This Row],[Achat par kg N1]]-TableauProduit[[#This Row],[Conditionnement N1]]</f>
        <v/>
      </c>
      <c r="S64" s="910" t="n">
        <v>0</v>
      </c>
      <c r="T64" s="930">
        <f>TableauProduit[[#This Row],[Poids (g) / unite]]*TableauProduit[[#This Row],[Objectif de vente en unite N2]]/1000</f>
        <v/>
      </c>
      <c r="U64" s="931">
        <f>TableauProduit[[#This Row],[Objectif de vente en unite N2]]*TableauProduit[[#This Row],[Packaging / unite]]</f>
        <v/>
      </c>
      <c r="V64" s="909">
        <f>TableauProduit[[#This Row],[Prix Achat de plante par kg]]*TableauProduit[[#This Row],[Total (kg) N2]]</f>
        <v/>
      </c>
      <c r="W64" s="932">
        <f>TableauProduit[[#This Row],[Prix de vente/kg]]*TableauProduit[[#This Row],[Total (kg) N2]]</f>
        <v/>
      </c>
      <c r="X64" s="961">
        <f>TableauProduit[[#This Row],[Revenue brut N2]]-TableauProduit[[#This Row],[Achat plante / kg de melange N2]]-TableauProduit[[#This Row],[Conditionnement N2]]</f>
        <v/>
      </c>
      <c r="Y64" s="962" t="n">
        <v>0</v>
      </c>
      <c r="Z64" s="933">
        <f>TableauProduit[[#This Row],[Poids (g) / unite]]*TableauProduit[[#This Row],[Objectif de vente en unite N3]]/1000</f>
        <v/>
      </c>
      <c r="AA64" s="934">
        <f>TableauProduit[[#This Row],[Objectif de vente en unite N3]]*TableauProduit[[#This Row],[Packaging / unite]]</f>
        <v/>
      </c>
      <c r="AB64" s="913">
        <f>TableauProduit[[#This Row],[Prix Achat de plante par kg]]*TableauProduit[[#This Row],[Total (kg) N3]]</f>
        <v/>
      </c>
      <c r="AC64" s="935">
        <f>TableauProduit[[#This Row],[Prix de vente/kg]]*TableauProduit[[#This Row],[Total (kg) N3]]</f>
        <v/>
      </c>
      <c r="AD64" s="963">
        <f>TableauProduit[[#This Row],[Revenue brut N3]]-TableauProduit[[#This Row],[Achat plante / kg de melange N3]]-TableauProduit[[#This Row],[Conditionnement N3]]</f>
        <v/>
      </c>
      <c r="AE64" s="964" t="n">
        <v>0</v>
      </c>
      <c r="AF64" s="936">
        <f>TableauProduit[[#This Row],[Poids (g) / unite]]*TableauProduit[[#This Row],[Objectif de vente en unite N4]]/1000</f>
        <v/>
      </c>
      <c r="AG64" s="937">
        <f>TableauProduit[[#This Row],[Objectif de vente en unite N4]]*TableauProduit[[#This Row],[Packaging / unite]]</f>
        <v/>
      </c>
      <c r="AH64" s="916">
        <f>TableauProduit[[#This Row],[Prix Achat de plante par kg]]*TableauProduit[[#This Row],[Total (kg) N4]]</f>
        <v/>
      </c>
      <c r="AI64" s="938">
        <f>TableauProduit[[#This Row],[Prix de vente/kg]]*TableauProduit[[#This Row],[Total (kg) N4]]</f>
        <v/>
      </c>
      <c r="AJ64" s="939">
        <f>TableauProduit[[#This Row],[Revenue brut N4]]-TableauProduit[[#This Row],[Achat plante / kg de melange N4]]-TableauProduit[[#This Row],[Conditionnement N4]]</f>
        <v/>
      </c>
      <c r="AK64" s="965" t="n">
        <v>0</v>
      </c>
      <c r="AL64" s="940">
        <f>TableauProduit[[#This Row],[Poids (g) / unite]]*TableauProduit[[#This Row],[Objectif de vente en unite N5]]/1000</f>
        <v/>
      </c>
      <c r="AM64" s="941">
        <f>TableauProduit[[#This Row],[Objectif de vente en unite N5]]*TableauProduit[[#This Row],[Packaging / unite]]</f>
        <v/>
      </c>
      <c r="AN64" s="918">
        <f>TableauProduit[[#This Row],[Prix Achat de plante par kg]]*TableauProduit[[#This Row],[Total (kg) N5]]</f>
        <v/>
      </c>
      <c r="AO64" s="942">
        <f>TableauProduit[[#This Row],[Prix de vente/kg]]*TableauProduit[[#This Row],[Total (kg) N5]]</f>
        <v/>
      </c>
      <c r="AP64" s="943">
        <f>TableauProduit[[#This Row],[Revenue brut N5]]-TableauProduit[[#This Row],[Achat plante / kg de melange N5]]-TableauProduit[[#This Row],[Conditionnement N5]]</f>
        <v/>
      </c>
      <c r="AQ64" s="966" t="n">
        <v>0</v>
      </c>
      <c r="AR64" s="944">
        <f>TableauProduit[[#This Row],[Poids (g) / unite]]*TableauProduit[[#This Row],[Objectif de vente en unite N6]]/1000</f>
        <v/>
      </c>
      <c r="AS64" s="945">
        <f>TableauProduit[[#This Row],[Objectif de vente en unite N6]]*TableauProduit[[#This Row],[Packaging / unite]]</f>
        <v/>
      </c>
      <c r="AT64" s="920">
        <f>TableauProduit[[#This Row],[Prix Achat de plante par kg]]*TableauProduit[[#This Row],[Total (kg) N6]]</f>
        <v/>
      </c>
      <c r="AU64" s="946">
        <f>TableauProduit[[#This Row],[Prix de vente/kg]]*TableauProduit[[#This Row],[Total (kg) N6]]</f>
        <v/>
      </c>
      <c r="AV64" s="947">
        <f>TableauProduit[[#This Row],[Revenue brut N6]]-TableauProduit[[#This Row],[Achat plante / kg de melange N6]]-TableauProduit[[#This Row],[Conditionnement N6]]</f>
        <v/>
      </c>
      <c r="AW64" s="960" t="n">
        <v>0</v>
      </c>
      <c r="AX64" s="948">
        <f>TableauProduit[[#This Row],[Poids (g) / unite]]*TableauProduit[[#This Row],[Objectif de vente en unite N7]]/1000</f>
        <v/>
      </c>
      <c r="AY64" s="949">
        <f>TableauProduit[[#This Row],[Objectif de vente en unite N7]]*TableauProduit[[#This Row],[Packaging / unite]]</f>
        <v/>
      </c>
      <c r="AZ64" s="905">
        <f>TableauProduit[[#This Row],[Prix Achat de plante par kg]]*TableauProduit[[#This Row],[Total (kg) N7]]</f>
        <v/>
      </c>
      <c r="BA64" s="950">
        <f>TableauProduit[[#This Row],[Prix de vente/kg]]*TableauProduit[[#This Row],[Total (kg) N7]]</f>
        <v/>
      </c>
      <c r="BB64" s="921">
        <f>TableauProduit[[#This Row],[Revenue brut N7]]-TableauProduit[[#This Row],[Achat plante / kg de melange N7]]-TableauProduit[[#This Row],[Conditionnement N7]]</f>
        <v/>
      </c>
      <c r="BC64" s="967" t="n">
        <v>0</v>
      </c>
      <c r="BD64" s="951">
        <f>TableauProduit[[#This Row],[Poids (g) / unite]]*TableauProduit[[#This Row],[Objectif de vente en unite N8]]/1000</f>
        <v/>
      </c>
      <c r="BE64" s="952">
        <f>TableauProduit[[#This Row],[Objectif de vente en unite N8]]*TableauProduit[[#This Row],[Packaging / unite]]</f>
        <v/>
      </c>
      <c r="BF64" s="924">
        <f>TableauProduit[[#This Row],[Prix Achat de plante par kg]]*TableauProduit[[#This Row],[Total (kg) N8]]</f>
        <v/>
      </c>
      <c r="BG64" s="953">
        <f>TableauProduit[[#This Row],[Prix de vente/kg]]*TableauProduit[[#This Row],[Total (kg) N8]]</f>
        <v/>
      </c>
      <c r="BH64" s="954">
        <f>TableauProduit[[#This Row],[Revenue brut N8]]-TableauProduit[[#This Row],[Achat plante / kg de melange N8]]-TableauProduit[[#This Row],[Conditionnement N8]]</f>
        <v/>
      </c>
      <c r="BI64" s="968" t="n">
        <v>0</v>
      </c>
      <c r="BJ64" s="926">
        <f>TableauProduit[[#This Row],[Poids (g) / unite]]*TableauProduit[[#This Row],[Objectif de vente en unite N9]]/1000</f>
        <v/>
      </c>
      <c r="BK64" s="955">
        <f>TableauProduit[[#This Row],[Objectif de vente en unite N9]]*TableauProduit[[#This Row],[Packaging / unite]]</f>
        <v/>
      </c>
      <c r="BL64" s="928">
        <f>TableauProduit[[#This Row],[Prix Achat de plante par kg]]*TableauProduit[[#This Row],[Total (kg) N9]]</f>
        <v/>
      </c>
      <c r="BM64" s="956">
        <f>TableauProduit[[#This Row],[Prix de vente/kg]]*TableauProduit[[#This Row],[Total (kg) N9]]</f>
        <v/>
      </c>
      <c r="BN64" s="927">
        <f>TableauProduit[[#This Row],[Revenue brut N9]]-TableauProduit[[#This Row],[Achat plante / kg de melange N9]]-TableauProduit[[#This Row],[Conditionnement N9]]</f>
        <v/>
      </c>
    </row>
    <row r="65">
      <c r="A65" s="536" t="inlineStr">
        <is>
          <t>Baharat turc</t>
        </is>
      </c>
      <c r="B65" s="54">
        <f>TableauProduit[[#This Row],[Recette]]&amp;TableauProduit[[#This Row],[Conditionnement]]</f>
        <v/>
      </c>
      <c r="C65" s="11" t="n">
        <v>1</v>
      </c>
      <c r="D65" s="11" t="n">
        <v>65</v>
      </c>
      <c r="E65" s="6" t="inlineStr">
        <is>
          <t>Epice 100ml</t>
        </is>
      </c>
      <c r="F65" s="7">
        <f>IFERROR(VLOOKUP(TableauProduit[[#This Row],[Conditionnement]],TableauConditionnement[[Nom]:[Contenance]],4,FALSE),"")</f>
        <v/>
      </c>
      <c r="G65" s="897">
        <f>IFERROR(SUMIFS(TableauRecette[Prix d''achat / kg],TableauRecette[Recette],TableauProduit[[#This Row],[Recette]],TableauRecette[Conditionnement],TableauProduit[[#This Row],[Conditionnement]]),0)</f>
        <v/>
      </c>
      <c r="H65" s="929" t="n">
        <v>7.8</v>
      </c>
      <c r="I65" s="899">
        <f>1000*TableauProduit[[#This Row],[Prix de vente/U]]/TableauProduit[[#This Row],[Poids (g) / unite]]</f>
        <v/>
      </c>
      <c r="J65" s="900">
        <f>SUMIFS(TableauConcurence[PRIX_KG],TableauConcurence[PRODUIT],TableauProduit[[#This Row],[Recette]],TableauConcurence[DISTRIBUTION],"magasin NON BIO")</f>
        <v/>
      </c>
      <c r="K65" s="901">
        <f>SUMIFS(TableauConcurence[PRIX_KG],TableauConcurence[PRODUIT],TableauProduit[[#This Row],[Recette]],TableauConcurence[DISTRIBUTION],"magasin BIO")</f>
        <v/>
      </c>
      <c r="L65" s="902">
        <f>SUMIFS(TableauConcurence[PRIX_KG],TableauConcurence[PRODUIT],TableauProduit[[#This Row],[Recette]],TableauConcurence[DISTRIBUTION],"artisanale BIO")</f>
        <v/>
      </c>
      <c r="M65" s="903" t="n">
        <v>0</v>
      </c>
      <c r="N65" s="960">
        <f>TableauProduit[[#This Row],[Poids (g) / unite]]*TableauProduit[[#This Row],[Objectif de vente en unite N1]]/1000</f>
        <v/>
      </c>
      <c r="O65" s="905">
        <f>TableauProduit[[#This Row],[Objectif de vente en unite N1]]*TableauProduit[[#This Row],[Packaging / unite]]</f>
        <v/>
      </c>
      <c r="P65" s="905">
        <f>TableauProduit[[#This Row],[Prix Achat de plante par kg]]*TableauProduit[[#This Row],[Total (kg) N1]]</f>
        <v/>
      </c>
      <c r="Q65" s="905">
        <f>TableauProduit[[#This Row],[Prix de vente/kg]]*TableauProduit[[#This Row],[Total (kg) N1]]</f>
        <v/>
      </c>
      <c r="R65" s="921">
        <f>TableauProduit[[#This Row],[Revenue brut N1]]-TableauProduit[[#This Row],[Achat par kg N1]]-TableauProduit[[#This Row],[Conditionnement N1]]</f>
        <v/>
      </c>
      <c r="S65" s="910" t="n">
        <v>0</v>
      </c>
      <c r="T65" s="930">
        <f>TableauProduit[[#This Row],[Poids (g) / unite]]*TableauProduit[[#This Row],[Objectif de vente en unite N2]]/1000</f>
        <v/>
      </c>
      <c r="U65" s="931">
        <f>TableauProduit[[#This Row],[Objectif de vente en unite N2]]*TableauProduit[[#This Row],[Packaging / unite]]</f>
        <v/>
      </c>
      <c r="V65" s="909">
        <f>TableauProduit[[#This Row],[Prix Achat de plante par kg]]*TableauProduit[[#This Row],[Total (kg) N2]]</f>
        <v/>
      </c>
      <c r="W65" s="932">
        <f>TableauProduit[[#This Row],[Prix de vente/kg]]*TableauProduit[[#This Row],[Total (kg) N2]]</f>
        <v/>
      </c>
      <c r="X65" s="961">
        <f>TableauProduit[[#This Row],[Revenue brut N2]]-TableauProduit[[#This Row],[Achat plante / kg de melange N2]]-TableauProduit[[#This Row],[Conditionnement N2]]</f>
        <v/>
      </c>
      <c r="Y65" s="962" t="n">
        <v>0</v>
      </c>
      <c r="Z65" s="933">
        <f>TableauProduit[[#This Row],[Poids (g) / unite]]*TableauProduit[[#This Row],[Objectif de vente en unite N3]]/1000</f>
        <v/>
      </c>
      <c r="AA65" s="934">
        <f>TableauProduit[[#This Row],[Objectif de vente en unite N3]]*TableauProduit[[#This Row],[Packaging / unite]]</f>
        <v/>
      </c>
      <c r="AB65" s="913">
        <f>TableauProduit[[#This Row],[Prix Achat de plante par kg]]*TableauProduit[[#This Row],[Total (kg) N3]]</f>
        <v/>
      </c>
      <c r="AC65" s="935">
        <f>TableauProduit[[#This Row],[Prix de vente/kg]]*TableauProduit[[#This Row],[Total (kg) N3]]</f>
        <v/>
      </c>
      <c r="AD65" s="963">
        <f>TableauProduit[[#This Row],[Revenue brut N3]]-TableauProduit[[#This Row],[Achat plante / kg de melange N3]]-TableauProduit[[#This Row],[Conditionnement N3]]</f>
        <v/>
      </c>
      <c r="AE65" s="964" t="n">
        <v>0</v>
      </c>
      <c r="AF65" s="936">
        <f>TableauProduit[[#This Row],[Poids (g) / unite]]*TableauProduit[[#This Row],[Objectif de vente en unite N4]]/1000</f>
        <v/>
      </c>
      <c r="AG65" s="937">
        <f>TableauProduit[[#This Row],[Objectif de vente en unite N4]]*TableauProduit[[#This Row],[Packaging / unite]]</f>
        <v/>
      </c>
      <c r="AH65" s="916">
        <f>TableauProduit[[#This Row],[Prix Achat de plante par kg]]*TableauProduit[[#This Row],[Total (kg) N4]]</f>
        <v/>
      </c>
      <c r="AI65" s="938">
        <f>TableauProduit[[#This Row],[Prix de vente/kg]]*TableauProduit[[#This Row],[Total (kg) N4]]</f>
        <v/>
      </c>
      <c r="AJ65" s="939">
        <f>TableauProduit[[#This Row],[Revenue brut N4]]-TableauProduit[[#This Row],[Achat plante / kg de melange N4]]-TableauProduit[[#This Row],[Conditionnement N4]]</f>
        <v/>
      </c>
      <c r="AK65" s="965" t="n">
        <v>0</v>
      </c>
      <c r="AL65" s="940">
        <f>TableauProduit[[#This Row],[Poids (g) / unite]]*TableauProduit[[#This Row],[Objectif de vente en unite N5]]/1000</f>
        <v/>
      </c>
      <c r="AM65" s="941">
        <f>TableauProduit[[#This Row],[Objectif de vente en unite N5]]*TableauProduit[[#This Row],[Packaging / unite]]</f>
        <v/>
      </c>
      <c r="AN65" s="918">
        <f>TableauProduit[[#This Row],[Prix Achat de plante par kg]]*TableauProduit[[#This Row],[Total (kg) N5]]</f>
        <v/>
      </c>
      <c r="AO65" s="942">
        <f>TableauProduit[[#This Row],[Prix de vente/kg]]*TableauProduit[[#This Row],[Total (kg) N5]]</f>
        <v/>
      </c>
      <c r="AP65" s="943">
        <f>TableauProduit[[#This Row],[Revenue brut N5]]-TableauProduit[[#This Row],[Achat plante / kg de melange N5]]-TableauProduit[[#This Row],[Conditionnement N5]]</f>
        <v/>
      </c>
      <c r="AQ65" s="966" t="n">
        <v>0</v>
      </c>
      <c r="AR65" s="944">
        <f>TableauProduit[[#This Row],[Poids (g) / unite]]*TableauProduit[[#This Row],[Objectif de vente en unite N6]]/1000</f>
        <v/>
      </c>
      <c r="AS65" s="945">
        <f>TableauProduit[[#This Row],[Objectif de vente en unite N6]]*TableauProduit[[#This Row],[Packaging / unite]]</f>
        <v/>
      </c>
      <c r="AT65" s="920">
        <f>TableauProduit[[#This Row],[Prix Achat de plante par kg]]*TableauProduit[[#This Row],[Total (kg) N6]]</f>
        <v/>
      </c>
      <c r="AU65" s="946">
        <f>TableauProduit[[#This Row],[Prix de vente/kg]]*TableauProduit[[#This Row],[Total (kg) N6]]</f>
        <v/>
      </c>
      <c r="AV65" s="947">
        <f>TableauProduit[[#This Row],[Revenue brut N6]]-TableauProduit[[#This Row],[Achat plante / kg de melange N6]]-TableauProduit[[#This Row],[Conditionnement N6]]</f>
        <v/>
      </c>
      <c r="AW65" s="960" t="n">
        <v>0</v>
      </c>
      <c r="AX65" s="948">
        <f>TableauProduit[[#This Row],[Poids (g) / unite]]*TableauProduit[[#This Row],[Objectif de vente en unite N7]]/1000</f>
        <v/>
      </c>
      <c r="AY65" s="949">
        <f>TableauProduit[[#This Row],[Objectif de vente en unite N7]]*TableauProduit[[#This Row],[Packaging / unite]]</f>
        <v/>
      </c>
      <c r="AZ65" s="905">
        <f>TableauProduit[[#This Row],[Prix Achat de plante par kg]]*TableauProduit[[#This Row],[Total (kg) N7]]</f>
        <v/>
      </c>
      <c r="BA65" s="950">
        <f>TableauProduit[[#This Row],[Prix de vente/kg]]*TableauProduit[[#This Row],[Total (kg) N7]]</f>
        <v/>
      </c>
      <c r="BB65" s="921">
        <f>TableauProduit[[#This Row],[Revenue brut N7]]-TableauProduit[[#This Row],[Achat plante / kg de melange N7]]-TableauProduit[[#This Row],[Conditionnement N7]]</f>
        <v/>
      </c>
      <c r="BC65" s="967" t="n">
        <v>0</v>
      </c>
      <c r="BD65" s="951">
        <f>TableauProduit[[#This Row],[Poids (g) / unite]]*TableauProduit[[#This Row],[Objectif de vente en unite N8]]/1000</f>
        <v/>
      </c>
      <c r="BE65" s="952">
        <f>TableauProduit[[#This Row],[Objectif de vente en unite N8]]*TableauProduit[[#This Row],[Packaging / unite]]</f>
        <v/>
      </c>
      <c r="BF65" s="924">
        <f>TableauProduit[[#This Row],[Prix Achat de plante par kg]]*TableauProduit[[#This Row],[Total (kg) N8]]</f>
        <v/>
      </c>
      <c r="BG65" s="953">
        <f>TableauProduit[[#This Row],[Prix de vente/kg]]*TableauProduit[[#This Row],[Total (kg) N8]]</f>
        <v/>
      </c>
      <c r="BH65" s="954">
        <f>TableauProduit[[#This Row],[Revenue brut N8]]-TableauProduit[[#This Row],[Achat plante / kg de melange N8]]-TableauProduit[[#This Row],[Conditionnement N8]]</f>
        <v/>
      </c>
      <c r="BI65" s="968" t="n">
        <v>0</v>
      </c>
      <c r="BJ65" s="926">
        <f>TableauProduit[[#This Row],[Poids (g) / unite]]*TableauProduit[[#This Row],[Objectif de vente en unite N9]]/1000</f>
        <v/>
      </c>
      <c r="BK65" s="955">
        <f>TableauProduit[[#This Row],[Objectif de vente en unite N9]]*TableauProduit[[#This Row],[Packaging / unite]]</f>
        <v/>
      </c>
      <c r="BL65" s="928">
        <f>TableauProduit[[#This Row],[Prix Achat de plante par kg]]*TableauProduit[[#This Row],[Total (kg) N9]]</f>
        <v/>
      </c>
      <c r="BM65" s="956">
        <f>TableauProduit[[#This Row],[Prix de vente/kg]]*TableauProduit[[#This Row],[Total (kg) N9]]</f>
        <v/>
      </c>
      <c r="BN65" s="927">
        <f>TableauProduit[[#This Row],[Revenue brut N9]]-TableauProduit[[#This Row],[Achat plante / kg de melange N9]]-TableauProduit[[#This Row],[Conditionnement N9]]</f>
        <v/>
      </c>
    </row>
    <row r="66">
      <c r="A66" s="626" t="inlineStr">
        <is>
          <t>Advieh</t>
        </is>
      </c>
      <c r="B66" s="54">
        <f>TableauProduit[[#This Row],[Recette]]&amp;TableauProduit[[#This Row],[Conditionnement]]</f>
        <v/>
      </c>
      <c r="C66" s="11" t="n">
        <v>1</v>
      </c>
      <c r="D66" s="11" t="n">
        <v>45</v>
      </c>
      <c r="E66" s="6" t="inlineStr">
        <is>
          <t>Epice 100ml</t>
        </is>
      </c>
      <c r="F66" s="7">
        <f>IFERROR(VLOOKUP(TableauProduit[[#This Row],[Conditionnement]],TableauConditionnement[[Nom]:[Contenance]],4,FALSE),"")</f>
        <v/>
      </c>
      <c r="G66" s="969">
        <f>IFERROR(SUMIFS(TableauRecette[Prix d''achat / kg],TableauRecette[Recette],TableauProduit[[#This Row],[Recette]],TableauRecette[Conditionnement],TableauProduit[[#This Row],[Conditionnement]]),0)</f>
        <v/>
      </c>
      <c r="H66" s="929" t="n">
        <v>7.2</v>
      </c>
      <c r="I66" s="899">
        <f>1000*TableauProduit[[#This Row],[Prix de vente/U]]/TableauProduit[[#This Row],[Poids (g) / unite]]</f>
        <v/>
      </c>
      <c r="J66" s="900">
        <f>SUMIFS(TableauConcurence[PRIX_KG],TableauConcurence[PRODUIT],TableauProduit[[#This Row],[Recette]],TableauConcurence[DISTRIBUTION],"magasin NON BIO")</f>
        <v/>
      </c>
      <c r="K66" s="970">
        <f>SUMIFS(TableauConcurence[PRIX_KG],TableauConcurence[PRODUIT],TableauProduit[[#This Row],[Recette]],TableauConcurence[DISTRIBUTION],"magasin BIO")</f>
        <v/>
      </c>
      <c r="L66" s="971">
        <f>SUMIFS(TableauConcurence[PRIX_KG],TableauConcurence[PRODUIT],TableauProduit[[#This Row],[Recette]],TableauConcurence[DISTRIBUTION],"artisanale BIO")</f>
        <v/>
      </c>
      <c r="M66" s="960" t="n">
        <v>0</v>
      </c>
      <c r="N66" s="960">
        <f>TableauProduit[[#This Row],[Poids (g) / unite]]*TableauProduit[[#This Row],[Objectif de vente en unite N1]]/1000</f>
        <v/>
      </c>
      <c r="O66" s="949">
        <f>TableauProduit[[#This Row],[Objectif de vente en unite N1]]*TableauProduit[[#This Row],[Packaging / unite]]</f>
        <v/>
      </c>
      <c r="P66" s="905">
        <f>TableauProduit[[#This Row],[Prix Achat de plante par kg]]*TableauProduit[[#This Row],[Total (kg) N1]]</f>
        <v/>
      </c>
      <c r="Q66" s="905">
        <f>TableauProduit[[#This Row],[Prix de vente/kg]]*TableauProduit[[#This Row],[Total (kg) N1]]</f>
        <v/>
      </c>
      <c r="R66" s="921">
        <f>TableauProduit[[#This Row],[Revenue brut N1]]-TableauProduit[[#This Row],[Achat par kg N1]]-TableauProduit[[#This Row],[Conditionnement N1]]</f>
        <v/>
      </c>
      <c r="S66" s="961" t="n">
        <v>0</v>
      </c>
      <c r="T66" s="930">
        <f>TableauProduit[[#This Row],[Poids (g) / unite]]*TableauProduit[[#This Row],[Objectif de vente en unite N2]]/1000</f>
        <v/>
      </c>
      <c r="U66" s="931">
        <f>TableauProduit[[#This Row],[Objectif de vente en unite N2]]*TableauProduit[[#This Row],[Packaging / unite]]</f>
        <v/>
      </c>
      <c r="V66" s="909">
        <f>TableauProduit[[#This Row],[Prix Achat de plante par kg]]*TableauProduit[[#This Row],[Total (kg) N2]]</f>
        <v/>
      </c>
      <c r="W66" s="932">
        <f>TableauProduit[[#This Row],[Prix de vente/kg]]*TableauProduit[[#This Row],[Total (kg) N2]]</f>
        <v/>
      </c>
      <c r="X66" s="961">
        <f>TableauProduit[[#This Row],[Revenue brut N2]]-TableauProduit[[#This Row],[Achat plante / kg de melange N2]]-TableauProduit[[#This Row],[Conditionnement N2]]</f>
        <v/>
      </c>
      <c r="Y66" s="963" t="n">
        <v>0</v>
      </c>
      <c r="Z66" s="933">
        <f>TableauProduit[[#This Row],[Poids (g) / unite]]*TableauProduit[[#This Row],[Objectif de vente en unite N3]]/1000</f>
        <v/>
      </c>
      <c r="AA66" s="934">
        <f>TableauProduit[[#This Row],[Objectif de vente en unite N3]]*TableauProduit[[#This Row],[Packaging / unite]]</f>
        <v/>
      </c>
      <c r="AB66" s="913">
        <f>TableauProduit[[#This Row],[Prix Achat de plante par kg]]*TableauProduit[[#This Row],[Total (kg) N3]]</f>
        <v/>
      </c>
      <c r="AC66" s="935">
        <f>TableauProduit[[#This Row],[Prix de vente/kg]]*TableauProduit[[#This Row],[Total (kg) N3]]</f>
        <v/>
      </c>
      <c r="AD66" s="963">
        <f>TableauProduit[[#This Row],[Revenue brut N3]]-TableauProduit[[#This Row],[Achat plante / kg de melange N3]]-TableauProduit[[#This Row],[Conditionnement N3]]</f>
        <v/>
      </c>
      <c r="AE66" s="964" t="n">
        <v>0</v>
      </c>
      <c r="AF66" s="936">
        <f>TableauProduit[[#This Row],[Poids (g) / unite]]*TableauProduit[[#This Row],[Objectif de vente en unite N4]]/1000</f>
        <v/>
      </c>
      <c r="AG66" s="937">
        <f>TableauProduit[[#This Row],[Objectif de vente en unite N4]]*TableauProduit[[#This Row],[Packaging / unite]]</f>
        <v/>
      </c>
      <c r="AH66" s="916">
        <f>TableauProduit[[#This Row],[Prix Achat de plante par kg]]*TableauProduit[[#This Row],[Total (kg) N4]]</f>
        <v/>
      </c>
      <c r="AI66" s="938">
        <f>TableauProduit[[#This Row],[Prix de vente/kg]]*TableauProduit[[#This Row],[Total (kg) N4]]</f>
        <v/>
      </c>
      <c r="AJ66" s="939">
        <f>TableauProduit[[#This Row],[Revenue brut N4]]-TableauProduit[[#This Row],[Achat plante / kg de melange N4]]-TableauProduit[[#This Row],[Conditionnement N4]]</f>
        <v/>
      </c>
      <c r="AK66" s="965" t="n">
        <v>0</v>
      </c>
      <c r="AL66" s="940">
        <f>TableauProduit[[#This Row],[Poids (g) / unite]]*TableauProduit[[#This Row],[Objectif de vente en unite N5]]/1000</f>
        <v/>
      </c>
      <c r="AM66" s="941">
        <f>TableauProduit[[#This Row],[Objectif de vente en unite N5]]*TableauProduit[[#This Row],[Packaging / unite]]</f>
        <v/>
      </c>
      <c r="AN66" s="918">
        <f>TableauProduit[[#This Row],[Prix Achat de plante par kg]]*TableauProduit[[#This Row],[Total (kg) N5]]</f>
        <v/>
      </c>
      <c r="AO66" s="942">
        <f>TableauProduit[[#This Row],[Prix de vente/kg]]*TableauProduit[[#This Row],[Total (kg) N5]]</f>
        <v/>
      </c>
      <c r="AP66" s="943">
        <f>TableauProduit[[#This Row],[Revenue brut N5]]-TableauProduit[[#This Row],[Achat plante / kg de melange N5]]-TableauProduit[[#This Row],[Conditionnement N5]]</f>
        <v/>
      </c>
      <c r="AQ66" s="966" t="n">
        <v>0</v>
      </c>
      <c r="AR66" s="944">
        <f>TableauProduit[[#This Row],[Poids (g) / unite]]*TableauProduit[[#This Row],[Objectif de vente en unite N6]]/1000</f>
        <v/>
      </c>
      <c r="AS66" s="945">
        <f>TableauProduit[[#This Row],[Objectif de vente en unite N6]]*TableauProduit[[#This Row],[Packaging / unite]]</f>
        <v/>
      </c>
      <c r="AT66" s="920">
        <f>TableauProduit[[#This Row],[Prix Achat de plante par kg]]*TableauProduit[[#This Row],[Total (kg) N6]]</f>
        <v/>
      </c>
      <c r="AU66" s="946">
        <f>TableauProduit[[#This Row],[Prix de vente/kg]]*TableauProduit[[#This Row],[Total (kg) N6]]</f>
        <v/>
      </c>
      <c r="AV66" s="947">
        <f>TableauProduit[[#This Row],[Revenue brut N6]]-TableauProduit[[#This Row],[Achat plante / kg de melange N6]]-TableauProduit[[#This Row],[Conditionnement N6]]</f>
        <v/>
      </c>
      <c r="AW66" s="960" t="n">
        <v>0</v>
      </c>
      <c r="AX66" s="948">
        <f>TableauProduit[[#This Row],[Poids (g) / unite]]*TableauProduit[[#This Row],[Objectif de vente en unite N7]]/1000</f>
        <v/>
      </c>
      <c r="AY66" s="949">
        <f>TableauProduit[[#This Row],[Objectif de vente en unite N7]]*TableauProduit[[#This Row],[Packaging / unite]]</f>
        <v/>
      </c>
      <c r="AZ66" s="905">
        <f>TableauProduit[[#This Row],[Prix Achat de plante par kg]]*TableauProduit[[#This Row],[Total (kg) N7]]</f>
        <v/>
      </c>
      <c r="BA66" s="950">
        <f>TableauProduit[[#This Row],[Prix de vente/kg]]*TableauProduit[[#This Row],[Total (kg) N7]]</f>
        <v/>
      </c>
      <c r="BB66" s="972">
        <f>TableauProduit[[#This Row],[Revenue brut N7]]-TableauProduit[[#This Row],[Achat plante / kg de melange N7]]-TableauProduit[[#This Row],[Conditionnement N7]]</f>
        <v/>
      </c>
      <c r="BC66" s="973" t="n">
        <v>0</v>
      </c>
      <c r="BD66" s="951">
        <f>TableauProduit[[#This Row],[Poids (g) / unite]]*TableauProduit[[#This Row],[Objectif de vente en unite N8]]/1000</f>
        <v/>
      </c>
      <c r="BE66" s="952">
        <f>TableauProduit[[#This Row],[Objectif de vente en unite N8]]*TableauProduit[[#This Row],[Packaging / unite]]</f>
        <v/>
      </c>
      <c r="BF66" s="924">
        <f>TableauProduit[[#This Row],[Prix Achat de plante par kg]]*TableauProduit[[#This Row],[Total (kg) N8]]</f>
        <v/>
      </c>
      <c r="BG66" s="953">
        <f>TableauProduit[[#This Row],[Prix de vente/kg]]*TableauProduit[[#This Row],[Total (kg) N8]]</f>
        <v/>
      </c>
      <c r="BH66" s="954">
        <f>TableauProduit[[#This Row],[Revenue brut N8]]-TableauProduit[[#This Row],[Achat plante / kg de melange N8]]-TableauProduit[[#This Row],[Conditionnement N8]]</f>
        <v/>
      </c>
      <c r="BI66" s="968" t="n">
        <v>0</v>
      </c>
      <c r="BJ66" s="926">
        <f>TableauProduit[[#This Row],[Poids (g) / unite]]*TableauProduit[[#This Row],[Objectif de vente en unite N9]]/1000</f>
        <v/>
      </c>
      <c r="BK66" s="955">
        <f>TableauProduit[[#This Row],[Objectif de vente en unite N9]]*TableauProduit[[#This Row],[Packaging / unite]]</f>
        <v/>
      </c>
      <c r="BL66" s="928">
        <f>TableauProduit[[#This Row],[Prix Achat de plante par kg]]*TableauProduit[[#This Row],[Total (kg) N9]]</f>
        <v/>
      </c>
      <c r="BM66" s="956">
        <f>TableauProduit[[#This Row],[Prix de vente/kg]]*TableauProduit[[#This Row],[Total (kg) N9]]</f>
        <v/>
      </c>
      <c r="BN66" s="927">
        <f>TableauProduit[[#This Row],[Revenue brut N9]]-TableauProduit[[#This Row],[Achat plante / kg de melange N9]]-TableauProduit[[#This Row],[Conditionnement N9]]</f>
        <v/>
      </c>
    </row>
    <row r="67">
      <c r="A67" s="625" t="inlineStr">
        <is>
          <t>Garam masla birman</t>
        </is>
      </c>
      <c r="B67" s="54">
        <f>TableauProduit[[#This Row],[Recette]]&amp;TableauProduit[[#This Row],[Conditionnement]]</f>
        <v/>
      </c>
      <c r="C67" s="11" t="n">
        <v>1</v>
      </c>
      <c r="D67" s="11" t="n">
        <v>50</v>
      </c>
      <c r="E67" s="6" t="inlineStr">
        <is>
          <t>Epice 100ml</t>
        </is>
      </c>
      <c r="F67" s="7">
        <f>IFERROR(VLOOKUP(TableauProduit[[#This Row],[Conditionnement]],TableauConditionnement[[Nom]:[Contenance]],4,FALSE),"")</f>
        <v/>
      </c>
      <c r="G67" s="969">
        <f>IFERROR(SUMIFS(TableauRecette[Prix d''achat / kg],TableauRecette[Recette],TableauProduit[[#This Row],[Recette]],TableauRecette[Conditionnement],TableauProduit[[#This Row],[Conditionnement]]),0)</f>
        <v/>
      </c>
      <c r="H67" s="929" t="n">
        <v>5</v>
      </c>
      <c r="I67" s="899">
        <f>1000*TableauProduit[[#This Row],[Prix de vente/U]]/TableauProduit[[#This Row],[Poids (g) / unite]]</f>
        <v/>
      </c>
      <c r="J67" s="900">
        <f>SUMIFS(TableauConcurence[PRIX_KG],TableauConcurence[PRODUIT],TableauProduit[[#This Row],[Recette]],TableauConcurence[DISTRIBUTION],"magasin NON BIO")</f>
        <v/>
      </c>
      <c r="K67" s="970">
        <f>SUMIFS(TableauConcurence[PRIX_KG],TableauConcurence[PRODUIT],TableauProduit[[#This Row],[Recette]],TableauConcurence[DISTRIBUTION],"magasin BIO")</f>
        <v/>
      </c>
      <c r="L67" s="971">
        <f>SUMIFS(TableauConcurence[PRIX_KG],TableauConcurence[PRODUIT],TableauProduit[[#This Row],[Recette]],TableauConcurence[DISTRIBUTION],"artisanale BIO")</f>
        <v/>
      </c>
      <c r="M67" s="960" t="n">
        <v>0</v>
      </c>
      <c r="N67" s="960">
        <f>TableauProduit[[#This Row],[Poids (g) / unite]]*TableauProduit[[#This Row],[Objectif de vente en unite N1]]/1000</f>
        <v/>
      </c>
      <c r="O67" s="949">
        <f>TableauProduit[[#This Row],[Objectif de vente en unite N1]]*TableauProduit[[#This Row],[Packaging / unite]]</f>
        <v/>
      </c>
      <c r="P67" s="905">
        <f>TableauProduit[[#This Row],[Prix Achat de plante par kg]]*TableauProduit[[#This Row],[Total (kg) N1]]</f>
        <v/>
      </c>
      <c r="Q67" s="950">
        <f>TableauProduit[[#This Row],[Prix de vente/kg]]*TableauProduit[[#This Row],[Total (kg) N1]]</f>
        <v/>
      </c>
      <c r="R67" s="921">
        <f>TableauProduit[[#This Row],[Revenue brut N1]]-TableauProduit[[#This Row],[Achat par kg N1]]-TableauProduit[[#This Row],[Conditionnement N1]]</f>
        <v/>
      </c>
      <c r="S67" s="961" t="n">
        <v>0</v>
      </c>
      <c r="T67" s="930">
        <f>TableauProduit[[#This Row],[Poids (g) / unite]]*TableauProduit[[#This Row],[Objectif de vente en unite N2]]/1000</f>
        <v/>
      </c>
      <c r="U67" s="931">
        <f>TableauProduit[[#This Row],[Objectif de vente en unite N2]]*TableauProduit[[#This Row],[Packaging / unite]]</f>
        <v/>
      </c>
      <c r="V67" s="909">
        <f>TableauProduit[[#This Row],[Prix Achat de plante par kg]]*TableauProduit[[#This Row],[Total (kg) N2]]</f>
        <v/>
      </c>
      <c r="W67" s="932">
        <f>TableauProduit[[#This Row],[Prix de vente/kg]]*TableauProduit[[#This Row],[Total (kg) N2]]</f>
        <v/>
      </c>
      <c r="X67" s="961">
        <f>TableauProduit[[#This Row],[Revenue brut N2]]-TableauProduit[[#This Row],[Achat plante / kg de melange N2]]-TableauProduit[[#This Row],[Conditionnement N2]]</f>
        <v/>
      </c>
      <c r="Y67" s="963" t="n">
        <v>0</v>
      </c>
      <c r="Z67" s="933">
        <f>TableauProduit[[#This Row],[Poids (g) / unite]]*TableauProduit[[#This Row],[Objectif de vente en unite N3]]/1000</f>
        <v/>
      </c>
      <c r="AA67" s="934">
        <f>TableauProduit[[#This Row],[Objectif de vente en unite N3]]*TableauProduit[[#This Row],[Packaging / unite]]</f>
        <v/>
      </c>
      <c r="AB67" s="913">
        <f>TableauProduit[[#This Row],[Prix Achat de plante par kg]]*TableauProduit[[#This Row],[Total (kg) N3]]</f>
        <v/>
      </c>
      <c r="AC67" s="935">
        <f>TableauProduit[[#This Row],[Prix de vente/kg]]*TableauProduit[[#This Row],[Total (kg) N3]]</f>
        <v/>
      </c>
      <c r="AD67" s="963">
        <f>TableauProduit[[#This Row],[Revenue brut N3]]-TableauProduit[[#This Row],[Achat plante / kg de melange N3]]-TableauProduit[[#This Row],[Conditionnement N3]]</f>
        <v/>
      </c>
      <c r="AE67" s="964" t="n">
        <v>0</v>
      </c>
      <c r="AF67" s="936">
        <f>TableauProduit[[#This Row],[Poids (g) / unite]]*TableauProduit[[#This Row],[Objectif de vente en unite N4]]/1000</f>
        <v/>
      </c>
      <c r="AG67" s="937">
        <f>TableauProduit[[#This Row],[Objectif de vente en unite N4]]*TableauProduit[[#This Row],[Packaging / unite]]</f>
        <v/>
      </c>
      <c r="AH67" s="916">
        <f>TableauProduit[[#This Row],[Prix Achat de plante par kg]]*TableauProduit[[#This Row],[Total (kg) N4]]</f>
        <v/>
      </c>
      <c r="AI67" s="938">
        <f>TableauProduit[[#This Row],[Prix de vente/kg]]*TableauProduit[[#This Row],[Total (kg) N4]]</f>
        <v/>
      </c>
      <c r="AJ67" s="939">
        <f>TableauProduit[[#This Row],[Revenue brut N4]]-TableauProduit[[#This Row],[Achat plante / kg de melange N4]]-TableauProduit[[#This Row],[Conditionnement N4]]</f>
        <v/>
      </c>
      <c r="AK67" s="965" t="n">
        <v>0</v>
      </c>
      <c r="AL67" s="940">
        <f>TableauProduit[[#This Row],[Poids (g) / unite]]*TableauProduit[[#This Row],[Objectif de vente en unite N5]]/1000</f>
        <v/>
      </c>
      <c r="AM67" s="941">
        <f>TableauProduit[[#This Row],[Objectif de vente en unite N5]]*TableauProduit[[#This Row],[Packaging / unite]]</f>
        <v/>
      </c>
      <c r="AN67" s="918">
        <f>TableauProduit[[#This Row],[Prix Achat de plante par kg]]*TableauProduit[[#This Row],[Total (kg) N5]]</f>
        <v/>
      </c>
      <c r="AO67" s="942">
        <f>TableauProduit[[#This Row],[Prix de vente/kg]]*TableauProduit[[#This Row],[Total (kg) N5]]</f>
        <v/>
      </c>
      <c r="AP67" s="943">
        <f>TableauProduit[[#This Row],[Revenue brut N5]]-TableauProduit[[#This Row],[Achat plante / kg de melange N5]]-TableauProduit[[#This Row],[Conditionnement N5]]</f>
        <v/>
      </c>
      <c r="AQ67" s="966" t="n">
        <v>0</v>
      </c>
      <c r="AR67" s="944">
        <f>TableauProduit[[#This Row],[Poids (g) / unite]]*TableauProduit[[#This Row],[Objectif de vente en unite N6]]/1000</f>
        <v/>
      </c>
      <c r="AS67" s="945">
        <f>TableauProduit[[#This Row],[Objectif de vente en unite N6]]*TableauProduit[[#This Row],[Packaging / unite]]</f>
        <v/>
      </c>
      <c r="AT67" s="920">
        <f>TableauProduit[[#This Row],[Prix Achat de plante par kg]]*TableauProduit[[#This Row],[Total (kg) N6]]</f>
        <v/>
      </c>
      <c r="AU67" s="946">
        <f>TableauProduit[[#This Row],[Prix de vente/kg]]*TableauProduit[[#This Row],[Total (kg) N6]]</f>
        <v/>
      </c>
      <c r="AV67" s="947">
        <f>TableauProduit[[#This Row],[Revenue brut N6]]-TableauProduit[[#This Row],[Achat plante / kg de melange N6]]-TableauProduit[[#This Row],[Conditionnement N6]]</f>
        <v/>
      </c>
      <c r="AW67" s="960" t="n">
        <v>0</v>
      </c>
      <c r="AX67" s="948">
        <f>TableauProduit[[#This Row],[Poids (g) / unite]]*TableauProduit[[#This Row],[Objectif de vente en unite N7]]/1000</f>
        <v/>
      </c>
      <c r="AY67" s="949">
        <f>TableauProduit[[#This Row],[Objectif de vente en unite N7]]*TableauProduit[[#This Row],[Packaging / unite]]</f>
        <v/>
      </c>
      <c r="AZ67" s="905">
        <f>TableauProduit[[#This Row],[Prix Achat de plante par kg]]*TableauProduit[[#This Row],[Total (kg) N7]]</f>
        <v/>
      </c>
      <c r="BA67" s="950">
        <f>TableauProduit[[#This Row],[Prix de vente/kg]]*TableauProduit[[#This Row],[Total (kg) N7]]</f>
        <v/>
      </c>
      <c r="BB67" s="972">
        <f>TableauProduit[[#This Row],[Revenue brut N7]]-TableauProduit[[#This Row],[Achat plante / kg de melange N7]]-TableauProduit[[#This Row],[Conditionnement N7]]</f>
        <v/>
      </c>
      <c r="BC67" s="973" t="n">
        <v>0</v>
      </c>
      <c r="BD67" s="951">
        <f>TableauProduit[[#This Row],[Poids (g) / unite]]*TableauProduit[[#This Row],[Objectif de vente en unite N8]]/1000</f>
        <v/>
      </c>
      <c r="BE67" s="952">
        <f>TableauProduit[[#This Row],[Objectif de vente en unite N8]]*TableauProduit[[#This Row],[Packaging / unite]]</f>
        <v/>
      </c>
      <c r="BF67" s="924">
        <f>TableauProduit[[#This Row],[Prix Achat de plante par kg]]*TableauProduit[[#This Row],[Total (kg) N8]]</f>
        <v/>
      </c>
      <c r="BG67" s="953">
        <f>TableauProduit[[#This Row],[Prix de vente/kg]]*TableauProduit[[#This Row],[Total (kg) N8]]</f>
        <v/>
      </c>
      <c r="BH67" s="954">
        <f>TableauProduit[[#This Row],[Revenue brut N8]]-TableauProduit[[#This Row],[Achat plante / kg de melange N8]]-TableauProduit[[#This Row],[Conditionnement N8]]</f>
        <v/>
      </c>
      <c r="BI67" s="968" t="n">
        <v>0</v>
      </c>
      <c r="BJ67" s="926">
        <f>TableauProduit[[#This Row],[Poids (g) / unite]]*TableauProduit[[#This Row],[Objectif de vente en unite N9]]/1000</f>
        <v/>
      </c>
      <c r="BK67" s="955">
        <f>TableauProduit[[#This Row],[Objectif de vente en unite N9]]*TableauProduit[[#This Row],[Packaging / unite]]</f>
        <v/>
      </c>
      <c r="BL67" s="928">
        <f>TableauProduit[[#This Row],[Prix Achat de plante par kg]]*TableauProduit[[#This Row],[Total (kg) N9]]</f>
        <v/>
      </c>
      <c r="BM67" s="956">
        <f>TableauProduit[[#This Row],[Prix de vente/kg]]*TableauProduit[[#This Row],[Total (kg) N9]]</f>
        <v/>
      </c>
      <c r="BN67" s="927">
        <f>TableauProduit[[#This Row],[Revenue brut N9]]-TableauProduit[[#This Row],[Achat plante / kg de melange N9]]-TableauProduit[[#This Row],[Conditionnement N9]]</f>
        <v/>
      </c>
    </row>
    <row r="68">
      <c r="A68" s="625" t="inlineStr">
        <is>
          <t>Quatre epices</t>
        </is>
      </c>
      <c r="B68" s="54">
        <f>TableauProduit[[#This Row],[Recette]]&amp;TableauProduit[[#This Row],[Conditionnement]]</f>
        <v/>
      </c>
      <c r="C68" s="11" t="n">
        <v>1</v>
      </c>
      <c r="D68" s="11" t="n">
        <v>50</v>
      </c>
      <c r="E68" s="6" t="inlineStr">
        <is>
          <t>Epice 100ml</t>
        </is>
      </c>
      <c r="F68" s="7">
        <f>IFERROR(VLOOKUP(TableauProduit[[#This Row],[Conditionnement]],TableauConditionnement[[Nom]:[Contenance]],4,FALSE),"")</f>
        <v/>
      </c>
      <c r="G68" s="969">
        <f>IFERROR(SUMIFS(TableauRecette[Prix d''achat / kg],TableauRecette[Recette],TableauProduit[[#This Row],[Recette]],TableauRecette[Conditionnement],TableauProduit[[#This Row],[Conditionnement]]),0)</f>
        <v/>
      </c>
      <c r="H68" s="929" t="n">
        <v>5</v>
      </c>
      <c r="I68" s="899">
        <f>1000*TableauProduit[[#This Row],[Prix de vente/U]]/TableauProduit[[#This Row],[Poids (g) / unite]]</f>
        <v/>
      </c>
      <c r="J68" s="900">
        <f>SUMIFS(TableauConcurence[PRIX_KG],TableauConcurence[PRODUIT],TableauProduit[[#This Row],[Recette]],TableauConcurence[DISTRIBUTION],"magasin NON BIO")</f>
        <v/>
      </c>
      <c r="K68" s="970">
        <f>SUMIFS(TableauConcurence[PRIX_KG],TableauConcurence[PRODUIT],TableauProduit[[#This Row],[Recette]],TableauConcurence[DISTRIBUTION],"magasin BIO")</f>
        <v/>
      </c>
      <c r="L68" s="971">
        <f>SUMIFS(TableauConcurence[PRIX_KG],TableauConcurence[PRODUIT],TableauProduit[[#This Row],[Recette]],TableauConcurence[DISTRIBUTION],"artisanale BIO")</f>
        <v/>
      </c>
      <c r="M68" s="960" t="n">
        <v>0</v>
      </c>
      <c r="N68" s="960">
        <f>TableauProduit[[#This Row],[Poids (g) / unite]]*TableauProduit[[#This Row],[Objectif de vente en unite N1]]/1000</f>
        <v/>
      </c>
      <c r="O68" s="949">
        <f>TableauProduit[[#This Row],[Objectif de vente en unite N1]]*TableauProduit[[#This Row],[Packaging / unite]]</f>
        <v/>
      </c>
      <c r="P68" s="905">
        <f>TableauProduit[[#This Row],[Prix Achat de plante par kg]]*TableauProduit[[#This Row],[Total (kg) N1]]</f>
        <v/>
      </c>
      <c r="Q68" s="950">
        <f>TableauProduit[[#This Row],[Prix de vente/kg]]*TableauProduit[[#This Row],[Total (kg) N1]]</f>
        <v/>
      </c>
      <c r="R68" s="921">
        <f>TableauProduit[[#This Row],[Revenue brut N1]]-TableauProduit[[#This Row],[Achat par kg N1]]-TableauProduit[[#This Row],[Conditionnement N1]]</f>
        <v/>
      </c>
      <c r="S68" s="961" t="n">
        <v>0</v>
      </c>
      <c r="T68" s="930">
        <f>TableauProduit[[#This Row],[Poids (g) / unite]]*TableauProduit[[#This Row],[Objectif de vente en unite N2]]/1000</f>
        <v/>
      </c>
      <c r="U68" s="931">
        <f>TableauProduit[[#This Row],[Objectif de vente en unite N2]]*TableauProduit[[#This Row],[Packaging / unite]]</f>
        <v/>
      </c>
      <c r="V68" s="909">
        <f>TableauProduit[[#This Row],[Prix Achat de plante par kg]]*TableauProduit[[#This Row],[Total (kg) N2]]</f>
        <v/>
      </c>
      <c r="W68" s="932">
        <f>TableauProduit[[#This Row],[Prix de vente/kg]]*TableauProduit[[#This Row],[Total (kg) N2]]</f>
        <v/>
      </c>
      <c r="X68" s="961">
        <f>TableauProduit[[#This Row],[Revenue brut N2]]-TableauProduit[[#This Row],[Achat plante / kg de melange N2]]-TableauProduit[[#This Row],[Conditionnement N2]]</f>
        <v/>
      </c>
      <c r="Y68" s="963" t="n">
        <v>0</v>
      </c>
      <c r="Z68" s="933">
        <f>TableauProduit[[#This Row],[Poids (g) / unite]]*TableauProduit[[#This Row],[Objectif de vente en unite N3]]/1000</f>
        <v/>
      </c>
      <c r="AA68" s="934">
        <f>TableauProduit[[#This Row],[Objectif de vente en unite N3]]*TableauProduit[[#This Row],[Packaging / unite]]</f>
        <v/>
      </c>
      <c r="AB68" s="913">
        <f>TableauProduit[[#This Row],[Prix Achat de plante par kg]]*TableauProduit[[#This Row],[Total (kg) N3]]</f>
        <v/>
      </c>
      <c r="AC68" s="935">
        <f>TableauProduit[[#This Row],[Prix de vente/kg]]*TableauProduit[[#This Row],[Total (kg) N3]]</f>
        <v/>
      </c>
      <c r="AD68" s="963">
        <f>TableauProduit[[#This Row],[Revenue brut N3]]-TableauProduit[[#This Row],[Achat plante / kg de melange N3]]-TableauProduit[[#This Row],[Conditionnement N3]]</f>
        <v/>
      </c>
      <c r="AE68" s="964" t="n">
        <v>0</v>
      </c>
      <c r="AF68" s="936">
        <f>TableauProduit[[#This Row],[Poids (g) / unite]]*TableauProduit[[#This Row],[Objectif de vente en unite N4]]/1000</f>
        <v/>
      </c>
      <c r="AG68" s="937">
        <f>TableauProduit[[#This Row],[Objectif de vente en unite N4]]*TableauProduit[[#This Row],[Packaging / unite]]</f>
        <v/>
      </c>
      <c r="AH68" s="916">
        <f>TableauProduit[[#This Row],[Prix Achat de plante par kg]]*TableauProduit[[#This Row],[Total (kg) N4]]</f>
        <v/>
      </c>
      <c r="AI68" s="938">
        <f>TableauProduit[[#This Row],[Prix de vente/kg]]*TableauProduit[[#This Row],[Total (kg) N4]]</f>
        <v/>
      </c>
      <c r="AJ68" s="939">
        <f>TableauProduit[[#This Row],[Revenue brut N4]]-TableauProduit[[#This Row],[Achat plante / kg de melange N4]]-TableauProduit[[#This Row],[Conditionnement N4]]</f>
        <v/>
      </c>
      <c r="AK68" s="965" t="n">
        <v>0</v>
      </c>
      <c r="AL68" s="940">
        <f>TableauProduit[[#This Row],[Poids (g) / unite]]*TableauProduit[[#This Row],[Objectif de vente en unite N5]]/1000</f>
        <v/>
      </c>
      <c r="AM68" s="941">
        <f>TableauProduit[[#This Row],[Objectif de vente en unite N5]]*TableauProduit[[#This Row],[Packaging / unite]]</f>
        <v/>
      </c>
      <c r="AN68" s="918">
        <f>TableauProduit[[#This Row],[Prix Achat de plante par kg]]*TableauProduit[[#This Row],[Total (kg) N5]]</f>
        <v/>
      </c>
      <c r="AO68" s="942">
        <f>TableauProduit[[#This Row],[Prix de vente/kg]]*TableauProduit[[#This Row],[Total (kg) N5]]</f>
        <v/>
      </c>
      <c r="AP68" s="943">
        <f>TableauProduit[[#This Row],[Revenue brut N5]]-TableauProduit[[#This Row],[Achat plante / kg de melange N5]]-TableauProduit[[#This Row],[Conditionnement N5]]</f>
        <v/>
      </c>
      <c r="AQ68" s="966" t="n">
        <v>0</v>
      </c>
      <c r="AR68" s="944">
        <f>TableauProduit[[#This Row],[Poids (g) / unite]]*TableauProduit[[#This Row],[Objectif de vente en unite N6]]/1000</f>
        <v/>
      </c>
      <c r="AS68" s="945">
        <f>TableauProduit[[#This Row],[Objectif de vente en unite N6]]*TableauProduit[[#This Row],[Packaging / unite]]</f>
        <v/>
      </c>
      <c r="AT68" s="920">
        <f>TableauProduit[[#This Row],[Prix Achat de plante par kg]]*TableauProduit[[#This Row],[Total (kg) N6]]</f>
        <v/>
      </c>
      <c r="AU68" s="946">
        <f>TableauProduit[[#This Row],[Prix de vente/kg]]*TableauProduit[[#This Row],[Total (kg) N6]]</f>
        <v/>
      </c>
      <c r="AV68" s="947">
        <f>TableauProduit[[#This Row],[Revenue brut N6]]-TableauProduit[[#This Row],[Achat plante / kg de melange N6]]-TableauProduit[[#This Row],[Conditionnement N6]]</f>
        <v/>
      </c>
      <c r="AW68" s="960" t="n">
        <v>0</v>
      </c>
      <c r="AX68" s="948">
        <f>TableauProduit[[#This Row],[Poids (g) / unite]]*TableauProduit[[#This Row],[Objectif de vente en unite N7]]/1000</f>
        <v/>
      </c>
      <c r="AY68" s="949">
        <f>TableauProduit[[#This Row],[Objectif de vente en unite N7]]*TableauProduit[[#This Row],[Packaging / unite]]</f>
        <v/>
      </c>
      <c r="AZ68" s="905">
        <f>TableauProduit[[#This Row],[Prix Achat de plante par kg]]*TableauProduit[[#This Row],[Total (kg) N7]]</f>
        <v/>
      </c>
      <c r="BA68" s="950">
        <f>TableauProduit[[#This Row],[Prix de vente/kg]]*TableauProduit[[#This Row],[Total (kg) N7]]</f>
        <v/>
      </c>
      <c r="BB68" s="972">
        <f>TableauProduit[[#This Row],[Revenue brut N7]]-TableauProduit[[#This Row],[Achat plante / kg de melange N7]]-TableauProduit[[#This Row],[Conditionnement N7]]</f>
        <v/>
      </c>
      <c r="BC68" s="973" t="n">
        <v>0</v>
      </c>
      <c r="BD68" s="951">
        <f>TableauProduit[[#This Row],[Poids (g) / unite]]*TableauProduit[[#This Row],[Objectif de vente en unite N8]]/1000</f>
        <v/>
      </c>
      <c r="BE68" s="952">
        <f>TableauProduit[[#This Row],[Objectif de vente en unite N8]]*TableauProduit[[#This Row],[Packaging / unite]]</f>
        <v/>
      </c>
      <c r="BF68" s="924">
        <f>TableauProduit[[#This Row],[Prix Achat de plante par kg]]*TableauProduit[[#This Row],[Total (kg) N8]]</f>
        <v/>
      </c>
      <c r="BG68" s="953">
        <f>TableauProduit[[#This Row],[Prix de vente/kg]]*TableauProduit[[#This Row],[Total (kg) N8]]</f>
        <v/>
      </c>
      <c r="BH68" s="954">
        <f>TableauProduit[[#This Row],[Revenue brut N8]]-TableauProduit[[#This Row],[Achat plante / kg de melange N8]]-TableauProduit[[#This Row],[Conditionnement N8]]</f>
        <v/>
      </c>
      <c r="BI68" s="968" t="n">
        <v>0</v>
      </c>
      <c r="BJ68" s="926">
        <f>TableauProduit[[#This Row],[Poids (g) / unite]]*TableauProduit[[#This Row],[Objectif de vente en unite N9]]/1000</f>
        <v/>
      </c>
      <c r="BK68" s="955">
        <f>TableauProduit[[#This Row],[Objectif de vente en unite N9]]*TableauProduit[[#This Row],[Packaging / unite]]</f>
        <v/>
      </c>
      <c r="BL68" s="928">
        <f>TableauProduit[[#This Row],[Prix Achat de plante par kg]]*TableauProduit[[#This Row],[Total (kg) N9]]</f>
        <v/>
      </c>
      <c r="BM68" s="956">
        <f>TableauProduit[[#This Row],[Prix de vente/kg]]*TableauProduit[[#This Row],[Total (kg) N9]]</f>
        <v/>
      </c>
      <c r="BN68" s="927">
        <f>TableauProduit[[#This Row],[Revenue brut N9]]-TableauProduit[[#This Row],[Achat plante / kg de melange N9]]-TableauProduit[[#This Row],[Conditionnement N9]]</f>
        <v/>
      </c>
    </row>
    <row r="69">
      <c r="A69" s="13" t="inlineStr">
        <is>
          <t>Garam masala</t>
        </is>
      </c>
      <c r="B69" s="54">
        <f>TableauProduit[[#This Row],[Recette]]&amp;TableauProduit[[#This Row],[Conditionnement]]</f>
        <v/>
      </c>
      <c r="C69" s="11" t="n">
        <v>1</v>
      </c>
      <c r="D69" s="11" t="n">
        <v>50</v>
      </c>
      <c r="E69" s="6" t="inlineStr">
        <is>
          <t>Epice 100ml</t>
        </is>
      </c>
      <c r="F69" s="673">
        <f>IFERROR(VLOOKUP(TableauProduit[[#This Row],[Conditionnement]],TableauConditionnement[[Nom]:[Contenance]],4,FALSE),"")</f>
        <v/>
      </c>
      <c r="G69" s="969">
        <f>IFERROR(SUMIFS(TableauRecette[Prix d''achat / kg],TableauRecette[Recette],TableauProduit[[#This Row],[Recette]],TableauRecette[Conditionnement],TableauProduit[[#This Row],[Conditionnement]]),0)</f>
        <v/>
      </c>
      <c r="H69" s="929" t="n">
        <v>5</v>
      </c>
      <c r="I69" s="899">
        <f>1000*TableauProduit[[#This Row],[Prix de vente/U]]/TableauProduit[[#This Row],[Poids (g) / unite]]</f>
        <v/>
      </c>
      <c r="J69" s="900">
        <f>SUMIFS(TableauConcurence[PRIX_KG],TableauConcurence[PRODUIT],TableauProduit[[#This Row],[Recette]],TableauConcurence[DISTRIBUTION],"magasin NON BIO")</f>
        <v/>
      </c>
      <c r="K69" s="970">
        <f>SUMIFS(TableauConcurence[PRIX_KG],TableauConcurence[PRODUIT],TableauProduit[[#This Row],[Recette]],TableauConcurence[DISTRIBUTION],"magasin BIO")</f>
        <v/>
      </c>
      <c r="L69" s="971">
        <f>SUMIFS(TableauConcurence[PRIX_KG],TableauConcurence[PRODUIT],TableauProduit[[#This Row],[Recette]],TableauConcurence[DISTRIBUTION],"artisanale BIO")</f>
        <v/>
      </c>
      <c r="M69" s="960" t="n">
        <v>0</v>
      </c>
      <c r="N69" s="960">
        <f>TableauProduit[[#This Row],[Poids (g) / unite]]*TableauProduit[[#This Row],[Objectif de vente en unite N1]]/1000</f>
        <v/>
      </c>
      <c r="O69" s="949">
        <f>TableauProduit[[#This Row],[Objectif de vente en unite N1]]*TableauProduit[[#This Row],[Packaging / unite]]</f>
        <v/>
      </c>
      <c r="P69" s="905">
        <f>TableauProduit[[#This Row],[Prix Achat de plante par kg]]*TableauProduit[[#This Row],[Total (kg) N1]]</f>
        <v/>
      </c>
      <c r="Q69" s="950">
        <f>TableauProduit[[#This Row],[Prix de vente/kg]]*TableauProduit[[#This Row],[Total (kg) N1]]</f>
        <v/>
      </c>
      <c r="R69" s="921">
        <f>TableauProduit[[#This Row],[Revenue brut N1]]-TableauProduit[[#This Row],[Achat par kg N1]]-TableauProduit[[#This Row],[Conditionnement N1]]</f>
        <v/>
      </c>
      <c r="S69" s="961" t="n">
        <v>0</v>
      </c>
      <c r="T69" s="930">
        <f>TableauProduit[[#This Row],[Poids (g) / unite]]*TableauProduit[[#This Row],[Objectif de vente en unite N2]]/1000</f>
        <v/>
      </c>
      <c r="U69" s="931">
        <f>TableauProduit[[#This Row],[Objectif de vente en unite N2]]*TableauProduit[[#This Row],[Packaging / unite]]</f>
        <v/>
      </c>
      <c r="V69" s="909">
        <f>TableauProduit[[#This Row],[Prix Achat de plante par kg]]*TableauProduit[[#This Row],[Total (kg) N2]]</f>
        <v/>
      </c>
      <c r="W69" s="932">
        <f>TableauProduit[[#This Row],[Prix de vente/kg]]*TableauProduit[[#This Row],[Total (kg) N2]]</f>
        <v/>
      </c>
      <c r="X69" s="961">
        <f>TableauProduit[[#This Row],[Revenue brut N2]]-TableauProduit[[#This Row],[Achat plante / kg de melange N2]]-TableauProduit[[#This Row],[Conditionnement N2]]</f>
        <v/>
      </c>
      <c r="Y69" s="963" t="n">
        <v>0</v>
      </c>
      <c r="Z69" s="933">
        <f>TableauProduit[[#This Row],[Poids (g) / unite]]*TableauProduit[[#This Row],[Objectif de vente en unite N3]]/1000</f>
        <v/>
      </c>
      <c r="AA69" s="934">
        <f>TableauProduit[[#This Row],[Objectif de vente en unite N3]]*TableauProduit[[#This Row],[Packaging / unite]]</f>
        <v/>
      </c>
      <c r="AB69" s="913">
        <f>TableauProduit[[#This Row],[Prix Achat de plante par kg]]*TableauProduit[[#This Row],[Total (kg) N3]]</f>
        <v/>
      </c>
      <c r="AC69" s="935">
        <f>TableauProduit[[#This Row],[Prix de vente/kg]]*TableauProduit[[#This Row],[Total (kg) N3]]</f>
        <v/>
      </c>
      <c r="AD69" s="963">
        <f>TableauProduit[[#This Row],[Revenue brut N3]]-TableauProduit[[#This Row],[Achat plante / kg de melange N3]]-TableauProduit[[#This Row],[Conditionnement N3]]</f>
        <v/>
      </c>
      <c r="AE69" s="964" t="n">
        <v>0</v>
      </c>
      <c r="AF69" s="936">
        <f>TableauProduit[[#This Row],[Poids (g) / unite]]*TableauProduit[[#This Row],[Objectif de vente en unite N4]]/1000</f>
        <v/>
      </c>
      <c r="AG69" s="937">
        <f>TableauProduit[[#This Row],[Objectif de vente en unite N4]]*TableauProduit[[#This Row],[Packaging / unite]]</f>
        <v/>
      </c>
      <c r="AH69" s="916">
        <f>TableauProduit[[#This Row],[Prix Achat de plante par kg]]*TableauProduit[[#This Row],[Total (kg) N4]]</f>
        <v/>
      </c>
      <c r="AI69" s="938">
        <f>TableauProduit[[#This Row],[Prix de vente/kg]]*TableauProduit[[#This Row],[Total (kg) N4]]</f>
        <v/>
      </c>
      <c r="AJ69" s="939">
        <f>TableauProduit[[#This Row],[Revenue brut N4]]-TableauProduit[[#This Row],[Achat plante / kg de melange N4]]-TableauProduit[[#This Row],[Conditionnement N4]]</f>
        <v/>
      </c>
      <c r="AK69" s="965" t="n">
        <v>0</v>
      </c>
      <c r="AL69" s="940">
        <f>TableauProduit[[#This Row],[Poids (g) / unite]]*TableauProduit[[#This Row],[Objectif de vente en unite N5]]/1000</f>
        <v/>
      </c>
      <c r="AM69" s="941">
        <f>TableauProduit[[#This Row],[Objectif de vente en unite N5]]*TableauProduit[[#This Row],[Packaging / unite]]</f>
        <v/>
      </c>
      <c r="AN69" s="918">
        <f>TableauProduit[[#This Row],[Prix Achat de plante par kg]]*TableauProduit[[#This Row],[Total (kg) N5]]</f>
        <v/>
      </c>
      <c r="AO69" s="942">
        <f>TableauProduit[[#This Row],[Prix de vente/kg]]*TableauProduit[[#This Row],[Total (kg) N5]]</f>
        <v/>
      </c>
      <c r="AP69" s="943">
        <f>TableauProduit[[#This Row],[Revenue brut N5]]-TableauProduit[[#This Row],[Achat plante / kg de melange N5]]-TableauProduit[[#This Row],[Conditionnement N5]]</f>
        <v/>
      </c>
      <c r="AQ69" s="966" t="n">
        <v>0</v>
      </c>
      <c r="AR69" s="944">
        <f>TableauProduit[[#This Row],[Poids (g) / unite]]*TableauProduit[[#This Row],[Objectif de vente en unite N6]]/1000</f>
        <v/>
      </c>
      <c r="AS69" s="945">
        <f>TableauProduit[[#This Row],[Objectif de vente en unite N6]]*TableauProduit[[#This Row],[Packaging / unite]]</f>
        <v/>
      </c>
      <c r="AT69" s="920">
        <f>TableauProduit[[#This Row],[Prix Achat de plante par kg]]*TableauProduit[[#This Row],[Total (kg) N6]]</f>
        <v/>
      </c>
      <c r="AU69" s="946">
        <f>TableauProduit[[#This Row],[Prix de vente/kg]]*TableauProduit[[#This Row],[Total (kg) N6]]</f>
        <v/>
      </c>
      <c r="AV69" s="947">
        <f>TableauProduit[[#This Row],[Revenue brut N6]]-TableauProduit[[#This Row],[Achat plante / kg de melange N6]]-TableauProduit[[#This Row],[Conditionnement N6]]</f>
        <v/>
      </c>
      <c r="AW69" s="960" t="n">
        <v>0</v>
      </c>
      <c r="AX69" s="948">
        <f>TableauProduit[[#This Row],[Poids (g) / unite]]*TableauProduit[[#This Row],[Objectif de vente en unite N7]]/1000</f>
        <v/>
      </c>
      <c r="AY69" s="949">
        <f>TableauProduit[[#This Row],[Objectif de vente en unite N7]]*TableauProduit[[#This Row],[Packaging / unite]]</f>
        <v/>
      </c>
      <c r="AZ69" s="905">
        <f>TableauProduit[[#This Row],[Prix Achat de plante par kg]]*TableauProduit[[#This Row],[Total (kg) N7]]</f>
        <v/>
      </c>
      <c r="BA69" s="950">
        <f>TableauProduit[[#This Row],[Prix de vente/kg]]*TableauProduit[[#This Row],[Total (kg) N7]]</f>
        <v/>
      </c>
      <c r="BB69" s="972">
        <f>TableauProduit[[#This Row],[Revenue brut N7]]-TableauProduit[[#This Row],[Achat plante / kg de melange N7]]-TableauProduit[[#This Row],[Conditionnement N7]]</f>
        <v/>
      </c>
      <c r="BC69" s="973" t="n">
        <v>0</v>
      </c>
      <c r="BD69" s="951">
        <f>TableauProduit[[#This Row],[Poids (g) / unite]]*TableauProduit[[#This Row],[Objectif de vente en unite N8]]/1000</f>
        <v/>
      </c>
      <c r="BE69" s="952">
        <f>TableauProduit[[#This Row],[Objectif de vente en unite N8]]*TableauProduit[[#This Row],[Packaging / unite]]</f>
        <v/>
      </c>
      <c r="BF69" s="924">
        <f>TableauProduit[[#This Row],[Prix Achat de plante par kg]]*TableauProduit[[#This Row],[Total (kg) N8]]</f>
        <v/>
      </c>
      <c r="BG69" s="953">
        <f>TableauProduit[[#This Row],[Prix de vente/kg]]*TableauProduit[[#This Row],[Total (kg) N8]]</f>
        <v/>
      </c>
      <c r="BH69" s="954">
        <f>TableauProduit[[#This Row],[Revenue brut N8]]-TableauProduit[[#This Row],[Achat plante / kg de melange N8]]-TableauProduit[[#This Row],[Conditionnement N8]]</f>
        <v/>
      </c>
      <c r="BI69" s="968" t="n">
        <v>0</v>
      </c>
      <c r="BJ69" s="926">
        <f>TableauProduit[[#This Row],[Poids (g) / unite]]*TableauProduit[[#This Row],[Objectif de vente en unite N9]]/1000</f>
        <v/>
      </c>
      <c r="BK69" s="955">
        <f>TableauProduit[[#This Row],[Objectif de vente en unite N9]]*TableauProduit[[#This Row],[Packaging / unite]]</f>
        <v/>
      </c>
      <c r="BL69" s="928">
        <f>TableauProduit[[#This Row],[Prix Achat de plante par kg]]*TableauProduit[[#This Row],[Total (kg) N9]]</f>
        <v/>
      </c>
      <c r="BM69" s="956">
        <f>TableauProduit[[#This Row],[Prix de vente/kg]]*TableauProduit[[#This Row],[Total (kg) N9]]</f>
        <v/>
      </c>
      <c r="BN69" s="927">
        <f>TableauProduit[[#This Row],[Revenue brut N9]]-TableauProduit[[#This Row],[Achat plante / kg de melange N9]]-TableauProduit[[#This Row],[Conditionnement N9]]</f>
        <v/>
      </c>
    </row>
    <row r="70">
      <c r="A70" s="13" t="inlineStr">
        <is>
          <t>Garam masla</t>
        </is>
      </c>
      <c r="B70" s="54">
        <f>TableauProduit[[#This Row],[Recette]]&amp;TableauProduit[[#This Row],[Conditionnement]]</f>
        <v/>
      </c>
      <c r="C70" s="11" t="n">
        <v>1</v>
      </c>
      <c r="D70" s="11" t="n">
        <v>50</v>
      </c>
      <c r="E70" s="6" t="inlineStr">
        <is>
          <t>Epice 100ml</t>
        </is>
      </c>
      <c r="F70" s="673">
        <f>IFERROR(VLOOKUP(TableauProduit[[#This Row],[Conditionnement]],TableauConditionnement[[Nom]:[Contenance]],4,FALSE),"")</f>
        <v/>
      </c>
      <c r="G70" s="969">
        <f>IFERROR(SUMIFS(TableauRecette[Prix d''achat / kg],TableauRecette[Recette],TableauProduit[[#This Row],[Recette]],TableauRecette[Conditionnement],TableauProduit[[#This Row],[Conditionnement]]),0)</f>
        <v/>
      </c>
      <c r="H70" s="929" t="n">
        <v>5</v>
      </c>
      <c r="I70" s="899">
        <f>1000*TableauProduit[[#This Row],[Prix de vente/U]]/TableauProduit[[#This Row],[Poids (g) / unite]]</f>
        <v/>
      </c>
      <c r="J70" s="900">
        <f>SUMIFS(TableauConcurence[PRIX_KG],TableauConcurence[PRODUIT],TableauProduit[[#This Row],[Recette]],TableauConcurence[DISTRIBUTION],"magasin NON BIO")</f>
        <v/>
      </c>
      <c r="K70" s="970">
        <f>SUMIFS(TableauConcurence[PRIX_KG],TableauConcurence[PRODUIT],TableauProduit[[#This Row],[Recette]],TableauConcurence[DISTRIBUTION],"magasin BIO")</f>
        <v/>
      </c>
      <c r="L70" s="971">
        <f>SUMIFS(TableauConcurence[PRIX_KG],TableauConcurence[PRODUIT],TableauProduit[[#This Row],[Recette]],TableauConcurence[DISTRIBUTION],"artisanale BIO")</f>
        <v/>
      </c>
      <c r="M70" s="960" t="n">
        <v>0</v>
      </c>
      <c r="N70" s="960">
        <f>TableauProduit[[#This Row],[Poids (g) / unite]]*TableauProduit[[#This Row],[Objectif de vente en unite N1]]/1000</f>
        <v/>
      </c>
      <c r="O70" s="949">
        <f>TableauProduit[[#This Row],[Objectif de vente en unite N1]]*TableauProduit[[#This Row],[Packaging / unite]]</f>
        <v/>
      </c>
      <c r="P70" s="905">
        <f>TableauProduit[[#This Row],[Prix Achat de plante par kg]]*TableauProduit[[#This Row],[Total (kg) N1]]</f>
        <v/>
      </c>
      <c r="Q70" s="950">
        <f>TableauProduit[[#This Row],[Prix de vente/kg]]*TableauProduit[[#This Row],[Total (kg) N1]]</f>
        <v/>
      </c>
      <c r="R70" s="921">
        <f>TableauProduit[[#This Row],[Revenue brut N1]]-TableauProduit[[#This Row],[Achat par kg N1]]-TableauProduit[[#This Row],[Conditionnement N1]]</f>
        <v/>
      </c>
      <c r="S70" s="961" t="n">
        <v>0</v>
      </c>
      <c r="T70" s="930">
        <f>TableauProduit[[#This Row],[Poids (g) / unite]]*TableauProduit[[#This Row],[Objectif de vente en unite N2]]/1000</f>
        <v/>
      </c>
      <c r="U70" s="931">
        <f>TableauProduit[[#This Row],[Objectif de vente en unite N2]]*TableauProduit[[#This Row],[Packaging / unite]]</f>
        <v/>
      </c>
      <c r="V70" s="909">
        <f>TableauProduit[[#This Row],[Prix Achat de plante par kg]]*TableauProduit[[#This Row],[Total (kg) N2]]</f>
        <v/>
      </c>
      <c r="W70" s="932">
        <f>TableauProduit[[#This Row],[Prix de vente/kg]]*TableauProduit[[#This Row],[Total (kg) N2]]</f>
        <v/>
      </c>
      <c r="X70" s="961">
        <f>TableauProduit[[#This Row],[Revenue brut N2]]-TableauProduit[[#This Row],[Achat plante / kg de melange N2]]-TableauProduit[[#This Row],[Conditionnement N2]]</f>
        <v/>
      </c>
      <c r="Y70" s="963" t="n">
        <v>0</v>
      </c>
      <c r="Z70" s="933">
        <f>TableauProduit[[#This Row],[Poids (g) / unite]]*TableauProduit[[#This Row],[Objectif de vente en unite N3]]/1000</f>
        <v/>
      </c>
      <c r="AA70" s="934">
        <f>TableauProduit[[#This Row],[Objectif de vente en unite N3]]*TableauProduit[[#This Row],[Packaging / unite]]</f>
        <v/>
      </c>
      <c r="AB70" s="913">
        <f>TableauProduit[[#This Row],[Prix Achat de plante par kg]]*TableauProduit[[#This Row],[Total (kg) N3]]</f>
        <v/>
      </c>
      <c r="AC70" s="935">
        <f>TableauProduit[[#This Row],[Prix de vente/kg]]*TableauProduit[[#This Row],[Total (kg) N3]]</f>
        <v/>
      </c>
      <c r="AD70" s="963">
        <f>TableauProduit[[#This Row],[Revenue brut N3]]-TableauProduit[[#This Row],[Achat plante / kg de melange N3]]-TableauProduit[[#This Row],[Conditionnement N3]]</f>
        <v/>
      </c>
      <c r="AE70" s="964" t="n">
        <v>0</v>
      </c>
      <c r="AF70" s="936">
        <f>TableauProduit[[#This Row],[Poids (g) / unite]]*TableauProduit[[#This Row],[Objectif de vente en unite N4]]/1000</f>
        <v/>
      </c>
      <c r="AG70" s="937">
        <f>TableauProduit[[#This Row],[Objectif de vente en unite N4]]*TableauProduit[[#This Row],[Packaging / unite]]</f>
        <v/>
      </c>
      <c r="AH70" s="916">
        <f>TableauProduit[[#This Row],[Prix Achat de plante par kg]]*TableauProduit[[#This Row],[Total (kg) N4]]</f>
        <v/>
      </c>
      <c r="AI70" s="938">
        <f>TableauProduit[[#This Row],[Prix de vente/kg]]*TableauProduit[[#This Row],[Total (kg) N4]]</f>
        <v/>
      </c>
      <c r="AJ70" s="939">
        <f>TableauProduit[[#This Row],[Revenue brut N4]]-TableauProduit[[#This Row],[Achat plante / kg de melange N4]]-TableauProduit[[#This Row],[Conditionnement N4]]</f>
        <v/>
      </c>
      <c r="AK70" s="965" t="n">
        <v>0</v>
      </c>
      <c r="AL70" s="940">
        <f>TableauProduit[[#This Row],[Poids (g) / unite]]*TableauProduit[[#This Row],[Objectif de vente en unite N5]]/1000</f>
        <v/>
      </c>
      <c r="AM70" s="941">
        <f>TableauProduit[[#This Row],[Objectif de vente en unite N5]]*TableauProduit[[#This Row],[Packaging / unite]]</f>
        <v/>
      </c>
      <c r="AN70" s="918">
        <f>TableauProduit[[#This Row],[Prix Achat de plante par kg]]*TableauProduit[[#This Row],[Total (kg) N5]]</f>
        <v/>
      </c>
      <c r="AO70" s="942">
        <f>TableauProduit[[#This Row],[Prix de vente/kg]]*TableauProduit[[#This Row],[Total (kg) N5]]</f>
        <v/>
      </c>
      <c r="AP70" s="943">
        <f>TableauProduit[[#This Row],[Revenue brut N5]]-TableauProduit[[#This Row],[Achat plante / kg de melange N5]]-TableauProduit[[#This Row],[Conditionnement N5]]</f>
        <v/>
      </c>
      <c r="AQ70" s="966" t="n">
        <v>0</v>
      </c>
      <c r="AR70" s="944">
        <f>TableauProduit[[#This Row],[Poids (g) / unite]]*TableauProduit[[#This Row],[Objectif de vente en unite N6]]/1000</f>
        <v/>
      </c>
      <c r="AS70" s="945">
        <f>TableauProduit[[#This Row],[Objectif de vente en unite N6]]*TableauProduit[[#This Row],[Packaging / unite]]</f>
        <v/>
      </c>
      <c r="AT70" s="920">
        <f>TableauProduit[[#This Row],[Prix Achat de plante par kg]]*TableauProduit[[#This Row],[Total (kg) N6]]</f>
        <v/>
      </c>
      <c r="AU70" s="946">
        <f>TableauProduit[[#This Row],[Prix de vente/kg]]*TableauProduit[[#This Row],[Total (kg) N6]]</f>
        <v/>
      </c>
      <c r="AV70" s="947">
        <f>TableauProduit[[#This Row],[Revenue brut N6]]-TableauProduit[[#This Row],[Achat plante / kg de melange N6]]-TableauProduit[[#This Row],[Conditionnement N6]]</f>
        <v/>
      </c>
      <c r="AW70" s="960" t="n">
        <v>0</v>
      </c>
      <c r="AX70" s="948">
        <f>TableauProduit[[#This Row],[Poids (g) / unite]]*TableauProduit[[#This Row],[Objectif de vente en unite N7]]/1000</f>
        <v/>
      </c>
      <c r="AY70" s="949">
        <f>TableauProduit[[#This Row],[Objectif de vente en unite N7]]*TableauProduit[[#This Row],[Packaging / unite]]</f>
        <v/>
      </c>
      <c r="AZ70" s="905">
        <f>TableauProduit[[#This Row],[Prix Achat de plante par kg]]*TableauProduit[[#This Row],[Total (kg) N7]]</f>
        <v/>
      </c>
      <c r="BA70" s="950">
        <f>TableauProduit[[#This Row],[Prix de vente/kg]]*TableauProduit[[#This Row],[Total (kg) N7]]</f>
        <v/>
      </c>
      <c r="BB70" s="972">
        <f>TableauProduit[[#This Row],[Revenue brut N7]]-TableauProduit[[#This Row],[Achat plante / kg de melange N7]]-TableauProduit[[#This Row],[Conditionnement N7]]</f>
        <v/>
      </c>
      <c r="BC70" s="973" t="n">
        <v>0</v>
      </c>
      <c r="BD70" s="951">
        <f>TableauProduit[[#This Row],[Poids (g) / unite]]*TableauProduit[[#This Row],[Objectif de vente en unite N8]]/1000</f>
        <v/>
      </c>
      <c r="BE70" s="952">
        <f>TableauProduit[[#This Row],[Objectif de vente en unite N8]]*TableauProduit[[#This Row],[Packaging / unite]]</f>
        <v/>
      </c>
      <c r="BF70" s="924">
        <f>TableauProduit[[#This Row],[Prix Achat de plante par kg]]*TableauProduit[[#This Row],[Total (kg) N8]]</f>
        <v/>
      </c>
      <c r="BG70" s="953">
        <f>TableauProduit[[#This Row],[Prix de vente/kg]]*TableauProduit[[#This Row],[Total (kg) N8]]</f>
        <v/>
      </c>
      <c r="BH70" s="954">
        <f>TableauProduit[[#This Row],[Revenue brut N8]]-TableauProduit[[#This Row],[Achat plante / kg de melange N8]]-TableauProduit[[#This Row],[Conditionnement N8]]</f>
        <v/>
      </c>
      <c r="BI70" s="968" t="n">
        <v>0</v>
      </c>
      <c r="BJ70" s="926">
        <f>TableauProduit[[#This Row],[Poids (g) / unite]]*TableauProduit[[#This Row],[Objectif de vente en unite N9]]/1000</f>
        <v/>
      </c>
      <c r="BK70" s="955">
        <f>TableauProduit[[#This Row],[Objectif de vente en unite N9]]*TableauProduit[[#This Row],[Packaging / unite]]</f>
        <v/>
      </c>
      <c r="BL70" s="928">
        <f>TableauProduit[[#This Row],[Prix Achat de plante par kg]]*TableauProduit[[#This Row],[Total (kg) N9]]</f>
        <v/>
      </c>
      <c r="BM70" s="956">
        <f>TableauProduit[[#This Row],[Prix de vente/kg]]*TableauProduit[[#This Row],[Total (kg) N9]]</f>
        <v/>
      </c>
      <c r="BN70" s="927">
        <f>TableauProduit[[#This Row],[Revenue brut N9]]-TableauProduit[[#This Row],[Achat plante / kg de melange N9]]-TableauProduit[[#This Row],[Conditionnement N9]]</f>
        <v/>
      </c>
    </row>
    <row r="71">
      <c r="A71" s="625" t="inlineStr">
        <is>
          <t>Chaat masala</t>
        </is>
      </c>
      <c r="B71" s="54">
        <f>TableauProduit[[#This Row],[Recette]]&amp;TableauProduit[[#This Row],[Conditionnement]]</f>
        <v/>
      </c>
      <c r="C71" s="11" t="n">
        <v>1</v>
      </c>
      <c r="D71" s="11">
        <f>VLOOKUP(TableauProduit[[#This Row],[Recette]],Temporaire!A$1:B$25,2)</f>
        <v/>
      </c>
      <c r="E71" s="6" t="inlineStr">
        <is>
          <t>Epice 100ml</t>
        </is>
      </c>
      <c r="F71" s="7">
        <f>IFERROR(VLOOKUP(TableauProduit[[#This Row],[Conditionnement]],TableauConditionnement[[Nom]:[Contenance]],4,FALSE),"")</f>
        <v/>
      </c>
      <c r="G71" s="969">
        <f>IFERROR(SUMIFS(TableauRecette[Prix d''achat / kg],TableauRecette[Recette],TableauProduit[[#This Row],[Recette]],TableauRecette[Conditionnement],TableauProduit[[#This Row],[Conditionnement]]),0)</f>
        <v/>
      </c>
      <c r="H71" s="929" t="n">
        <v>4</v>
      </c>
      <c r="I71" s="899">
        <f>1000*TableauProduit[[#This Row],[Prix de vente/U]]/TableauProduit[[#This Row],[Poids (g) / unite]]</f>
        <v/>
      </c>
      <c r="J71" s="900">
        <f>SUMIFS(TableauConcurence[PRIX_KG],TableauConcurence[PRODUIT],TableauProduit[[#This Row],[Recette]],TableauConcurence[DISTRIBUTION],"magasin NON BIO")</f>
        <v/>
      </c>
      <c r="K71" s="970">
        <f>SUMIFS(TableauConcurence[PRIX_KG],TableauConcurence[PRODUIT],TableauProduit[[#This Row],[Recette]],TableauConcurence[DISTRIBUTION],"magasin BIO")</f>
        <v/>
      </c>
      <c r="L71" s="971">
        <f>SUMIFS(TableauConcurence[PRIX_KG],TableauConcurence[PRODUIT],TableauProduit[[#This Row],[Recette]],TableauConcurence[DISTRIBUTION],"artisanale BIO")</f>
        <v/>
      </c>
      <c r="M71" s="960" t="n"/>
      <c r="N71" s="960">
        <f>TableauProduit[[#This Row],[Poids (g) / unite]]*TableauProduit[[#This Row],[Objectif de vente en unite N1]]/1000</f>
        <v/>
      </c>
      <c r="O71" s="949">
        <f>TableauProduit[[#This Row],[Objectif de vente en unite N1]]*TableauProduit[[#This Row],[Packaging / unite]]</f>
        <v/>
      </c>
      <c r="P71" s="905">
        <f>TableauProduit[[#This Row],[Prix Achat de plante par kg]]*TableauProduit[[#This Row],[Total (kg) N1]]</f>
        <v/>
      </c>
      <c r="Q71" s="905">
        <f>TableauProduit[[#This Row],[Prix de vente/kg]]*TableauProduit[[#This Row],[Total (kg) N1]]</f>
        <v/>
      </c>
      <c r="R71" s="921">
        <f>TableauProduit[[#This Row],[Revenue brut N1]]-TableauProduit[[#This Row],[Achat par kg N1]]-TableauProduit[[#This Row],[Conditionnement N1]]</f>
        <v/>
      </c>
      <c r="S71" s="961" t="n"/>
      <c r="T71" s="930">
        <f>TableauProduit[[#This Row],[Poids (g) / unite]]*TableauProduit[[#This Row],[Objectif de vente en unite N2]]/1000</f>
        <v/>
      </c>
      <c r="U71" s="931">
        <f>TableauProduit[[#This Row],[Objectif de vente en unite N2]]*TableauProduit[[#This Row],[Packaging / unite]]</f>
        <v/>
      </c>
      <c r="V71" s="909">
        <f>TableauProduit[[#This Row],[Prix Achat de plante par kg]]*TableauProduit[[#This Row],[Total (kg) N2]]</f>
        <v/>
      </c>
      <c r="W71" s="932">
        <f>TableauProduit[[#This Row],[Prix de vente/kg]]*TableauProduit[[#This Row],[Total (kg) N2]]</f>
        <v/>
      </c>
      <c r="X71" s="961">
        <f>TableauProduit[[#This Row],[Revenue brut N2]]-TableauProduit[[#This Row],[Achat plante / kg de melange N2]]-TableauProduit[[#This Row],[Conditionnement N2]]</f>
        <v/>
      </c>
      <c r="Y71" s="963" t="n"/>
      <c r="Z71" s="933">
        <f>TableauProduit[[#This Row],[Poids (g) / unite]]*TableauProduit[[#This Row],[Objectif de vente en unite N3]]/1000</f>
        <v/>
      </c>
      <c r="AA71" s="934">
        <f>TableauProduit[[#This Row],[Objectif de vente en unite N3]]*TableauProduit[[#This Row],[Packaging / unite]]</f>
        <v/>
      </c>
      <c r="AB71" s="913">
        <f>TableauProduit[[#This Row],[Prix Achat de plante par kg]]*TableauProduit[[#This Row],[Total (kg) N3]]</f>
        <v/>
      </c>
      <c r="AC71" s="935">
        <f>TableauProduit[[#This Row],[Prix de vente/kg]]*TableauProduit[[#This Row],[Total (kg) N3]]</f>
        <v/>
      </c>
      <c r="AD71" s="963">
        <f>TableauProduit[[#This Row],[Revenue brut N3]]-TableauProduit[[#This Row],[Achat plante / kg de melange N3]]-TableauProduit[[#This Row],[Conditionnement N3]]</f>
        <v/>
      </c>
      <c r="AE71" s="964" t="n"/>
      <c r="AF71" s="936">
        <f>TableauProduit[[#This Row],[Poids (g) / unite]]*TableauProduit[[#This Row],[Objectif de vente en unite N4]]/1000</f>
        <v/>
      </c>
      <c r="AG71" s="937">
        <f>TableauProduit[[#This Row],[Objectif de vente en unite N4]]*TableauProduit[[#This Row],[Packaging / unite]]</f>
        <v/>
      </c>
      <c r="AH71" s="916">
        <f>TableauProduit[[#This Row],[Prix Achat de plante par kg]]*TableauProduit[[#This Row],[Total (kg) N4]]</f>
        <v/>
      </c>
      <c r="AI71" s="938">
        <f>TableauProduit[[#This Row],[Prix de vente/kg]]*TableauProduit[[#This Row],[Total (kg) N4]]</f>
        <v/>
      </c>
      <c r="AJ71" s="939">
        <f>TableauProduit[[#This Row],[Revenue brut N4]]-TableauProduit[[#This Row],[Achat plante / kg de melange N4]]-TableauProduit[[#This Row],[Conditionnement N4]]</f>
        <v/>
      </c>
      <c r="AK71" s="965" t="n"/>
      <c r="AL71" s="940">
        <f>TableauProduit[[#This Row],[Poids (g) / unite]]*TableauProduit[[#This Row],[Objectif de vente en unite N5]]/1000</f>
        <v/>
      </c>
      <c r="AM71" s="941">
        <f>TableauProduit[[#This Row],[Objectif de vente en unite N5]]*TableauProduit[[#This Row],[Packaging / unite]]</f>
        <v/>
      </c>
      <c r="AN71" s="918">
        <f>TableauProduit[[#This Row],[Prix Achat de plante par kg]]*TableauProduit[[#This Row],[Total (kg) N5]]</f>
        <v/>
      </c>
      <c r="AO71" s="942">
        <f>TableauProduit[[#This Row],[Prix de vente/kg]]*TableauProduit[[#This Row],[Total (kg) N5]]</f>
        <v/>
      </c>
      <c r="AP71" s="943">
        <f>TableauProduit[[#This Row],[Revenue brut N5]]-TableauProduit[[#This Row],[Achat plante / kg de melange N5]]-TableauProduit[[#This Row],[Conditionnement N5]]</f>
        <v/>
      </c>
      <c r="AQ71" s="966" t="n"/>
      <c r="AR71" s="944">
        <f>TableauProduit[[#This Row],[Poids (g) / unite]]*TableauProduit[[#This Row],[Objectif de vente en unite N6]]/1000</f>
        <v/>
      </c>
      <c r="AS71" s="945">
        <f>TableauProduit[[#This Row],[Objectif de vente en unite N6]]*TableauProduit[[#This Row],[Packaging / unite]]</f>
        <v/>
      </c>
      <c r="AT71" s="920">
        <f>TableauProduit[[#This Row],[Prix Achat de plante par kg]]*TableauProduit[[#This Row],[Total (kg) N6]]</f>
        <v/>
      </c>
      <c r="AU71" s="946">
        <f>TableauProduit[[#This Row],[Prix de vente/kg]]*TableauProduit[[#This Row],[Total (kg) N6]]</f>
        <v/>
      </c>
      <c r="AV71" s="947">
        <f>TableauProduit[[#This Row],[Revenue brut N6]]-TableauProduit[[#This Row],[Achat plante / kg de melange N6]]-TableauProduit[[#This Row],[Conditionnement N6]]</f>
        <v/>
      </c>
      <c r="AW71" s="960" t="n"/>
      <c r="AX71" s="948">
        <f>TableauProduit[[#This Row],[Poids (g) / unite]]*TableauProduit[[#This Row],[Objectif de vente en unite N7]]/1000</f>
        <v/>
      </c>
      <c r="AY71" s="949">
        <f>TableauProduit[[#This Row],[Objectif de vente en unite N7]]*TableauProduit[[#This Row],[Packaging / unite]]</f>
        <v/>
      </c>
      <c r="AZ71" s="905">
        <f>TableauProduit[[#This Row],[Prix Achat de plante par kg]]*TableauProduit[[#This Row],[Total (kg) N7]]</f>
        <v/>
      </c>
      <c r="BA71" s="950">
        <f>TableauProduit[[#This Row],[Prix de vente/kg]]*TableauProduit[[#This Row],[Total (kg) N7]]</f>
        <v/>
      </c>
      <c r="BB71" s="972">
        <f>TableauProduit[[#This Row],[Revenue brut N7]]-TableauProduit[[#This Row],[Achat plante / kg de melange N7]]-TableauProduit[[#This Row],[Conditionnement N7]]</f>
        <v/>
      </c>
      <c r="BC71" s="973" t="n"/>
      <c r="BD71" s="951">
        <f>TableauProduit[[#This Row],[Poids (g) / unite]]*TableauProduit[[#This Row],[Objectif de vente en unite N8]]/1000</f>
        <v/>
      </c>
      <c r="BE71" s="952">
        <f>TableauProduit[[#This Row],[Objectif de vente en unite N8]]*TableauProduit[[#This Row],[Packaging / unite]]</f>
        <v/>
      </c>
      <c r="BF71" s="924">
        <f>TableauProduit[[#This Row],[Prix Achat de plante par kg]]*TableauProduit[[#This Row],[Total (kg) N8]]</f>
        <v/>
      </c>
      <c r="BG71" s="953">
        <f>TableauProduit[[#This Row],[Prix de vente/kg]]*TableauProduit[[#This Row],[Total (kg) N8]]</f>
        <v/>
      </c>
      <c r="BH71" s="954">
        <f>TableauProduit[[#This Row],[Revenue brut N8]]-TableauProduit[[#This Row],[Achat plante / kg de melange N8]]-TableauProduit[[#This Row],[Conditionnement N8]]</f>
        <v/>
      </c>
      <c r="BI71" s="968" t="n"/>
      <c r="BJ71" s="926">
        <f>TableauProduit[[#This Row],[Poids (g) / unite]]*TableauProduit[[#This Row],[Objectif de vente en unite N9]]/1000</f>
        <v/>
      </c>
      <c r="BK71" s="955">
        <f>TableauProduit[[#This Row],[Objectif de vente en unite N9]]*TableauProduit[[#This Row],[Packaging / unite]]</f>
        <v/>
      </c>
      <c r="BL71" s="928">
        <f>TableauProduit[[#This Row],[Prix Achat de plante par kg]]*TableauProduit[[#This Row],[Total (kg) N9]]</f>
        <v/>
      </c>
      <c r="BM71" s="956">
        <f>TableauProduit[[#This Row],[Prix de vente/kg]]*TableauProduit[[#This Row],[Total (kg) N9]]</f>
        <v/>
      </c>
      <c r="BN71" s="927">
        <f>TableauProduit[[#This Row],[Revenue brut N9]]-TableauProduit[[#This Row],[Achat plante / kg de melange N9]]-TableauProduit[[#This Row],[Conditionnement N9]]</f>
        <v/>
      </c>
    </row>
  </sheetData>
  <conditionalFormatting sqref="G1:G104857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71">
    <cfRule type="expression" priority="2" dxfId="9">
      <formula>I2 &gt;L2</formula>
    </cfRule>
    <cfRule type="expression" priority="3" dxfId="8">
      <formula>I2 &lt; L2</formula>
    </cfRule>
    <cfRule type="expression" priority="4" dxfId="7">
      <formula>I2 &lt; K2</formula>
    </cfRule>
    <cfRule type="expression" priority="5" dxfId="6">
      <formula>I2 &gt; K2</formula>
    </cfRule>
  </conditionalFormatting>
  <conditionalFormatting sqref="J2:L71">
    <cfRule type="cellIs" priority="1" operator="equal" dxfId="5">
      <formula>0</formula>
    </cfRule>
  </conditionalFormatting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Feuil3">
    <outlinePr summaryBelow="1" summaryRight="1"/>
    <pageSetUpPr/>
  </sheetPr>
  <dimension ref="A1:G166"/>
  <sheetViews>
    <sheetView workbookViewId="0">
      <pane ySplit="1" topLeftCell="A107" activePane="bottomLeft" state="frozen"/>
      <selection pane="bottomLeft" activeCell="A1" sqref="A1:G166"/>
    </sheetView>
  </sheetViews>
  <sheetFormatPr baseColWidth="10" defaultColWidth="11" defaultRowHeight="16"/>
  <cols>
    <col width="30.1640625" customWidth="1" min="1" max="1"/>
    <col width="8.83203125" customWidth="1" style="538" min="2" max="2"/>
    <col width="7.33203125" customWidth="1" min="3" max="3"/>
    <col width="18.33203125" customWidth="1" min="4" max="4"/>
    <col width="8.33203125" customWidth="1" min="5" max="5"/>
    <col width="14.6640625" customWidth="1" style="974" min="7" max="7"/>
  </cols>
  <sheetData>
    <row r="1" ht="83" customHeight="1">
      <c r="A1" s="14" t="inlineStr">
        <is>
          <t>Ingredients</t>
        </is>
      </c>
      <c r="B1" s="537" t="inlineStr">
        <is>
          <t>ratio sechage</t>
        </is>
      </c>
      <c r="C1" s="15" t="inlineStr">
        <is>
          <t>% eau</t>
        </is>
      </c>
      <c r="D1" s="15" t="inlineStr">
        <is>
          <t>Nom de la Production</t>
        </is>
      </c>
      <c r="E1" s="15" t="inlineStr">
        <is>
          <t>Prix de vente</t>
        </is>
      </c>
      <c r="F1" s="14" t="inlineStr">
        <is>
          <t>Prix d'achat (kg)</t>
        </is>
      </c>
      <c r="G1" s="14" t="inlineStr">
        <is>
          <t>Lien</t>
        </is>
      </c>
    </row>
    <row r="2">
      <c r="A2">
        <f>PROPER(TableauIngredients[[#This Row],[Ingredients]])</f>
        <v/>
      </c>
      <c r="B2" s="538">
        <f>IF(IFERROR((100-TableauIngredients[[#This Row],[% eau]])/100, 1) &lt; 0.2,0.2,IFERROR((100-TableauIngredients[[#This Row],[% eau]])/100, 1))</f>
        <v/>
      </c>
      <c r="C2" t="n">
        <v>0</v>
      </c>
      <c r="D2" t="inlineStr">
        <is>
          <t>ail</t>
        </is>
      </c>
      <c r="E2" t="n">
        <v>14</v>
      </c>
      <c r="F2" s="641" t="n"/>
    </row>
    <row r="3">
      <c r="A3">
        <f>PROPER(TableauIngredients[[#This Row],[Ingredients]])</f>
        <v/>
      </c>
      <c r="B3" s="538">
        <f>IF(IFERROR((100-TableauIngredients[[#This Row],[% eau]])/100, 1) &lt; 0.2,0.2,IFERROR((100-TableauIngredients[[#This Row],[% eau]])/100, 1))</f>
        <v/>
      </c>
      <c r="C3" t="n">
        <v>60</v>
      </c>
      <c r="D3" t="inlineStr">
        <is>
          <t>ail</t>
        </is>
      </c>
      <c r="F3" s="641" t="n"/>
    </row>
    <row r="4">
      <c r="A4">
        <f>PROPER(TableauIngredients[[#This Row],[Ingredients]])</f>
        <v/>
      </c>
      <c r="B4" s="538">
        <f>IF(IFERROR((100-TableauIngredients[[#This Row],[% eau]])/100, 1) &lt; 0.2,0.2,IFERROR((100-TableauIngredients[[#This Row],[% eau]])/100, 1))</f>
        <v/>
      </c>
      <c r="C4" t="n">
        <v>20</v>
      </c>
      <c r="D4" t="inlineStr">
        <is>
          <t>amande douce</t>
        </is>
      </c>
      <c r="F4" s="641" t="n">
        <v>22.16</v>
      </c>
      <c r="G4" s="2" t="inlineStr">
        <is>
          <t>https://parisbelleville01.lecodrive.com/boutique/amande-douce-decortiquee-bio-espagne/</t>
        </is>
      </c>
    </row>
    <row r="5">
      <c r="A5">
        <f>PROPER(TableauIngredients[[#This Row],[Ingredients]])</f>
        <v/>
      </c>
      <c r="B5" s="538">
        <f>IF(IFERROR((100-TableauIngredients[[#This Row],[% eau]])/100, 1) &lt; 0.2,0.2,IFERROR((100-TableauIngredients[[#This Row],[% eau]])/100, 1))</f>
        <v/>
      </c>
      <c r="C5" t="n">
        <v>97</v>
      </c>
      <c r="D5" t="inlineStr">
        <is>
          <t>amchur</t>
        </is>
      </c>
      <c r="F5" s="641" t="n">
        <v>5.26</v>
      </c>
      <c r="G5" s="2" t="inlineStr">
        <is>
          <t>https://www.etsy.com/fr/listing/538432371/poudre-de-mangue-biologique-poudre?gpla=1&amp;gao=1&amp;</t>
        </is>
      </c>
    </row>
    <row r="6">
      <c r="A6">
        <f>PROPER(TableauIngredients[[#This Row],[Ingredients]])</f>
        <v/>
      </c>
      <c r="B6" s="538">
        <f>IF(IFERROR((100-TableauIngredients[[#This Row],[% eau]])/100, 1) &lt; 0.2,0.2,IFERROR((100-TableauIngredients[[#This Row],[% eau]])/100, 1))</f>
        <v/>
      </c>
      <c r="C6" t="n">
        <v>90</v>
      </c>
      <c r="D6" t="inlineStr">
        <is>
          <t>aneth</t>
        </is>
      </c>
      <c r="F6" s="641" t="n"/>
    </row>
    <row r="7">
      <c r="A7">
        <f>PROPER(TableauIngredients[[#This Row],[Ingredients]])</f>
        <v/>
      </c>
      <c r="B7" s="538">
        <f>IF(IFERROR((100-TableauIngredients[[#This Row],[% eau]])/100, 1) &lt; 0.2,0.2,IFERROR((100-TableauIngredients[[#This Row],[% eau]])/100, 1))</f>
        <v/>
      </c>
      <c r="C7" t="n">
        <v>10</v>
      </c>
      <c r="D7" t="inlineStr">
        <is>
          <t>anis etoile</t>
        </is>
      </c>
      <c r="F7" s="641" t="n">
        <v>32</v>
      </c>
      <c r="G7" s="2" t="inlineStr">
        <is>
          <t>https://vracbio.com/products/anis etoile-anis-etoile-bio-en-vrac?variant=31584511361139&amp;currency=EUR&amp;utm_medium=product_sync&amp;utm_source=google&amp;utm_content=sag_organic&amp;utm_campaign=sag_organic&amp;utm_campaign=gs-2020-05-12&amp;utm_source=google&amp;utm_medium=smart_campaign&amp;gad_source=1&amp;gclid=Cj0KCQjwwMqvBhCtARIsAIXsZpbzhzDINtZH-k_NigcEf1sWrPuGZLuWxNXCpnF2Jb13CK9238FySTMaAgwfEALw_wcB</t>
        </is>
      </c>
    </row>
    <row r="8">
      <c r="A8">
        <f>PROPER(TableauIngredients[[#This Row],[Ingredients]])</f>
        <v/>
      </c>
      <c r="B8" s="538">
        <f>IF(IFERROR((100-TableauIngredients[[#This Row],[% eau]])/100, 1) &lt; 0.2,0.2,IFERROR((100-TableauIngredients[[#This Row],[% eau]])/100, 1))</f>
        <v/>
      </c>
      <c r="C8" t="n">
        <v>97</v>
      </c>
      <c r="D8" t="inlineStr">
        <is>
          <t>asafoetida</t>
        </is>
      </c>
      <c r="F8" s="641" t="n">
        <v>100</v>
      </c>
      <c r="G8" s="1" t="n"/>
    </row>
    <row r="9">
      <c r="A9">
        <f>PROPER(TableauIngredients[[#This Row],[Ingredients]])</f>
        <v/>
      </c>
      <c r="B9" s="538">
        <f>IF(IFERROR((100-TableauIngredients[[#This Row],[% eau]])/100, 1) &lt; 0.2,0.2,IFERROR((100-TableauIngredients[[#This Row],[% eau]])/100, 1))</f>
        <v/>
      </c>
      <c r="C9" t="n">
        <v>0</v>
      </c>
      <c r="D9" t="inlineStr">
        <is>
          <t>basilic</t>
        </is>
      </c>
      <c r="E9" t="n">
        <v>12</v>
      </c>
      <c r="F9" s="641" t="n"/>
    </row>
    <row r="10">
      <c r="A10">
        <f>PROPER(TableauIngredients[[#This Row],[Ingredients]])</f>
        <v/>
      </c>
      <c r="B10" s="538">
        <f>IF(IFERROR((100-TableauIngredients[[#This Row],[% eau]])/100, 1) &lt; 0.2,0.2,IFERROR((100-TableauIngredients[[#This Row],[% eau]])/100, 1))</f>
        <v/>
      </c>
      <c r="C10" t="n">
        <v>92</v>
      </c>
      <c r="D10" t="inlineStr">
        <is>
          <t>basilic</t>
        </is>
      </c>
      <c r="E10" t="n">
        <v>12</v>
      </c>
      <c r="F10" s="641" t="n"/>
      <c r="G10" s="1" t="n"/>
    </row>
    <row r="11">
      <c r="A11">
        <f>PROPER(TableauIngredients[[#This Row],[Ingredients]])</f>
        <v/>
      </c>
      <c r="B11" s="538">
        <f>IF(IFERROR((100-TableauIngredients[[#This Row],[% eau]])/100, 1) &lt; 0.2,0.2,IFERROR((100-TableauIngredients[[#This Row],[% eau]])/100, 1))</f>
        <v/>
      </c>
      <c r="C11" t="n">
        <v>0</v>
      </c>
      <c r="D11" t="inlineStr">
        <is>
          <t>basilic thaï</t>
        </is>
      </c>
      <c r="E11" t="n">
        <v>12</v>
      </c>
      <c r="F11" s="641" t="n"/>
    </row>
    <row r="12">
      <c r="A12">
        <f>PROPER(TableauIngredients[[#This Row],[Ingredients]])</f>
        <v/>
      </c>
      <c r="B12" s="538">
        <f>IF(IFERROR((100-TableauIngredients[[#This Row],[% eau]])/100, 1) &lt; 0.2,0.2,IFERROR((100-TableauIngredients[[#This Row],[% eau]])/100, 1))</f>
        <v/>
      </c>
      <c r="C12" t="n">
        <v>97</v>
      </c>
      <c r="D12" t="inlineStr">
        <is>
          <t>basilic thaï</t>
        </is>
      </c>
      <c r="E12" t="n">
        <v>12</v>
      </c>
      <c r="F12" s="641" t="n"/>
    </row>
    <row r="13">
      <c r="A13">
        <f>PROPER(TableauIngredients[[#This Row],[Ingredients]])</f>
        <v/>
      </c>
      <c r="B13" s="538">
        <f>IF(IFERROR((100-TableauIngredients[[#This Row],[% eau]])/100, 1) &lt; 0.2,0.2,IFERROR((100-TableauIngredients[[#This Row],[% eau]])/100, 1))</f>
        <v/>
      </c>
      <c r="C13" t="n">
        <v>97</v>
      </c>
      <c r="D13" t="inlineStr">
        <is>
          <t>cannelle</t>
        </is>
      </c>
      <c r="F13" s="641" t="n">
        <v>22</v>
      </c>
      <c r="G13" s="1" t="n"/>
    </row>
    <row r="14">
      <c r="A14">
        <f>PROPER(TableauIngredients[[#This Row],[Ingredients]])</f>
        <v/>
      </c>
      <c r="B14" s="538">
        <f>IF(IFERROR((100-TableauIngredients[[#This Row],[% eau]])/100, 1) &lt; 0.2,0.2,IFERROR((100-TableauIngredients[[#This Row],[% eau]])/100, 1))</f>
        <v/>
      </c>
      <c r="C14" t="n">
        <v>0</v>
      </c>
      <c r="D14" t="inlineStr">
        <is>
          <t>bleuet</t>
        </is>
      </c>
      <c r="F14" s="641" t="n"/>
    </row>
    <row r="15">
      <c r="A15">
        <f>PROPER(TableauIngredients[[#This Row],[Ingredients]])</f>
        <v/>
      </c>
      <c r="B15" s="538">
        <f>IF(IFERROR((100-TableauIngredients[[#This Row],[% eau]])/100, 1) &lt; 0.2,0.2,IFERROR((100-TableauIngredients[[#This Row],[% eau]])/100, 1))</f>
        <v/>
      </c>
      <c r="C15" t="n">
        <v>97</v>
      </c>
      <c r="D15" t="inlineStr">
        <is>
          <t>bleuet</t>
        </is>
      </c>
      <c r="F15" s="641" t="n"/>
    </row>
    <row r="16">
      <c r="A16">
        <f>PROPER(TableauIngredients[[#This Row],[Ingredients]])</f>
        <v/>
      </c>
      <c r="B16" s="538">
        <f>IF(IFERROR((100-TableauIngredients[[#This Row],[% eau]])/100, 1) &lt; 0.2,0.2,IFERROR((100-TableauIngredients[[#This Row],[% eau]])/100, 1))</f>
        <v/>
      </c>
      <c r="F16" s="641" t="n">
        <v>28</v>
      </c>
      <c r="G16" s="974" t="inlineStr">
        <is>
          <t>https://boutique.epicerie-durable.fr/bouillons/bouillon-de-poule-bio-2890kg-1150</t>
        </is>
      </c>
    </row>
    <row r="17">
      <c r="A17">
        <f>PROPER(TableauIngredients[[#This Row],[Ingredients]])</f>
        <v/>
      </c>
      <c r="B17" s="538">
        <f>IF(IFERROR((100-TableauIngredients[[#This Row],[% eau]])/100, 1) &lt; 0.2,0.2,IFERROR((100-TableauIngredients[[#This Row],[% eau]])/100, 1))</f>
        <v/>
      </c>
      <c r="D17" t="inlineStr">
        <is>
          <t>cacahuètes grillees</t>
        </is>
      </c>
      <c r="F17" s="641" t="n">
        <v>7.9</v>
      </c>
      <c r="G17" s="975" t="inlineStr">
        <is>
          <t>https://www.googleadservices.com/pagead/aclk?sa=L&amp;ai=DChcSEwi8_L7IkfSEAxWWtWgJHdrGBpYYABAFGgJ3Zg&amp;ase=2&amp;gclid=Cj0KCQjwwMqvBhCtARIsAIXsZpYLT1VmI5Kq1BaXTkjkzxCxD3tRu3FW4QihyZ5AVHNacB5EEIP-EacaAtVBEALw_wcB&amp;ohost=www.google.com&amp;cid=CAESV-D25s4w_xgCt61JSCPtz_-6MB53MwZOqMSR3C53fMpAlGsUxYYNIVZyeD-U7TQmjoP8BSO5N0eb6P53Wc_pyXFm3Td7A7f5dhB2yVtf84Fpc8W6xGvNkg&amp;sig=AOD64_1j_v1y63lx74Qe3EwzAJMUknrPPQ&amp;ctype=5&amp;q=&amp;nis=4&amp;ved=2ahUKEwii3bjIkfSEAxUTUKQEHfKUBKUQ9aACKAB6BAgBECM&amp;adurl=</t>
        </is>
      </c>
    </row>
    <row r="18">
      <c r="A18">
        <f>PROPER(TableauIngredients[[#This Row],[Ingredients]])</f>
        <v/>
      </c>
      <c r="B18" s="538">
        <f>IF(IFERROR((100-TableauIngredients[[#This Row],[% eau]])/100, 1) &lt; 0.2,0.2,IFERROR((100-TableauIngredients[[#This Row],[% eau]])/100, 1))</f>
        <v/>
      </c>
      <c r="C18" t="n">
        <v>0</v>
      </c>
      <c r="D18" t="inlineStr">
        <is>
          <t>camomille romaine</t>
        </is>
      </c>
      <c r="F18" s="641" t="n"/>
    </row>
    <row r="19">
      <c r="A19">
        <f>PROPER(TableauIngredients[[#This Row],[Ingredients]])</f>
        <v/>
      </c>
      <c r="B19" s="538">
        <f>IF(IFERROR((100-TableauIngredients[[#This Row],[% eau]])/100, 1) &lt; 0.2,0.2,IFERROR((100-TableauIngredients[[#This Row],[% eau]])/100, 1))</f>
        <v/>
      </c>
      <c r="C19" t="n">
        <v>97</v>
      </c>
      <c r="D19" t="inlineStr">
        <is>
          <t>camomille romaine</t>
        </is>
      </c>
      <c r="F19" s="641" t="n"/>
    </row>
    <row r="20">
      <c r="A20">
        <f>PROPER(TableauIngredients[[#This Row],[Ingredients]])</f>
        <v/>
      </c>
      <c r="B20" s="538">
        <f>IF(IFERROR((100-TableauIngredients[[#This Row],[% eau]])/100, 1) &lt; 0.2,0.2,IFERROR((100-TableauIngredients[[#This Row],[% eau]])/100, 1))</f>
        <v/>
      </c>
      <c r="C20" t="n">
        <v>97</v>
      </c>
      <c r="D20" t="inlineStr">
        <is>
          <t>cannelle</t>
        </is>
      </c>
      <c r="F20" s="641" t="n">
        <v>22</v>
      </c>
      <c r="G20" s="2" t="inlineStr">
        <is>
          <t>https://www.googleadservices.com/pagead/aclk?sa=L&amp;ai=DChcSEwichuSekfSEAxVyQUECHat2BNwYABAMGgJ3cw&amp;ase=2&amp;gclid=Cj0KCQjwwMqvBhCtARIsAIXsZpZmpmc8fHRm_JGzy1Gmr0JI0grkfyuAV2XraPO2cYJ_I7mDJZoaepwaAlFBEALw_wcB&amp;ohost=www.google.com&amp;cid=CAESV-D2fcXVl2hyBhRmKKHyR9Mar6Ywa7Gxq7dChedDWqueLOlHIrSO08ZTbW6I8tjACgEP8JedobbYSxK8ul5eMEPhhJEPba-FfAwg293CrvZFTOWQMeyZvg&amp;sig=AOD64_00twfFYjSyymtiLPJAcag4fPwi1w&amp;ctype=5&amp;q=&amp;nis=4&amp;ved=2ahUKEwjQud6ekfSEAxVXU6QEHZs-CdUQ9aACKAB6BAgEEBM&amp;adurl=</t>
        </is>
      </c>
    </row>
    <row r="21">
      <c r="A21">
        <f>PROPER(TableauIngredients[[#This Row],[Ingredients]])</f>
        <v/>
      </c>
      <c r="B21" s="538">
        <f>IF(IFERROR((100-TableauIngredients[[#This Row],[% eau]])/100, 1) &lt; 0.2,0.2,IFERROR((100-TableauIngredients[[#This Row],[% eau]])/100, 1))</f>
        <v/>
      </c>
      <c r="C21" t="n">
        <v>97</v>
      </c>
      <c r="D21" t="inlineStr">
        <is>
          <t>cannelle</t>
        </is>
      </c>
      <c r="F21" s="641" t="n">
        <v>22</v>
      </c>
    </row>
    <row r="22">
      <c r="A22">
        <f>PROPER(TableauIngredients[[#This Row],[Ingredients]])</f>
        <v/>
      </c>
      <c r="B22" s="538">
        <f>IF(IFERROR((100-TableauIngredients[[#This Row],[% eau]])/100, 1) &lt; 0.2,0.2,IFERROR((100-TableauIngredients[[#This Row],[% eau]])/100, 1))</f>
        <v/>
      </c>
      <c r="C22" t="n">
        <v>10</v>
      </c>
      <c r="D22" t="inlineStr">
        <is>
          <t>graine de carvi</t>
        </is>
      </c>
      <c r="F22" s="641" t="n">
        <v>20.75</v>
      </c>
      <c r="G22" s="2" t="inlineStr">
        <is>
          <t>https://thesdirect.com/products/carvi-graine-entiere-bio?variant=46717109207382</t>
        </is>
      </c>
    </row>
    <row r="23">
      <c r="A23">
        <f>PROPER(TableauIngredients[[#This Row],[Ingredients]])</f>
        <v/>
      </c>
      <c r="B23" s="538">
        <f>IF(IFERROR((100-TableauIngredients[[#This Row],[% eau]])/100, 1) &lt; 0.2,0.2,IFERROR((100-TableauIngredients[[#This Row],[% eau]])/100, 1))</f>
        <v/>
      </c>
      <c r="C23" t="n">
        <v>97</v>
      </c>
      <c r="D23" t="inlineStr">
        <is>
          <t>casse</t>
        </is>
      </c>
      <c r="F23" s="641" t="n">
        <v>59</v>
      </c>
      <c r="G23" s="1" t="n"/>
    </row>
    <row r="24">
      <c r="A24">
        <f>PROPER(TableauIngredients[[#This Row],[Ingredients]])</f>
        <v/>
      </c>
      <c r="B24" s="538">
        <f>IF(IFERROR((100-TableauIngredients[[#This Row],[% eau]])/100, 1) &lt; 0.2,0.2,IFERROR((100-TableauIngredients[[#This Row],[% eau]])/100, 1))</f>
        <v/>
      </c>
      <c r="D24" s="1" t="inlineStr">
        <is>
          <t>cassonade</t>
        </is>
      </c>
      <c r="E24" s="1" t="n"/>
      <c r="F24" s="641" t="n"/>
    </row>
    <row r="25">
      <c r="A25">
        <f>PROPER(TableauIngredients[[#This Row],[Ingredients]])</f>
        <v/>
      </c>
      <c r="B25" s="538">
        <f>IF(IFERROR((100-TableauIngredients[[#This Row],[% eau]])/100, 1) &lt; 0.2,0.2,IFERROR((100-TableauIngredients[[#This Row],[% eau]])/100, 1))</f>
        <v/>
      </c>
      <c r="C25" t="n">
        <v>97</v>
      </c>
      <c r="D25" s="1" t="inlineStr">
        <is>
          <t>celeri</t>
        </is>
      </c>
      <c r="E25" s="1" t="n"/>
      <c r="F25" s="641" t="n"/>
    </row>
    <row r="26">
      <c r="A26">
        <f>PROPER(TableauIngredients[[#This Row],[Ingredients]])</f>
        <v/>
      </c>
      <c r="B26" s="538">
        <f>IF(IFERROR((100-TableauIngredients[[#This Row],[% eau]])/100, 1) &lt; 0.2,0.2,IFERROR((100-TableauIngredients[[#This Row],[% eau]])/100, 1))</f>
        <v/>
      </c>
      <c r="C26" t="n">
        <v>70</v>
      </c>
      <c r="D26" s="1" t="inlineStr">
        <is>
          <t>celeri en poudre</t>
        </is>
      </c>
      <c r="E26" s="1" t="n"/>
      <c r="F26" s="641" t="n"/>
    </row>
    <row r="27">
      <c r="A27">
        <f>PROPER(TableauIngredients[[#This Row],[Ingredients]])</f>
        <v/>
      </c>
      <c r="B27" s="538">
        <f>IF(IFERROR((100-TableauIngredients[[#This Row],[% eau]])/100, 1) &lt; 0.2,0.2,IFERROR((100-TableauIngredients[[#This Row],[% eau]])/100, 1))</f>
        <v/>
      </c>
      <c r="D27" t="inlineStr">
        <is>
          <t>chenpi (peau de mandarine sechee)</t>
        </is>
      </c>
      <c r="F27" s="641" t="n">
        <v>76.73</v>
      </c>
      <c r="G27" s="2" t="inlineStr">
        <is>
          <t>https://www.etsy.com/fr/listing/1671728644/zeste-de-mandarine-SEChee-biologique?gpla=1&amp;gao=1&amp;</t>
        </is>
      </c>
    </row>
    <row r="28">
      <c r="A28">
        <f>PROPER(TableauIngredients[[#This Row],[Ingredients]])</f>
        <v/>
      </c>
      <c r="B28" s="538">
        <f>IF(IFERROR((100-TableauIngredients[[#This Row],[% eau]])/100, 1) &lt; 0.2,0.2,IFERROR((100-TableauIngredients[[#This Row],[% eau]])/100, 1))</f>
        <v/>
      </c>
      <c r="C28" t="n">
        <v>90</v>
      </c>
      <c r="D28" t="inlineStr">
        <is>
          <t>citron jaune</t>
        </is>
      </c>
      <c r="F28" s="641" t="n">
        <v>12</v>
      </c>
      <c r="G28" s="2" t="inlineStr">
        <is>
          <t>https://www.googleadservices.com/pagead/aclk?sa=L&amp;ai=DChcSEwjImt71kvSEAxX4qGgJHfm2DMsYABAOGgJ3Zg&amp;ase=2&amp;gclid=Cj0KCQjwwMqvBhCtARIsAIXsZpZzuxlLYPk3jEbz2sSJyN4bocZn-7fGZ1l02xJ2SChDI7pgp8LAST8aAnq9EALw_wcB&amp;ohost=www.google.com&amp;cid=CAESV-D2Uxx-XLqYE_XjwL-kVovH9HTLCB4KlP7kJAwkGppGskGIF94N5JykIfKxIhGF_WNbbGhZMrxjSTAQ4FwvjJubk8RCtjodMYrRsrubTeHFyJdngqwO-Q&amp;sig=AOD64_24hJKAn2HpOv8TAFHuCr4695zSpw&amp;ctype=5&amp;q=&amp;nis=4&amp;ved=2ahUKEwjbttj1kvSEAxXWSKQEHcVUBosQ9aACKAB6BAgBEBM&amp;adurl=</t>
        </is>
      </c>
    </row>
    <row r="29">
      <c r="A29">
        <f>PROPER(TableauIngredients[[#This Row],[Ingredients]])</f>
        <v/>
      </c>
      <c r="B29" s="538">
        <f>IF(IFERROR((100-TableauIngredients[[#This Row],[% eau]])/100, 1) &lt; 0.2,0.2,IFERROR((100-TableauIngredients[[#This Row],[% eau]])/100, 1))</f>
        <v/>
      </c>
      <c r="C29" t="n">
        <v>90</v>
      </c>
      <c r="D29" t="inlineStr">
        <is>
          <t>citron vert</t>
        </is>
      </c>
      <c r="F29" s="641" t="n">
        <v>7</v>
      </c>
      <c r="G29" s="2" t="inlineStr">
        <is>
          <t>https://lecababio.fr/fruits-legumes-fruits-frais/2466-citron-vert-bio-la-piece-2017000000594.html</t>
        </is>
      </c>
    </row>
    <row r="30">
      <c r="A30">
        <f>PROPER(TableauIngredients[[#This Row],[Ingredients]])</f>
        <v/>
      </c>
      <c r="B30" s="538">
        <f>IF(IFERROR((100-TableauIngredients[[#This Row],[% eau]])/100, 1) &lt; 0.2,0.2,IFERROR((100-TableauIngredients[[#This Row],[% eau]])/100, 1))</f>
        <v/>
      </c>
      <c r="C30" t="n">
        <v>97</v>
      </c>
      <c r="D30" t="inlineStr">
        <is>
          <t>clous de girofle</t>
        </is>
      </c>
      <c r="F30" s="641" t="n">
        <v>36</v>
      </c>
      <c r="G30" s="2" t="inlineStr">
        <is>
          <t>https://thesdirect.com/products/girofle-clou-entier-bio?variant=42278504759535&amp;utm_medium=paidsearch&amp;utm_source=google&amp;utm_campaign=FR-PMC-Global&amp;utm_term=&amp;utm_content=&amp;gad_source=1&amp;gclid=Cj0KCQjwwMqvBhCtARIsAIXsZpYMcYHxWw4LzdPFYu1RLdfNCwEEgQ89WYbpA_kBagvr-9lOLjM_5DwaAt_uEALw_wcB</t>
        </is>
      </c>
    </row>
    <row r="31">
      <c r="A31">
        <f>PROPER(TableauIngredients[[#This Row],[Ingredients]])</f>
        <v/>
      </c>
      <c r="B31" s="538">
        <f>IF(IFERROR((100-TableauIngredients[[#This Row],[% eau]])/100, 1) &lt; 0.2,0.2,IFERROR((100-TableauIngredients[[#This Row],[% eau]])/100, 1))</f>
        <v/>
      </c>
      <c r="C31" t="n">
        <v>90</v>
      </c>
      <c r="D31" t="inlineStr">
        <is>
          <t>tomate rouge</t>
        </is>
      </c>
      <c r="E31" t="n">
        <v>5</v>
      </c>
      <c r="F31" s="641" t="n"/>
    </row>
    <row r="32">
      <c r="A32">
        <f>PROPER(TableauIngredients[[#This Row],[Ingredients]])</f>
        <v/>
      </c>
      <c r="B32" s="538">
        <f>IF(IFERROR((100-TableauIngredients[[#This Row],[% eau]])/100, 1) &lt; 0.2,0.2,IFERROR((100-TableauIngredients[[#This Row],[% eau]])/100, 1))</f>
        <v/>
      </c>
      <c r="C32" t="n">
        <v>0</v>
      </c>
      <c r="D32" t="inlineStr">
        <is>
          <t>coriandre feuille</t>
        </is>
      </c>
      <c r="F32" s="641" t="n"/>
    </row>
    <row r="33">
      <c r="A33">
        <f>PROPER(TableauIngredients[[#This Row],[Ingredients]])</f>
        <v/>
      </c>
      <c r="B33" s="538">
        <f>IF(IFERROR((100-TableauIngredients[[#This Row],[% eau]])/100, 1) &lt; 0.2,0.2,IFERROR((100-TableauIngredients[[#This Row],[% eau]])/100, 1))</f>
        <v/>
      </c>
      <c r="C33" t="n">
        <v>92</v>
      </c>
      <c r="D33" t="inlineStr">
        <is>
          <t>coriandre feuille</t>
        </is>
      </c>
      <c r="E33" t="n">
        <v>12</v>
      </c>
      <c r="F33" s="641" t="n"/>
      <c r="G33" s="1" t="n"/>
    </row>
    <row r="34">
      <c r="A34">
        <f>PROPER(TableauIngredients[[#This Row],[Ingredients]])</f>
        <v/>
      </c>
      <c r="B34" s="538">
        <f>IF(IFERROR((100-TableauIngredients[[#This Row],[% eau]])/100, 1) &lt; 0.2,0.2,IFERROR((100-TableauIngredients[[#This Row],[% eau]])/100, 1))</f>
        <v/>
      </c>
      <c r="C34" t="n">
        <v>30</v>
      </c>
      <c r="D34" t="inlineStr">
        <is>
          <t>coriandre graine</t>
        </is>
      </c>
      <c r="E34">
        <f>12.05*1.055</f>
        <v/>
      </c>
      <c r="F34" s="641" t="n"/>
      <c r="G34" s="2" t="inlineStr">
        <is>
          <t>https://thesdirect.com/products/coriandre-graine-entiere-bio-origine-france?variant=46717581754710</t>
        </is>
      </c>
    </row>
    <row r="35">
      <c r="A35">
        <f>PROPER(TableauIngredients[[#This Row],[Ingredients]])</f>
        <v/>
      </c>
      <c r="B35" s="538">
        <f>IF(IFERROR((100-TableauIngredients[[#This Row],[% eau]])/100, 1) &lt; 0.2,0.2,IFERROR((100-TableauIngredients[[#This Row],[% eau]])/100, 1))</f>
        <v/>
      </c>
      <c r="D35" t="inlineStr">
        <is>
          <t>coriandre graine</t>
        </is>
      </c>
      <c r="E35">
        <f>12.05*1.055</f>
        <v/>
      </c>
      <c r="F35" s="641" t="n"/>
    </row>
    <row r="36">
      <c r="A36">
        <f>PROPER(TableauIngredients[[#This Row],[Ingredients]])</f>
        <v/>
      </c>
      <c r="B36" s="538">
        <f>IF(IFERROR((100-TableauIngredients[[#This Row],[% eau]])/100, 1) &lt; 0.2,0.2,IFERROR((100-TableauIngredients[[#This Row],[% eau]])/100, 1))</f>
        <v/>
      </c>
      <c r="C36" t="n">
        <v>30</v>
      </c>
      <c r="D36" t="inlineStr">
        <is>
          <t>graine cumin</t>
        </is>
      </c>
      <c r="E36">
        <f>42.9*1.055</f>
        <v/>
      </c>
      <c r="F36" s="641" t="n"/>
      <c r="G36" s="2" t="inlineStr">
        <is>
          <t>https://thesdirect.com/products/grosssite-cumin-graine-poudre-bio-vente-en-gros?_pos=2&amp;_sid=3c51b5f81&amp;_ss=r</t>
        </is>
      </c>
    </row>
    <row r="37">
      <c r="A37">
        <f>PROPER(TableauIngredients[[#This Row],[Ingredients]])</f>
        <v/>
      </c>
      <c r="B37" s="538">
        <f>IF(IFERROR((100-TableauIngredients[[#This Row],[% eau]])/100, 1) &lt; 0.2,0.2,IFERROR((100-TableauIngredients[[#This Row],[% eau]])/100, 1))</f>
        <v/>
      </c>
      <c r="C37" t="n">
        <v>10</v>
      </c>
      <c r="D37" t="inlineStr">
        <is>
          <t>graine cumin noir</t>
        </is>
      </c>
      <c r="E37" t="n">
        <v>21.95</v>
      </c>
      <c r="F37" s="641" t="n"/>
      <c r="G37" s="2" t="inlineStr">
        <is>
          <t>https://thesdirect.com/products/cumin-noir-nigelle-graine-entiere-bio?_pos=1&amp;_sid=3c51b5f81&amp;_ss=r</t>
        </is>
      </c>
    </row>
    <row r="38">
      <c r="A38">
        <f>PROPER(TableauIngredients[[#This Row],[Ingredients]])</f>
        <v/>
      </c>
      <c r="B38" s="538">
        <f>IF(IFERROR((100-TableauIngredients[[#This Row],[% eau]])/100, 1) &lt; 0.2,0.2,IFERROR((100-TableauIngredients[[#This Row],[% eau]])/100, 1))</f>
        <v/>
      </c>
      <c r="C38" t="n">
        <v>15</v>
      </c>
      <c r="D38" t="inlineStr">
        <is>
          <t>curcuma</t>
        </is>
      </c>
      <c r="F38" s="641" t="n"/>
      <c r="G38" s="2" t="inlineStr">
        <is>
          <t>production du curcuma bio en inde et son utilisation ...</t>
        </is>
      </c>
    </row>
    <row r="39">
      <c r="A39">
        <f>PROPER(TableauIngredients[[#This Row],[Ingredients]])</f>
        <v/>
      </c>
      <c r="B39" s="538" t="n">
        <v>1</v>
      </c>
      <c r="C39" t="n">
        <v>100</v>
      </c>
      <c r="D39" t="inlineStr">
        <is>
          <t>eau</t>
        </is>
      </c>
      <c r="E39" t="n">
        <v>0.001</v>
      </c>
      <c r="F39" s="641" t="n"/>
      <c r="G39" s="2" t="inlineStr">
        <is>
          <t>https://www.pharma5avenue.com/blog/mode-de-production-du-curcuma-longa-n63</t>
        </is>
      </c>
    </row>
    <row r="40">
      <c r="A40">
        <f>PROPER(TableauIngredients[[#This Row],[Ingredients]])</f>
        <v/>
      </c>
      <c r="B40" s="538">
        <f>IF(IFERROR((100-TableauIngredients[[#This Row],[% eau]])/100, 1) &lt; 0.2,0.2,IFERROR((100-TableauIngredients[[#This Row],[% eau]])/100, 1))</f>
        <v/>
      </c>
      <c r="C40" t="n">
        <v>10</v>
      </c>
      <c r="D40" t="inlineStr">
        <is>
          <t>graine de fenugrec</t>
        </is>
      </c>
      <c r="E40" t="n">
        <v>12.55</v>
      </c>
      <c r="F40" s="641" t="n"/>
      <c r="G40" s="2" t="inlineStr">
        <is>
          <t>Pharma 5 Avenue</t>
        </is>
      </c>
    </row>
    <row r="41">
      <c r="A41">
        <f>PROPER(TableauIngredients[[#This Row],[Ingredients]])</f>
        <v/>
      </c>
      <c r="B41" s="538">
        <f>IF(IFERROR((100-TableauIngredients[[#This Row],[% eau]])/100, 1) &lt; 0.2,0.2,IFERROR((100-TableauIngredients[[#This Row],[% eau]])/100, 1))</f>
        <v/>
      </c>
      <c r="C41" t="n">
        <v>97</v>
      </c>
      <c r="D41" t="inlineStr">
        <is>
          <t>feuille de 4 epices</t>
        </is>
      </c>
      <c r="F41" s="641" t="n">
        <v>19.17</v>
      </c>
      <c r="G41" s="2" t="inlineStr">
        <is>
          <t>https://www.pharma5avenue.com › blog › mode-de-pro...</t>
        </is>
      </c>
    </row>
    <row r="42">
      <c r="A42">
        <f>PROPER(TableauIngredients[[#This Row],[Ingredients]])</f>
        <v/>
      </c>
      <c r="B42" s="538">
        <f>IF(IFERROR((100-TableauIngredients[[#This Row],[% eau]])/100, 1) &lt; 0.2,0.2,IFERROR((100-TableauIngredients[[#This Row],[% eau]])/100, 1))</f>
        <v/>
      </c>
      <c r="C42" t="n">
        <v>97</v>
      </c>
      <c r="D42" s="1" t="inlineStr">
        <is>
          <t>Feuilles de cannelier</t>
        </is>
      </c>
      <c r="E42" s="1" t="n"/>
      <c r="F42" s="641" t="n"/>
    </row>
    <row r="43">
      <c r="A43">
        <f>PROPER(TableauIngredients[[#This Row],[Ingredients]])</f>
        <v/>
      </c>
      <c r="B43" s="538">
        <f>IF(IFERROR((100-TableauIngredients[[#This Row],[% eau]])/100, 1) &lt; 0.2,0.2,IFERROR((100-TableauIngredients[[#This Row],[% eau]])/100, 1))</f>
        <v/>
      </c>
      <c r="C43" t="n">
        <v>97</v>
      </c>
      <c r="D43" s="1" t="inlineStr">
        <is>
          <t>feuilles de curry</t>
        </is>
      </c>
      <c r="E43" s="1" t="n"/>
      <c r="F43" s="641" t="n"/>
    </row>
    <row r="44">
      <c r="A44">
        <f>PROPER(TableauIngredients[[#This Row],[Ingredients]])</f>
        <v/>
      </c>
      <c r="B44" s="538">
        <f>IF(IFERROR((100-TableauIngredients[[#This Row],[% eau]])/100, 1) &lt; 0.2,0.2,IFERROR((100-TableauIngredients[[#This Row],[% eau]])/100, 1))</f>
        <v/>
      </c>
      <c r="C44" t="n">
        <v>0</v>
      </c>
      <c r="D44" t="inlineStr">
        <is>
          <t>feuilles de laurier</t>
        </is>
      </c>
      <c r="E44" s="1" t="n"/>
      <c r="F44" s="641" t="n"/>
    </row>
    <row r="45">
      <c r="A45">
        <f>PROPER(TableauIngredients[[#This Row],[Ingredients]])</f>
        <v/>
      </c>
      <c r="B45" s="538">
        <f>IF(IFERROR((100-TableauIngredients[[#This Row],[% eau]])/100, 1) &lt; 0.2,0.2,IFERROR((100-TableauIngredients[[#This Row],[% eau]])/100, 1))</f>
        <v/>
      </c>
      <c r="C45" t="n">
        <v>65</v>
      </c>
      <c r="D45" t="inlineStr">
        <is>
          <t>feuilles de laurier</t>
        </is>
      </c>
      <c r="E45">
        <f>47.4*1.055</f>
        <v/>
      </c>
      <c r="F45" s="641" t="n"/>
      <c r="G45" s="2" t="inlineStr">
        <is>
          <t>https://thesdirect.com/products/laurier-feuille-coupee-bio?_pos=1&amp;_sid=01cd0a848&amp;_ss=r</t>
        </is>
      </c>
    </row>
    <row r="46">
      <c r="A46">
        <f>PROPER(TableauIngredients[[#This Row],[Ingredients]])</f>
        <v/>
      </c>
      <c r="B46" s="538">
        <f>IF(IFERROR((100-TableauIngredients[[#This Row],[% eau]])/100, 1) &lt; 0.2,0.2,IFERROR((100-TableauIngredients[[#This Row],[% eau]])/100, 1))</f>
        <v/>
      </c>
      <c r="C46" t="n">
        <v>0</v>
      </c>
      <c r="D46" t="inlineStr">
        <is>
          <t>figue</t>
        </is>
      </c>
      <c r="F46" s="641" t="n"/>
      <c r="G46" s="2" t="n"/>
    </row>
    <row r="47">
      <c r="A47">
        <f>PROPER(TableauIngredients[[#This Row],[Ingredients]])</f>
        <v/>
      </c>
      <c r="B47" s="538">
        <f>IF(IFERROR((100-TableauIngredients[[#This Row],[% eau]])/100, 1) &lt; 0.2,0.2,IFERROR((100-TableauIngredients[[#This Row],[% eau]])/100, 1))</f>
        <v/>
      </c>
      <c r="C47" t="n">
        <v>80</v>
      </c>
      <c r="D47" t="inlineStr">
        <is>
          <t>figue</t>
        </is>
      </c>
      <c r="F47" s="641" t="n"/>
    </row>
    <row r="48">
      <c r="A48">
        <f>PROPER(TableauIngredients[[#This Row],[Ingredients]])</f>
        <v/>
      </c>
      <c r="B48" s="538">
        <f>IF(IFERROR((100-TableauIngredients[[#This Row],[% eau]])/100, 1) &lt; 0.2,0.2,IFERROR((100-TableauIngredients[[#This Row],[% eau]])/100, 1))</f>
        <v/>
      </c>
      <c r="C48" t="n">
        <v>0</v>
      </c>
      <c r="D48" t="inlineStr">
        <is>
          <t>fleure helichrysum</t>
        </is>
      </c>
      <c r="F48" s="641" t="n"/>
    </row>
    <row r="49">
      <c r="A49">
        <f>PROPER(TableauIngredients[[#This Row],[Ingredients]])</f>
        <v/>
      </c>
      <c r="B49" s="538">
        <f>IF(IFERROR((100-TableauIngredients[[#This Row],[% eau]])/100, 1) &lt; 0.2,0.2,IFERROR((100-TableauIngredients[[#This Row],[% eau]])/100, 1))</f>
        <v/>
      </c>
      <c r="C49" t="n">
        <v>90</v>
      </c>
      <c r="D49" t="inlineStr">
        <is>
          <t>fleure helichrysum</t>
        </is>
      </c>
      <c r="F49" s="641" t="n"/>
    </row>
    <row r="50">
      <c r="A50">
        <f>PROPER(TableauIngredients[[#This Row],[Ingredients]])</f>
        <v/>
      </c>
      <c r="B50" s="538">
        <f>IF(IFERROR((100-TableauIngredients[[#This Row],[% eau]])/100, 1) &lt; 0.2,0.2,IFERROR((100-TableauIngredients[[#This Row],[% eau]])/100, 1))</f>
        <v/>
      </c>
      <c r="C50" t="n">
        <v>99</v>
      </c>
      <c r="D50" t="inlineStr">
        <is>
          <t>gaultheria Procumbens Leaf Oil</t>
        </is>
      </c>
      <c r="F50" s="641" t="n"/>
    </row>
    <row r="51">
      <c r="A51">
        <f>PROPER(TableauIngredients[[#This Row],[Ingredients]])</f>
        <v/>
      </c>
      <c r="B51" s="538">
        <f>IF(IFERROR((100-TableauIngredients[[#This Row],[% eau]])/100, 1) &lt; 0.2,0.2,IFERROR((100-TableauIngredients[[#This Row],[% eau]])/100, 1))</f>
        <v/>
      </c>
      <c r="C51" t="n">
        <v>0</v>
      </c>
      <c r="D51" t="inlineStr">
        <is>
          <t>gingembre</t>
        </is>
      </c>
      <c r="F51" s="641" t="n"/>
    </row>
    <row r="52">
      <c r="A52">
        <f>PROPER(TableauIngredients[[#This Row],[Ingredients]])</f>
        <v/>
      </c>
      <c r="B52" s="538">
        <f>IF(IFERROR((100-TableauIngredients[[#This Row],[% eau]])/100, 1) &lt; 0.2,0.2,IFERROR((100-TableauIngredients[[#This Row],[% eau]])/100, 1))</f>
        <v/>
      </c>
      <c r="C52" t="n">
        <v>15</v>
      </c>
      <c r="D52" t="inlineStr">
        <is>
          <t>gingembre</t>
        </is>
      </c>
      <c r="E52" t="n">
        <v>27.6</v>
      </c>
      <c r="F52" s="641" t="n"/>
      <c r="G52" s="2" t="inlineStr">
        <is>
          <t>https://thesdirect.com/products/gingembre-rhizome-poudre-bio?_pos=7&amp;_sid=90d482203&amp;_ss=r</t>
        </is>
      </c>
    </row>
    <row r="53">
      <c r="A53">
        <f>PROPER(TableauIngredients[[#This Row],[Ingredients]])</f>
        <v/>
      </c>
      <c r="B53" s="538">
        <f>IF(IFERROR((100-TableauIngredients[[#This Row],[% eau]])/100, 1) &lt; 0.2,0.2,IFERROR((100-TableauIngredients[[#This Row],[% eau]])/100, 1))</f>
        <v/>
      </c>
      <c r="C53" t="n">
        <v>0</v>
      </c>
      <c r="D53" t="inlineStr">
        <is>
          <t>ail</t>
        </is>
      </c>
      <c r="F53" s="641" t="n"/>
    </row>
    <row r="54">
      <c r="A54">
        <f>PROPER(TableauIngredients[[#This Row],[Ingredients]])</f>
        <v/>
      </c>
      <c r="B54" s="538">
        <f>IF(IFERROR((100-TableauIngredients[[#This Row],[% eau]])/100, 1) &lt; 0.2,0.2,IFERROR((100-TableauIngredients[[#This Row],[% eau]])/100, 1))</f>
        <v/>
      </c>
      <c r="C54" t="n">
        <v>80</v>
      </c>
      <c r="D54" t="inlineStr">
        <is>
          <t>aneth</t>
        </is>
      </c>
      <c r="F54" s="641" t="n"/>
    </row>
    <row r="55">
      <c r="A55">
        <f>PROPER(TableauIngredients[[#This Row],[Ingredients]])</f>
        <v/>
      </c>
      <c r="B55" s="538">
        <f>IF(IFERROR((100-TableauIngredients[[#This Row],[% eau]])/100, 1) &lt; 0.2,0.2,IFERROR((100-TableauIngredients[[#This Row],[% eau]])/100, 1))</f>
        <v/>
      </c>
      <c r="C55" t="n">
        <v>97</v>
      </c>
      <c r="D55" t="inlineStr">
        <is>
          <t>graine de cardamone</t>
        </is>
      </c>
      <c r="F55" s="641">
        <f>108.1*1.055</f>
        <v/>
      </c>
      <c r="G55" s="2" t="inlineStr">
        <is>
          <t>https://thesdirect.com/products/cardamome-fruit-entier-bio?_pos=1&amp;_sid=0d54a836c&amp;_ss=r</t>
        </is>
      </c>
    </row>
    <row r="56">
      <c r="A56">
        <f>PROPER(TableauIngredients[[#This Row],[Ingredients]])</f>
        <v/>
      </c>
      <c r="B56" s="538">
        <f>IF(IFERROR((100-TableauIngredients[[#This Row],[% eau]])/100, 1) &lt; 0.2,0.2,IFERROR((100-TableauIngredients[[#This Row],[% eau]])/100, 1))</f>
        <v/>
      </c>
      <c r="C56" t="n">
        <v>30</v>
      </c>
      <c r="D56" t="inlineStr">
        <is>
          <t>graine de carvi</t>
        </is>
      </c>
      <c r="E56">
        <f>20.75*1.055</f>
        <v/>
      </c>
      <c r="F56" s="641" t="n"/>
      <c r="G56" s="2" t="inlineStr">
        <is>
          <t>https://thesdirect.com/products/carvi-graine-entiere-bio?_pos=1&amp;_sid=0340e6674&amp;_ss=r</t>
        </is>
      </c>
    </row>
    <row r="57">
      <c r="A57">
        <f>PROPER(TableauIngredients[[#This Row],[Ingredients]])</f>
        <v/>
      </c>
      <c r="B57" s="538">
        <f>IF(IFERROR((100-TableauIngredients[[#This Row],[% eau]])/100, 1) &lt; 0.2,0.2,IFERROR((100-TableauIngredients[[#This Row],[% eau]])/100, 1))</f>
        <v/>
      </c>
      <c r="C57" t="n">
        <v>30</v>
      </c>
      <c r="D57" t="inlineStr">
        <is>
          <t>graine cumin</t>
        </is>
      </c>
      <c r="E57">
        <f>42.9*1.055</f>
        <v/>
      </c>
      <c r="F57" s="641" t="n"/>
      <c r="G57" s="2" t="inlineStr">
        <is>
          <t>https://thesdirect.com/products/grosssite-cumin-graine-poudre-bio-vente-en-gros?_pos=2&amp;_sid=3c51b5f81&amp;_ss=r</t>
        </is>
      </c>
    </row>
    <row r="58">
      <c r="A58">
        <f>PROPER(TableauIngredients[[#This Row],[Ingredients]])</f>
        <v/>
      </c>
      <c r="B58" s="538">
        <f>IF(IFERROR((100-TableauIngredients[[#This Row],[% eau]])/100, 1) &lt; 0.2,0.2,IFERROR((100-TableauIngredients[[#This Row],[% eau]])/100, 1))</f>
        <v/>
      </c>
      <c r="C58" t="n">
        <v>30</v>
      </c>
      <c r="D58" t="inlineStr">
        <is>
          <t>graine de fenouil</t>
        </is>
      </c>
      <c r="E58" t="n">
        <v>17.5</v>
      </c>
      <c r="F58" s="641" t="n"/>
      <c r="G58" s="2" t="inlineStr">
        <is>
          <t>https://thesdirect.com/products/fenouil-bio-en-vrac-1-kg?_pos=1&amp;_sid=0712c237c&amp;_ss=r</t>
        </is>
      </c>
    </row>
    <row r="59">
      <c r="A59">
        <f>PROPER(TableauIngredients[[#This Row],[Ingredients]])</f>
        <v/>
      </c>
      <c r="B59" s="538">
        <f>IF(IFERROR((100-TableauIngredients[[#This Row],[% eau]])/100, 1) &lt; 0.2,0.2,IFERROR((100-TableauIngredients[[#This Row],[% eau]])/100, 1))</f>
        <v/>
      </c>
      <c r="C59" t="n">
        <v>30</v>
      </c>
      <c r="D59" t="inlineStr">
        <is>
          <t>graine de fenugrec</t>
        </is>
      </c>
      <c r="E59" t="n">
        <v>12.55</v>
      </c>
      <c r="F59" s="641" t="n"/>
      <c r="G59" s="2" t="inlineStr">
        <is>
          <t>https://thesdirect.com/products/graine-de-fenugrec-bio-en-vrac?_pos=1&amp;_sid=e3b571ae1&amp;_ss=r</t>
        </is>
      </c>
    </row>
    <row r="60">
      <c r="A60">
        <f>PROPER(TableauIngredients[[#This Row],[Ingredients]])</f>
        <v/>
      </c>
      <c r="B60" s="538">
        <f>IF(IFERROR((100-TableauIngredients[[#This Row],[% eau]])/100, 1) &lt; 0.2,0.2,IFERROR((100-TableauIngredients[[#This Row],[% eau]])/100, 1))</f>
        <v/>
      </c>
      <c r="C60" t="n">
        <v>30</v>
      </c>
      <c r="D60" t="inlineStr">
        <is>
          <t>graine de moutarde</t>
        </is>
      </c>
      <c r="E60" t="n">
        <v>10.85</v>
      </c>
      <c r="F60" s="641" t="n"/>
      <c r="G60" s="2" t="inlineStr">
        <is>
          <t>https://thesdirect.com/products/graine-de-moutarde-jaune-bio-en-vrac?_pos=2&amp;_sid=ed731c47b&amp;_ss=r</t>
        </is>
      </c>
    </row>
    <row r="61">
      <c r="A61">
        <f>PROPER(TableauIngredients[[#This Row],[Ingredients]])</f>
        <v/>
      </c>
      <c r="B61" s="538">
        <f>IF(IFERROR((100-TableauIngredients[[#This Row],[% eau]])/100, 1) &lt; 0.2,0.2,IFERROR((100-TableauIngredients[[#This Row],[% eau]])/100, 1))</f>
        <v/>
      </c>
      <c r="C61" t="n">
        <v>30</v>
      </c>
      <c r="D61" t="inlineStr">
        <is>
          <t>graine de moutarde noire</t>
        </is>
      </c>
      <c r="E61" t="n">
        <v>12.9</v>
      </c>
      <c r="F61" s="641" t="n"/>
      <c r="G61" s="2" t="inlineStr">
        <is>
          <t>https://thesdirect.com/products/graine-de-moutarde-noir-bio-en-vrac?_pos=1&amp;_sid=ed731c47b&amp;_ss=r</t>
        </is>
      </c>
    </row>
    <row r="62">
      <c r="A62">
        <f>PROPER(TableauIngredients[[#This Row],[Ingredients]])</f>
        <v/>
      </c>
      <c r="B62" s="538">
        <f>IF(IFERROR((100-TableauIngredients[[#This Row],[% eau]])/100, 1) &lt; 0.2,0.2,IFERROR((100-TableauIngredients[[#This Row],[% eau]])/100, 1))</f>
        <v/>
      </c>
      <c r="C62" t="n">
        <v>30</v>
      </c>
      <c r="D62" t="inlineStr">
        <is>
          <t>graine de nigelle</t>
        </is>
      </c>
      <c r="E62" t="n">
        <v>21.95</v>
      </c>
      <c r="F62" s="641" t="n"/>
      <c r="G62" s="2" t="inlineStr">
        <is>
          <t>https://thesdirect.com/products/cumin-noir-nigelle-graine-entiere-bio?_pos=1&amp;_sid=952bb7c98&amp;_ss=r</t>
        </is>
      </c>
    </row>
    <row r="63">
      <c r="A63">
        <f>PROPER(TableauIngredients[[#This Row],[Ingredients]])</f>
        <v/>
      </c>
      <c r="B63" s="538">
        <f>IF(IFERROR((100-TableauIngredients[[#This Row],[% eau]])/100, 1) &lt; 0.2,0.2,IFERROR((100-TableauIngredients[[#This Row],[% eau]])/100, 1))</f>
        <v/>
      </c>
      <c r="C63" t="n">
        <v>40</v>
      </c>
      <c r="D63" s="1" t="inlineStr">
        <is>
          <t>graines de pavot</t>
        </is>
      </c>
      <c r="E63" s="1" t="n"/>
      <c r="F63" s="641" t="n"/>
    </row>
    <row r="64">
      <c r="A64">
        <f>PROPER(TableauIngredients[[#This Row],[Ingredients]])</f>
        <v/>
      </c>
      <c r="B64" s="538">
        <f>IF(IFERROR((100-TableauIngredients[[#This Row],[% eau]])/100, 1) &lt; 0.2,0.2,IFERROR((100-TableauIngredients[[#This Row],[% eau]])/100, 1))</f>
        <v/>
      </c>
      <c r="C64" t="n">
        <v>30</v>
      </c>
      <c r="D64" t="inlineStr">
        <is>
          <t>graine de sesame</t>
        </is>
      </c>
      <c r="F64" s="641" t="n"/>
    </row>
    <row r="65">
      <c r="A65">
        <f>PROPER(TableauIngredients[[#This Row],[Ingredients]])</f>
        <v/>
      </c>
      <c r="B65" s="538">
        <f>IF(IFERROR((100-TableauIngredients[[#This Row],[% eau]])/100, 1) &lt; 0.2,0.2,IFERROR((100-TableauIngredients[[#This Row],[% eau]])/100, 1))</f>
        <v/>
      </c>
      <c r="C65" t="n">
        <v>95</v>
      </c>
      <c r="D65" t="inlineStr">
        <is>
          <t>grande ortie</t>
        </is>
      </c>
      <c r="E65" t="n">
        <v>28.55</v>
      </c>
      <c r="F65" s="641" t="n"/>
      <c r="G65" s="2" t="inlineStr">
        <is>
          <t>https://thesdirect.com/products/ortie-piquante-partie-aerienne-poudre-bio-origine-france?_pos=3&amp;_sid=da77c7ad6&amp;_ss=r</t>
        </is>
      </c>
    </row>
    <row r="66">
      <c r="A66">
        <f>PROPER(TableauIngredients[[#This Row],[Ingredients]])</f>
        <v/>
      </c>
      <c r="B66" s="538">
        <f>IF(IFERROR((100-TableauIngredients[[#This Row],[% eau]])/100, 1) &lt; 0.2,0.2,IFERROR((100-TableauIngredients[[#This Row],[% eau]])/100, 1))</f>
        <v/>
      </c>
      <c r="C66" t="n">
        <v>0</v>
      </c>
      <c r="D66" s="1" t="inlineStr">
        <is>
          <t>guimauve feuille</t>
        </is>
      </c>
      <c r="F66" s="641" t="n"/>
    </row>
    <row r="67">
      <c r="A67">
        <f>PROPER(TableauIngredients[[#This Row],[Ingredients]])</f>
        <v/>
      </c>
      <c r="B67" s="538">
        <f>IF(IFERROR((100-TableauIngredients[[#This Row],[% eau]])/100, 1) &lt; 0.2,0.2,IFERROR((100-TableauIngredients[[#This Row],[% eau]])/100, 1))</f>
        <v/>
      </c>
      <c r="C67" t="n">
        <v>95</v>
      </c>
      <c r="D67" s="1" t="inlineStr">
        <is>
          <t>guimauve feuille</t>
        </is>
      </c>
      <c r="F67" s="641" t="n"/>
    </row>
    <row r="68">
      <c r="A68">
        <f>PROPER(TableauIngredients[[#This Row],[Ingredients]])</f>
        <v/>
      </c>
      <c r="B68" s="538">
        <f>IF(IFERROR((100-TableauIngredients[[#This Row],[% eau]])/100, 1) &lt; 0.2,0.2,IFERROR((100-TableauIngredients[[#This Row],[% eau]])/100, 1))</f>
        <v/>
      </c>
      <c r="C68" t="n">
        <v>0</v>
      </c>
      <c r="D68" s="1" t="inlineStr">
        <is>
          <t>guimauve fleure</t>
        </is>
      </c>
      <c r="F68" s="641" t="n"/>
    </row>
    <row r="69">
      <c r="A69">
        <f>PROPER(TableauIngredients[[#This Row],[Ingredients]])</f>
        <v/>
      </c>
      <c r="B69" s="538">
        <f>IF(IFERROR((100-TableauIngredients[[#This Row],[% eau]])/100, 1) &lt; 0.2,0.2,IFERROR((100-TableauIngredients[[#This Row],[% eau]])/100, 1))</f>
        <v/>
      </c>
      <c r="C69" t="n">
        <v>97</v>
      </c>
      <c r="D69" s="1" t="inlineStr">
        <is>
          <t>guimauve fleure</t>
        </is>
      </c>
      <c r="F69" s="641" t="n"/>
    </row>
    <row r="70">
      <c r="A70">
        <f>PROPER(TableauIngredients[[#This Row],[Ingredients]])</f>
        <v/>
      </c>
      <c r="B70" s="538">
        <f>IF(IFERROR((100-TableauIngredients[[#This Row],[% eau]])/100, 1) &lt; 0.2,0.2,IFERROR((100-TableauIngredients[[#This Row],[% eau]])/100, 1))</f>
        <v/>
      </c>
      <c r="C70" t="n">
        <v>0</v>
      </c>
      <c r="D70" s="1" t="inlineStr">
        <is>
          <t>guimauve racine</t>
        </is>
      </c>
      <c r="F70" s="641" t="n"/>
    </row>
    <row r="71">
      <c r="A71">
        <f>PROPER(TableauIngredients[[#This Row],[Ingredients]])</f>
        <v/>
      </c>
      <c r="B71" s="538">
        <f>IF(IFERROR((100-TableauIngredients[[#This Row],[% eau]])/100, 1) &lt; 0.2,0.2,IFERROR((100-TableauIngredients[[#This Row],[% eau]])/100, 1))</f>
        <v/>
      </c>
      <c r="C71" t="n">
        <v>65</v>
      </c>
      <c r="D71" s="1" t="inlineStr">
        <is>
          <t>guimauve racine</t>
        </is>
      </c>
      <c r="F71" s="641" t="n"/>
    </row>
    <row r="72">
      <c r="A72">
        <f>PROPER(TableauIngredients[[#This Row],[Ingredients]])</f>
        <v/>
      </c>
      <c r="B72" s="538">
        <f>IF(IFERROR((100-TableauIngredients[[#This Row],[% eau]])/100, 1) &lt; 0.2,0.2,IFERROR((100-TableauIngredients[[#This Row],[% eau]])/100, 1))</f>
        <v/>
      </c>
      <c r="C72" t="n">
        <v>97</v>
      </c>
      <c r="D72" t="inlineStr">
        <is>
          <t>harpagophytum procumbens</t>
        </is>
      </c>
      <c r="F72" s="641" t="n">
        <v>37.15</v>
      </c>
      <c r="G72" s="2" t="inlineStr">
        <is>
          <t>https://thesdirect.com/products/harpagophytum-racine-coupee-bio?variant=46723154116950&amp;utm_medium=paidsearch&amp;utm_source=google&amp;utm_campaign=FR-PMC-Global&amp;utm_term=&amp;utm_content=&amp;gad_source=1</t>
        </is>
      </c>
    </row>
    <row r="73">
      <c r="A73">
        <f>PROPER(TableauIngredients[[#This Row],[Ingredients]])</f>
        <v/>
      </c>
      <c r="B73" s="538">
        <f>IF(IFERROR((100-TableauIngredients[[#This Row],[% eau]])/100, 1) &lt; 0.2,0.2,IFERROR((100-TableauIngredients[[#This Row],[% eau]])/100, 1))</f>
        <v/>
      </c>
      <c r="C73" t="n">
        <v>98</v>
      </c>
      <c r="D73" t="inlineStr">
        <is>
          <t>helichryse</t>
        </is>
      </c>
      <c r="E73">
        <f>214.5/4.9</f>
        <v/>
      </c>
      <c r="F73" s="641" t="n"/>
      <c r="G73" s="2" t="inlineStr">
        <is>
          <t>https://www.etsy.com/fr/listing/897347569/tisane-en-vrac-helichrysum-immortelle</t>
        </is>
      </c>
    </row>
    <row r="74">
      <c r="A74">
        <f>PROPER(TableauIngredients[[#This Row],[Ingredients]])</f>
        <v/>
      </c>
      <c r="B74" s="538">
        <f>IF(IFERROR((100-TableauIngredients[[#This Row],[% eau]])/100, 1) &lt; 0.2,0.2,IFERROR((100-TableauIngredients[[#This Row],[% eau]])/100, 1))</f>
        <v/>
      </c>
      <c r="C74" t="n">
        <v>0</v>
      </c>
      <c r="D74" t="inlineStr">
        <is>
          <t>hemerocalle</t>
        </is>
      </c>
      <c r="F74" s="641" t="n"/>
    </row>
    <row r="75">
      <c r="A75">
        <f>PROPER(TableauIngredients[[#This Row],[Ingredients]])</f>
        <v/>
      </c>
      <c r="B75" s="538">
        <f>IF(IFERROR((100-TableauIngredients[[#This Row],[% eau]])/100, 1) &lt; 0.2,0.2,IFERROR((100-TableauIngredients[[#This Row],[% eau]])/100, 1))</f>
        <v/>
      </c>
      <c r="C75" t="n">
        <v>95</v>
      </c>
      <c r="D75" t="inlineStr">
        <is>
          <t>hemerocalle</t>
        </is>
      </c>
      <c r="F75" s="641" t="n"/>
    </row>
    <row r="76">
      <c r="A76">
        <f>PROPER(TableauIngredients[[#This Row],[Ingredients]])</f>
        <v/>
      </c>
      <c r="B76" s="538">
        <f>IF(IFERROR((100-TableauIngredients[[#This Row],[% eau]])/100, 1) &lt; 0.2,0.2,IFERROR((100-TableauIngredients[[#This Row],[% eau]])/100, 1))</f>
        <v/>
      </c>
      <c r="C76" t="n">
        <v>0</v>
      </c>
      <c r="D76" t="inlineStr">
        <is>
          <t>hibiscus</t>
        </is>
      </c>
      <c r="F76" s="641" t="n"/>
    </row>
    <row r="77">
      <c r="A77">
        <f>PROPER(TableauIngredients[[#This Row],[Ingredients]])</f>
        <v/>
      </c>
      <c r="B77" s="538">
        <f>IF(IFERROR((100-TableauIngredients[[#This Row],[% eau]])/100, 1) &lt; 0.2,0.2,IFERROR((100-TableauIngredients[[#This Row],[% eau]])/100, 1))</f>
        <v/>
      </c>
      <c r="C77" t="n">
        <v>95</v>
      </c>
      <c r="D77" t="inlineStr">
        <is>
          <t>hibiscus</t>
        </is>
      </c>
      <c r="F77" s="641" t="n"/>
    </row>
    <row r="78">
      <c r="A78">
        <f>PROPER(TableauIngredients[[#This Row],[Ingredients]])</f>
        <v/>
      </c>
      <c r="B78" s="538">
        <f>IF(IFERROR((100-TableauIngredients[[#This Row],[% eau]])/100, 1) &lt; 0.2,0.2,IFERROR((100-TableauIngredients[[#This Row],[% eau]])/100, 1))</f>
        <v/>
      </c>
      <c r="C78" t="n">
        <v>97</v>
      </c>
      <c r="D78" s="1" t="inlineStr">
        <is>
          <t>huile d'olive</t>
        </is>
      </c>
      <c r="E78" s="1" t="n"/>
      <c r="F78" s="641" t="n">
        <v>8</v>
      </c>
    </row>
    <row r="79">
      <c r="A79">
        <f>PROPER(TableauIngredients[[#This Row],[Ingredients]])</f>
        <v/>
      </c>
      <c r="B79" s="538">
        <f>IF(IFERROR((100-TableauIngredients[[#This Row],[% eau]])/100, 1) &lt; 0.2,0.2,IFERROR((100-TableauIngredients[[#This Row],[% eau]])/100, 1))</f>
        <v/>
      </c>
      <c r="C79" t="n">
        <v>0</v>
      </c>
      <c r="D79" t="inlineStr">
        <is>
          <t>huile de sesame grille</t>
        </is>
      </c>
      <c r="F79" s="641" t="n">
        <v>16</v>
      </c>
    </row>
    <row r="80">
      <c r="A80">
        <f>PROPER(TableauIngredients[[#This Row],[Ingredients]])</f>
        <v/>
      </c>
      <c r="B80" s="538">
        <f>IF(IFERROR((100-TableauIngredients[[#This Row],[% eau]])/100, 1) &lt; 0.2,0.2,IFERROR((100-TableauIngredients[[#This Row],[% eau]])/100, 1))</f>
        <v/>
      </c>
      <c r="C80" t="n">
        <v>0</v>
      </c>
      <c r="D80" t="inlineStr">
        <is>
          <t>huile de tournesol</t>
        </is>
      </c>
      <c r="F80" s="641" t="n">
        <v>1.5</v>
      </c>
    </row>
    <row r="81">
      <c r="A81">
        <f>PROPER(TableauIngredients[[#This Row],[Ingredients]])</f>
        <v/>
      </c>
      <c r="B81" s="538">
        <f>IF(IFERROR((100-TableauIngredients[[#This Row],[% eau]])/100, 1) &lt; 0.2,0.2,IFERROR((100-TableauIngredients[[#This Row],[% eau]])/100, 1))</f>
        <v/>
      </c>
      <c r="C81" t="n">
        <v>30</v>
      </c>
      <c r="D81" t="inlineStr">
        <is>
          <t>jaggery</t>
        </is>
      </c>
      <c r="F81" s="641" t="n"/>
    </row>
    <row r="82">
      <c r="A82">
        <f>PROPER(TableauIngredients[[#This Row],[Ingredients]])</f>
        <v/>
      </c>
      <c r="B82" s="538">
        <f>IF(IFERROR((100-TableauIngredients[[#This Row],[% eau]])/100, 1) &lt; 0.2,0.2,IFERROR((100-TableauIngredients[[#This Row],[% eau]])/100, 1))</f>
        <v/>
      </c>
      <c r="C82" t="n">
        <v>65</v>
      </c>
      <c r="D82" t="inlineStr">
        <is>
          <t>citron jaune</t>
        </is>
      </c>
      <c r="F82" s="641" t="n">
        <v>12</v>
      </c>
      <c r="G82" s="2" t="inlineStr">
        <is>
          <t>https://www.googleadservices.com/pagead/aclk?sa=L&amp;ai=DChcSEwjImt71kvSEAxX4qGgJHfm2DMsYABAOGgJ3Zg&amp;ase=2&amp;gclid=Cj0KCQjwwMqvBhCtARIsAIXsZpZzuxlLYPk3jEbz2sSJyN4bocZn-7fGZ1l02xJ2SChDI7pgp8LAST8aAnq9EALw_wcB&amp;ohost=www.google.com&amp;cid=CAESV-D2Uxx-XLqYE_XjwL-kVovH9HTLCB4KlP7kJAwkGppGskGIF94N5JykIfKxIhGF_WNbbGhZMrxjSTAQ4FwvjJubk8RCtjodMYrRsrubTeHFyJdngqwO-Q&amp;sig=AOD64_24hJKAn2HpOv8TAFHuCr4695zSpw&amp;ctype=5&amp;q=&amp;nis=4&amp;ved=2ahUKEwjbttj1kvSEAxXWSKQEHcVUBosQ9aACKAB6BAgBEBM&amp;adurl=</t>
        </is>
      </c>
    </row>
    <row r="83">
      <c r="A83">
        <f>PROPER(TableauIngredients[[#This Row],[Ingredients]])</f>
        <v/>
      </c>
      <c r="B83" s="538">
        <f>IF(IFERROR((100-TableauIngredients[[#This Row],[% eau]])/100, 1) &lt; 0.2,0.2,IFERROR((100-TableauIngredients[[#This Row],[% eau]])/100, 1))</f>
        <v/>
      </c>
      <c r="C83" t="n">
        <v>20</v>
      </c>
      <c r="D83" t="inlineStr">
        <is>
          <t>kala namak</t>
        </is>
      </c>
      <c r="F83" s="641" t="n">
        <v>97</v>
      </c>
      <c r="G83" t="inlineStr">
        <is>
          <t>https://www.etsy.com/fr/listing/1231751144/100-indien-pur-sel-de-roche-noir-kala?gpla=1&amp;gao=1&amp;variation0=2788066596</t>
        </is>
      </c>
    </row>
    <row r="84">
      <c r="A84">
        <f>PROPER(TableauIngredients[[#This Row],[Ingredients]])</f>
        <v/>
      </c>
      <c r="B84" s="538">
        <f>IF(IFERROR((100-TableauIngredients[[#This Row],[% eau]])/100, 1) &lt; 0.2,0.2,IFERROR((100-TableauIngredients[[#This Row],[% eau]])/100, 1))</f>
        <v/>
      </c>
      <c r="C84" t="n">
        <v>0</v>
      </c>
      <c r="D84" t="inlineStr">
        <is>
          <t>agastache</t>
        </is>
      </c>
      <c r="F84" s="641" t="n"/>
    </row>
    <row r="85">
      <c r="A85">
        <f>PROPER(TableauIngredients[[#This Row],[Ingredients]])</f>
        <v/>
      </c>
      <c r="B85" s="538">
        <f>IF(IFERROR((100-TableauIngredients[[#This Row],[% eau]])/100, 1) &lt; 0.2,0.2,IFERROR((100-TableauIngredients[[#This Row],[% eau]])/100, 1))</f>
        <v/>
      </c>
      <c r="C85" t="n">
        <v>95</v>
      </c>
      <c r="D85" t="inlineStr">
        <is>
          <t>agastache</t>
        </is>
      </c>
      <c r="F85" s="641" t="n"/>
    </row>
    <row r="86">
      <c r="A86">
        <f>PROPER(TableauIngredients[[#This Row],[Ingredients]])</f>
        <v/>
      </c>
      <c r="B86" s="538">
        <f>IF(IFERROR((100-TableauIngredients[[#This Row],[% eau]])/100, 1) &lt; 0.2,0.2,IFERROR((100-TableauIngredients[[#This Row],[% eau]])/100, 1))</f>
        <v/>
      </c>
      <c r="C86" t="n">
        <v>0</v>
      </c>
      <c r="D86" t="inlineStr">
        <is>
          <t>pensee</t>
        </is>
      </c>
      <c r="F86" s="641" t="n"/>
    </row>
    <row r="87">
      <c r="A87">
        <f>PROPER(TableauIngredients[[#This Row],[Ingredients]])</f>
        <v/>
      </c>
      <c r="B87" s="538">
        <f>IF(IFERROR((100-TableauIngredients[[#This Row],[% eau]])/100, 1) &lt; 0.2,0.2,IFERROR((100-TableauIngredients[[#This Row],[% eau]])/100, 1))</f>
        <v/>
      </c>
      <c r="C87" t="n">
        <v>97</v>
      </c>
      <c r="D87" t="inlineStr">
        <is>
          <t>pensee</t>
        </is>
      </c>
      <c r="F87" s="641" t="n"/>
    </row>
    <row r="88">
      <c r="A88">
        <f>PROPER(TableauIngredients[[#This Row],[Ingredients]])</f>
        <v/>
      </c>
      <c r="B88" s="538">
        <f>IF(IFERROR((100-TableauIngredients[[#This Row],[% eau]])/100, 1) &lt; 0.2,0.2,IFERROR((100-TableauIngredients[[#This Row],[% eau]])/100, 1))</f>
        <v/>
      </c>
      <c r="C88" t="n">
        <v>92</v>
      </c>
      <c r="D88" t="inlineStr">
        <is>
          <t>lavande</t>
        </is>
      </c>
      <c r="E88" t="n">
        <v>33.45</v>
      </c>
      <c r="F88" s="641" t="n"/>
      <c r="G88" s="2" t="inlineStr">
        <is>
          <t>https://thesdirect.com/products/lavandin-fleur-entiere-bio-origine-france?variant=46723154575702</t>
        </is>
      </c>
    </row>
    <row r="89">
      <c r="A89">
        <f>PROPER(TableauIngredients[[#This Row],[Ingredients]])</f>
        <v/>
      </c>
      <c r="B89" s="538">
        <f>IF(IFERROR((100-TableauIngredients[[#This Row],[% eau]])/100, 1) &lt; 0.2,0.2,IFERROR((100-TableauIngredients[[#This Row],[% eau]])/100, 1))</f>
        <v/>
      </c>
      <c r="C89" t="n">
        <v>0</v>
      </c>
      <c r="D89" t="inlineStr">
        <is>
          <t>lavande</t>
        </is>
      </c>
      <c r="F89" s="641" t="n"/>
    </row>
    <row r="90">
      <c r="A90">
        <f>PROPER(TableauIngredients[[#This Row],[Ingredients]])</f>
        <v/>
      </c>
      <c r="B90" s="538">
        <f>IF(IFERROR((100-TableauIngredients[[#This Row],[% eau]])/100, 1) &lt; 0.2,0.2,IFERROR((100-TableauIngredients[[#This Row],[% eau]])/100, 1))</f>
        <v/>
      </c>
      <c r="C90" t="n">
        <v>92</v>
      </c>
      <c r="D90" t="inlineStr">
        <is>
          <t>lavande</t>
        </is>
      </c>
      <c r="F90" s="641" t="n"/>
    </row>
    <row r="91">
      <c r="A91">
        <f>PROPER(TableauIngredients[[#This Row],[Ingredients]])</f>
        <v/>
      </c>
      <c r="B91" s="538">
        <f>IF(IFERROR((100-TableauIngredients[[#This Row],[% eau]])/100, 1) &lt; 0.2,0.2,IFERROR((100-TableauIngredients[[#This Row],[% eau]])/100, 1))</f>
        <v/>
      </c>
      <c r="C91" t="n">
        <v>0</v>
      </c>
      <c r="D91" t="inlineStr">
        <is>
          <t>lilas</t>
        </is>
      </c>
      <c r="F91" s="641" t="n"/>
    </row>
    <row r="92">
      <c r="A92">
        <f>PROPER(TableauIngredients[[#This Row],[Ingredients]])</f>
        <v/>
      </c>
      <c r="B92" s="538">
        <f>IF(IFERROR((100-TableauIngredients[[#This Row],[% eau]])/100, 1) &lt; 0.2,0.2,IFERROR((100-TableauIngredients[[#This Row],[% eau]])/100, 1))</f>
        <v/>
      </c>
      <c r="C92" t="n">
        <v>92</v>
      </c>
      <c r="D92" t="inlineStr">
        <is>
          <t>lilas</t>
        </is>
      </c>
      <c r="F92" s="641" t="n"/>
    </row>
    <row r="93">
      <c r="A93">
        <f>PROPER(TableauIngredients[[#This Row],[Ingredients]])</f>
        <v/>
      </c>
      <c r="B93" s="538">
        <f>IF(IFERROR((100-TableauIngredients[[#This Row],[% eau]])/100, 1) &lt; 0.2,0.2,IFERROR((100-TableauIngredients[[#This Row],[% eau]])/100, 1))</f>
        <v/>
      </c>
      <c r="C93" t="n">
        <v>90</v>
      </c>
      <c r="D93" t="inlineStr">
        <is>
          <t>macie</t>
        </is>
      </c>
      <c r="F93" s="641" t="n">
        <v>500</v>
      </c>
    </row>
    <row r="94">
      <c r="A94">
        <f>PROPER(TableauIngredients[[#This Row],[Ingredients]])</f>
        <v/>
      </c>
      <c r="B94" s="538">
        <f>IF(IFERROR((100-TableauIngredients[[#This Row],[% eau]])/100, 1) &lt; 0.2,0.2,IFERROR((100-TableauIngredients[[#This Row],[% eau]])/100, 1))</f>
        <v/>
      </c>
      <c r="C94" t="n">
        <v>90</v>
      </c>
      <c r="D94" t="inlineStr">
        <is>
          <t>marjolaine</t>
        </is>
      </c>
      <c r="F94" s="641" t="n"/>
    </row>
    <row r="95">
      <c r="A95">
        <f>PROPER(TableauIngredients[[#This Row],[Ingredients]])</f>
        <v/>
      </c>
      <c r="B95" s="538">
        <f>IF(IFERROR((100-TableauIngredients[[#This Row],[% eau]])/100, 1) &lt; 0.2,0.2,IFERROR((100-TableauIngredients[[#This Row],[% eau]])/100, 1))</f>
        <v/>
      </c>
      <c r="C95" t="n">
        <v>97</v>
      </c>
      <c r="D95" t="inlineStr">
        <is>
          <t>piments rouge - THUNDER MOUNTAIN LONGHORN</t>
        </is>
      </c>
      <c r="F95" s="641">
        <f>9000/60</f>
        <v/>
      </c>
    </row>
    <row r="96">
      <c r="A96">
        <f>PROPER(TableauIngredients[[#This Row],[Ingredients]])</f>
        <v/>
      </c>
      <c r="B96" s="538">
        <f>IF(IFERROR((100-TableauIngredients[[#This Row],[% eau]])/100, 1) &lt; 0.2,0.2,IFERROR((100-TableauIngredients[[#This Row],[% eau]])/100, 1))</f>
        <v/>
      </c>
      <c r="C96" t="n">
        <v>0</v>
      </c>
      <c r="D96" t="inlineStr">
        <is>
          <t>mauve</t>
        </is>
      </c>
      <c r="F96" s="641" t="n"/>
    </row>
    <row r="97">
      <c r="A97">
        <f>PROPER(TableauIngredients[[#This Row],[Ingredients]])</f>
        <v/>
      </c>
      <c r="B97" s="538">
        <f>IF(IFERROR((100-TableauIngredients[[#This Row],[% eau]])/100, 1) &lt; 0.2,0.2,IFERROR((100-TableauIngredients[[#This Row],[% eau]])/100, 1))</f>
        <v/>
      </c>
      <c r="C97" t="n">
        <v>97</v>
      </c>
      <c r="D97" t="inlineStr">
        <is>
          <t>mauve</t>
        </is>
      </c>
      <c r="F97" s="641" t="n"/>
    </row>
    <row r="98">
      <c r="A98">
        <f>PROPER(TableauIngredients[[#This Row],[Ingredients]])</f>
        <v/>
      </c>
      <c r="B98" s="538">
        <f>IF(IFERROR((100-TableauIngredients[[#This Row],[% eau]])/100, 1) &lt; 0.2,0.2,IFERROR((100-TableauIngredients[[#This Row],[% eau]])/100, 1))</f>
        <v/>
      </c>
      <c r="C98" t="n">
        <v>0</v>
      </c>
      <c r="D98" t="inlineStr">
        <is>
          <t>melilot</t>
        </is>
      </c>
      <c r="F98" s="641" t="n"/>
    </row>
    <row r="99">
      <c r="A99">
        <f>PROPER(TableauIngredients[[#This Row],[Ingredients]])</f>
        <v/>
      </c>
      <c r="B99" s="538">
        <f>IF(IFERROR((100-TableauIngredients[[#This Row],[% eau]])/100, 1) &lt; 0.2,0.2,IFERROR((100-TableauIngredients[[#This Row],[% eau]])/100, 1))</f>
        <v/>
      </c>
      <c r="C99" t="n">
        <v>92</v>
      </c>
      <c r="D99" t="inlineStr">
        <is>
          <t>melilot</t>
        </is>
      </c>
      <c r="F99" s="641" t="n"/>
    </row>
    <row r="100">
      <c r="A100" s="542" t="inlineStr">
        <is>
          <t>Menthe Verte</t>
        </is>
      </c>
      <c r="B100" s="538">
        <f>IF(IFERROR((100-TableauIngredients[[#This Row],[% eau]])/100, 1) &lt; 20,0.2)</f>
        <v/>
      </c>
      <c r="C100" t="n">
        <v>0</v>
      </c>
      <c r="D100" t="inlineStr">
        <is>
          <t>menthe verte</t>
        </is>
      </c>
      <c r="F100" s="641" t="n"/>
    </row>
    <row r="101">
      <c r="A101">
        <f>PROPER(TableauIngredients[[#This Row],[Ingredients]])</f>
        <v/>
      </c>
      <c r="B101" s="538">
        <f>IF(IFERROR((100-TableauIngredients[[#This Row],[% eau]])/100, 1) &lt; 0.2,0.2,IFERROR((100-TableauIngredients[[#This Row],[% eau]])/100, 1))</f>
        <v/>
      </c>
      <c r="C101" t="n">
        <v>95</v>
      </c>
      <c r="D101" t="inlineStr">
        <is>
          <t>menthe verte</t>
        </is>
      </c>
      <c r="F101" s="641" t="n"/>
    </row>
    <row r="102">
      <c r="A102">
        <f>PROPER(TableauIngredients[[#This Row],[Ingredients]])</f>
        <v/>
      </c>
      <c r="B102" s="538">
        <f>IF(IFERROR((100-TableauIngredients[[#This Row],[% eau]])/100, 1) &lt; 0.2,0.2,IFERROR((100-TableauIngredients[[#This Row],[% eau]])/100, 1))</f>
        <v/>
      </c>
      <c r="C102" t="n">
        <v>0</v>
      </c>
      <c r="D102" t="inlineStr">
        <is>
          <t>miel</t>
        </is>
      </c>
      <c r="F102" s="641" t="n">
        <v>20</v>
      </c>
      <c r="G102" t="inlineStr">
        <is>
          <t>https://www.lepanieraveyronnais.fr/produit/miel-de-aveyron-toutes-fleurs-bio-agriculuture-biologique-apiculteurs-sebastien-cahors-cecilia-quiles/</t>
        </is>
      </c>
    </row>
    <row r="103">
      <c r="A103">
        <f>PROPER(TableauIngredients[[#This Row],[Ingredients]])</f>
        <v/>
      </c>
      <c r="B103" s="538">
        <f>IF(IFERROR((100-TableauIngredients[[#This Row],[% eau]])/100, 1) &lt; 0.2,0.2,IFERROR((100-TableauIngredients[[#This Row],[% eau]])/100, 1))</f>
        <v/>
      </c>
      <c r="C103" t="n">
        <v>0</v>
      </c>
      <c r="D103" t="inlineStr">
        <is>
          <t>monarde</t>
        </is>
      </c>
      <c r="F103" s="641" t="n"/>
    </row>
    <row r="104">
      <c r="A104">
        <f>PROPER(TableauIngredients[[#This Row],[Ingredients]])</f>
        <v/>
      </c>
      <c r="B104" s="538">
        <f>IF(IFERROR((100-TableauIngredients[[#This Row],[% eau]])/100, 1) &lt; 0.2,0.2,IFERROR((100-TableauIngredients[[#This Row],[% eau]])/100, 1))</f>
        <v/>
      </c>
      <c r="C104" t="n">
        <v>97</v>
      </c>
      <c r="D104" t="inlineStr">
        <is>
          <t>monarde</t>
        </is>
      </c>
      <c r="F104" s="641" t="n"/>
    </row>
    <row r="105">
      <c r="A105">
        <f>PROPER(TableauIngredients[[#This Row],[Ingredients]])</f>
        <v/>
      </c>
      <c r="B105" s="538">
        <f>IF(IFERROR((100-TableauIngredients[[#This Row],[% eau]])/100, 1) &lt; 0.2,0.2,IFERROR((100-TableauIngredients[[#This Row],[% eau]])/100, 1))</f>
        <v/>
      </c>
      <c r="C105" t="n">
        <v>15</v>
      </c>
      <c r="D105" t="inlineStr">
        <is>
          <t>muscade</t>
        </is>
      </c>
      <c r="F105" s="641" t="n">
        <v>60</v>
      </c>
      <c r="G105" t="inlineStr">
        <is>
          <t>https://chabiothe.fr/epices/11-108-noix-de-muscade-bio?gad_source=1&amp;gclid=CjwKCAjw48-vBhBbEiwAzqrZVIDiHRyEYOLEv7zwECQJBrRz_RDYXdzUfmqQOWuHk72OVsZxTlXrGRoCBlIQAvD_BwE#/40-conditionnement-1_kg</t>
        </is>
      </c>
    </row>
    <row r="106">
      <c r="A106">
        <f>PROPER(TableauIngredients[[#This Row],[Ingredients]])</f>
        <v/>
      </c>
      <c r="B106" s="538">
        <f>IF(IFERROR((100-TableauIngredients[[#This Row],[% eau]])/100, 1) &lt; 0.2,0.2,IFERROR((100-TableauIngredients[[#This Row],[% eau]])/100, 1))</f>
        <v/>
      </c>
      <c r="C106" t="n">
        <v>15</v>
      </c>
      <c r="D106" t="inlineStr">
        <is>
          <t>muscade</t>
        </is>
      </c>
      <c r="F106" s="641" t="n">
        <v>60</v>
      </c>
      <c r="G106" t="inlineStr">
        <is>
          <t>https://chabiothe.fr/epices/11-108-noix-de-muscade-bio?gad_source=1&amp;gclid=CjwKCAjw48-vBhBbEiwAzqrZVIDiHRyEYOLEv7zwECQJBrRz_RDYXdzUfmqQOWuHk72OVsZxTlXrGRoCBlIQAvD_BwE#/40-conditionnement-1_kg</t>
        </is>
      </c>
    </row>
    <row r="107">
      <c r="A107">
        <f>PROPER(TableauIngredients[[#This Row],[Ingredients]])</f>
        <v/>
      </c>
      <c r="B107" s="538">
        <f>IF(IFERROR((100-TableauIngredients[[#This Row],[% eau]])/100, 1) &lt; 0.2,0.2,IFERROR((100-TableauIngredients[[#This Row],[% eau]])/100, 1))</f>
        <v/>
      </c>
      <c r="C107" t="n">
        <v>15</v>
      </c>
      <c r="D107" t="inlineStr">
        <is>
          <t>noisette</t>
        </is>
      </c>
      <c r="F107" s="641" t="n">
        <v>7</v>
      </c>
      <c r="G107" t="inlineStr">
        <is>
          <t>https://www.pourdebon.com/noisettes-bio-5kg-p58530?gad_source=1&amp;gclid=CjwKCAjw48-vBhBbEiwAzqrZVLBFRH2sEQGOgpk-ci3ll-Pbnny5nNHuYSSzms4cv1ZL5X6k27hb6xoCu-MQAvD_BwE</t>
        </is>
      </c>
    </row>
    <row r="108">
      <c r="A108">
        <f>PROPER(TableauIngredients[[#This Row],[Ingredients]])</f>
        <v/>
      </c>
      <c r="B108" s="538">
        <f>IF(IFERROR((100-TableauIngredients[[#This Row],[% eau]])/100, 1) &lt; 0.2,0.2,IFERROR((100-TableauIngredients[[#This Row],[% eau]])/100, 1))</f>
        <v/>
      </c>
      <c r="C108" t="n">
        <v>97</v>
      </c>
      <c r="D108" s="1" t="inlineStr">
        <is>
          <t>nuoc-mâm</t>
        </is>
      </c>
      <c r="E108" s="1" t="n"/>
      <c r="F108" s="641" t="n">
        <v>20</v>
      </c>
      <c r="G108" s="2" t="inlineStr">
        <is>
          <t>https://www.autourduriz.com/sauces-asiatiques-bio/423-sauce-nuoc-mam-bio-veggie-3760275575203.html</t>
        </is>
      </c>
    </row>
    <row r="109">
      <c r="A109">
        <f>PROPER(TableauIngredients[[#This Row],[Ingredients]])</f>
        <v/>
      </c>
      <c r="B109" s="538">
        <f>IF(IFERROR((100-TableauIngredients[[#This Row],[% eau]])/100, 1) &lt; 0.2,0.2,IFERROR((100-TableauIngredients[[#This Row],[% eau]])/100, 1))</f>
        <v/>
      </c>
      <c r="C109" t="n">
        <v>0</v>
      </c>
      <c r="D109" t="inlineStr">
        <is>
          <t>oeillet d’Inde</t>
        </is>
      </c>
      <c r="F109" s="641" t="n"/>
    </row>
    <row r="110">
      <c r="A110">
        <f>PROPER(TableauIngredients[[#This Row],[Ingredients]])</f>
        <v/>
      </c>
      <c r="B110" s="538">
        <f>IF(IFERROR((100-TableauIngredients[[#This Row],[% eau]])/100, 1) &lt; 0.2,0.2,IFERROR((100-TableauIngredients[[#This Row],[% eau]])/100, 1))</f>
        <v/>
      </c>
      <c r="C110" t="n">
        <v>95</v>
      </c>
      <c r="D110" t="inlineStr">
        <is>
          <t>oeillet d’Inde</t>
        </is>
      </c>
      <c r="F110" s="641" t="n"/>
    </row>
    <row r="111">
      <c r="A111">
        <f>PROPER(TableauIngredients[[#This Row],[Ingredients]])</f>
        <v/>
      </c>
      <c r="B111" s="538">
        <f>IF(IFERROR((100-TableauIngredients[[#This Row],[% eau]])/100, 1) &lt; 0.2,0.2,IFERROR((100-TableauIngredients[[#This Row],[% eau]])/100, 1))</f>
        <v/>
      </c>
      <c r="C111" t="n">
        <v>0</v>
      </c>
      <c r="D111" t="inlineStr">
        <is>
          <t>oignon</t>
        </is>
      </c>
      <c r="E111" t="n">
        <v>3.5</v>
      </c>
      <c r="F111" s="641" t="n"/>
    </row>
    <row r="112">
      <c r="A112">
        <f>PROPER(TableauIngredients[[#This Row],[Ingredients]])</f>
        <v/>
      </c>
      <c r="B112" s="538">
        <f>IF(IFERROR((100-TableauIngredients[[#This Row],[% eau]])/100, 1) &lt; 0.2,0.2,IFERROR((100-TableauIngredients[[#This Row],[% eau]])/100, 1))</f>
        <v/>
      </c>
      <c r="C112" t="n">
        <v>95</v>
      </c>
      <c r="D112" t="inlineStr">
        <is>
          <t>oignon</t>
        </is>
      </c>
      <c r="E112" t="n">
        <v>25</v>
      </c>
      <c r="F112" s="641" t="n"/>
    </row>
    <row r="113">
      <c r="A113">
        <f>PROPER(TableauIngredients[[#This Row],[Ingredients]])</f>
        <v/>
      </c>
      <c r="B113" s="538">
        <f>IF(IFERROR((100-TableauIngredients[[#This Row],[% eau]])/100, 1) &lt; 0.2,0.2,IFERROR((100-TableauIngredients[[#This Row],[% eau]])/100, 1))</f>
        <v/>
      </c>
      <c r="C113" t="n">
        <v>95</v>
      </c>
      <c r="D113" t="inlineStr">
        <is>
          <t>origan</t>
        </is>
      </c>
      <c r="E113" t="n">
        <v>30.2</v>
      </c>
      <c r="F113" s="641" t="n"/>
      <c r="G113" s="2" t="inlineStr">
        <is>
          <t>https://thesdirect.com/products/origan-vert-feuille-entiere-bio-origine-france?_pos=1&amp;_sid=92a128b15&amp;_ss=r</t>
        </is>
      </c>
    </row>
    <row r="114">
      <c r="A114">
        <f>PROPER(TableauIngredients[[#This Row],[Ingredients]])</f>
        <v/>
      </c>
      <c r="B114" s="538">
        <f>IF(IFERROR((100-TableauIngredients[[#This Row],[% eau]])/100, 1) &lt; 0.2,0.2,IFERROR((100-TableauIngredients[[#This Row],[% eau]])/100, 1))</f>
        <v/>
      </c>
      <c r="C114" t="n">
        <v>92</v>
      </c>
      <c r="D114" t="inlineStr">
        <is>
          <t>piment doux rouge</t>
        </is>
      </c>
      <c r="F114" s="641" t="n"/>
    </row>
    <row r="115">
      <c r="A115">
        <f>PROPER(TableauIngredients[[#This Row],[Ingredients]])</f>
        <v/>
      </c>
      <c r="B115" s="538">
        <f>IF(IFERROR((100-TableauIngredients[[#This Row],[% eau]])/100, 1) &lt; 0.2,0.2,IFERROR((100-TableauIngredients[[#This Row],[% eau]])/100, 1))</f>
        <v/>
      </c>
      <c r="C115" t="n">
        <v>92</v>
      </c>
      <c r="D115" t="inlineStr">
        <is>
          <t>piment doux rouge</t>
        </is>
      </c>
      <c r="F115" s="641" t="n"/>
    </row>
    <row r="116">
      <c r="A116">
        <f>PROPER(TableauIngredients[[#This Row],[Ingredients]])</f>
        <v/>
      </c>
      <c r="B116" s="538">
        <f>IF(IFERROR((100-TableauIngredients[[#This Row],[% eau]])/100, 1) &lt; 0.2,0.2,IFERROR((100-TableauIngredients[[#This Row],[% eau]])/100, 1))</f>
        <v/>
      </c>
      <c r="C116" t="n">
        <v>0</v>
      </c>
      <c r="D116" t="inlineStr">
        <is>
          <t>pelargonium geranium</t>
        </is>
      </c>
      <c r="F116" s="641" t="n"/>
    </row>
    <row r="117">
      <c r="A117">
        <f>PROPER(TableauIngredients[[#This Row],[Ingredients]])</f>
        <v/>
      </c>
      <c r="B117" s="538">
        <f>IF(IFERROR((100-TableauIngredients[[#This Row],[% eau]])/100, 1) &lt; 0.2,0.2,IFERROR((100-TableauIngredients[[#This Row],[% eau]])/100, 1))</f>
        <v/>
      </c>
      <c r="C117" t="n">
        <v>95</v>
      </c>
      <c r="D117" t="inlineStr">
        <is>
          <t>pelargonium geranium</t>
        </is>
      </c>
      <c r="F117" s="641" t="n"/>
    </row>
    <row r="118">
      <c r="A118">
        <f>PROPER(TableauIngredients[[#This Row],[Ingredients]])</f>
        <v/>
      </c>
      <c r="B118" s="538">
        <f>IF(IFERROR((100-TableauIngredients[[#This Row],[% eau]])/100, 1) &lt; 0.2,0.2,IFERROR((100-TableauIngredients[[#This Row],[% eau]])/100, 1))</f>
        <v/>
      </c>
      <c r="C118" t="n">
        <v>92</v>
      </c>
      <c r="D118" t="inlineStr">
        <is>
          <t>persil</t>
        </is>
      </c>
      <c r="F118" s="641" t="n"/>
    </row>
    <row r="119">
      <c r="A119">
        <f>PROPER(TableauIngredients[[#This Row],[Ingredients]])</f>
        <v/>
      </c>
      <c r="B119" s="538">
        <f>IF(IFERROR((100-TableauIngredients[[#This Row],[% eau]])/100, 1) &lt; 0.2,0.2,IFERROR((100-TableauIngredients[[#This Row],[% eau]])/100, 1))</f>
        <v/>
      </c>
      <c r="C119" t="n">
        <v>90</v>
      </c>
      <c r="D119" t="inlineStr">
        <is>
          <t>petale de rose</t>
        </is>
      </c>
      <c r="F119" s="641" t="n"/>
    </row>
    <row r="120">
      <c r="A120">
        <f>PROPER(TableauIngredients[[#This Row],[Ingredients]])</f>
        <v/>
      </c>
      <c r="B120" s="538">
        <f>IF(IFERROR((100-TableauIngredients[[#This Row],[% eau]])/100, 1) &lt; 0.2,0.2,IFERROR((100-TableauIngredients[[#This Row],[% eau]])/100, 1))</f>
        <v/>
      </c>
      <c r="C120" t="n">
        <v>90</v>
      </c>
      <c r="D120" s="1" t="inlineStr">
        <is>
          <t>piment ancho</t>
        </is>
      </c>
      <c r="F120" s="641" t="n"/>
      <c r="G120" s="2" t="inlineStr">
        <is>
          <t>https://www.capsicums.fr/piments/piment-mexicain-ancho-entier/</t>
        </is>
      </c>
    </row>
    <row r="121">
      <c r="A121">
        <f>PROPER(TableauIngredients[[#This Row],[Ingredients]])</f>
        <v/>
      </c>
      <c r="B121" s="538">
        <f>IF(IFERROR((100-TableauIngredients[[#This Row],[% eau]])/100, 1) &lt; 0.2,0.2,IFERROR((100-TableauIngredients[[#This Row],[% eau]])/100, 1))</f>
        <v/>
      </c>
      <c r="C121" t="n">
        <v>0</v>
      </c>
      <c r="D121" t="inlineStr">
        <is>
          <t>piment de cayenne jaune</t>
        </is>
      </c>
      <c r="F121" s="641" t="n"/>
    </row>
    <row r="122">
      <c r="A122">
        <f>PROPER(TableauIngredients[[#This Row],[Ingredients]])</f>
        <v/>
      </c>
      <c r="B122" s="538">
        <f>IF(IFERROR((100-TableauIngredients[[#This Row],[% eau]])/100, 1) &lt; 0.2,0.2,IFERROR((100-TableauIngredients[[#This Row],[% eau]])/100, 1))</f>
        <v/>
      </c>
      <c r="C122" t="n">
        <v>90</v>
      </c>
      <c r="D122" t="inlineStr">
        <is>
          <t>piment de cayenne jaune</t>
        </is>
      </c>
      <c r="F122" s="641" t="n"/>
    </row>
    <row r="123">
      <c r="A123">
        <f>PROPER(TableauIngredients[[#This Row],[Ingredients]])</f>
        <v/>
      </c>
      <c r="B123" s="538">
        <f>IF(IFERROR((100-TableauIngredients[[#This Row],[% eau]])/100, 1) &lt; 0.2,0.2,IFERROR((100-TableauIngredients[[#This Row],[% eau]])/100, 1))</f>
        <v/>
      </c>
      <c r="C123" t="n">
        <v>90</v>
      </c>
      <c r="D123" t="inlineStr">
        <is>
          <t>piment de cayenne rouge</t>
        </is>
      </c>
      <c r="F123" s="641" t="n"/>
    </row>
    <row r="124">
      <c r="A124">
        <f>PROPER(TableauIngredients[[#This Row],[Ingredients]])</f>
        <v/>
      </c>
      <c r="B124" s="538">
        <f>IF(IFERROR((100-TableauIngredients[[#This Row],[% eau]])/100, 1) &lt; 0.2,0.2,IFERROR((100-TableauIngredients[[#This Row],[% eau]])/100, 1))</f>
        <v/>
      </c>
      <c r="C124" t="n">
        <v>92</v>
      </c>
      <c r="D124" t="inlineStr">
        <is>
          <t>piment doux rouge</t>
        </is>
      </c>
      <c r="F124" s="641" t="n"/>
      <c r="G124" s="2" t="inlineStr">
        <is>
          <t>Flash Poivrons VD - Chambre d'agriculture - Occitanie</t>
        </is>
      </c>
    </row>
    <row r="125">
      <c r="A125">
        <f>PROPER(TableauIngredients[[#This Row],[Ingredients]])</f>
        <v/>
      </c>
      <c r="B125" s="538">
        <f>IF(IFERROR((100-TableauIngredients[[#This Row],[% eau]])/100, 1) &lt; 0.2,0.2,IFERROR((100-TableauIngredients[[#This Row],[% eau]])/100, 1))</f>
        <v/>
      </c>
      <c r="C125" t="n">
        <v>0</v>
      </c>
      <c r="D125" t="inlineStr">
        <is>
          <t>piment habanero violet</t>
        </is>
      </c>
      <c r="F125" s="641" t="n"/>
      <c r="G125" s="2" t="inlineStr">
        <is>
          <t>Chambre d'agriculture - Occitanie</t>
        </is>
      </c>
    </row>
    <row r="126">
      <c r="A126">
        <f>PROPER(TableauIngredients[[#This Row],[Ingredients]])</f>
        <v/>
      </c>
      <c r="B126" s="538">
        <f>IF(IFERROR((100-TableauIngredients[[#This Row],[% eau]])/100, 1) &lt; 0.2,0.2,IFERROR((100-TableauIngredients[[#This Row],[% eau]])/100, 1))</f>
        <v/>
      </c>
      <c r="C126" t="n">
        <v>0</v>
      </c>
      <c r="D126" t="inlineStr">
        <is>
          <t>piment jalapeno vert</t>
        </is>
      </c>
      <c r="F126" s="641" t="n"/>
      <c r="G126" s="2" t="inlineStr">
        <is>
          <t>https://occitanie.chambre-agriculture.fr › Documents</t>
        </is>
      </c>
    </row>
    <row r="127">
      <c r="A127">
        <f>PROPER(TableauIngredients[[#This Row],[Ingredients]])</f>
        <v/>
      </c>
      <c r="B127" s="538">
        <f>IF(IFERROR((100-TableauIngredients[[#This Row],[% eau]])/100, 1) &lt; 0.2,0.2,IFERROR((100-TableauIngredients[[#This Row],[% eau]])/100, 1))</f>
        <v/>
      </c>
      <c r="C127" t="n">
        <v>0</v>
      </c>
      <c r="D127" t="inlineStr">
        <is>
          <t>piment œil d'oiseau</t>
        </is>
      </c>
      <c r="F127" s="641" t="n"/>
    </row>
    <row r="128">
      <c r="A128">
        <f>PROPER(TableauIngredients[[#This Row],[Ingredients]])</f>
        <v/>
      </c>
      <c r="B128" s="538">
        <f>IF(IFERROR((100-TableauIngredients[[#This Row],[% eau]])/100, 1) &lt; 0.2,0.2,IFERROR((100-TableauIngredients[[#This Row],[% eau]])/100, 1))</f>
        <v/>
      </c>
      <c r="C128" t="n">
        <v>0</v>
      </c>
      <c r="D128" t="inlineStr">
        <is>
          <t>piment violet fort - Purple Delight</t>
        </is>
      </c>
      <c r="F128" s="641" t="n"/>
    </row>
    <row r="129">
      <c r="A129">
        <f>PROPER(TableauIngredients[[#This Row],[Ingredients]])</f>
        <v/>
      </c>
      <c r="B129" s="538">
        <f>IF(IFERROR((100-TableauIngredients[[#This Row],[% eau]])/100, 1) &lt; 0.2,0.2,IFERROR((100-TableauIngredients[[#This Row],[% eau]])/100, 1))</f>
        <v/>
      </c>
      <c r="C129" t="n">
        <v>90</v>
      </c>
      <c r="D129" t="inlineStr">
        <is>
          <t>piments kashmiri</t>
        </is>
      </c>
      <c r="F129" s="641" t="n"/>
    </row>
    <row r="130">
      <c r="A130">
        <f>PROPER(TableauIngredients[[#This Row],[Ingredients]])</f>
        <v/>
      </c>
      <c r="B130" s="538">
        <f>IF(IFERROR((100-TableauIngredients[[#This Row],[% eau]])/100, 1) &lt; 0.2,0.2,IFERROR((100-TableauIngredients[[#This Row],[% eau]])/100, 1))</f>
        <v/>
      </c>
      <c r="C130" t="n">
        <v>0</v>
      </c>
      <c r="D130" t="inlineStr">
        <is>
          <t>piments rouge - THUNDER MOUNTAIN LONGHORN</t>
        </is>
      </c>
      <c r="F130" s="641" t="n"/>
    </row>
    <row r="131">
      <c r="A131">
        <f>PROPER(TableauIngredients[[#This Row],[Ingredients]])</f>
        <v/>
      </c>
      <c r="B131" s="538">
        <f>IF(IFERROR((100-TableauIngredients[[#This Row],[% eau]])/100, 1) &lt; 0.2,0.2,IFERROR((100-TableauIngredients[[#This Row],[% eau]])/100, 1))</f>
        <v/>
      </c>
      <c r="C131" t="n">
        <v>90</v>
      </c>
      <c r="D131" t="inlineStr">
        <is>
          <t>piments rouge - THUNDER MOUNTAIN LONGHORN</t>
        </is>
      </c>
      <c r="F131" s="641" t="n"/>
    </row>
    <row r="132">
      <c r="A132">
        <f>PROPER(TableauIngredients[[#This Row],[Ingredients]])</f>
        <v/>
      </c>
      <c r="B132" s="538">
        <f>IF(IFERROR((100-TableauIngredients[[#This Row],[% eau]])/100, 1) &lt; 0.2,0.2,IFERROR((100-TableauIngredients[[#This Row],[% eau]])/100, 1))</f>
        <v/>
      </c>
      <c r="C132" t="n">
        <v>97</v>
      </c>
      <c r="D132" t="inlineStr">
        <is>
          <t>piments verts</t>
        </is>
      </c>
      <c r="F132" s="641" t="n"/>
    </row>
    <row r="133">
      <c r="A133">
        <f>PROPER(TableauIngredients[[#This Row],[Ingredients]])</f>
        <v/>
      </c>
      <c r="B133" s="538">
        <f>IF(IFERROR((100-TableauIngredients[[#This Row],[% eau]])/100, 1) &lt; 0.2,0.2,IFERROR((100-TableauIngredients[[#This Row],[% eau]])/100, 1))</f>
        <v/>
      </c>
      <c r="C133" t="n">
        <v>97</v>
      </c>
      <c r="D133" s="1" t="inlineStr">
        <is>
          <t>poivre blanc</t>
        </is>
      </c>
      <c r="E133" s="1" t="n"/>
      <c r="F133" s="641" t="n"/>
    </row>
    <row r="134">
      <c r="A134">
        <f>PROPER(TableauIngredients[[#This Row],[Ingredients]])</f>
        <v/>
      </c>
      <c r="B134" s="538">
        <f>IF(IFERROR((100-TableauIngredients[[#This Row],[% eau]])/100, 1) &lt; 0.2,0.2,IFERROR((100-TableauIngredients[[#This Row],[% eau]])/100, 1))</f>
        <v/>
      </c>
      <c r="D134" s="1" t="inlineStr">
        <is>
          <t>poivre de Jamaïque</t>
        </is>
      </c>
      <c r="E134" s="1" t="n"/>
      <c r="F134" s="641" t="n"/>
    </row>
    <row r="135">
      <c r="A135">
        <f>PROPER(TableauIngredients[[#This Row],[Ingredients]])</f>
        <v/>
      </c>
      <c r="B135" s="538">
        <f>IF(IFERROR((100-TableauIngredients[[#This Row],[% eau]])/100, 1) &lt; 0.2,0.2,IFERROR((100-TableauIngredients[[#This Row],[% eau]])/100, 1))</f>
        <v/>
      </c>
      <c r="C135" t="n">
        <v>50</v>
      </c>
      <c r="D135" t="inlineStr">
        <is>
          <t>poivre de sichuan</t>
        </is>
      </c>
      <c r="F135" s="641" t="n"/>
    </row>
    <row r="136">
      <c r="A136">
        <f>PROPER(TableauIngredients[[#This Row],[Ingredients]])</f>
        <v/>
      </c>
      <c r="B136" s="538">
        <f>IF(IFERROR((100-TableauIngredients[[#This Row],[% eau]])/100, 1) &lt; 0.2,0.2,IFERROR((100-TableauIngredients[[#This Row],[% eau]])/100, 1))</f>
        <v/>
      </c>
      <c r="C136" t="n">
        <v>20</v>
      </c>
      <c r="D136" t="inlineStr">
        <is>
          <t>poivre de timut</t>
        </is>
      </c>
      <c r="F136" s="641" t="n"/>
    </row>
    <row r="137">
      <c r="A137">
        <f>PROPER(TableauIngredients[[#This Row],[Ingredients]])</f>
        <v/>
      </c>
      <c r="B137" s="538">
        <f>IF(IFERROR((100-TableauIngredients[[#This Row],[% eau]])/100, 1) &lt; 0.2,0.2,IFERROR((100-TableauIngredients[[#This Row],[% eau]])/100, 1))</f>
        <v/>
      </c>
      <c r="C137" t="n">
        <v>20</v>
      </c>
      <c r="D137" t="inlineStr">
        <is>
          <t>poivre des moines</t>
        </is>
      </c>
      <c r="F137" s="641" t="n"/>
    </row>
    <row r="138">
      <c r="A138">
        <f>PROPER(TableauIngredients[[#This Row],[Ingredients]])</f>
        <v/>
      </c>
      <c r="B138" s="538">
        <f>IF(IFERROR((100-TableauIngredients[[#This Row],[% eau]])/100, 1) &lt; 0.2,0.2,IFERROR((100-TableauIngredients[[#This Row],[% eau]])/100, 1))</f>
        <v/>
      </c>
      <c r="C138" t="n">
        <v>97</v>
      </c>
      <c r="D138" t="inlineStr">
        <is>
          <t>poivre noir</t>
        </is>
      </c>
      <c r="F138" s="641" t="n">
        <v>36.85</v>
      </c>
      <c r="G138" t="inlineStr">
        <is>
          <t>https://thesdirect.com/products/poivre-noir-graine-entiere-bio?variant=28363204821069&amp;utm_medium=paidsearch&amp;utm_source=google&amp;utm_campaign=FR-PMC-Global&amp;utm_term=&amp;utm_content=&amp;gad_source=1&amp;gclid=CjwKCAjw48-vBhBbEiwAzqrZVBRJXNmJzQihjD3OQd4hOvQKPDGNn8BgdGDA3ds7bT5W8Nltvwr2OBoCJmEQAvD_BwE</t>
        </is>
      </c>
    </row>
    <row r="139">
      <c r="A139">
        <f>PROPER(TableauIngredients[[#This Row],[Ingredients]])</f>
        <v/>
      </c>
      <c r="B139" s="538">
        <f>IF(IFERROR((100-TableauIngredients[[#This Row],[% eau]])/100, 1) &lt; 0.2,0.2,IFERROR((100-TableauIngredients[[#This Row],[% eau]])/100, 1))</f>
        <v/>
      </c>
      <c r="C139" t="n">
        <v>97</v>
      </c>
      <c r="D139" s="1" t="inlineStr">
        <is>
          <t>quatre epices</t>
        </is>
      </c>
      <c r="E139" s="1" t="n"/>
      <c r="F139" s="641" t="n"/>
    </row>
    <row r="140">
      <c r="A140">
        <f>PROPER(TableauIngredients[[#This Row],[Ingredients]])</f>
        <v/>
      </c>
      <c r="B140" s="538">
        <f>IF(IFERROR((100-TableauIngredients[[#This Row],[% eau]])/100, 1) &lt; 0.2,0.2,IFERROR((100-TableauIngredients[[#This Row],[% eau]])/100, 1))</f>
        <v/>
      </c>
      <c r="C140" t="n">
        <v>85</v>
      </c>
      <c r="D140" t="inlineStr">
        <is>
          <t>romarin</t>
        </is>
      </c>
      <c r="F140" s="641" t="n"/>
    </row>
    <row r="141">
      <c r="A141">
        <f>PROPER(TableauIngredients[[#This Row],[Ingredients]])</f>
        <v/>
      </c>
      <c r="B141" s="538">
        <f>IF(IFERROR((100-TableauIngredients[[#This Row],[% eau]])/100, 1) &lt; 0.2,0.2,IFERROR((100-TableauIngredients[[#This Row],[% eau]])/100, 1))</f>
        <v/>
      </c>
      <c r="C141" t="n">
        <v>0</v>
      </c>
      <c r="D141" t="inlineStr">
        <is>
          <t>rose</t>
        </is>
      </c>
      <c r="F141" s="641" t="n"/>
    </row>
    <row r="142">
      <c r="A142">
        <f>PROPER(TableauIngredients[[#This Row],[Ingredients]])</f>
        <v/>
      </c>
      <c r="B142" s="538">
        <f>IF(IFERROR((100-TableauIngredients[[#This Row],[% eau]])/100, 1) &lt; 0.2,0.2,IFERROR((100-TableauIngredients[[#This Row],[% eau]])/100, 1))</f>
        <v/>
      </c>
      <c r="C142" t="n">
        <v>95</v>
      </c>
      <c r="D142" t="inlineStr">
        <is>
          <t>rose</t>
        </is>
      </c>
      <c r="F142" s="641" t="n"/>
    </row>
    <row r="143">
      <c r="A143">
        <f>PROPER(TableauIngredients[[#This Row],[Ingredients]])</f>
        <v/>
      </c>
      <c r="B143" s="538">
        <f>IF(IFERROR((100-TableauIngredients[[#This Row],[% eau]])/100, 1) &lt; 0.2,0.2,IFERROR((100-TableauIngredients[[#This Row],[% eau]])/100, 1))</f>
        <v/>
      </c>
      <c r="C143" t="n">
        <v>97</v>
      </c>
      <c r="D143" s="1" t="inlineStr">
        <is>
          <t>safran</t>
        </is>
      </c>
      <c r="E143" s="1" t="n"/>
      <c r="F143" s="641" t="n"/>
    </row>
    <row r="144">
      <c r="A144">
        <f>PROPER(TableauIngredients[[#This Row],[Ingredients]])</f>
        <v/>
      </c>
      <c r="B144" s="538">
        <f>IF(IFERROR((100-TableauIngredients[[#This Row],[% eau]])/100, 1) &lt; 0.2,0.2,IFERROR((100-TableauIngredients[[#This Row],[% eau]])/100, 1))</f>
        <v/>
      </c>
      <c r="C144" t="n">
        <v>65</v>
      </c>
      <c r="D144" t="inlineStr">
        <is>
          <t>sarriette</t>
        </is>
      </c>
      <c r="F144" s="641" t="n"/>
    </row>
    <row r="145">
      <c r="A145">
        <f>PROPER(TableauIngredients[[#This Row],[Ingredients]])</f>
        <v/>
      </c>
      <c r="B145" s="538">
        <f>IF(IFERROR((100-TableauIngredients[[#This Row],[% eau]])/100, 1) &lt; 0.2,0.2,IFERROR((100-TableauIngredients[[#This Row],[% eau]])/100, 1))</f>
        <v/>
      </c>
      <c r="C145" t="n">
        <v>0</v>
      </c>
      <c r="D145" t="inlineStr">
        <is>
          <t>sauce soja</t>
        </is>
      </c>
      <c r="F145" s="641" t="n">
        <v>56.45</v>
      </c>
      <c r="G145" s="2" t="inlineStr">
        <is>
          <t>https://www.autourduriz.com/sauces-asiatiques-vrac/332-shoyu-sauce-soja-5-l-3760275573025.html</t>
        </is>
      </c>
    </row>
    <row r="146">
      <c r="A146">
        <f>PROPER(TableauIngredients[[#This Row],[Ingredients]])</f>
        <v/>
      </c>
      <c r="B146" s="538">
        <f>IF(IFERROR((100-TableauIngredients[[#This Row],[% eau]])/100, 1) &lt; 0.2,0.2,IFERROR((100-TableauIngredients[[#This Row],[% eau]])/100, 1))</f>
        <v/>
      </c>
      <c r="D146" t="inlineStr">
        <is>
          <t>sauge</t>
        </is>
      </c>
      <c r="F146" s="641" t="n"/>
    </row>
    <row r="147">
      <c r="A147">
        <f>PROPER(TableauIngredients[[#This Row],[Ingredients]])</f>
        <v/>
      </c>
      <c r="B147" s="538">
        <f>IF(IFERROR((100-TableauIngredients[[#This Row],[% eau]])/100, 1) &lt; 0.2,0.2,IFERROR((100-TableauIngredients[[#This Row],[% eau]])/100, 1))</f>
        <v/>
      </c>
      <c r="C147" t="inlineStr">
        <is>
          <t>-</t>
        </is>
      </c>
      <c r="D147" s="1" t="inlineStr">
        <is>
          <t>sel</t>
        </is>
      </c>
      <c r="E147" s="1" t="n"/>
      <c r="F147" s="641" t="n">
        <v>1.4</v>
      </c>
      <c r="G147" t="inlineStr">
        <is>
          <t>https://www.pourdebon.com/gros-sel-nature-5kg-p51630?utm_source=Twenga&amp;utm_medium=cpc&amp;utm_content=ggshopping-twenga&amp;utm_campaign=twenga&amp;gad_source=1</t>
        </is>
      </c>
    </row>
    <row r="148">
      <c r="A148">
        <f>PROPER(TableauIngredients[[#This Row],[Ingredients]])</f>
        <v/>
      </c>
      <c r="B148" s="538">
        <f>IF(IFERROR((100-TableauIngredients[[#This Row],[% eau]])/100, 1) &lt; 0.2,0.2,IFERROR((100-TableauIngredients[[#This Row],[% eau]])/100, 1))</f>
        <v/>
      </c>
      <c r="C148" t="n">
        <v>10</v>
      </c>
      <c r="D148" t="inlineStr">
        <is>
          <t>graines de sesame</t>
        </is>
      </c>
      <c r="F148" s="641" t="n"/>
    </row>
    <row r="149">
      <c r="A149">
        <f>PROPER(TableauIngredients[[#This Row],[Ingredients]])</f>
        <v/>
      </c>
      <c r="B149" s="538">
        <f>IF(IFERROR((100-TableauIngredients[[#This Row],[% eau]])/100, 1) &lt; 0.2,0.2,IFERROR((100-TableauIngredients[[#This Row],[% eau]])/100, 1))</f>
        <v/>
      </c>
      <c r="C149" t="n">
        <v>0</v>
      </c>
      <c r="D149" t="inlineStr">
        <is>
          <t>souci</t>
        </is>
      </c>
      <c r="F149" s="641" t="n"/>
    </row>
    <row r="150">
      <c r="A150">
        <f>PROPER(TableauIngredients[[#This Row],[Ingredients]])</f>
        <v/>
      </c>
      <c r="B150" s="538">
        <f>IF(IFERROR((100-TableauIngredients[[#This Row],[% eau]])/100, 1) &lt; 0.2,0.2,IFERROR((100-TableauIngredients[[#This Row],[% eau]])/100, 1))</f>
        <v/>
      </c>
      <c r="C150" t="n">
        <v>97</v>
      </c>
      <c r="D150" t="inlineStr">
        <is>
          <t>souci</t>
        </is>
      </c>
      <c r="F150" s="641" t="n"/>
    </row>
    <row r="151">
      <c r="A151">
        <f>PROPER(TableauIngredients[[#This Row],[Ingredients]])</f>
        <v/>
      </c>
      <c r="B151" s="538">
        <f>IF(IFERROR((100-TableauIngredients[[#This Row],[% eau]])/100, 1) &lt; 0.2,0.2,IFERROR((100-TableauIngredients[[#This Row],[% eau]])/100, 1))</f>
        <v/>
      </c>
      <c r="C151" t="inlineStr">
        <is>
          <t>-</t>
        </is>
      </c>
      <c r="F151" s="554">
        <f>44/25</f>
        <v/>
      </c>
      <c r="G151" s="974" t="inlineStr">
        <is>
          <t>https://www.svpnegoce.com/catalogue/sucre-conventionnel-biologique/sucres-biologiques/sucre-de-betterave-bio-origine-allemagne</t>
        </is>
      </c>
    </row>
    <row r="152">
      <c r="A152">
        <f>PROPER(TableauIngredients[[#This Row],[Ingredients]])</f>
        <v/>
      </c>
      <c r="B152" s="538">
        <f>IF(IFERROR((100-TableauIngredients[[#This Row],[% eau]])/100, 1) &lt; 0.2,0.2,IFERROR((100-TableauIngredients[[#This Row],[% eau]])/100, 1))</f>
        <v/>
      </c>
      <c r="C152" t="n">
        <v>50</v>
      </c>
      <c r="D152" s="1" t="inlineStr">
        <is>
          <t>sucre de palme</t>
        </is>
      </c>
      <c r="E152" s="1" t="n"/>
      <c r="F152" s="641" t="n">
        <v>2.8</v>
      </c>
      <c r="G152" s="2" t="inlineStr">
        <is>
          <t>https://www.apiculture.net/sirop/7606-palette-sucre-de-canne-biologique-1080kg-alimentaire-54x20kg.html?kk=a4c626f-18e411b23ef-a3fee&amp;kgclid=CjwKCAjw48-vBhBbEiwAzqrZVI_0Pn7Eoe7X5_JvZvbTWxkK5E4ji2yIrkTdaQkY6n_lq79bD6I5HBoCb08QAvD_BwE&amp;utm_source=kelkoofr&amp;utm_medium=cpc&amp;utm_campaign=kelkooclick&amp;utm_term=Apiculture.net+-+Mat%C3%A9riel+apicole+fran%C3%A7a</t>
        </is>
      </c>
    </row>
    <row r="153">
      <c r="A153">
        <f>PROPER(TableauIngredients[[#This Row],[Ingredients]])</f>
        <v/>
      </c>
      <c r="B153" s="538">
        <f>IF(IFERROR((100-TableauIngredients[[#This Row],[% eau]])/100, 1) &lt; 0.2,0.2,IFERROR((100-TableauIngredients[[#This Row],[% eau]])/100, 1))</f>
        <v/>
      </c>
      <c r="C153" t="n">
        <v>10</v>
      </c>
      <c r="D153" t="inlineStr">
        <is>
          <t>sumac</t>
        </is>
      </c>
      <c r="F153" s="641" t="n"/>
    </row>
    <row r="154">
      <c r="A154">
        <f>PROPER(TableauIngredients[[#This Row],[Ingredients]])</f>
        <v/>
      </c>
      <c r="B154" s="538">
        <f>IF(IFERROR((100-TableauIngredients[[#This Row],[% eau]])/100, 1) &lt; 0.2,0.2,IFERROR((100-TableauIngredients[[#This Row],[% eau]])/100, 1))</f>
        <v/>
      </c>
      <c r="C154" t="n">
        <v>0</v>
      </c>
      <c r="D154" t="inlineStr">
        <is>
          <t>sureau</t>
        </is>
      </c>
      <c r="F154" s="641" t="n"/>
    </row>
    <row r="155">
      <c r="A155">
        <f>PROPER(TableauIngredients[[#This Row],[Ingredients]])</f>
        <v/>
      </c>
      <c r="B155" s="538">
        <f>IF(IFERROR((100-TableauIngredients[[#This Row],[% eau]])/100, 1) &lt; 0.2,0.2,IFERROR((100-TableauIngredients[[#This Row],[% eau]])/100, 1))</f>
        <v/>
      </c>
      <c r="C155" t="n">
        <v>97</v>
      </c>
      <c r="D155" t="inlineStr">
        <is>
          <t>sureau</t>
        </is>
      </c>
      <c r="F155" s="641" t="n"/>
    </row>
    <row r="156">
      <c r="A156">
        <f>PROPER(TableauIngredients[[#This Row],[Ingredients]])</f>
        <v/>
      </c>
      <c r="B156" s="538">
        <f>IF(IFERROR((100-TableauIngredients[[#This Row],[% eau]])/100, 1) &lt; 0.2,0.2,IFERROR((100-TableauIngredients[[#This Row],[% eau]])/100, 1))</f>
        <v/>
      </c>
      <c r="C156" t="n">
        <v>65</v>
      </c>
      <c r="D156" t="inlineStr">
        <is>
          <t>thym</t>
        </is>
      </c>
      <c r="F156" s="641" t="n"/>
    </row>
    <row r="157">
      <c r="A157">
        <f>PROPER(TableauIngredients[[#This Row],[Ingredients]])</f>
        <v/>
      </c>
      <c r="B157" s="538">
        <f>IF(IFERROR((100-TableauIngredients[[#This Row],[% eau]])/100, 1) &lt; 0.2,0.2,IFERROR((100-TableauIngredients[[#This Row],[% eau]])/100, 1))</f>
        <v/>
      </c>
      <c r="C157" t="n">
        <v>50</v>
      </c>
      <c r="D157" t="inlineStr">
        <is>
          <t>timut</t>
        </is>
      </c>
      <c r="F157" s="641" t="n"/>
    </row>
    <row r="158">
      <c r="A158">
        <f>PROPER(TableauIngredients[[#This Row],[Ingredients]])</f>
        <v/>
      </c>
      <c r="B158" s="538">
        <f>IF(IFERROR((100-TableauIngredients[[#This Row],[% eau]])/100, 1) &lt; 0.2,0.2,IFERROR((100-TableauIngredients[[#This Row],[% eau]])/100, 1))</f>
        <v/>
      </c>
      <c r="C158" t="n">
        <v>0</v>
      </c>
      <c r="D158" t="inlineStr">
        <is>
          <t>tomate rouge</t>
        </is>
      </c>
      <c r="F158" s="641" t="n"/>
    </row>
    <row r="159">
      <c r="A159">
        <f>PROPER(TableauIngredients[[#This Row],[Ingredients]])</f>
        <v/>
      </c>
      <c r="B159" s="538">
        <f>IF(IFERROR((100-TableauIngredients[[#This Row],[% eau]])/100, 1) &lt; 0.2,0.2,IFERROR((100-TableauIngredients[[#This Row],[% eau]])/100, 1))</f>
        <v/>
      </c>
      <c r="C159" t="n">
        <v>0</v>
      </c>
      <c r="D159" s="1" t="inlineStr">
        <is>
          <t>vinaigre de cidre</t>
        </is>
      </c>
      <c r="E159" s="1" t="n"/>
      <c r="F159" s="641">
        <f>19.21/5</f>
        <v/>
      </c>
      <c r="G159" t="inlineStr">
        <is>
          <t>https://comptoirdesplantes.com/matieres-brutes/161-vinaigre-de-cidre-BIO.html?pmax=shopping-2023-02-28&amp;gad_source=1&amp;gclid=Cj0KCQjwwMqvBhCtARIsAIXsZpY-rKsu7uA7WfCELHvTXY7hIuhneuKw5g-KKkqVqjC5BMGHdPHCyBIaAlDjEALw_wcB</t>
        </is>
      </c>
    </row>
    <row r="160">
      <c r="A160">
        <f>PROPER(TableauIngredients[[#This Row],[Ingredients]])</f>
        <v/>
      </c>
      <c r="B160" s="538">
        <f>IF(IFERROR((100-TableauIngredients[[#This Row],[% eau]])/100, 1) &lt; 0.2,0.2,IFERROR((100-TableauIngredients[[#This Row],[% eau]])/100, 1))</f>
        <v/>
      </c>
      <c r="C160" t="n">
        <v>50</v>
      </c>
      <c r="D160" s="1" t="inlineStr">
        <is>
          <t>zeste d’orange seche</t>
        </is>
      </c>
      <c r="E160" s="1" t="n"/>
      <c r="F160" s="641" t="n"/>
    </row>
    <row r="161">
      <c r="A161" s="1" t="inlineStr">
        <is>
          <t>Estragon</t>
        </is>
      </c>
      <c r="B161" s="538" t="n">
        <v>1</v>
      </c>
      <c r="C161" t="n">
        <v>0</v>
      </c>
      <c r="D161" t="inlineStr">
        <is>
          <t>estragon</t>
        </is>
      </c>
      <c r="F161" s="641" t="n"/>
    </row>
    <row r="162">
      <c r="A162" s="1" t="inlineStr">
        <is>
          <t>Estragon SEC</t>
        </is>
      </c>
      <c r="B162" s="538">
        <f>IF(IFERROR((100-TableauIngredients[[#This Row],[% eau]])/100, 1) &lt; 20,0.2)</f>
        <v/>
      </c>
      <c r="C162" t="n">
        <v>90</v>
      </c>
      <c r="D162" t="inlineStr">
        <is>
          <t>estragon</t>
        </is>
      </c>
      <c r="F162" s="641" t="n"/>
    </row>
    <row r="163">
      <c r="A163" s="1" t="inlineStr">
        <is>
          <t>Cornichons fins</t>
        </is>
      </c>
      <c r="B163" s="538" t="n">
        <v>1</v>
      </c>
      <c r="C163" t="n">
        <v>0</v>
      </c>
      <c r="D163" t="inlineStr">
        <is>
          <t>cornichon</t>
        </is>
      </c>
      <c r="F163" s="641" t="n"/>
    </row>
    <row r="164">
      <c r="A164" s="1" t="inlineStr">
        <is>
          <t>Cornichons gros</t>
        </is>
      </c>
      <c r="B164" s="538" t="n">
        <v>1</v>
      </c>
      <c r="C164" t="n">
        <v>0</v>
      </c>
      <c r="D164" t="inlineStr">
        <is>
          <t>cornichon</t>
        </is>
      </c>
      <c r="F164" s="641" t="n"/>
    </row>
    <row r="165">
      <c r="A165" s="1" t="inlineStr">
        <is>
          <t>Oignon rocambole</t>
        </is>
      </c>
      <c r="B165" s="538">
        <f>IF(IFERROR((100-TableauIngredients[[#This Row],[% eau]])/100, 1) &lt; 20,0.2)</f>
        <v/>
      </c>
      <c r="D165" t="inlineStr">
        <is>
          <t>oignon rocambole</t>
        </is>
      </c>
      <c r="F165" s="641" t="n"/>
    </row>
    <row r="166">
      <c r="A166" s="1" t="inlineStr">
        <is>
          <t>Choux</t>
        </is>
      </c>
      <c r="B166" s="538" t="n">
        <v>1</v>
      </c>
      <c r="C166" t="n">
        <v>0</v>
      </c>
      <c r="D166" t="inlineStr">
        <is>
          <t>choux</t>
        </is>
      </c>
      <c r="F166" s="641" t="n"/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7" display="https://vracbio.com/products/badiane-anis-etoile-bio-en-vrac?variant=31584511361139&amp;currency=EUR&amp;utm_medium=product_sync&amp;utm_source=google&amp;utm_content=sag_organic&amp;utm_campaign=sag_organic&amp;utm_campaign=gs-2020-05-12&amp;utm_source=google&amp;utm_medium=smart_campaign&amp;gad_source=1&amp;gclid=Cj0KCQjwwMqvBhCtARIsAIXsZpbzhzDINtZH-k_NigcEf1sWrPuGZLuWxNXCpnF2Jb13CK9238FySTMaAgwfEALw_wcB" r:id="rId3"/>
    <hyperlink xmlns:r="http://schemas.openxmlformats.org/officeDocument/2006/relationships" ref="G17" display="https://www.googleadservices.com/pagead/aclk?sa=L&amp;ai=DChcSEwi8_L7IkfSEAxWWtWgJHdrGBpYYABAFGgJ3Zg&amp;ase=2&amp;gclid=Cj0KCQjwwMqvBhCtARIsAIXsZpYLT1VmI5Kq1BaXTkjkzxCxD3tRu3FW4QihyZ5AVHNacB5EEIP-EacaAtVBEALw_wcB&amp;ohost=www.google.com&amp;cid=CAESV-D25s4w_xgCt61JSCPtz_-6MB53MwZOqMSR3C53fMpAlGsUxYYNIVZyeD-U7TQmjoP8BSO5N0eb6P53Wc_pyXFm3Td7A7f5dhB2yVtf84Fpc8W6xGvNkg&amp;sig=AOD64_1j_v1y63lx74Qe3EwzAJMUknrPPQ&amp;ctype=5&amp;q=&amp;nis=4&amp;ved=2ahUKEwii3bjIkfSEAxUTUKQEHfKUBKUQ9aACKAB6BAgBECM&amp;adurl=" r:id="rId4"/>
    <hyperlink xmlns:r="http://schemas.openxmlformats.org/officeDocument/2006/relationships" ref="G20" display="https://www.googleadservices.com/pagead/aclk?sa=L&amp;ai=DChcSEwichuSekfSEAxVyQUECHat2BNwYABAMGgJ3cw&amp;ase=2&amp;gclid=Cj0KCQjwwMqvBhCtARIsAIXsZpZmpmc8fHRm_JGzy1Gmr0JI0grkfyuAV2XraPO2cYJ_I7mDJZoaepwaAlFBEALw_wcB&amp;ohost=www.google.com&amp;cid=CAESV-D2fcXVl2hyBhRmKKHyR9Mar6Ywa7Gxq7dChedDWqueLOlHIrSO08ZTbW6I8tjACgEP8JedobbYSxK8ul5eMEPhhJEPba-FfAwg293CrvZFTOWQMeyZvg&amp;sig=AOD64_00twfFYjSyymtiLPJAcag4fPwi1w&amp;ctype=5&amp;q=&amp;nis=4&amp;ved=2ahUKEwjQud6ekfSEAxVXU6QEHZs-CdUQ9aACKAB6BAgEEBM&amp;adurl=" r:id="rId5"/>
    <hyperlink xmlns:r="http://schemas.openxmlformats.org/officeDocument/2006/relationships" ref="G27" display="https://www.etsy.com/fr/listing/1671728644/zeste-de-mandarine-sechee-biologique?gpla=1&amp;gao=1&amp;" r:id="rId6"/>
    <hyperlink xmlns:r="http://schemas.openxmlformats.org/officeDocument/2006/relationships" ref="G28" display="https://www.googleadservices.com/pagead/aclk?sa=L&amp;ai=DChcSEwjImt71kvSEAxX4qGgJHfm2DMsYABAOGgJ3Zg&amp;ase=2&amp;gclid=Cj0KCQjwwMqvBhCtARIsAIXsZpZzuxlLYPk3jEbz2sSJyN4bocZn-7fGZ1l02xJ2SChDI7pgp8LAST8aAnq9EALw_wcB&amp;ohost=www.google.com&amp;cid=CAESV-D2Uxx-XLqYE_XjwL-kVovH9HTLCB4KlP7kJAwkGppGskGIF94N5JykIfKxIhGF_WNbbGhZMrxjSTAQ4FwvjJubk8RCtjodMYrRsrubTeHFyJdngqwO-Q&amp;sig=AOD64_24hJKAn2HpOv8TAFHuCr4695zSpw&amp;ctype=5&amp;q=&amp;nis=4&amp;ved=2ahUKEwjbttj1kvSEAxXWSKQEHcVUBosQ9aACKAB6BAgBEBM&amp;adurl=" r:id="rId7"/>
    <hyperlink xmlns:r="http://schemas.openxmlformats.org/officeDocument/2006/relationships" ref="G30" display="https://thesdirect.com/products/girofle-clou-entier-bio?variant=42278504759535&amp;utm_medium=paidsearch&amp;utm_source=google&amp;utm_campaign=FR-PMC-Global&amp;utm_term=&amp;utm_content=&amp;gad_source=1&amp;gclid=Cj0KCQjwwMqvBhCtARIsAIXsZpYMcYHxWw4LzdPFYu1RLdfNCwEEgQ89WYbpA_kBagvr-9lOLjM_5DwaAt_uEALw_wcB" r:id="rId8"/>
    <hyperlink xmlns:r="http://schemas.openxmlformats.org/officeDocument/2006/relationships" ref="G34" r:id="rId9"/>
    <hyperlink xmlns:r="http://schemas.openxmlformats.org/officeDocument/2006/relationships" ref="G36" r:id="rId10"/>
    <hyperlink xmlns:r="http://schemas.openxmlformats.org/officeDocument/2006/relationships" ref="G37" r:id="rId11"/>
    <hyperlink xmlns:r="http://schemas.openxmlformats.org/officeDocument/2006/relationships" ref="G38" display="https://www.pharma5avenue.com/blog/mode-de-production-du-curcuma-longa-n63" r:id="rId12"/>
    <hyperlink xmlns:r="http://schemas.openxmlformats.org/officeDocument/2006/relationships" ref="G39" display="https://www.pharma5avenue.com/blog/mode-de-production-du-curcuma-longa-n63" r:id="rId13"/>
    <hyperlink xmlns:r="http://schemas.openxmlformats.org/officeDocument/2006/relationships" ref="G40" display="https://www.pharma5avenue.com/blog/mode-de-production-du-curcuma-longa-n63" r:id="rId14"/>
    <hyperlink xmlns:r="http://schemas.openxmlformats.org/officeDocument/2006/relationships" ref="G41" display="https://www.pharma5avenue.com/blog/mode-de-production-du-curcuma-longa-n63" r:id="rId15"/>
    <hyperlink xmlns:r="http://schemas.openxmlformats.org/officeDocument/2006/relationships" ref="G45" r:id="rId16"/>
    <hyperlink xmlns:r="http://schemas.openxmlformats.org/officeDocument/2006/relationships" ref="G52" r:id="rId17"/>
    <hyperlink xmlns:r="http://schemas.openxmlformats.org/officeDocument/2006/relationships" ref="G55" r:id="rId18"/>
    <hyperlink xmlns:r="http://schemas.openxmlformats.org/officeDocument/2006/relationships" ref="G56" r:id="rId19"/>
    <hyperlink xmlns:r="http://schemas.openxmlformats.org/officeDocument/2006/relationships" ref="G57" r:id="rId20"/>
    <hyperlink xmlns:r="http://schemas.openxmlformats.org/officeDocument/2006/relationships" ref="G59" r:id="rId21"/>
    <hyperlink xmlns:r="http://schemas.openxmlformats.org/officeDocument/2006/relationships" ref="G60" r:id="rId22"/>
    <hyperlink xmlns:r="http://schemas.openxmlformats.org/officeDocument/2006/relationships" ref="G61" r:id="rId23"/>
    <hyperlink xmlns:r="http://schemas.openxmlformats.org/officeDocument/2006/relationships" ref="G62" r:id="rId24"/>
    <hyperlink xmlns:r="http://schemas.openxmlformats.org/officeDocument/2006/relationships" ref="G65" r:id="rId25"/>
    <hyperlink xmlns:r="http://schemas.openxmlformats.org/officeDocument/2006/relationships" ref="G72" r:id="rId26"/>
    <hyperlink xmlns:r="http://schemas.openxmlformats.org/officeDocument/2006/relationships" ref="G73" r:id="rId27"/>
    <hyperlink xmlns:r="http://schemas.openxmlformats.org/officeDocument/2006/relationships" ref="G82" display="https://www.googleadservices.com/pagead/aclk?sa=L&amp;ai=DChcSEwjImt71kvSEAxX4qGgJHfm2DMsYABAOGgJ3Zg&amp;ase=2&amp;gclid=Cj0KCQjwwMqvBhCtARIsAIXsZpZzuxlLYPk3jEbz2sSJyN4bocZn-7fGZ1l02xJ2SChDI7pgp8LAST8aAnq9EALw_wcB&amp;ohost=www.google.com&amp;cid=CAESV-D2Uxx-XLqYE_XjwL-kVovH9HTLCB4KlP7kJAwkGppGskGIF94N5JykIfKxIhGF_WNbbGhZMrxjSTAQ4FwvjJubk8RCtjodMYrRsrubTeHFyJdngqwO-Q&amp;sig=AOD64_24hJKAn2HpOv8TAFHuCr4695zSpw&amp;ctype=5&amp;q=&amp;nis=4&amp;ved=2ahUKEwjbttj1kvSEAxXWSKQEHcVUBosQ9aACKAB6BAgBEBM&amp;adurl=" r:id="rId28"/>
    <hyperlink xmlns:r="http://schemas.openxmlformats.org/officeDocument/2006/relationships" ref="G88" r:id="rId29"/>
    <hyperlink xmlns:r="http://schemas.openxmlformats.org/officeDocument/2006/relationships" ref="G108" r:id="rId30"/>
    <hyperlink xmlns:r="http://schemas.openxmlformats.org/officeDocument/2006/relationships" ref="G113" r:id="rId31"/>
    <hyperlink xmlns:r="http://schemas.openxmlformats.org/officeDocument/2006/relationships" ref="G120" r:id="rId32"/>
    <hyperlink xmlns:r="http://schemas.openxmlformats.org/officeDocument/2006/relationships" ref="G124" display="https://occitanie.chambre-agriculture.fr/fileadmin/user_upload/Occitanie/076_Inst-Occitanie/Documents/Productions_techniques/Agriculture_biologique/Espace_ressource_bio/Maraichage_bio/ITK-LR-PoivronVenteDirecte.pdf" r:id="rId33"/>
    <hyperlink xmlns:r="http://schemas.openxmlformats.org/officeDocument/2006/relationships" ref="G125" display="https://occitanie.chambre-agriculture.fr/fileadmin/user_upload/Occitanie/076_Inst-Occitanie/Documents/Productions_techniques/Agriculture_biologique/Espace_ressource_bio/Maraichage_bio/ITK-LR-PoivronVenteDirecte.pdf" r:id="rId34"/>
    <hyperlink xmlns:r="http://schemas.openxmlformats.org/officeDocument/2006/relationships" ref="G126" display="https://occitanie.chambre-agriculture.fr/fileadmin/user_upload/Occitanie/076_Inst-Occitanie/Documents/Productions_techniques/Agriculture_biologique/Espace_ressource_bio/Maraichage_bio/ITK-LR-PoivronVenteDirecte.pdf" r:id="rId35"/>
    <hyperlink xmlns:r="http://schemas.openxmlformats.org/officeDocument/2006/relationships" ref="G145" r:id="rId36"/>
    <hyperlink xmlns:r="http://schemas.openxmlformats.org/officeDocument/2006/relationships" ref="G152" display="https://www.apiculture.net/sirop/7606-palette-sucre-de-canne-biologique-1080kg-alimentaire-54x20kg.html?kk=a4c626f-18e411b23ef-a3fee&amp;kgclid=CjwKCAjw48-vBhBbEiwAzqrZVI_0Pn7Eoe7X5_JvZvbTWxkK5E4ji2yIrkTdaQkY6n_lq79bD6I5HBoCb08QAvD_BwE&amp;utm_source=kelkoofr&amp;utm_medium=cpc&amp;utm_campaign=kelkooclick&amp;utm_term=Apiculture.net+-+Mat%C3%A9riel+apicole+fran%C3%A7a" r:id="rId37"/>
  </hyperlinks>
  <pageMargins left="0.7" right="0.7" top="0.75" bottom="0.75" header="0.3" footer="0.3"/>
  <pageSetup orientation="portrait" paperSize="9" horizontalDpi="0" verticalDpi="0"/>
  <drawing xmlns:r="http://schemas.openxmlformats.org/officeDocument/2006/relationships" r:id="rId38"/>
  <tableParts count="1">
    <tablePart xmlns:r="http://schemas.openxmlformats.org/officeDocument/2006/relationships" r:id="rId39"/>
  </tableParts>
</worksheet>
</file>

<file path=xl/worksheets/sheet3.xml><?xml version="1.0" encoding="utf-8"?>
<worksheet xmlns="http://schemas.openxmlformats.org/spreadsheetml/2006/main">
  <sheetPr codeName="Feuil1">
    <outlinePr summaryBelow="1" summaryRight="1"/>
    <pageSetUpPr/>
  </sheetPr>
  <dimension ref="A1:Y916"/>
  <sheetViews>
    <sheetView zoomScale="138" workbookViewId="0">
      <pane ySplit="1" topLeftCell="A2" activePane="bottomLeft" state="frozen"/>
      <selection pane="bottomLeft" activeCell="H424" sqref="H424"/>
    </sheetView>
  </sheetViews>
  <sheetFormatPr baseColWidth="10" defaultColWidth="11" defaultRowHeight="16"/>
  <cols>
    <col width="20.33203125" customWidth="1" style="26" min="1" max="2"/>
    <col width="29.83203125" customWidth="1" style="26" min="3" max="3"/>
    <col width="9.33203125" customWidth="1" style="976" min="4" max="4"/>
    <col width="13.5" customWidth="1" style="26" min="5" max="5"/>
    <col width="12.5" customWidth="1" style="26" min="6" max="6"/>
    <col width="7.33203125" customWidth="1" style="26" min="7" max="7"/>
    <col width="8.6640625" customWidth="1" style="26" min="8" max="8"/>
    <col width="9.1640625" customWidth="1" style="26" min="9" max="9"/>
    <col width="5.33203125" customWidth="1" style="976" min="10" max="10"/>
    <col width="11" customWidth="1" style="442" min="11" max="11"/>
    <col width="5" customWidth="1" style="443" min="12" max="12"/>
    <col width="5" customWidth="1" min="13" max="20"/>
  </cols>
  <sheetData>
    <row r="1" ht="127" customHeight="1">
      <c r="A1" s="675" t="inlineStr">
        <is>
          <t>Recette</t>
        </is>
      </c>
      <c r="B1" s="675" t="inlineStr">
        <is>
          <t>ID</t>
        </is>
      </c>
      <c r="C1" s="675" t="inlineStr">
        <is>
          <t>Ingredients</t>
        </is>
      </c>
      <c r="D1" s="977" t="inlineStr">
        <is>
          <t>Proportion</t>
        </is>
      </c>
      <c r="E1" s="677" t="inlineStr">
        <is>
          <t>Conditionnement</t>
        </is>
      </c>
      <c r="F1" s="675" t="inlineStr">
        <is>
          <t>poids / unite</t>
        </is>
      </c>
      <c r="G1" s="678" t="inlineStr">
        <is>
          <t>Prix d'achat / kg</t>
        </is>
      </c>
      <c r="H1" s="977" t="inlineStr">
        <is>
          <t>Total Proportion</t>
        </is>
      </c>
      <c r="I1" s="977" t="inlineStr">
        <is>
          <t>Prix pour kg/ de melange</t>
        </is>
      </c>
      <c r="J1" s="675" t="inlineStr">
        <is>
          <t>Pays</t>
        </is>
      </c>
      <c r="K1" s="679" t="inlineStr">
        <is>
          <t>Type</t>
        </is>
      </c>
      <c r="L1" s="680" t="inlineStr">
        <is>
          <t>kg / annee 1</t>
        </is>
      </c>
      <c r="M1" s="675" t="inlineStr">
        <is>
          <t>kg / annee 2</t>
        </is>
      </c>
      <c r="N1" s="675" t="inlineStr">
        <is>
          <t>kg / annee 3</t>
        </is>
      </c>
      <c r="O1" s="675" t="inlineStr">
        <is>
          <t>kg / annee 4</t>
        </is>
      </c>
      <c r="P1" s="675" t="inlineStr">
        <is>
          <t>kg / annee 5</t>
        </is>
      </c>
      <c r="Q1" s="675" t="inlineStr">
        <is>
          <t>kg / annee 6</t>
        </is>
      </c>
      <c r="R1" s="675" t="inlineStr">
        <is>
          <t>kg / annee 7</t>
        </is>
      </c>
      <c r="S1" s="675" t="inlineStr">
        <is>
          <t>kg / annee 8</t>
        </is>
      </c>
      <c r="T1" s="675" t="inlineStr">
        <is>
          <t>kg / annee 9</t>
        </is>
      </c>
    </row>
    <row r="2">
      <c r="A2" s="55" t="inlineStr">
        <is>
          <t>Advieh</t>
        </is>
      </c>
      <c r="B2" s="55">
        <f>TableauRecette[[#This Row],[Recette]]&amp;TableauRecette[[#This Row],[Conditionnement]]</f>
        <v/>
      </c>
      <c r="C2" s="55" t="inlineStr">
        <is>
          <t>Pétale De Rose</t>
        </is>
      </c>
      <c r="D2" s="179" t="n">
        <v>2</v>
      </c>
      <c r="E2" s="55" t="inlineStr">
        <is>
          <t>Epice 100ml</t>
        </is>
      </c>
      <c r="F2" s="17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" s="179">
        <f>IFERROR(_xlfn.XLOOKUP(TableauRecette[[#This Row],[Ingredients]],TableauIngredients[Ingredients],TableauIngredients[Prix d''achat (kg)],0)*TableauRecette[[#This Row],[poids / unite]],0)</f>
        <v/>
      </c>
      <c r="H2" s="179">
        <f>IFERROR(SUMIFS(TableauRecette[Proportion],TableauRecette[Recette],TableauRecette[[#This Row],[Recette]],TableauRecette[Conditionnement],TableauRecette[[#This Row],[Conditionnement]]),0)</f>
        <v/>
      </c>
      <c r="I2" s="179">
        <f>IFERROR(TableauRecette[[#This Row],[Prix d''achat / kg]],0)</f>
        <v/>
      </c>
      <c r="J2" s="179" t="inlineStr">
        <is>
          <t>Syrie</t>
        </is>
      </c>
      <c r="K2" s="681" t="inlineStr">
        <is>
          <t>SEC</t>
        </is>
      </c>
      <c r="L2" s="682">
        <f>_xlfn.XLOOKUP(TableauRecette[[#This Row],[ID]],TableauProduit[ID],TableauProduit[Total (kg) N1],0,0,1)*TableauRecette[[#This Row],[poids / unite]]</f>
        <v/>
      </c>
      <c r="M2" s="683">
        <f>_xlfn.XLOOKUP(TableauRecette[[#This Row],[ID]],TableauProduit[ID],TableauProduit[Total (kg) N2],0,0,1)*TableauRecette[[#This Row],[poids / unite]]</f>
        <v/>
      </c>
      <c r="N2" s="683">
        <f>_xlfn.XLOOKUP(TableauRecette[[#This Row],[ID]],TableauProduit[ID],TableauProduit[Total (kg) N3],0,0,1)*TableauRecette[[#This Row],[poids / unite]]</f>
        <v/>
      </c>
      <c r="O2" s="683">
        <f>_xlfn.XLOOKUP(TableauRecette[[#This Row],[ID]],TableauProduit[ID],TableauProduit[Total (kg) N4],0,0,1)*TableauRecette[[#This Row],[poids / unite]]</f>
        <v/>
      </c>
      <c r="P2" s="683">
        <f>_xlfn.XLOOKUP(TableauRecette[[#This Row],[ID]],TableauProduit[ID],TableauProduit[Total (kg) N5],0,0,1)*TableauRecette[[#This Row],[poids / unite]]</f>
        <v/>
      </c>
      <c r="Q2" s="683">
        <f>_xlfn.XLOOKUP(TableauRecette[[#This Row],[ID]],TableauProduit[ID],TableauProduit[Total (kg) N6],0,0,1)*TableauRecette[[#This Row],[poids / unite]]</f>
        <v/>
      </c>
      <c r="R2" s="683">
        <f>_xlfn.XLOOKUP(TableauRecette[[#This Row],[ID]],TableauProduit[ID],TableauProduit[Total (kg) N7],0,0,1)*TableauRecette[[#This Row],[poids / unite]]</f>
        <v/>
      </c>
      <c r="S2" s="683">
        <f>_xlfn.XLOOKUP(TableauRecette[[#This Row],[ID]],TableauProduit[ID],TableauProduit[Total (kg) N8],0,0,1)*TableauRecette[[#This Row],[poids / unite]]</f>
        <v/>
      </c>
      <c r="T2" s="683">
        <f>_xlfn.XLOOKUP(TableauRecette[[#This Row],[ID]],TableauProduit[ID],TableauProduit[Total (kg) N9],0,0,1)*TableauRecette[[#This Row],[poids / unite]]</f>
        <v/>
      </c>
    </row>
    <row r="3">
      <c r="A3" s="55" t="inlineStr">
        <is>
          <t>Advieh</t>
        </is>
      </c>
      <c r="B3" s="55">
        <f>TableauRecette[[#This Row],[Recette]]&amp;TableauRecette[[#This Row],[Conditionnement]]</f>
        <v/>
      </c>
      <c r="C3" s="55" t="inlineStr">
        <is>
          <t>Graine De Cardamone</t>
        </is>
      </c>
      <c r="D3" s="179" t="n">
        <v>2</v>
      </c>
      <c r="E3" s="55" t="inlineStr">
        <is>
          <t>Epice 100ml</t>
        </is>
      </c>
      <c r="F3" s="17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" s="179">
        <f>IFERROR(_xlfn.XLOOKUP(TableauRecette[[#This Row],[Ingredients]],TableauIngredients[Ingredients],TableauIngredients[Prix d''achat (kg)],0)*TableauRecette[[#This Row],[poids / unite]],0)</f>
        <v/>
      </c>
      <c r="H3" s="179">
        <f>IFERROR(SUMIFS(TableauRecette[Proportion],TableauRecette[Recette],TableauRecette[[#This Row],[Recette]],TableauRecette[Conditionnement],TableauRecette[[#This Row],[Conditionnement]]),0)</f>
        <v/>
      </c>
      <c r="I3" s="179">
        <f>IFERROR(TableauRecette[[#This Row],[Prix d''achat / kg]],0)</f>
        <v/>
      </c>
      <c r="J3" s="179" t="inlineStr">
        <is>
          <t>Syrie</t>
        </is>
      </c>
      <c r="K3" s="681" t="inlineStr">
        <is>
          <t>SEC</t>
        </is>
      </c>
      <c r="L3" s="682">
        <f>_xlfn.XLOOKUP(TableauRecette[[#This Row],[ID]],TableauProduit[ID],TableauProduit[Total (kg) N1],0,0,1)*TableauRecette[[#This Row],[poids / unite]]</f>
        <v/>
      </c>
      <c r="M3" s="683">
        <f>_xlfn.XLOOKUP(TableauRecette[[#This Row],[ID]],TableauProduit[ID],TableauProduit[Total (kg) N2],0,0,1)*TableauRecette[[#This Row],[poids / unite]]</f>
        <v/>
      </c>
      <c r="N3" s="683">
        <f>_xlfn.XLOOKUP(TableauRecette[[#This Row],[ID]],TableauProduit[ID],TableauProduit[Total (kg) N3],0,0,1)*TableauRecette[[#This Row],[poids / unite]]</f>
        <v/>
      </c>
      <c r="O3" s="683">
        <f>_xlfn.XLOOKUP(TableauRecette[[#This Row],[ID]],TableauProduit[ID],TableauProduit[Total (kg) N4],0,0,1)*TableauRecette[[#This Row],[poids / unite]]</f>
        <v/>
      </c>
      <c r="P3" s="683">
        <f>_xlfn.XLOOKUP(TableauRecette[[#This Row],[ID]],TableauProduit[ID],TableauProduit[Total (kg) N5],0,0,1)*TableauRecette[[#This Row],[poids / unite]]</f>
        <v/>
      </c>
      <c r="Q3" s="683">
        <f>_xlfn.XLOOKUP(TableauRecette[[#This Row],[ID]],TableauProduit[ID],TableauProduit[Total (kg) N6],0,0,1)*TableauRecette[[#This Row],[poids / unite]]</f>
        <v/>
      </c>
      <c r="R3" s="683">
        <f>_xlfn.XLOOKUP(TableauRecette[[#This Row],[ID]],TableauProduit[ID],TableauProduit[Total (kg) N7],0,0,1)*TableauRecette[[#This Row],[poids / unite]]</f>
        <v/>
      </c>
      <c r="S3" s="683">
        <f>_xlfn.XLOOKUP(TableauRecette[[#This Row],[ID]],TableauProduit[ID],TableauProduit[Total (kg) N8],0,0,1)*TableauRecette[[#This Row],[poids / unite]]</f>
        <v/>
      </c>
      <c r="T3" s="683">
        <f>_xlfn.XLOOKUP(TableauRecette[[#This Row],[ID]],TableauProduit[ID],TableauProduit[Total (kg) N9],0,0,1)*TableauRecette[[#This Row],[poids / unite]]</f>
        <v/>
      </c>
    </row>
    <row r="4">
      <c r="A4" s="55" t="inlineStr">
        <is>
          <t>Advieh</t>
        </is>
      </c>
      <c r="B4" s="55">
        <f>TableauRecette[[#This Row],[Recette]]&amp;TableauRecette[[#This Row],[Conditionnement]]</f>
        <v/>
      </c>
      <c r="C4" s="55" t="inlineStr">
        <is>
          <t>Graine De Cumin</t>
        </is>
      </c>
      <c r="D4" s="179" t="n">
        <v>1</v>
      </c>
      <c r="E4" s="55" t="inlineStr">
        <is>
          <t>Epice 100ml</t>
        </is>
      </c>
      <c r="F4" s="17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" s="179">
        <f>IFERROR(_xlfn.XLOOKUP(TableauRecette[[#This Row],[Ingredients]],TableauIngredients[Ingredients],TableauIngredients[Prix d''achat (kg)],0)*TableauRecette[[#This Row],[poids / unite]],0)</f>
        <v/>
      </c>
      <c r="H4" s="179">
        <f>IFERROR(SUMIFS(TableauRecette[Proportion],TableauRecette[Recette],TableauRecette[[#This Row],[Recette]],TableauRecette[Conditionnement],TableauRecette[[#This Row],[Conditionnement]]),0)</f>
        <v/>
      </c>
      <c r="I4" s="179">
        <f>IFERROR(TableauRecette[[#This Row],[Prix d''achat / kg]],0)</f>
        <v/>
      </c>
      <c r="J4" s="179" t="inlineStr">
        <is>
          <t>Syrie</t>
        </is>
      </c>
      <c r="K4" s="681" t="inlineStr">
        <is>
          <t>SEC</t>
        </is>
      </c>
      <c r="L4" s="682">
        <f>_xlfn.XLOOKUP(TableauRecette[[#This Row],[ID]],TableauProduit[ID],TableauProduit[Total (kg) N1],0,0,1)*TableauRecette[[#This Row],[poids / unite]]</f>
        <v/>
      </c>
      <c r="M4" s="683">
        <f>_xlfn.XLOOKUP(TableauRecette[[#This Row],[ID]],TableauProduit[ID],TableauProduit[Total (kg) N2],0,0,1)*TableauRecette[[#This Row],[poids / unite]]</f>
        <v/>
      </c>
      <c r="N4" s="683">
        <f>_xlfn.XLOOKUP(TableauRecette[[#This Row],[ID]],TableauProduit[ID],TableauProduit[Total (kg) N3],0,0,1)*TableauRecette[[#This Row],[poids / unite]]</f>
        <v/>
      </c>
      <c r="O4" s="683">
        <f>_xlfn.XLOOKUP(TableauRecette[[#This Row],[ID]],TableauProduit[ID],TableauProduit[Total (kg) N4],0,0,1)*TableauRecette[[#This Row],[poids / unite]]</f>
        <v/>
      </c>
      <c r="P4" s="683">
        <f>_xlfn.XLOOKUP(TableauRecette[[#This Row],[ID]],TableauProduit[ID],TableauProduit[Total (kg) N5],0,0,1)*TableauRecette[[#This Row],[poids / unite]]</f>
        <v/>
      </c>
      <c r="Q4" s="683">
        <f>_xlfn.XLOOKUP(TableauRecette[[#This Row],[ID]],TableauProduit[ID],TableauProduit[Total (kg) N6],0,0,1)*TableauRecette[[#This Row],[poids / unite]]</f>
        <v/>
      </c>
      <c r="R4" s="683">
        <f>_xlfn.XLOOKUP(TableauRecette[[#This Row],[ID]],TableauProduit[ID],TableauProduit[Total (kg) N7],0,0,1)*TableauRecette[[#This Row],[poids / unite]]</f>
        <v/>
      </c>
      <c r="S4" s="683">
        <f>_xlfn.XLOOKUP(TableauRecette[[#This Row],[ID]],TableauProduit[ID],TableauProduit[Total (kg) N8],0,0,1)*TableauRecette[[#This Row],[poids / unite]]</f>
        <v/>
      </c>
      <c r="T4" s="683">
        <f>_xlfn.XLOOKUP(TableauRecette[[#This Row],[ID]],TableauProduit[ID],TableauProduit[Total (kg) N9],0,0,1)*TableauRecette[[#This Row],[poids / unite]]</f>
        <v/>
      </c>
    </row>
    <row r="5">
      <c r="A5" s="55" t="inlineStr">
        <is>
          <t>Advieh</t>
        </is>
      </c>
      <c r="B5" s="55">
        <f>TableauRecette[[#This Row],[Recette]]&amp;TableauRecette[[#This Row],[Conditionnement]]</f>
        <v/>
      </c>
      <c r="C5" s="55" t="inlineStr">
        <is>
          <t>Cannelle Moulue</t>
        </is>
      </c>
      <c r="D5" s="179" t="n">
        <v>2</v>
      </c>
      <c r="E5" s="55" t="inlineStr">
        <is>
          <t>Epice 100ml</t>
        </is>
      </c>
      <c r="F5" s="17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5" s="179">
        <f>IFERROR(_xlfn.XLOOKUP(TableauRecette[[#This Row],[Ingredients]],TableauIngredients[Ingredients],TableauIngredients[Prix d''achat (kg)],0)*TableauRecette[[#This Row],[poids / unite]],0)</f>
        <v/>
      </c>
      <c r="H5" s="179">
        <f>IFERROR(SUMIFS(TableauRecette[Proportion],TableauRecette[Recette],TableauRecette[[#This Row],[Recette]],TableauRecette[Conditionnement],TableauRecette[[#This Row],[Conditionnement]]),0)</f>
        <v/>
      </c>
      <c r="I5" s="179">
        <f>IFERROR(TableauRecette[[#This Row],[Prix d''achat / kg]],0)</f>
        <v/>
      </c>
      <c r="J5" s="179" t="inlineStr">
        <is>
          <t>Syrie</t>
        </is>
      </c>
      <c r="K5" s="681" t="inlineStr">
        <is>
          <t>SEC</t>
        </is>
      </c>
      <c r="L5" s="682">
        <f>_xlfn.XLOOKUP(TableauRecette[[#This Row],[ID]],TableauProduit[ID],TableauProduit[Total (kg) N1],0,0,1)*TableauRecette[[#This Row],[poids / unite]]</f>
        <v/>
      </c>
      <c r="M5" s="683">
        <f>_xlfn.XLOOKUP(TableauRecette[[#This Row],[ID]],TableauProduit[ID],TableauProduit[Total (kg) N2],0,0,1)*TableauRecette[[#This Row],[poids / unite]]</f>
        <v/>
      </c>
      <c r="N5" s="683">
        <f>_xlfn.XLOOKUP(TableauRecette[[#This Row],[ID]],TableauProduit[ID],TableauProduit[Total (kg) N3],0,0,1)*TableauRecette[[#This Row],[poids / unite]]</f>
        <v/>
      </c>
      <c r="O5" s="683">
        <f>_xlfn.XLOOKUP(TableauRecette[[#This Row],[ID]],TableauProduit[ID],TableauProduit[Total (kg) N4],0,0,1)*TableauRecette[[#This Row],[poids / unite]]</f>
        <v/>
      </c>
      <c r="P5" s="683">
        <f>_xlfn.XLOOKUP(TableauRecette[[#This Row],[ID]],TableauProduit[ID],TableauProduit[Total (kg) N5],0,0,1)*TableauRecette[[#This Row],[poids / unite]]</f>
        <v/>
      </c>
      <c r="Q5" s="683">
        <f>_xlfn.XLOOKUP(TableauRecette[[#This Row],[ID]],TableauProduit[ID],TableauProduit[Total (kg) N6],0,0,1)*TableauRecette[[#This Row],[poids / unite]]</f>
        <v/>
      </c>
      <c r="R5" s="683">
        <f>_xlfn.XLOOKUP(TableauRecette[[#This Row],[ID]],TableauProduit[ID],TableauProduit[Total (kg) N7],0,0,1)*TableauRecette[[#This Row],[poids / unite]]</f>
        <v/>
      </c>
      <c r="S5" s="683">
        <f>_xlfn.XLOOKUP(TableauRecette[[#This Row],[ID]],TableauProduit[ID],TableauProduit[Total (kg) N8],0,0,1)*TableauRecette[[#This Row],[poids / unite]]</f>
        <v/>
      </c>
      <c r="T5" s="683">
        <f>_xlfn.XLOOKUP(TableauRecette[[#This Row],[ID]],TableauProduit[ID],TableauProduit[Total (kg) N9],0,0,1)*TableauRecette[[#This Row],[poids / unite]]</f>
        <v/>
      </c>
    </row>
    <row r="6">
      <c r="A6" s="55" t="inlineStr">
        <is>
          <t>Advieh</t>
        </is>
      </c>
      <c r="B6" s="55">
        <f>TableauRecette[[#This Row],[Recette]]&amp;TableauRecette[[#This Row],[Conditionnement]]</f>
        <v/>
      </c>
      <c r="C6" s="55" t="inlineStr">
        <is>
          <t>Gingembre Sec</t>
        </is>
      </c>
      <c r="D6" s="179" t="n">
        <v>2</v>
      </c>
      <c r="E6" s="55" t="inlineStr">
        <is>
          <t>Epice 100ml</t>
        </is>
      </c>
      <c r="F6" s="17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6" s="179">
        <f>IFERROR(_xlfn.XLOOKUP(TableauRecette[[#This Row],[Ingredients]],TableauIngredients[Ingredients],TableauIngredients[Prix d''achat (kg)],0)*TableauRecette[[#This Row],[poids / unite]],0)</f>
        <v/>
      </c>
      <c r="H6" s="179">
        <f>IFERROR(SUMIFS(TableauRecette[Proportion],TableauRecette[Recette],TableauRecette[[#This Row],[Recette]],TableauRecette[Conditionnement],TableauRecette[[#This Row],[Conditionnement]]),0)</f>
        <v/>
      </c>
      <c r="I6" s="179">
        <f>IFERROR(TableauRecette[[#This Row],[Prix d''achat / kg]],0)</f>
        <v/>
      </c>
      <c r="J6" s="179" t="inlineStr">
        <is>
          <t>Syrie</t>
        </is>
      </c>
      <c r="K6" s="681" t="inlineStr">
        <is>
          <t>SEC</t>
        </is>
      </c>
      <c r="L6" s="682">
        <f>_xlfn.XLOOKUP(TableauRecette[[#This Row],[ID]],TableauProduit[ID],TableauProduit[Total (kg) N1],0,0,1)*TableauRecette[[#This Row],[poids / unite]]</f>
        <v/>
      </c>
      <c r="M6" s="683">
        <f>_xlfn.XLOOKUP(TableauRecette[[#This Row],[ID]],TableauProduit[ID],TableauProduit[Total (kg) N2],0,0,1)*TableauRecette[[#This Row],[poids / unite]]</f>
        <v/>
      </c>
      <c r="N6" s="683">
        <f>_xlfn.XLOOKUP(TableauRecette[[#This Row],[ID]],TableauProduit[ID],TableauProduit[Total (kg) N3],0,0,1)*TableauRecette[[#This Row],[poids / unite]]</f>
        <v/>
      </c>
      <c r="O6" s="683">
        <f>_xlfn.XLOOKUP(TableauRecette[[#This Row],[ID]],TableauProduit[ID],TableauProduit[Total (kg) N4],0,0,1)*TableauRecette[[#This Row],[poids / unite]]</f>
        <v/>
      </c>
      <c r="P6" s="683">
        <f>_xlfn.XLOOKUP(TableauRecette[[#This Row],[ID]],TableauProduit[ID],TableauProduit[Total (kg) N5],0,0,1)*TableauRecette[[#This Row],[poids / unite]]</f>
        <v/>
      </c>
      <c r="Q6" s="683">
        <f>_xlfn.XLOOKUP(TableauRecette[[#This Row],[ID]],TableauProduit[ID],TableauProduit[Total (kg) N6],0,0,1)*TableauRecette[[#This Row],[poids / unite]]</f>
        <v/>
      </c>
      <c r="R6" s="683">
        <f>_xlfn.XLOOKUP(TableauRecette[[#This Row],[ID]],TableauProduit[ID],TableauProduit[Total (kg) N7],0,0,1)*TableauRecette[[#This Row],[poids / unite]]</f>
        <v/>
      </c>
      <c r="S6" s="683">
        <f>_xlfn.XLOOKUP(TableauRecette[[#This Row],[ID]],TableauProduit[ID],TableauProduit[Total (kg) N8],0,0,1)*TableauRecette[[#This Row],[poids / unite]]</f>
        <v/>
      </c>
      <c r="T6" s="683">
        <f>_xlfn.XLOOKUP(TableauRecette[[#This Row],[ID]],TableauProduit[ID],TableauProduit[Total (kg) N9],0,0,1)*TableauRecette[[#This Row],[poids / unite]]</f>
        <v/>
      </c>
    </row>
    <row r="7">
      <c r="A7" s="606" t="inlineStr">
        <is>
          <t>Ail semoule</t>
        </is>
      </c>
      <c r="B7" s="606">
        <f>TableauRecette[[#This Row],[Recette]]&amp;TableauRecette[[#This Row],[Conditionnement]]</f>
        <v/>
      </c>
      <c r="C7" s="606" t="inlineStr">
        <is>
          <t>Ail Sec</t>
        </is>
      </c>
      <c r="D7" s="607" t="n">
        <v>1</v>
      </c>
      <c r="E7" s="606" t="inlineStr">
        <is>
          <t>Epice 100ml</t>
        </is>
      </c>
      <c r="F7" s="60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7" s="607">
        <f>IFERROR(_xlfn.XLOOKUP(TableauRecette[[#This Row],[Ingredients]],TableauIngredients[Ingredients],TableauIngredients[Prix d''achat (kg)],0)*TableauRecette[[#This Row],[poids / unite]],0)</f>
        <v/>
      </c>
      <c r="H7" s="607">
        <f>IFERROR(SUMIFS(TableauRecette[Proportion],TableauRecette[Recette],TableauRecette[[#This Row],[Recette]],TableauRecette[Conditionnement],TableauRecette[[#This Row],[Conditionnement]]),0)</f>
        <v/>
      </c>
      <c r="I7" s="607">
        <f>IFERROR(TableauRecette[[#This Row],[Prix d''achat / kg]],0)</f>
        <v/>
      </c>
      <c r="J7" s="607" t="inlineStr">
        <is>
          <t>Turquie</t>
        </is>
      </c>
      <c r="K7" s="684" t="inlineStr">
        <is>
          <t>SEC</t>
        </is>
      </c>
      <c r="L7" s="685">
        <f>_xlfn.XLOOKUP(TableauRecette[[#This Row],[ID]],TableauProduit[ID],TableauProduit[Total (kg) N1],0,0,1)*TableauRecette[[#This Row],[poids / unite]]</f>
        <v/>
      </c>
      <c r="M7" s="686">
        <f>_xlfn.XLOOKUP(TableauRecette[[#This Row],[ID]],TableauProduit[ID],TableauProduit[Total (kg) N2],0,0,1)*TableauRecette[[#This Row],[poids / unite]]</f>
        <v/>
      </c>
      <c r="N7" s="686">
        <f>_xlfn.XLOOKUP(TableauRecette[[#This Row],[ID]],TableauProduit[ID],TableauProduit[Total (kg) N3],0,0,1)*TableauRecette[[#This Row],[poids / unite]]</f>
        <v/>
      </c>
      <c r="O7" s="686">
        <f>_xlfn.XLOOKUP(TableauRecette[[#This Row],[ID]],TableauProduit[ID],TableauProduit[Total (kg) N4],0,0,1)*TableauRecette[[#This Row],[poids / unite]]</f>
        <v/>
      </c>
      <c r="P7" s="686">
        <f>_xlfn.XLOOKUP(TableauRecette[[#This Row],[ID]],TableauProduit[ID],TableauProduit[Total (kg) N5],0,0,1)*TableauRecette[[#This Row],[poids / unite]]</f>
        <v/>
      </c>
      <c r="Q7" s="686">
        <f>_xlfn.XLOOKUP(TableauRecette[[#This Row],[ID]],TableauProduit[ID],TableauProduit[Total (kg) N6],0,0,1)*TableauRecette[[#This Row],[poids / unite]]</f>
        <v/>
      </c>
      <c r="R7" s="686">
        <f>_xlfn.XLOOKUP(TableauRecette[[#This Row],[ID]],TableauProduit[ID],TableauProduit[Total (kg) N7],0,0,1)*TableauRecette[[#This Row],[poids / unite]]</f>
        <v/>
      </c>
      <c r="S7" s="686">
        <f>_xlfn.XLOOKUP(TableauRecette[[#This Row],[ID]],TableauProduit[ID],TableauProduit[Total (kg) N8],0,0,1)*TableauRecette[[#This Row],[poids / unite]]</f>
        <v/>
      </c>
      <c r="T7" s="686">
        <f>_xlfn.XLOOKUP(TableauRecette[[#This Row],[ID]],TableauProduit[ID],TableauProduit[Total (kg) N9],0,0,1)*TableauRecette[[#This Row],[poids / unite]]</f>
        <v/>
      </c>
    </row>
    <row r="8">
      <c r="A8" s="56" t="inlineStr">
        <is>
          <t>Baharat arabe</t>
        </is>
      </c>
      <c r="B8" s="56">
        <f>TableauRecette[[#This Row],[Recette]]&amp;TableauRecette[[#This Row],[Conditionnement]]</f>
        <v/>
      </c>
      <c r="C8" s="56" t="inlineStr">
        <is>
          <t>Poivre Noir</t>
        </is>
      </c>
      <c r="D8" s="180" t="n">
        <v>3</v>
      </c>
      <c r="E8" s="56" t="inlineStr">
        <is>
          <t>Epice 100ml</t>
        </is>
      </c>
      <c r="F8" s="18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8" s="180">
        <f>IFERROR(_xlfn.XLOOKUP(TableauRecette[[#This Row],[Ingredients]],TableauIngredients[Ingredients],TableauIngredients[Prix d''achat (kg)],0)*TableauRecette[[#This Row],[poids / unite]],0)</f>
        <v/>
      </c>
      <c r="H8" s="180">
        <f>IFERROR(SUMIFS(TableauRecette[Proportion],TableauRecette[Recette],TableauRecette[[#This Row],[Recette]],TableauRecette[Conditionnement],TableauRecette[[#This Row],[Conditionnement]]),0)</f>
        <v/>
      </c>
      <c r="I8" s="180">
        <f>IFERROR(TableauRecette[[#This Row],[Prix d''achat / kg]],0)</f>
        <v/>
      </c>
      <c r="J8" s="180" t="inlineStr">
        <is>
          <t>Turquie</t>
        </is>
      </c>
      <c r="K8" s="687" t="inlineStr">
        <is>
          <t>SEC</t>
        </is>
      </c>
      <c r="L8" s="688">
        <f>_xlfn.XLOOKUP(TableauRecette[[#This Row],[ID]],TableauProduit[ID],TableauProduit[Total (kg) N1],0,0,1)*TableauRecette[[#This Row],[poids / unite]]</f>
        <v/>
      </c>
      <c r="M8" s="689">
        <f>_xlfn.XLOOKUP(TableauRecette[[#This Row],[ID]],TableauProduit[ID],TableauProduit[Total (kg) N2],0,0,1)*TableauRecette[[#This Row],[poids / unite]]</f>
        <v/>
      </c>
      <c r="N8" s="689">
        <f>_xlfn.XLOOKUP(TableauRecette[[#This Row],[ID]],TableauProduit[ID],TableauProduit[Total (kg) N3],0,0,1)*TableauRecette[[#This Row],[poids / unite]]</f>
        <v/>
      </c>
      <c r="O8" s="689">
        <f>_xlfn.XLOOKUP(TableauRecette[[#This Row],[ID]],TableauProduit[ID],TableauProduit[Total (kg) N4],0,0,1)*TableauRecette[[#This Row],[poids / unite]]</f>
        <v/>
      </c>
      <c r="P8" s="689">
        <f>_xlfn.XLOOKUP(TableauRecette[[#This Row],[ID]],TableauProduit[ID],TableauProduit[Total (kg) N5],0,0,1)*TableauRecette[[#This Row],[poids / unite]]</f>
        <v/>
      </c>
      <c r="Q8" s="689">
        <f>_xlfn.XLOOKUP(TableauRecette[[#This Row],[ID]],TableauProduit[ID],TableauProduit[Total (kg) N6],0,0,1)*TableauRecette[[#This Row],[poids / unite]]</f>
        <v/>
      </c>
      <c r="R8" s="689">
        <f>_xlfn.XLOOKUP(TableauRecette[[#This Row],[ID]],TableauProduit[ID],TableauProduit[Total (kg) N7],0,0,1)*TableauRecette[[#This Row],[poids / unite]]</f>
        <v/>
      </c>
      <c r="S8" s="689">
        <f>_xlfn.XLOOKUP(TableauRecette[[#This Row],[ID]],TableauProduit[ID],TableauProduit[Total (kg) N8],0,0,1)*TableauRecette[[#This Row],[poids / unite]]</f>
        <v/>
      </c>
      <c r="T8" s="689">
        <f>_xlfn.XLOOKUP(TableauRecette[[#This Row],[ID]],TableauProduit[ID],TableauProduit[Total (kg) N9],0,0,1)*TableauRecette[[#This Row],[poids / unite]]</f>
        <v/>
      </c>
    </row>
    <row r="9">
      <c r="A9" s="56" t="inlineStr">
        <is>
          <t>Baharat arabe</t>
        </is>
      </c>
      <c r="B9" s="56">
        <f>TableauRecette[[#This Row],[Recette]]&amp;TableauRecette[[#This Row],[Conditionnement]]</f>
        <v/>
      </c>
      <c r="C9" s="56" t="inlineStr">
        <is>
          <t>Quatre Épices</t>
        </is>
      </c>
      <c r="D9" s="180" t="n">
        <v>3</v>
      </c>
      <c r="E9" s="56" t="inlineStr">
        <is>
          <t>Epice 100ml</t>
        </is>
      </c>
      <c r="F9" s="18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9" s="180">
        <f>IFERROR(_xlfn.XLOOKUP(TableauRecette[[#This Row],[Ingredients]],TableauIngredients[Ingredients],TableauIngredients[Prix d''achat (kg)],0)*TableauRecette[[#This Row],[poids / unite]],0)</f>
        <v/>
      </c>
      <c r="H9" s="180">
        <f>IFERROR(SUMIFS(TableauRecette[Proportion],TableauRecette[Recette],TableauRecette[[#This Row],[Recette]],TableauRecette[Conditionnement],TableauRecette[[#This Row],[Conditionnement]]),0)</f>
        <v/>
      </c>
      <c r="I9" s="180">
        <f>IFERROR(TableauRecette[[#This Row],[Prix d''achat / kg]],0)</f>
        <v/>
      </c>
      <c r="J9" s="180" t="inlineStr">
        <is>
          <t>Turquie</t>
        </is>
      </c>
      <c r="K9" s="687" t="inlineStr">
        <is>
          <t>SEC</t>
        </is>
      </c>
      <c r="L9" s="688">
        <f>_xlfn.XLOOKUP(TableauRecette[[#This Row],[ID]],TableauProduit[ID],TableauProduit[Total (kg) N1],0,0,1)*TableauRecette[[#This Row],[poids / unite]]</f>
        <v/>
      </c>
      <c r="M9" s="689">
        <f>_xlfn.XLOOKUP(TableauRecette[[#This Row],[ID]],TableauProduit[ID],TableauProduit[Total (kg) N2],0,0,1)*TableauRecette[[#This Row],[poids / unite]]</f>
        <v/>
      </c>
      <c r="N9" s="689">
        <f>_xlfn.XLOOKUP(TableauRecette[[#This Row],[ID]],TableauProduit[ID],TableauProduit[Total (kg) N3],0,0,1)*TableauRecette[[#This Row],[poids / unite]]</f>
        <v/>
      </c>
      <c r="O9" s="689">
        <f>_xlfn.XLOOKUP(TableauRecette[[#This Row],[ID]],TableauProduit[ID],TableauProduit[Total (kg) N4],0,0,1)*TableauRecette[[#This Row],[poids / unite]]</f>
        <v/>
      </c>
      <c r="P9" s="689">
        <f>_xlfn.XLOOKUP(TableauRecette[[#This Row],[ID]],TableauProduit[ID],TableauProduit[Total (kg) N5],0,0,1)*TableauRecette[[#This Row],[poids / unite]]</f>
        <v/>
      </c>
      <c r="Q9" s="689">
        <f>_xlfn.XLOOKUP(TableauRecette[[#This Row],[ID]],TableauProduit[ID],TableauProduit[Total (kg) N6],0,0,1)*TableauRecette[[#This Row],[poids / unite]]</f>
        <v/>
      </c>
      <c r="R9" s="689">
        <f>_xlfn.XLOOKUP(TableauRecette[[#This Row],[ID]],TableauProduit[ID],TableauProduit[Total (kg) N7],0,0,1)*TableauRecette[[#This Row],[poids / unite]]</f>
        <v/>
      </c>
      <c r="S9" s="689">
        <f>_xlfn.XLOOKUP(TableauRecette[[#This Row],[ID]],TableauProduit[ID],TableauProduit[Total (kg) N8],0,0,1)*TableauRecette[[#This Row],[poids / unite]]</f>
        <v/>
      </c>
      <c r="T9" s="689">
        <f>_xlfn.XLOOKUP(TableauRecette[[#This Row],[ID]],TableauProduit[ID],TableauProduit[Total (kg) N9],0,0,1)*TableauRecette[[#This Row],[poids / unite]]</f>
        <v/>
      </c>
    </row>
    <row r="10">
      <c r="A10" s="56" t="inlineStr">
        <is>
          <t>Baharat arabe</t>
        </is>
      </c>
      <c r="B10" s="56">
        <f>TableauRecette[[#This Row],[Recette]]&amp;TableauRecette[[#This Row],[Conditionnement]]</f>
        <v/>
      </c>
      <c r="C10" s="56" t="inlineStr">
        <is>
          <t>Clous De Girofle</t>
        </is>
      </c>
      <c r="D10" s="180" t="n">
        <v>1</v>
      </c>
      <c r="E10" s="56" t="inlineStr">
        <is>
          <t>Epice 100ml</t>
        </is>
      </c>
      <c r="F10" s="18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0" s="180">
        <f>IFERROR(_xlfn.XLOOKUP(TableauRecette[[#This Row],[Ingredients]],TableauIngredients[Ingredients],TableauIngredients[Prix d''achat (kg)],0)*TableauRecette[[#This Row],[poids / unite]],0)</f>
        <v/>
      </c>
      <c r="H10" s="180">
        <f>IFERROR(SUMIFS(TableauRecette[Proportion],TableauRecette[Recette],TableauRecette[[#This Row],[Recette]],TableauRecette[Conditionnement],TableauRecette[[#This Row],[Conditionnement]]),0)</f>
        <v/>
      </c>
      <c r="I10" s="180">
        <f>IFERROR(TableauRecette[[#This Row],[Prix d''achat / kg]],0)</f>
        <v/>
      </c>
      <c r="J10" s="180" t="inlineStr">
        <is>
          <t>Turquie</t>
        </is>
      </c>
      <c r="K10" s="687" t="inlineStr">
        <is>
          <t>SEC</t>
        </is>
      </c>
      <c r="L10" s="688">
        <f>_xlfn.XLOOKUP(TableauRecette[[#This Row],[ID]],TableauProduit[ID],TableauProduit[Total (kg) N1],0,0,1)*TableauRecette[[#This Row],[poids / unite]]</f>
        <v/>
      </c>
      <c r="M10" s="689">
        <f>_xlfn.XLOOKUP(TableauRecette[[#This Row],[ID]],TableauProduit[ID],TableauProduit[Total (kg) N2],0,0,1)*TableauRecette[[#This Row],[poids / unite]]</f>
        <v/>
      </c>
      <c r="N10" s="689">
        <f>_xlfn.XLOOKUP(TableauRecette[[#This Row],[ID]],TableauProduit[ID],TableauProduit[Total (kg) N3],0,0,1)*TableauRecette[[#This Row],[poids / unite]]</f>
        <v/>
      </c>
      <c r="O10" s="689">
        <f>_xlfn.XLOOKUP(TableauRecette[[#This Row],[ID]],TableauProduit[ID],TableauProduit[Total (kg) N4],0,0,1)*TableauRecette[[#This Row],[poids / unite]]</f>
        <v/>
      </c>
      <c r="P10" s="689">
        <f>_xlfn.XLOOKUP(TableauRecette[[#This Row],[ID]],TableauProduit[ID],TableauProduit[Total (kg) N5],0,0,1)*TableauRecette[[#This Row],[poids / unite]]</f>
        <v/>
      </c>
      <c r="Q10" s="689">
        <f>_xlfn.XLOOKUP(TableauRecette[[#This Row],[ID]],TableauProduit[ID],TableauProduit[Total (kg) N6],0,0,1)*TableauRecette[[#This Row],[poids / unite]]</f>
        <v/>
      </c>
      <c r="R10" s="689">
        <f>_xlfn.XLOOKUP(TableauRecette[[#This Row],[ID]],TableauProduit[ID],TableauProduit[Total (kg) N7],0,0,1)*TableauRecette[[#This Row],[poids / unite]]</f>
        <v/>
      </c>
      <c r="S10" s="689">
        <f>_xlfn.XLOOKUP(TableauRecette[[#This Row],[ID]],TableauProduit[ID],TableauProduit[Total (kg) N8],0,0,1)*TableauRecette[[#This Row],[poids / unite]]</f>
        <v/>
      </c>
      <c r="T10" s="689">
        <f>_xlfn.XLOOKUP(TableauRecette[[#This Row],[ID]],TableauProduit[ID],TableauProduit[Total (kg) N9],0,0,1)*TableauRecette[[#This Row],[poids / unite]]</f>
        <v/>
      </c>
    </row>
    <row r="11">
      <c r="A11" s="56" t="inlineStr">
        <is>
          <t>Baharat arabe</t>
        </is>
      </c>
      <c r="B11" s="56">
        <f>TableauRecette[[#This Row],[Recette]]&amp;TableauRecette[[#This Row],[Conditionnement]]</f>
        <v/>
      </c>
      <c r="C11" s="56" t="inlineStr">
        <is>
          <t>Coriandre Graine</t>
        </is>
      </c>
      <c r="D11" s="180" t="n">
        <v>1</v>
      </c>
      <c r="E11" s="56" t="inlineStr">
        <is>
          <t>Epice 100ml</t>
        </is>
      </c>
      <c r="F11" s="18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1" s="180">
        <f>IFERROR(_xlfn.XLOOKUP(TableauRecette[[#This Row],[Ingredients]],TableauIngredients[Ingredients],TableauIngredients[Prix d''achat (kg)],0)*TableauRecette[[#This Row],[poids / unite]],0)</f>
        <v/>
      </c>
      <c r="H11" s="180">
        <f>IFERROR(SUMIFS(TableauRecette[Proportion],TableauRecette[Recette],TableauRecette[[#This Row],[Recette]],TableauRecette[Conditionnement],TableauRecette[[#This Row],[Conditionnement]]),0)</f>
        <v/>
      </c>
      <c r="I11" s="180">
        <f>IFERROR(TableauRecette[[#This Row],[Prix d''achat / kg]],0)</f>
        <v/>
      </c>
      <c r="J11" s="180" t="inlineStr">
        <is>
          <t>Turquie</t>
        </is>
      </c>
      <c r="K11" s="687" t="inlineStr">
        <is>
          <t>SEC</t>
        </is>
      </c>
      <c r="L11" s="688">
        <f>_xlfn.XLOOKUP(TableauRecette[[#This Row],[ID]],TableauProduit[ID],TableauProduit[Total (kg) N1],0,0,1)*TableauRecette[[#This Row],[poids / unite]]</f>
        <v/>
      </c>
      <c r="M11" s="689">
        <f>_xlfn.XLOOKUP(TableauRecette[[#This Row],[ID]],TableauProduit[ID],TableauProduit[Total (kg) N2],0,0,1)*TableauRecette[[#This Row],[poids / unite]]</f>
        <v/>
      </c>
      <c r="N11" s="689">
        <f>_xlfn.XLOOKUP(TableauRecette[[#This Row],[ID]],TableauProduit[ID],TableauProduit[Total (kg) N3],0,0,1)*TableauRecette[[#This Row],[poids / unite]]</f>
        <v/>
      </c>
      <c r="O11" s="689">
        <f>_xlfn.XLOOKUP(TableauRecette[[#This Row],[ID]],TableauProduit[ID],TableauProduit[Total (kg) N4],0,0,1)*TableauRecette[[#This Row],[poids / unite]]</f>
        <v/>
      </c>
      <c r="P11" s="689">
        <f>_xlfn.XLOOKUP(TableauRecette[[#This Row],[ID]],TableauProduit[ID],TableauProduit[Total (kg) N5],0,0,1)*TableauRecette[[#This Row],[poids / unite]]</f>
        <v/>
      </c>
      <c r="Q11" s="689">
        <f>_xlfn.XLOOKUP(TableauRecette[[#This Row],[ID]],TableauProduit[ID],TableauProduit[Total (kg) N6],0,0,1)*TableauRecette[[#This Row],[poids / unite]]</f>
        <v/>
      </c>
      <c r="R11" s="689">
        <f>_xlfn.XLOOKUP(TableauRecette[[#This Row],[ID]],TableauProduit[ID],TableauProduit[Total (kg) N7],0,0,1)*TableauRecette[[#This Row],[poids / unite]]</f>
        <v/>
      </c>
      <c r="S11" s="689">
        <f>_xlfn.XLOOKUP(TableauRecette[[#This Row],[ID]],TableauProduit[ID],TableauProduit[Total (kg) N8],0,0,1)*TableauRecette[[#This Row],[poids / unite]]</f>
        <v/>
      </c>
      <c r="T11" s="689">
        <f>_xlfn.XLOOKUP(TableauRecette[[#This Row],[ID]],TableauProduit[ID],TableauProduit[Total (kg) N9],0,0,1)*TableauRecette[[#This Row],[poids / unite]]</f>
        <v/>
      </c>
    </row>
    <row r="12">
      <c r="A12" s="56" t="inlineStr">
        <is>
          <t>Baharat arabe</t>
        </is>
      </c>
      <c r="B12" s="56">
        <f>TableauRecette[[#This Row],[Recette]]&amp;TableauRecette[[#This Row],[Conditionnement]]</f>
        <v/>
      </c>
      <c r="C12" s="56" t="inlineStr">
        <is>
          <t>Cumin Moulu</t>
        </is>
      </c>
      <c r="D12" s="180" t="n">
        <v>1</v>
      </c>
      <c r="E12" s="56" t="inlineStr">
        <is>
          <t>Epice 100ml</t>
        </is>
      </c>
      <c r="F12" s="18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2" s="180">
        <f>IFERROR(_xlfn.XLOOKUP(TableauRecette[[#This Row],[Ingredients]],TableauIngredients[Ingredients],TableauIngredients[Prix d''achat (kg)],0)*TableauRecette[[#This Row],[poids / unite]],0)</f>
        <v/>
      </c>
      <c r="H12" s="180">
        <f>IFERROR(SUMIFS(TableauRecette[Proportion],TableauRecette[Recette],TableauRecette[[#This Row],[Recette]],TableauRecette[Conditionnement],TableauRecette[[#This Row],[Conditionnement]]),0)</f>
        <v/>
      </c>
      <c r="I12" s="180">
        <f>IFERROR(TableauRecette[[#This Row],[Prix d''achat / kg]],0)</f>
        <v/>
      </c>
      <c r="J12" s="180" t="inlineStr">
        <is>
          <t>Turquie</t>
        </is>
      </c>
      <c r="K12" s="687" t="inlineStr">
        <is>
          <t>SEC</t>
        </is>
      </c>
      <c r="L12" s="688">
        <f>_xlfn.XLOOKUP(TableauRecette[[#This Row],[ID]],TableauProduit[ID],TableauProduit[Total (kg) N1],0,0,1)*TableauRecette[[#This Row],[poids / unite]]</f>
        <v/>
      </c>
      <c r="M12" s="689">
        <f>_xlfn.XLOOKUP(TableauRecette[[#This Row],[ID]],TableauProduit[ID],TableauProduit[Total (kg) N2],0,0,1)*TableauRecette[[#This Row],[poids / unite]]</f>
        <v/>
      </c>
      <c r="N12" s="689">
        <f>_xlfn.XLOOKUP(TableauRecette[[#This Row],[ID]],TableauProduit[ID],TableauProduit[Total (kg) N3],0,0,1)*TableauRecette[[#This Row],[poids / unite]]</f>
        <v/>
      </c>
      <c r="O12" s="689">
        <f>_xlfn.XLOOKUP(TableauRecette[[#This Row],[ID]],TableauProduit[ID],TableauProduit[Total (kg) N4],0,0,1)*TableauRecette[[#This Row],[poids / unite]]</f>
        <v/>
      </c>
      <c r="P12" s="689">
        <f>_xlfn.XLOOKUP(TableauRecette[[#This Row],[ID]],TableauProduit[ID],TableauProduit[Total (kg) N5],0,0,1)*TableauRecette[[#This Row],[poids / unite]]</f>
        <v/>
      </c>
      <c r="Q12" s="689">
        <f>_xlfn.XLOOKUP(TableauRecette[[#This Row],[ID]],TableauProduit[ID],TableauProduit[Total (kg) N6],0,0,1)*TableauRecette[[#This Row],[poids / unite]]</f>
        <v/>
      </c>
      <c r="R12" s="689">
        <f>_xlfn.XLOOKUP(TableauRecette[[#This Row],[ID]],TableauProduit[ID],TableauProduit[Total (kg) N7],0,0,1)*TableauRecette[[#This Row],[poids / unite]]</f>
        <v/>
      </c>
      <c r="S12" s="689">
        <f>_xlfn.XLOOKUP(TableauRecette[[#This Row],[ID]],TableauProduit[ID],TableauProduit[Total (kg) N8],0,0,1)*TableauRecette[[#This Row],[poids / unite]]</f>
        <v/>
      </c>
      <c r="T12" s="689">
        <f>_xlfn.XLOOKUP(TableauRecette[[#This Row],[ID]],TableauProduit[ID],TableauProduit[Total (kg) N9],0,0,1)*TableauRecette[[#This Row],[poids / unite]]</f>
        <v/>
      </c>
    </row>
    <row r="13">
      <c r="A13" s="56" t="inlineStr">
        <is>
          <t>Baharat arabe</t>
        </is>
      </c>
      <c r="B13" s="56">
        <f>TableauRecette[[#This Row],[Recette]]&amp;TableauRecette[[#This Row],[Conditionnement]]</f>
        <v/>
      </c>
      <c r="C13" s="56" t="inlineStr">
        <is>
          <t>Cannelle Moulue</t>
        </is>
      </c>
      <c r="D13" s="180" t="n">
        <v>3</v>
      </c>
      <c r="E13" s="56" t="inlineStr">
        <is>
          <t>Epice 100ml</t>
        </is>
      </c>
      <c r="F13" s="18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3" s="180">
        <f>IFERROR(_xlfn.XLOOKUP(TableauRecette[[#This Row],[Ingredients]],TableauIngredients[Ingredients],TableauIngredients[Prix d''achat (kg)],0)*TableauRecette[[#This Row],[poids / unite]],0)</f>
        <v/>
      </c>
      <c r="H13" s="180">
        <f>IFERROR(SUMIFS(TableauRecette[Proportion],TableauRecette[Recette],TableauRecette[[#This Row],[Recette]],TableauRecette[Conditionnement],TableauRecette[[#This Row],[Conditionnement]]),0)</f>
        <v/>
      </c>
      <c r="I13" s="180">
        <f>IFERROR(TableauRecette[[#This Row],[Prix d''achat / kg]],0)</f>
        <v/>
      </c>
      <c r="J13" s="180" t="inlineStr">
        <is>
          <t>Turquie</t>
        </is>
      </c>
      <c r="K13" s="687" t="inlineStr">
        <is>
          <t>SEC</t>
        </is>
      </c>
      <c r="L13" s="688">
        <f>_xlfn.XLOOKUP(TableauRecette[[#This Row],[ID]],TableauProduit[ID],TableauProduit[Total (kg) N1],0,0,1)*TableauRecette[[#This Row],[poids / unite]]</f>
        <v/>
      </c>
      <c r="M13" s="689">
        <f>_xlfn.XLOOKUP(TableauRecette[[#This Row],[ID]],TableauProduit[ID],TableauProduit[Total (kg) N2],0,0,1)*TableauRecette[[#This Row],[poids / unite]]</f>
        <v/>
      </c>
      <c r="N13" s="689">
        <f>_xlfn.XLOOKUP(TableauRecette[[#This Row],[ID]],TableauProduit[ID],TableauProduit[Total (kg) N3],0,0,1)*TableauRecette[[#This Row],[poids / unite]]</f>
        <v/>
      </c>
      <c r="O13" s="689">
        <f>_xlfn.XLOOKUP(TableauRecette[[#This Row],[ID]],TableauProduit[ID],TableauProduit[Total (kg) N4],0,0,1)*TableauRecette[[#This Row],[poids / unite]]</f>
        <v/>
      </c>
      <c r="P13" s="689">
        <f>_xlfn.XLOOKUP(TableauRecette[[#This Row],[ID]],TableauProduit[ID],TableauProduit[Total (kg) N5],0,0,1)*TableauRecette[[#This Row],[poids / unite]]</f>
        <v/>
      </c>
      <c r="Q13" s="689">
        <f>_xlfn.XLOOKUP(TableauRecette[[#This Row],[ID]],TableauProduit[ID],TableauProduit[Total (kg) N6],0,0,1)*TableauRecette[[#This Row],[poids / unite]]</f>
        <v/>
      </c>
      <c r="R13" s="689">
        <f>_xlfn.XLOOKUP(TableauRecette[[#This Row],[ID]],TableauProduit[ID],TableauProduit[Total (kg) N7],0,0,1)*TableauRecette[[#This Row],[poids / unite]]</f>
        <v/>
      </c>
      <c r="S13" s="689">
        <f>_xlfn.XLOOKUP(TableauRecette[[#This Row],[ID]],TableauProduit[ID],TableauProduit[Total (kg) N8],0,0,1)*TableauRecette[[#This Row],[poids / unite]]</f>
        <v/>
      </c>
      <c r="T13" s="689">
        <f>_xlfn.XLOOKUP(TableauRecette[[#This Row],[ID]],TableauProduit[ID],TableauProduit[Total (kg) N9],0,0,1)*TableauRecette[[#This Row],[poids / unite]]</f>
        <v/>
      </c>
    </row>
    <row r="14">
      <c r="A14" s="56" t="inlineStr">
        <is>
          <t>Baharat arabe</t>
        </is>
      </c>
      <c r="B14" s="56">
        <f>TableauRecette[[#This Row],[Recette]]&amp;TableauRecette[[#This Row],[Conditionnement]]</f>
        <v/>
      </c>
      <c r="C14" s="56" t="inlineStr">
        <is>
          <t>Muscade</t>
        </is>
      </c>
      <c r="D14" s="180" t="n">
        <v>1</v>
      </c>
      <c r="E14" s="56" t="inlineStr">
        <is>
          <t>Epice 100ml</t>
        </is>
      </c>
      <c r="F14" s="18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4" s="180">
        <f>IFERROR(_xlfn.XLOOKUP(TableauRecette[[#This Row],[Ingredients]],TableauIngredients[Ingredients],TableauIngredients[Prix d''achat (kg)],0)*TableauRecette[[#This Row],[poids / unite]],0)</f>
        <v/>
      </c>
      <c r="H14" s="180">
        <f>IFERROR(SUMIFS(TableauRecette[Proportion],TableauRecette[Recette],TableauRecette[[#This Row],[Recette]],TableauRecette[Conditionnement],TableauRecette[[#This Row],[Conditionnement]]),0)</f>
        <v/>
      </c>
      <c r="I14" s="180">
        <f>IFERROR(TableauRecette[[#This Row],[Prix d''achat / kg]],0)</f>
        <v/>
      </c>
      <c r="J14" s="180" t="inlineStr">
        <is>
          <t>Turquie</t>
        </is>
      </c>
      <c r="K14" s="687" t="inlineStr">
        <is>
          <t>SEC</t>
        </is>
      </c>
      <c r="L14" s="688">
        <f>_xlfn.XLOOKUP(TableauRecette[[#This Row],[ID]],TableauProduit[ID],TableauProduit[Total (kg) N1],0,0,1)*TableauRecette[[#This Row],[poids / unite]]</f>
        <v/>
      </c>
      <c r="M14" s="689">
        <f>_xlfn.XLOOKUP(TableauRecette[[#This Row],[ID]],TableauProduit[ID],TableauProduit[Total (kg) N2],0,0,1)*TableauRecette[[#This Row],[poids / unite]]</f>
        <v/>
      </c>
      <c r="N14" s="689">
        <f>_xlfn.XLOOKUP(TableauRecette[[#This Row],[ID]],TableauProduit[ID],TableauProduit[Total (kg) N3],0,0,1)*TableauRecette[[#This Row],[poids / unite]]</f>
        <v/>
      </c>
      <c r="O14" s="689">
        <f>_xlfn.XLOOKUP(TableauRecette[[#This Row],[ID]],TableauProduit[ID],TableauProduit[Total (kg) N4],0,0,1)*TableauRecette[[#This Row],[poids / unite]]</f>
        <v/>
      </c>
      <c r="P14" s="689">
        <f>_xlfn.XLOOKUP(TableauRecette[[#This Row],[ID]],TableauProduit[ID],TableauProduit[Total (kg) N5],0,0,1)*TableauRecette[[#This Row],[poids / unite]]</f>
        <v/>
      </c>
      <c r="Q14" s="689">
        <f>_xlfn.XLOOKUP(TableauRecette[[#This Row],[ID]],TableauProduit[ID],TableauProduit[Total (kg) N6],0,0,1)*TableauRecette[[#This Row],[poids / unite]]</f>
        <v/>
      </c>
      <c r="R14" s="689">
        <f>_xlfn.XLOOKUP(TableauRecette[[#This Row],[ID]],TableauProduit[ID],TableauProduit[Total (kg) N7],0,0,1)*TableauRecette[[#This Row],[poids / unite]]</f>
        <v/>
      </c>
      <c r="S14" s="689">
        <f>_xlfn.XLOOKUP(TableauRecette[[#This Row],[ID]],TableauProduit[ID],TableauProduit[Total (kg) N8],0,0,1)*TableauRecette[[#This Row],[poids / unite]]</f>
        <v/>
      </c>
      <c r="T14" s="689">
        <f>_xlfn.XLOOKUP(TableauRecette[[#This Row],[ID]],TableauProduit[ID],TableauProduit[Total (kg) N9],0,0,1)*TableauRecette[[#This Row],[poids / unite]]</f>
        <v/>
      </c>
    </row>
    <row r="15">
      <c r="A15" s="57" t="inlineStr">
        <is>
          <t>Baharat turc</t>
        </is>
      </c>
      <c r="B15" s="57">
        <f>TableauRecette[[#This Row],[Recette]]&amp;TableauRecette[[#This Row],[Conditionnement]]</f>
        <v/>
      </c>
      <c r="C15" s="57" t="inlineStr">
        <is>
          <t>Poivre Noir</t>
        </is>
      </c>
      <c r="D15" s="181" t="n">
        <v>2</v>
      </c>
      <c r="E15" s="57" t="inlineStr">
        <is>
          <t>Epice 100ml</t>
        </is>
      </c>
      <c r="F15" s="18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5" s="181">
        <f>IFERROR(_xlfn.XLOOKUP(TableauRecette[[#This Row],[Ingredients]],TableauIngredients[Ingredients],TableauIngredients[Prix d''achat (kg)],0)*TableauRecette[[#This Row],[poids / unite]],0)</f>
        <v/>
      </c>
      <c r="H15" s="181">
        <f>IFERROR(SUMIFS(TableauRecette[Proportion],TableauRecette[Recette],TableauRecette[[#This Row],[Recette]],TableauRecette[Conditionnement],TableauRecette[[#This Row],[Conditionnement]]),0)</f>
        <v/>
      </c>
      <c r="I15" s="181">
        <f>IFERROR(TableauRecette[[#This Row],[Prix d''achat / kg]],0)</f>
        <v/>
      </c>
      <c r="J15" s="181" t="inlineStr">
        <is>
          <t>Liban</t>
        </is>
      </c>
      <c r="K15" s="690" t="inlineStr">
        <is>
          <t>en huile</t>
        </is>
      </c>
      <c r="L15" s="691">
        <f>_xlfn.XLOOKUP(TableauRecette[[#This Row],[ID]],TableauProduit[ID],TableauProduit[Total (kg) N1],0,0,1)*TableauRecette[[#This Row],[poids / unite]]</f>
        <v/>
      </c>
      <c r="M15" s="692">
        <f>_xlfn.XLOOKUP(TableauRecette[[#This Row],[ID]],TableauProduit[ID],TableauProduit[Total (kg) N2],0,0,1)*TableauRecette[[#This Row],[poids / unite]]</f>
        <v/>
      </c>
      <c r="N15" s="692">
        <f>_xlfn.XLOOKUP(TableauRecette[[#This Row],[ID]],TableauProduit[ID],TableauProduit[Total (kg) N3],0,0,1)*TableauRecette[[#This Row],[poids / unite]]</f>
        <v/>
      </c>
      <c r="O15" s="692">
        <f>_xlfn.XLOOKUP(TableauRecette[[#This Row],[ID]],TableauProduit[ID],TableauProduit[Total (kg) N4],0,0,1)*TableauRecette[[#This Row],[poids / unite]]</f>
        <v/>
      </c>
      <c r="P15" s="692">
        <f>_xlfn.XLOOKUP(TableauRecette[[#This Row],[ID]],TableauProduit[ID],TableauProduit[Total (kg) N5],0,0,1)*TableauRecette[[#This Row],[poids / unite]]</f>
        <v/>
      </c>
      <c r="Q15" s="692">
        <f>_xlfn.XLOOKUP(TableauRecette[[#This Row],[ID]],TableauProduit[ID],TableauProduit[Total (kg) N6],0,0,1)*TableauRecette[[#This Row],[poids / unite]]</f>
        <v/>
      </c>
      <c r="R15" s="692">
        <f>_xlfn.XLOOKUP(TableauRecette[[#This Row],[ID]],TableauProduit[ID],TableauProduit[Total (kg) N7],0,0,1)*TableauRecette[[#This Row],[poids / unite]]</f>
        <v/>
      </c>
      <c r="S15" s="692">
        <f>_xlfn.XLOOKUP(TableauRecette[[#This Row],[ID]],TableauProduit[ID],TableauProduit[Total (kg) N8],0,0,1)*TableauRecette[[#This Row],[poids / unite]]</f>
        <v/>
      </c>
      <c r="T15" s="692">
        <f>_xlfn.XLOOKUP(TableauRecette[[#This Row],[ID]],TableauProduit[ID],TableauProduit[Total (kg) N9],0,0,1)*TableauRecette[[#This Row],[poids / unite]]</f>
        <v/>
      </c>
    </row>
    <row r="16">
      <c r="A16" s="57" t="inlineStr">
        <is>
          <t>Baharat turc</t>
        </is>
      </c>
      <c r="B16" s="57">
        <f>TableauRecette[[#This Row],[Recette]]&amp;TableauRecette[[#This Row],[Conditionnement]]</f>
        <v/>
      </c>
      <c r="C16" s="57" t="inlineStr">
        <is>
          <t>Cumin Moulu</t>
        </is>
      </c>
      <c r="D16" s="181" t="n">
        <v>2</v>
      </c>
      <c r="E16" s="57" t="inlineStr">
        <is>
          <t>Epice 100ml</t>
        </is>
      </c>
      <c r="F16" s="18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6" s="181">
        <f>IFERROR(_xlfn.XLOOKUP(TableauRecette[[#This Row],[Ingredients]],TableauIngredients[Ingredients],TableauIngredients[Prix d''achat (kg)],0)*TableauRecette[[#This Row],[poids / unite]],0)</f>
        <v/>
      </c>
      <c r="H16" s="181">
        <f>IFERROR(SUMIFS(TableauRecette[Proportion],TableauRecette[Recette],TableauRecette[[#This Row],[Recette]],TableauRecette[Conditionnement],TableauRecette[[#This Row],[Conditionnement]]),0)</f>
        <v/>
      </c>
      <c r="I16" s="181">
        <f>IFERROR(TableauRecette[[#This Row],[Prix d''achat / kg]],0)</f>
        <v/>
      </c>
      <c r="J16" s="181" t="inlineStr">
        <is>
          <t>Liban</t>
        </is>
      </c>
      <c r="K16" s="690" t="inlineStr">
        <is>
          <t>en huile</t>
        </is>
      </c>
      <c r="L16" s="691">
        <f>_xlfn.XLOOKUP(TableauRecette[[#This Row],[ID]],TableauProduit[ID],TableauProduit[Total (kg) N1],0,0,1)*TableauRecette[[#This Row],[poids / unite]]</f>
        <v/>
      </c>
      <c r="M16" s="692">
        <f>_xlfn.XLOOKUP(TableauRecette[[#This Row],[ID]],TableauProduit[ID],TableauProduit[Total (kg) N2],0,0,1)*TableauRecette[[#This Row],[poids / unite]]</f>
        <v/>
      </c>
      <c r="N16" s="692">
        <f>_xlfn.XLOOKUP(TableauRecette[[#This Row],[ID]],TableauProduit[ID],TableauProduit[Total (kg) N3],0,0,1)*TableauRecette[[#This Row],[poids / unite]]</f>
        <v/>
      </c>
      <c r="O16" s="692">
        <f>_xlfn.XLOOKUP(TableauRecette[[#This Row],[ID]],TableauProduit[ID],TableauProduit[Total (kg) N4],0,0,1)*TableauRecette[[#This Row],[poids / unite]]</f>
        <v/>
      </c>
      <c r="P16" s="692">
        <f>_xlfn.XLOOKUP(TableauRecette[[#This Row],[ID]],TableauProduit[ID],TableauProduit[Total (kg) N5],0,0,1)*TableauRecette[[#This Row],[poids / unite]]</f>
        <v/>
      </c>
      <c r="Q16" s="692">
        <f>_xlfn.XLOOKUP(TableauRecette[[#This Row],[ID]],TableauProduit[ID],TableauProduit[Total (kg) N6],0,0,1)*TableauRecette[[#This Row],[poids / unite]]</f>
        <v/>
      </c>
      <c r="R16" s="692">
        <f>_xlfn.XLOOKUP(TableauRecette[[#This Row],[ID]],TableauProduit[ID],TableauProduit[Total (kg) N7],0,0,1)*TableauRecette[[#This Row],[poids / unite]]</f>
        <v/>
      </c>
      <c r="S16" s="692">
        <f>_xlfn.XLOOKUP(TableauRecette[[#This Row],[ID]],TableauProduit[ID],TableauProduit[Total (kg) N8],0,0,1)*TableauRecette[[#This Row],[poids / unite]]</f>
        <v/>
      </c>
      <c r="T16" s="692">
        <f>_xlfn.XLOOKUP(TableauRecette[[#This Row],[ID]],TableauProduit[ID],TableauProduit[Total (kg) N9],0,0,1)*TableauRecette[[#This Row],[poids / unite]]</f>
        <v/>
      </c>
    </row>
    <row r="17">
      <c r="A17" s="57" t="inlineStr">
        <is>
          <t>Baharat turc</t>
        </is>
      </c>
      <c r="B17" s="57">
        <f>TableauRecette[[#This Row],[Recette]]&amp;TableauRecette[[#This Row],[Conditionnement]]</f>
        <v/>
      </c>
      <c r="C17" s="57" t="inlineStr">
        <is>
          <t>Coriandre Graine</t>
        </is>
      </c>
      <c r="D17" s="181" t="n">
        <v>2</v>
      </c>
      <c r="E17" s="57" t="inlineStr">
        <is>
          <t>Epice 100ml</t>
        </is>
      </c>
      <c r="F17" s="18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7" s="181">
        <f>IFERROR(_xlfn.XLOOKUP(TableauRecette[[#This Row],[Ingredients]],TableauIngredients[Ingredients],TableauIngredients[Prix d''achat (kg)],0)*TableauRecette[[#This Row],[poids / unite]],0)</f>
        <v/>
      </c>
      <c r="H17" s="181">
        <f>IFERROR(SUMIFS(TableauRecette[Proportion],TableauRecette[Recette],TableauRecette[[#This Row],[Recette]],TableauRecette[Conditionnement],TableauRecette[[#This Row],[Conditionnement]]),0)</f>
        <v/>
      </c>
      <c r="I17" s="181">
        <f>IFERROR(TableauRecette[[#This Row],[Prix d''achat / kg]],0)</f>
        <v/>
      </c>
      <c r="J17" s="181" t="inlineStr">
        <is>
          <t>Liban</t>
        </is>
      </c>
      <c r="K17" s="690" t="inlineStr">
        <is>
          <t>en huile</t>
        </is>
      </c>
      <c r="L17" s="691">
        <f>_xlfn.XLOOKUP(TableauRecette[[#This Row],[ID]],TableauProduit[ID],TableauProduit[Total (kg) N1],0,0,1)*TableauRecette[[#This Row],[poids / unite]]</f>
        <v/>
      </c>
      <c r="M17" s="692">
        <f>_xlfn.XLOOKUP(TableauRecette[[#This Row],[ID]],TableauProduit[ID],TableauProduit[Total (kg) N2],0,0,1)*TableauRecette[[#This Row],[poids / unite]]</f>
        <v/>
      </c>
      <c r="N17" s="692">
        <f>_xlfn.XLOOKUP(TableauRecette[[#This Row],[ID]],TableauProduit[ID],TableauProduit[Total (kg) N3],0,0,1)*TableauRecette[[#This Row],[poids / unite]]</f>
        <v/>
      </c>
      <c r="O17" s="692">
        <f>_xlfn.XLOOKUP(TableauRecette[[#This Row],[ID]],TableauProduit[ID],TableauProduit[Total (kg) N4],0,0,1)*TableauRecette[[#This Row],[poids / unite]]</f>
        <v/>
      </c>
      <c r="P17" s="692">
        <f>_xlfn.XLOOKUP(TableauRecette[[#This Row],[ID]],TableauProduit[ID],TableauProduit[Total (kg) N5],0,0,1)*TableauRecette[[#This Row],[poids / unite]]</f>
        <v/>
      </c>
      <c r="Q17" s="692">
        <f>_xlfn.XLOOKUP(TableauRecette[[#This Row],[ID]],TableauProduit[ID],TableauProduit[Total (kg) N6],0,0,1)*TableauRecette[[#This Row],[poids / unite]]</f>
        <v/>
      </c>
      <c r="R17" s="692">
        <f>_xlfn.XLOOKUP(TableauRecette[[#This Row],[ID]],TableauProduit[ID],TableauProduit[Total (kg) N7],0,0,1)*TableauRecette[[#This Row],[poids / unite]]</f>
        <v/>
      </c>
      <c r="S17" s="692">
        <f>_xlfn.XLOOKUP(TableauRecette[[#This Row],[ID]],TableauProduit[ID],TableauProduit[Total (kg) N8],0,0,1)*TableauRecette[[#This Row],[poids / unite]]</f>
        <v/>
      </c>
      <c r="T17" s="692">
        <f>_xlfn.XLOOKUP(TableauRecette[[#This Row],[ID]],TableauProduit[ID],TableauProduit[Total (kg) N9],0,0,1)*TableauRecette[[#This Row],[poids / unite]]</f>
        <v/>
      </c>
    </row>
    <row r="18">
      <c r="A18" s="57" t="inlineStr">
        <is>
          <t>Baharat turc</t>
        </is>
      </c>
      <c r="B18" s="57">
        <f>TableauRecette[[#This Row],[Recette]]&amp;TableauRecette[[#This Row],[Conditionnement]]</f>
        <v/>
      </c>
      <c r="C18" s="57" t="inlineStr">
        <is>
          <t>Clous De Girofle</t>
        </is>
      </c>
      <c r="D18" s="181" t="n">
        <v>1</v>
      </c>
      <c r="E18" s="57" t="inlineStr">
        <is>
          <t>Epice 100ml</t>
        </is>
      </c>
      <c r="F18" s="18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8" s="181">
        <f>IFERROR(_xlfn.XLOOKUP(TableauRecette[[#This Row],[Ingredients]],TableauIngredients[Ingredients],TableauIngredients[Prix d''achat (kg)],0)*TableauRecette[[#This Row],[poids / unite]],0)</f>
        <v/>
      </c>
      <c r="H18" s="181">
        <f>IFERROR(SUMIFS(TableauRecette[Proportion],TableauRecette[Recette],TableauRecette[[#This Row],[Recette]],TableauRecette[Conditionnement],TableauRecette[[#This Row],[Conditionnement]]),0)</f>
        <v/>
      </c>
      <c r="I18" s="181">
        <f>IFERROR(TableauRecette[[#This Row],[Prix d''achat / kg]],0)</f>
        <v/>
      </c>
      <c r="J18" s="181" t="inlineStr">
        <is>
          <t>Liban</t>
        </is>
      </c>
      <c r="K18" s="690" t="inlineStr">
        <is>
          <t>en huile</t>
        </is>
      </c>
      <c r="L18" s="691">
        <f>_xlfn.XLOOKUP(TableauRecette[[#This Row],[ID]],TableauProduit[ID],TableauProduit[Total (kg) N1],0,0,1)*TableauRecette[[#This Row],[poids / unite]]</f>
        <v/>
      </c>
      <c r="M18" s="692">
        <f>_xlfn.XLOOKUP(TableauRecette[[#This Row],[ID]],TableauProduit[ID],TableauProduit[Total (kg) N2],0,0,1)*TableauRecette[[#This Row],[poids / unite]]</f>
        <v/>
      </c>
      <c r="N18" s="692">
        <f>_xlfn.XLOOKUP(TableauRecette[[#This Row],[ID]],TableauProduit[ID],TableauProduit[Total (kg) N3],0,0,1)*TableauRecette[[#This Row],[poids / unite]]</f>
        <v/>
      </c>
      <c r="O18" s="692">
        <f>_xlfn.XLOOKUP(TableauRecette[[#This Row],[ID]],TableauProduit[ID],TableauProduit[Total (kg) N4],0,0,1)*TableauRecette[[#This Row],[poids / unite]]</f>
        <v/>
      </c>
      <c r="P18" s="692">
        <f>_xlfn.XLOOKUP(TableauRecette[[#This Row],[ID]],TableauProduit[ID],TableauProduit[Total (kg) N5],0,0,1)*TableauRecette[[#This Row],[poids / unite]]</f>
        <v/>
      </c>
      <c r="Q18" s="692">
        <f>_xlfn.XLOOKUP(TableauRecette[[#This Row],[ID]],TableauProduit[ID],TableauProduit[Total (kg) N6],0,0,1)*TableauRecette[[#This Row],[poids / unite]]</f>
        <v/>
      </c>
      <c r="R18" s="692">
        <f>_xlfn.XLOOKUP(TableauRecette[[#This Row],[ID]],TableauProduit[ID],TableauProduit[Total (kg) N7],0,0,1)*TableauRecette[[#This Row],[poids / unite]]</f>
        <v/>
      </c>
      <c r="S18" s="692">
        <f>_xlfn.XLOOKUP(TableauRecette[[#This Row],[ID]],TableauProduit[ID],TableauProduit[Total (kg) N8],0,0,1)*TableauRecette[[#This Row],[poids / unite]]</f>
        <v/>
      </c>
      <c r="T18" s="692">
        <f>_xlfn.XLOOKUP(TableauRecette[[#This Row],[ID]],TableauProduit[ID],TableauProduit[Total (kg) N9],0,0,1)*TableauRecette[[#This Row],[poids / unite]]</f>
        <v/>
      </c>
    </row>
    <row r="19">
      <c r="A19" s="57" t="inlineStr">
        <is>
          <t>Baharat turc</t>
        </is>
      </c>
      <c r="B19" s="57">
        <f>TableauRecette[[#This Row],[Recette]]&amp;TableauRecette[[#This Row],[Conditionnement]]</f>
        <v/>
      </c>
      <c r="C19" s="57" t="inlineStr">
        <is>
          <t>Graine De Cardamone</t>
        </is>
      </c>
      <c r="D19" s="181" t="n">
        <v>0.5</v>
      </c>
      <c r="E19" s="57" t="inlineStr">
        <is>
          <t>Epice 100ml</t>
        </is>
      </c>
      <c r="F19" s="18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9" s="181">
        <f>IFERROR(_xlfn.XLOOKUP(TableauRecette[[#This Row],[Ingredients]],TableauIngredients[Ingredients],TableauIngredients[Prix d''achat (kg)],0)*TableauRecette[[#This Row],[poids / unite]],0)</f>
        <v/>
      </c>
      <c r="H19" s="181">
        <f>IFERROR(SUMIFS(TableauRecette[Proportion],TableauRecette[Recette],TableauRecette[[#This Row],[Recette]],TableauRecette[Conditionnement],TableauRecette[[#This Row],[Conditionnement]]),0)</f>
        <v/>
      </c>
      <c r="I19" s="181">
        <f>IFERROR(TableauRecette[[#This Row],[Prix d''achat / kg]],0)</f>
        <v/>
      </c>
      <c r="J19" s="181" t="inlineStr">
        <is>
          <t>Liban</t>
        </is>
      </c>
      <c r="K19" s="690" t="inlineStr">
        <is>
          <t>en huile</t>
        </is>
      </c>
      <c r="L19" s="691">
        <f>_xlfn.XLOOKUP(TableauRecette[[#This Row],[ID]],TableauProduit[ID],TableauProduit[Total (kg) N1],0,0,1)*TableauRecette[[#This Row],[poids / unite]]</f>
        <v/>
      </c>
      <c r="M19" s="692">
        <f>_xlfn.XLOOKUP(TableauRecette[[#This Row],[ID]],TableauProduit[ID],TableauProduit[Total (kg) N2],0,0,1)*TableauRecette[[#This Row],[poids / unite]]</f>
        <v/>
      </c>
      <c r="N19" s="692">
        <f>_xlfn.XLOOKUP(TableauRecette[[#This Row],[ID]],TableauProduit[ID],TableauProduit[Total (kg) N3],0,0,1)*TableauRecette[[#This Row],[poids / unite]]</f>
        <v/>
      </c>
      <c r="O19" s="692">
        <f>_xlfn.XLOOKUP(TableauRecette[[#This Row],[ID]],TableauProduit[ID],TableauProduit[Total (kg) N4],0,0,1)*TableauRecette[[#This Row],[poids / unite]]</f>
        <v/>
      </c>
      <c r="P19" s="692">
        <f>_xlfn.XLOOKUP(TableauRecette[[#This Row],[ID]],TableauProduit[ID],TableauProduit[Total (kg) N5],0,0,1)*TableauRecette[[#This Row],[poids / unite]]</f>
        <v/>
      </c>
      <c r="Q19" s="692">
        <f>_xlfn.XLOOKUP(TableauRecette[[#This Row],[ID]],TableauProduit[ID],TableauProduit[Total (kg) N6],0,0,1)*TableauRecette[[#This Row],[poids / unite]]</f>
        <v/>
      </c>
      <c r="R19" s="692">
        <f>_xlfn.XLOOKUP(TableauRecette[[#This Row],[ID]],TableauProduit[ID],TableauProduit[Total (kg) N7],0,0,1)*TableauRecette[[#This Row],[poids / unite]]</f>
        <v/>
      </c>
      <c r="S19" s="692">
        <f>_xlfn.XLOOKUP(TableauRecette[[#This Row],[ID]],TableauProduit[ID],TableauProduit[Total (kg) N8],0,0,1)*TableauRecette[[#This Row],[poids / unite]]</f>
        <v/>
      </c>
      <c r="T19" s="692">
        <f>_xlfn.XLOOKUP(TableauRecette[[#This Row],[ID]],TableauProduit[ID],TableauProduit[Total (kg) N9],0,0,1)*TableauRecette[[#This Row],[poids / unite]]</f>
        <v/>
      </c>
    </row>
    <row r="20">
      <c r="A20" s="57" t="inlineStr">
        <is>
          <t>Baharat turc</t>
        </is>
      </c>
      <c r="B20" s="57">
        <f>TableauRecette[[#This Row],[Recette]]&amp;TableauRecette[[#This Row],[Conditionnement]]</f>
        <v/>
      </c>
      <c r="C20" s="57" t="inlineStr">
        <is>
          <t>Muscade</t>
        </is>
      </c>
      <c r="D20" s="181" t="n">
        <v>1</v>
      </c>
      <c r="E20" s="57" t="inlineStr">
        <is>
          <t>Epice 100ml</t>
        </is>
      </c>
      <c r="F20" s="18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0" s="181">
        <f>IFERROR(_xlfn.XLOOKUP(TableauRecette[[#This Row],[Ingredients]],TableauIngredients[Ingredients],TableauIngredients[Prix d''achat (kg)],0)*TableauRecette[[#This Row],[poids / unite]],0)</f>
        <v/>
      </c>
      <c r="H20" s="181">
        <f>IFERROR(SUMIFS(TableauRecette[Proportion],TableauRecette[Recette],TableauRecette[[#This Row],[Recette]],TableauRecette[Conditionnement],TableauRecette[[#This Row],[Conditionnement]]),0)</f>
        <v/>
      </c>
      <c r="I20" s="181">
        <f>IFERROR(TableauRecette[[#This Row],[Prix d''achat / kg]],0)</f>
        <v/>
      </c>
      <c r="J20" s="181" t="inlineStr">
        <is>
          <t>Liban</t>
        </is>
      </c>
      <c r="K20" s="690" t="inlineStr">
        <is>
          <t>en huile</t>
        </is>
      </c>
      <c r="L20" s="691">
        <f>_xlfn.XLOOKUP(TableauRecette[[#This Row],[ID]],TableauProduit[ID],TableauProduit[Total (kg) N1],0,0,1)*TableauRecette[[#This Row],[poids / unite]]</f>
        <v/>
      </c>
      <c r="M20" s="692">
        <f>_xlfn.XLOOKUP(TableauRecette[[#This Row],[ID]],TableauProduit[ID],TableauProduit[Total (kg) N2],0,0,1)*TableauRecette[[#This Row],[poids / unite]]</f>
        <v/>
      </c>
      <c r="N20" s="692">
        <f>_xlfn.XLOOKUP(TableauRecette[[#This Row],[ID]],TableauProduit[ID],TableauProduit[Total (kg) N3],0,0,1)*TableauRecette[[#This Row],[poids / unite]]</f>
        <v/>
      </c>
      <c r="O20" s="692">
        <f>_xlfn.XLOOKUP(TableauRecette[[#This Row],[ID]],TableauProduit[ID],TableauProduit[Total (kg) N4],0,0,1)*TableauRecette[[#This Row],[poids / unite]]</f>
        <v/>
      </c>
      <c r="P20" s="692">
        <f>_xlfn.XLOOKUP(TableauRecette[[#This Row],[ID]],TableauProduit[ID],TableauProduit[Total (kg) N5],0,0,1)*TableauRecette[[#This Row],[poids / unite]]</f>
        <v/>
      </c>
      <c r="Q20" s="692">
        <f>_xlfn.XLOOKUP(TableauRecette[[#This Row],[ID]],TableauProduit[ID],TableauProduit[Total (kg) N6],0,0,1)*TableauRecette[[#This Row],[poids / unite]]</f>
        <v/>
      </c>
      <c r="R20" s="692">
        <f>_xlfn.XLOOKUP(TableauRecette[[#This Row],[ID]],TableauProduit[ID],TableauProduit[Total (kg) N7],0,0,1)*TableauRecette[[#This Row],[poids / unite]]</f>
        <v/>
      </c>
      <c r="S20" s="692">
        <f>_xlfn.XLOOKUP(TableauRecette[[#This Row],[ID]],TableauProduit[ID],TableauProduit[Total (kg) N8],0,0,1)*TableauRecette[[#This Row],[poids / unite]]</f>
        <v/>
      </c>
      <c r="T20" s="692">
        <f>_xlfn.XLOOKUP(TableauRecette[[#This Row],[ID]],TableauProduit[ID],TableauProduit[Total (kg) N9],0,0,1)*TableauRecette[[#This Row],[poids / unite]]</f>
        <v/>
      </c>
    </row>
    <row r="21">
      <c r="A21" s="57" t="inlineStr">
        <is>
          <t>Baharat turc</t>
        </is>
      </c>
      <c r="B21" s="57">
        <f>TableauRecette[[#This Row],[Recette]]&amp;TableauRecette[[#This Row],[Conditionnement]]</f>
        <v/>
      </c>
      <c r="C21" s="57" t="inlineStr">
        <is>
          <t>Cannelle</t>
        </is>
      </c>
      <c r="D21" s="181" t="n">
        <v>1</v>
      </c>
      <c r="E21" s="57" t="inlineStr">
        <is>
          <t>Epice 100ml</t>
        </is>
      </c>
      <c r="F21" s="18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1" s="181">
        <f>IFERROR(_xlfn.XLOOKUP(TableauRecette[[#This Row],[Ingredients]],TableauIngredients[Ingredients],TableauIngredients[Prix d''achat (kg)],0)*TableauRecette[[#This Row],[poids / unite]],0)</f>
        <v/>
      </c>
      <c r="H21" s="181">
        <f>IFERROR(SUMIFS(TableauRecette[Proportion],TableauRecette[Recette],TableauRecette[[#This Row],[Recette]],TableauRecette[Conditionnement],TableauRecette[[#This Row],[Conditionnement]]),0)</f>
        <v/>
      </c>
      <c r="I21" s="181">
        <f>IFERROR(TableauRecette[[#This Row],[Prix d''achat / kg]],0)</f>
        <v/>
      </c>
      <c r="J21" s="181" t="inlineStr">
        <is>
          <t>Liban</t>
        </is>
      </c>
      <c r="K21" s="690" t="inlineStr">
        <is>
          <t>en huile</t>
        </is>
      </c>
      <c r="L21" s="691">
        <f>_xlfn.XLOOKUP(TableauRecette[[#This Row],[ID]],TableauProduit[ID],TableauProduit[Total (kg) N1],0,0,1)*TableauRecette[[#This Row],[poids / unite]]</f>
        <v/>
      </c>
      <c r="M21" s="692">
        <f>_xlfn.XLOOKUP(TableauRecette[[#This Row],[ID]],TableauProduit[ID],TableauProduit[Total (kg) N2],0,0,1)*TableauRecette[[#This Row],[poids / unite]]</f>
        <v/>
      </c>
      <c r="N21" s="692">
        <f>_xlfn.XLOOKUP(TableauRecette[[#This Row],[ID]],TableauProduit[ID],TableauProduit[Total (kg) N3],0,0,1)*TableauRecette[[#This Row],[poids / unite]]</f>
        <v/>
      </c>
      <c r="O21" s="692">
        <f>_xlfn.XLOOKUP(TableauRecette[[#This Row],[ID]],TableauProduit[ID],TableauProduit[Total (kg) N4],0,0,1)*TableauRecette[[#This Row],[poids / unite]]</f>
        <v/>
      </c>
      <c r="P21" s="692">
        <f>_xlfn.XLOOKUP(TableauRecette[[#This Row],[ID]],TableauProduit[ID],TableauProduit[Total (kg) N5],0,0,1)*TableauRecette[[#This Row],[poids / unite]]</f>
        <v/>
      </c>
      <c r="Q21" s="692">
        <f>_xlfn.XLOOKUP(TableauRecette[[#This Row],[ID]],TableauProduit[ID],TableauProduit[Total (kg) N6],0,0,1)*TableauRecette[[#This Row],[poids / unite]]</f>
        <v/>
      </c>
      <c r="R21" s="692">
        <f>_xlfn.XLOOKUP(TableauRecette[[#This Row],[ID]],TableauProduit[ID],TableauProduit[Total (kg) N7],0,0,1)*TableauRecette[[#This Row],[poids / unite]]</f>
        <v/>
      </c>
      <c r="S21" s="692">
        <f>_xlfn.XLOOKUP(TableauRecette[[#This Row],[ID]],TableauProduit[ID],TableauProduit[Total (kg) N8],0,0,1)*TableauRecette[[#This Row],[poids / unite]]</f>
        <v/>
      </c>
      <c r="T21" s="692">
        <f>_xlfn.XLOOKUP(TableauRecette[[#This Row],[ID]],TableauProduit[ID],TableauProduit[Total (kg) N9],0,0,1)*TableauRecette[[#This Row],[poids / unite]]</f>
        <v/>
      </c>
    </row>
    <row r="22">
      <c r="A22" s="57" t="inlineStr">
        <is>
          <t>Baharat turc</t>
        </is>
      </c>
      <c r="B22" s="57">
        <f>TableauRecette[[#This Row],[Recette]]&amp;TableauRecette[[#This Row],[Conditionnement]]</f>
        <v/>
      </c>
      <c r="C22" s="57" t="inlineStr">
        <is>
          <t>Menthe Verte Séchée</t>
        </is>
      </c>
      <c r="D22" s="181" t="n">
        <v>1</v>
      </c>
      <c r="E22" s="57" t="inlineStr">
        <is>
          <t>Epice 100ml</t>
        </is>
      </c>
      <c r="F22" s="18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2" s="181">
        <f>IFERROR(_xlfn.XLOOKUP(TableauRecette[[#This Row],[Ingredients]],TableauIngredients[Ingredients],TableauIngredients[Prix d''achat (kg)],0)*TableauRecette[[#This Row],[poids / unite]],0)</f>
        <v/>
      </c>
      <c r="H22" s="181">
        <f>IFERROR(SUMIFS(TableauRecette[Proportion],TableauRecette[Recette],TableauRecette[[#This Row],[Recette]],TableauRecette[Conditionnement],TableauRecette[[#This Row],[Conditionnement]]),0)</f>
        <v/>
      </c>
      <c r="I22" s="181">
        <f>IFERROR(TableauRecette[[#This Row],[Prix d''achat / kg]],0)</f>
        <v/>
      </c>
      <c r="J22" s="181" t="inlineStr">
        <is>
          <t>Liban</t>
        </is>
      </c>
      <c r="K22" s="690" t="inlineStr">
        <is>
          <t>en huile</t>
        </is>
      </c>
      <c r="L22" s="691">
        <f>_xlfn.XLOOKUP(TableauRecette[[#This Row],[ID]],TableauProduit[ID],TableauProduit[Total (kg) N1],0,0,1)*TableauRecette[[#This Row],[poids / unite]]</f>
        <v/>
      </c>
      <c r="M22" s="692">
        <f>_xlfn.XLOOKUP(TableauRecette[[#This Row],[ID]],TableauProduit[ID],TableauProduit[Total (kg) N2],0,0,1)*TableauRecette[[#This Row],[poids / unite]]</f>
        <v/>
      </c>
      <c r="N22" s="692">
        <f>_xlfn.XLOOKUP(TableauRecette[[#This Row],[ID]],TableauProduit[ID],TableauProduit[Total (kg) N3],0,0,1)*TableauRecette[[#This Row],[poids / unite]]</f>
        <v/>
      </c>
      <c r="O22" s="692">
        <f>_xlfn.XLOOKUP(TableauRecette[[#This Row],[ID]],TableauProduit[ID],TableauProduit[Total (kg) N4],0,0,1)*TableauRecette[[#This Row],[poids / unite]]</f>
        <v/>
      </c>
      <c r="P22" s="692">
        <f>_xlfn.XLOOKUP(TableauRecette[[#This Row],[ID]],TableauProduit[ID],TableauProduit[Total (kg) N5],0,0,1)*TableauRecette[[#This Row],[poids / unite]]</f>
        <v/>
      </c>
      <c r="Q22" s="692">
        <f>_xlfn.XLOOKUP(TableauRecette[[#This Row],[ID]],TableauProduit[ID],TableauProduit[Total (kg) N6],0,0,1)*TableauRecette[[#This Row],[poids / unite]]</f>
        <v/>
      </c>
      <c r="R22" s="692">
        <f>_xlfn.XLOOKUP(TableauRecette[[#This Row],[ID]],TableauProduit[ID],TableauProduit[Total (kg) N7],0,0,1)*TableauRecette[[#This Row],[poids / unite]]</f>
        <v/>
      </c>
      <c r="S22" s="692">
        <f>_xlfn.XLOOKUP(TableauRecette[[#This Row],[ID]],TableauProduit[ID],TableauProduit[Total (kg) N8],0,0,1)*TableauRecette[[#This Row],[poids / unite]]</f>
        <v/>
      </c>
      <c r="T22" s="692">
        <f>_xlfn.XLOOKUP(TableauRecette[[#This Row],[ID]],TableauProduit[ID],TableauProduit[Total (kg) N9],0,0,1)*TableauRecette[[#This Row],[poids / unite]]</f>
        <v/>
      </c>
    </row>
    <row r="23">
      <c r="A23" s="58" t="inlineStr">
        <is>
          <t>Carvi graine</t>
        </is>
      </c>
      <c r="B23" s="58">
        <f>TableauRecette[[#This Row],[Recette]]&amp;TableauRecette[[#This Row],[Conditionnement]]</f>
        <v/>
      </c>
      <c r="C23" s="58" t="inlineStr">
        <is>
          <t>Graine De Carvi</t>
        </is>
      </c>
      <c r="D23" s="182" t="n">
        <v>1</v>
      </c>
      <c r="E23" s="58" t="inlineStr">
        <is>
          <t>Epice 100ml</t>
        </is>
      </c>
      <c r="F23" s="18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3" s="182">
        <f>IFERROR(_xlfn.XLOOKUP(TableauRecette[[#This Row],[Ingredients]],TableauIngredients[Ingredients],TableauIngredients[Prix d''achat (kg)],0)*TableauRecette[[#This Row],[poids / unite]],0)</f>
        <v/>
      </c>
      <c r="H23" s="182">
        <f>IFERROR(SUMIFS(TableauRecette[Proportion],TableauRecette[Recette],TableauRecette[[#This Row],[Recette]],TableauRecette[Conditionnement],TableauRecette[[#This Row],[Conditionnement]]),0)</f>
        <v/>
      </c>
      <c r="I23" s="182">
        <f>IFERROR(TableauRecette[[#This Row],[Prix d''achat / kg]],0)</f>
        <v/>
      </c>
      <c r="J23" s="182" t="inlineStr">
        <is>
          <t>Liban</t>
        </is>
      </c>
      <c r="K23" s="693" t="inlineStr">
        <is>
          <t>en huile</t>
        </is>
      </c>
      <c r="L23" s="694">
        <f>_xlfn.XLOOKUP(TableauRecette[[#This Row],[ID]],TableauProduit[ID],TableauProduit[Total (kg) N1],0,0,1)*TableauRecette[[#This Row],[poids / unite]]</f>
        <v/>
      </c>
      <c r="M23" s="695">
        <f>_xlfn.XLOOKUP(TableauRecette[[#This Row],[ID]],TableauProduit[ID],TableauProduit[Total (kg) N2],0,0,1)*TableauRecette[[#This Row],[poids / unite]]</f>
        <v/>
      </c>
      <c r="N23" s="695">
        <f>_xlfn.XLOOKUP(TableauRecette[[#This Row],[ID]],TableauProduit[ID],TableauProduit[Total (kg) N3],0,0,1)*TableauRecette[[#This Row],[poids / unite]]</f>
        <v/>
      </c>
      <c r="O23" s="695">
        <f>_xlfn.XLOOKUP(TableauRecette[[#This Row],[ID]],TableauProduit[ID],TableauProduit[Total (kg) N4],0,0,1)*TableauRecette[[#This Row],[poids / unite]]</f>
        <v/>
      </c>
      <c r="P23" s="695">
        <f>_xlfn.XLOOKUP(TableauRecette[[#This Row],[ID]],TableauProduit[ID],TableauProduit[Total (kg) N5],0,0,1)*TableauRecette[[#This Row],[poids / unite]]</f>
        <v/>
      </c>
      <c r="Q23" s="695">
        <f>_xlfn.XLOOKUP(TableauRecette[[#This Row],[ID]],TableauProduit[ID],TableauProduit[Total (kg) N6],0,0,1)*TableauRecette[[#This Row],[poids / unite]]</f>
        <v/>
      </c>
      <c r="R23" s="695">
        <f>_xlfn.XLOOKUP(TableauRecette[[#This Row],[ID]],TableauProduit[ID],TableauProduit[Total (kg) N7],0,0,1)*TableauRecette[[#This Row],[poids / unite]]</f>
        <v/>
      </c>
      <c r="S23" s="695">
        <f>_xlfn.XLOOKUP(TableauRecette[[#This Row],[ID]],TableauProduit[ID],TableauProduit[Total (kg) N8],0,0,1)*TableauRecette[[#This Row],[poids / unite]]</f>
        <v/>
      </c>
      <c r="T23" s="695">
        <f>_xlfn.XLOOKUP(TableauRecette[[#This Row],[ID]],TableauProduit[ID],TableauProduit[Total (kg) N9],0,0,1)*TableauRecette[[#This Row],[poids / unite]]</f>
        <v/>
      </c>
    </row>
    <row r="24">
      <c r="A24" s="59" t="inlineStr">
        <is>
          <t>Carvi moulue</t>
        </is>
      </c>
      <c r="B24" s="59">
        <f>TableauRecette[[#This Row],[Recette]]&amp;TableauRecette[[#This Row],[Conditionnement]]</f>
        <v/>
      </c>
      <c r="C24" s="59" t="inlineStr">
        <is>
          <t>Carvi Moule</t>
        </is>
      </c>
      <c r="D24" s="183" t="n">
        <v>1</v>
      </c>
      <c r="E24" s="59" t="inlineStr">
        <is>
          <t>Epice 100ml</t>
        </is>
      </c>
      <c r="F24" s="18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4" s="183">
        <f>IFERROR(_xlfn.XLOOKUP(TableauRecette[[#This Row],[Ingredients]],TableauIngredients[Ingredients],TableauIngredients[Prix d''achat (kg)],0)*TableauRecette[[#This Row],[poids / unite]],0)</f>
        <v/>
      </c>
      <c r="H24" s="183">
        <f>IFERROR(SUMIFS(TableauRecette[Proportion],TableauRecette[Recette],TableauRecette[[#This Row],[Recette]],TableauRecette[Conditionnement],TableauRecette[[#This Row],[Conditionnement]]),0)</f>
        <v/>
      </c>
      <c r="I24" s="183">
        <f>IFERROR(TableauRecette[[#This Row],[Prix d''achat / kg]],0)</f>
        <v/>
      </c>
      <c r="J24" s="183" t="n"/>
      <c r="K24" s="696" t="n"/>
      <c r="L24" s="697">
        <f>_xlfn.XLOOKUP(TableauRecette[[#This Row],[ID]],TableauProduit[ID],TableauProduit[Total (kg) N1],0,0,1)*TableauRecette[[#This Row],[poids / unite]]</f>
        <v/>
      </c>
      <c r="M24" s="698">
        <f>_xlfn.XLOOKUP(TableauRecette[[#This Row],[ID]],TableauProduit[ID],TableauProduit[Total (kg) N2],0,0,1)*TableauRecette[[#This Row],[poids / unite]]</f>
        <v/>
      </c>
      <c r="N24" s="698">
        <f>_xlfn.XLOOKUP(TableauRecette[[#This Row],[ID]],TableauProduit[ID],TableauProduit[Total (kg) N3],0,0,1)*TableauRecette[[#This Row],[poids / unite]]</f>
        <v/>
      </c>
      <c r="O24" s="698">
        <f>_xlfn.XLOOKUP(TableauRecette[[#This Row],[ID]],TableauProduit[ID],TableauProduit[Total (kg) N4],0,0,1)*TableauRecette[[#This Row],[poids / unite]]</f>
        <v/>
      </c>
      <c r="P24" s="698">
        <f>_xlfn.XLOOKUP(TableauRecette[[#This Row],[ID]],TableauProduit[ID],TableauProduit[Total (kg) N5],0,0,1)*TableauRecette[[#This Row],[poids / unite]]</f>
        <v/>
      </c>
      <c r="Q24" s="698">
        <f>_xlfn.XLOOKUP(TableauRecette[[#This Row],[ID]],TableauProduit[ID],TableauProduit[Total (kg) N6],0,0,1)*TableauRecette[[#This Row],[poids / unite]]</f>
        <v/>
      </c>
      <c r="R24" s="698">
        <f>_xlfn.XLOOKUP(TableauRecette[[#This Row],[ID]],TableauProduit[ID],TableauProduit[Total (kg) N7],0,0,1)*TableauRecette[[#This Row],[poids / unite]]</f>
        <v/>
      </c>
      <c r="S24" s="698">
        <f>_xlfn.XLOOKUP(TableauRecette[[#This Row],[ID]],TableauProduit[ID],TableauProduit[Total (kg) N8],0,0,1)*TableauRecette[[#This Row],[poids / unite]]</f>
        <v/>
      </c>
      <c r="T24" s="698">
        <f>_xlfn.XLOOKUP(TableauRecette[[#This Row],[ID]],TableauProduit[ID],TableauProduit[Total (kg) N9],0,0,1)*TableauRecette[[#This Row],[poids / unite]]</f>
        <v/>
      </c>
    </row>
    <row r="25">
      <c r="A25" s="60" t="inlineStr">
        <is>
          <t>Chaat masala</t>
        </is>
      </c>
      <c r="B25" s="60">
        <f>TableauRecette[[#This Row],[Recette]]&amp;TableauRecette[[#This Row],[Conditionnement]]</f>
        <v/>
      </c>
      <c r="C25" s="60" t="inlineStr">
        <is>
          <t>Graine De Cumin</t>
        </is>
      </c>
      <c r="D25" s="184" t="n">
        <v>6</v>
      </c>
      <c r="E25" s="60" t="inlineStr">
        <is>
          <t>Epice 100ml</t>
        </is>
      </c>
      <c r="F25" s="18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5" s="184">
        <f>IFERROR(_xlfn.XLOOKUP(TableauRecette[[#This Row],[Ingredients]],TableauIngredients[Ingredients],TableauIngredients[Prix d''achat (kg)],0)*TableauRecette[[#This Row],[poids / unite]],0)</f>
        <v/>
      </c>
      <c r="H25" s="184">
        <f>IFERROR(SUMIFS(TableauRecette[Proportion],TableauRecette[Recette],TableauRecette[[#This Row],[Recette]],TableauRecette[Conditionnement],TableauRecette[[#This Row],[Conditionnement]]),0)</f>
        <v/>
      </c>
      <c r="I25" s="184">
        <f>IFERROR(TableauRecette[[#This Row],[Prix d''achat / kg]],0)</f>
        <v/>
      </c>
      <c r="J25" s="184" t="n"/>
      <c r="K25" s="699" t="n"/>
      <c r="L25" s="700">
        <f>_xlfn.XLOOKUP(TableauRecette[[#This Row],[ID]],TableauProduit[ID],TableauProduit[Total (kg) N1],0,0,1)*TableauRecette[[#This Row],[poids / unite]]</f>
        <v/>
      </c>
      <c r="M25" s="701">
        <f>_xlfn.XLOOKUP(TableauRecette[[#This Row],[ID]],TableauProduit[ID],TableauProduit[Total (kg) N2],0,0,1)*TableauRecette[[#This Row],[poids / unite]]</f>
        <v/>
      </c>
      <c r="N25" s="701">
        <f>_xlfn.XLOOKUP(TableauRecette[[#This Row],[ID]],TableauProduit[ID],TableauProduit[Total (kg) N3],0,0,1)*TableauRecette[[#This Row],[poids / unite]]</f>
        <v/>
      </c>
      <c r="O25" s="701">
        <f>_xlfn.XLOOKUP(TableauRecette[[#This Row],[ID]],TableauProduit[ID],TableauProduit[Total (kg) N4],0,0,1)*TableauRecette[[#This Row],[poids / unite]]</f>
        <v/>
      </c>
      <c r="P25" s="701">
        <f>_xlfn.XLOOKUP(TableauRecette[[#This Row],[ID]],TableauProduit[ID],TableauProduit[Total (kg) N5],0,0,1)*TableauRecette[[#This Row],[poids / unite]]</f>
        <v/>
      </c>
      <c r="Q25" s="701">
        <f>_xlfn.XLOOKUP(TableauRecette[[#This Row],[ID]],TableauProduit[ID],TableauProduit[Total (kg) N6],0,0,1)*TableauRecette[[#This Row],[poids / unite]]</f>
        <v/>
      </c>
      <c r="R25" s="701">
        <f>_xlfn.XLOOKUP(TableauRecette[[#This Row],[ID]],TableauProduit[ID],TableauProduit[Total (kg) N7],0,0,1)*TableauRecette[[#This Row],[poids / unite]]</f>
        <v/>
      </c>
      <c r="S25" s="701">
        <f>_xlfn.XLOOKUP(TableauRecette[[#This Row],[ID]],TableauProduit[ID],TableauProduit[Total (kg) N8],0,0,1)*TableauRecette[[#This Row],[poids / unite]]</f>
        <v/>
      </c>
      <c r="T25" s="701">
        <f>_xlfn.XLOOKUP(TableauRecette[[#This Row],[ID]],TableauProduit[ID],TableauProduit[Total (kg) N9],0,0,1)*TableauRecette[[#This Row],[poids / unite]]</f>
        <v/>
      </c>
    </row>
    <row r="26">
      <c r="A26" s="60" t="inlineStr">
        <is>
          <t>Chaat masala</t>
        </is>
      </c>
      <c r="B26" s="60">
        <f>TableauRecette[[#This Row],[Recette]]&amp;TableauRecette[[#This Row],[Conditionnement]]</f>
        <v/>
      </c>
      <c r="C26" s="60" t="inlineStr">
        <is>
          <t>Coriandre Graine</t>
        </is>
      </c>
      <c r="D26" s="184" t="n">
        <v>1</v>
      </c>
      <c r="E26" s="60" t="inlineStr">
        <is>
          <t>Epice 100ml</t>
        </is>
      </c>
      <c r="F26" s="18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6" s="184">
        <f>IFERROR(_xlfn.XLOOKUP(TableauRecette[[#This Row],[Ingredients]],TableauIngredients[Ingredients],TableauIngredients[Prix d''achat (kg)],0)*TableauRecette[[#This Row],[poids / unite]],0)</f>
        <v/>
      </c>
      <c r="H26" s="184">
        <f>IFERROR(SUMIFS(TableauRecette[Proportion],TableauRecette[Recette],TableauRecette[[#This Row],[Recette]],TableauRecette[Conditionnement],TableauRecette[[#This Row],[Conditionnement]]),0)</f>
        <v/>
      </c>
      <c r="I26" s="184">
        <f>IFERROR(TableauRecette[[#This Row],[Prix d''achat / kg]],0)</f>
        <v/>
      </c>
      <c r="J26" s="184" t="n"/>
      <c r="K26" s="699" t="n"/>
      <c r="L26" s="700">
        <f>_xlfn.XLOOKUP(TableauRecette[[#This Row],[ID]],TableauProduit[ID],TableauProduit[Total (kg) N1],0,0,1)*TableauRecette[[#This Row],[poids / unite]]</f>
        <v/>
      </c>
      <c r="M26" s="701">
        <f>_xlfn.XLOOKUP(TableauRecette[[#This Row],[ID]],TableauProduit[ID],TableauProduit[Total (kg) N2],0,0,1)*TableauRecette[[#This Row],[poids / unite]]</f>
        <v/>
      </c>
      <c r="N26" s="701">
        <f>_xlfn.XLOOKUP(TableauRecette[[#This Row],[ID]],TableauProduit[ID],TableauProduit[Total (kg) N3],0,0,1)*TableauRecette[[#This Row],[poids / unite]]</f>
        <v/>
      </c>
      <c r="O26" s="701">
        <f>_xlfn.XLOOKUP(TableauRecette[[#This Row],[ID]],TableauProduit[ID],TableauProduit[Total (kg) N4],0,0,1)*TableauRecette[[#This Row],[poids / unite]]</f>
        <v/>
      </c>
      <c r="P26" s="701">
        <f>_xlfn.XLOOKUP(TableauRecette[[#This Row],[ID]],TableauProduit[ID],TableauProduit[Total (kg) N5],0,0,1)*TableauRecette[[#This Row],[poids / unite]]</f>
        <v/>
      </c>
      <c r="Q26" s="701">
        <f>_xlfn.XLOOKUP(TableauRecette[[#This Row],[ID]],TableauProduit[ID],TableauProduit[Total (kg) N6],0,0,1)*TableauRecette[[#This Row],[poids / unite]]</f>
        <v/>
      </c>
      <c r="R26" s="701">
        <f>_xlfn.XLOOKUP(TableauRecette[[#This Row],[ID]],TableauProduit[ID],TableauProduit[Total (kg) N7],0,0,1)*TableauRecette[[#This Row],[poids / unite]]</f>
        <v/>
      </c>
      <c r="S26" s="701">
        <f>_xlfn.XLOOKUP(TableauRecette[[#This Row],[ID]],TableauProduit[ID],TableauProduit[Total (kg) N8],0,0,1)*TableauRecette[[#This Row],[poids / unite]]</f>
        <v/>
      </c>
      <c r="T26" s="701">
        <f>_xlfn.XLOOKUP(TableauRecette[[#This Row],[ID]],TableauProduit[ID],TableauProduit[Total (kg) N9],0,0,1)*TableauRecette[[#This Row],[poids / unite]]</f>
        <v/>
      </c>
    </row>
    <row r="27">
      <c r="A27" s="60" t="inlineStr">
        <is>
          <t>Chaat masala</t>
        </is>
      </c>
      <c r="B27" s="60">
        <f>TableauRecette[[#This Row],[Recette]]&amp;TableauRecette[[#This Row],[Conditionnement]]</f>
        <v/>
      </c>
      <c r="C27" s="60" t="inlineStr">
        <is>
          <t>Poivre Noir</t>
        </is>
      </c>
      <c r="D27" s="184" t="n">
        <v>3</v>
      </c>
      <c r="E27" s="60" t="inlineStr">
        <is>
          <t>Epice 100ml</t>
        </is>
      </c>
      <c r="F27" s="18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7" s="184">
        <f>IFERROR(_xlfn.XLOOKUP(TableauRecette[[#This Row],[Ingredients]],TableauIngredients[Ingredients],TableauIngredients[Prix d''achat (kg)],0)*TableauRecette[[#This Row],[poids / unite]],0)</f>
        <v/>
      </c>
      <c r="H27" s="184">
        <f>IFERROR(SUMIFS(TableauRecette[Proportion],TableauRecette[Recette],TableauRecette[[#This Row],[Recette]],TableauRecette[Conditionnement],TableauRecette[[#This Row],[Conditionnement]]),0)</f>
        <v/>
      </c>
      <c r="I27" s="184">
        <f>IFERROR(TableauRecette[[#This Row],[Prix d''achat / kg]],0)</f>
        <v/>
      </c>
      <c r="J27" s="184" t="n"/>
      <c r="K27" s="699" t="n"/>
      <c r="L27" s="700">
        <f>_xlfn.XLOOKUP(TableauRecette[[#This Row],[ID]],TableauProduit[ID],TableauProduit[Total (kg) N1],0,0,1)*TableauRecette[[#This Row],[poids / unite]]</f>
        <v/>
      </c>
      <c r="M27" s="701">
        <f>_xlfn.XLOOKUP(TableauRecette[[#This Row],[ID]],TableauProduit[ID],TableauProduit[Total (kg) N2],0,0,1)*TableauRecette[[#This Row],[poids / unite]]</f>
        <v/>
      </c>
      <c r="N27" s="701">
        <f>_xlfn.XLOOKUP(TableauRecette[[#This Row],[ID]],TableauProduit[ID],TableauProduit[Total (kg) N3],0,0,1)*TableauRecette[[#This Row],[poids / unite]]</f>
        <v/>
      </c>
      <c r="O27" s="701">
        <f>_xlfn.XLOOKUP(TableauRecette[[#This Row],[ID]],TableauProduit[ID],TableauProduit[Total (kg) N4],0,0,1)*TableauRecette[[#This Row],[poids / unite]]</f>
        <v/>
      </c>
      <c r="P27" s="701">
        <f>_xlfn.XLOOKUP(TableauRecette[[#This Row],[ID]],TableauProduit[ID],TableauProduit[Total (kg) N5],0,0,1)*TableauRecette[[#This Row],[poids / unite]]</f>
        <v/>
      </c>
      <c r="Q27" s="701">
        <f>_xlfn.XLOOKUP(TableauRecette[[#This Row],[ID]],TableauProduit[ID],TableauProduit[Total (kg) N6],0,0,1)*TableauRecette[[#This Row],[poids / unite]]</f>
        <v/>
      </c>
      <c r="R27" s="701">
        <f>_xlfn.XLOOKUP(TableauRecette[[#This Row],[ID]],TableauProduit[ID],TableauProduit[Total (kg) N7],0,0,1)*TableauRecette[[#This Row],[poids / unite]]</f>
        <v/>
      </c>
      <c r="S27" s="701">
        <f>_xlfn.XLOOKUP(TableauRecette[[#This Row],[ID]],TableauProduit[ID],TableauProduit[Total (kg) N8],0,0,1)*TableauRecette[[#This Row],[poids / unite]]</f>
        <v/>
      </c>
      <c r="T27" s="701">
        <f>_xlfn.XLOOKUP(TableauRecette[[#This Row],[ID]],TableauProduit[ID],TableauProduit[Total (kg) N9],0,0,1)*TableauRecette[[#This Row],[poids / unite]]</f>
        <v/>
      </c>
    </row>
    <row r="28">
      <c r="A28" s="60" t="inlineStr">
        <is>
          <t>Chaat masala</t>
        </is>
      </c>
      <c r="B28" s="60">
        <f>TableauRecette[[#This Row],[Recette]]&amp;TableauRecette[[#This Row],[Conditionnement]]</f>
        <v/>
      </c>
      <c r="C28" s="60" t="inlineStr">
        <is>
          <t>Amchur</t>
        </is>
      </c>
      <c r="D28" s="184" t="n">
        <v>9</v>
      </c>
      <c r="E28" s="60" t="inlineStr">
        <is>
          <t>Epice 100ml</t>
        </is>
      </c>
      <c r="F28" s="18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8" s="184">
        <f>IFERROR(_xlfn.XLOOKUP(TableauRecette[[#This Row],[Ingredients]],TableauIngredients[Ingredients],TableauIngredients[Prix d''achat (kg)],0)*TableauRecette[[#This Row],[poids / unite]],0)</f>
        <v/>
      </c>
      <c r="H28" s="184">
        <f>IFERROR(SUMIFS(TableauRecette[Proportion],TableauRecette[Recette],TableauRecette[[#This Row],[Recette]],TableauRecette[Conditionnement],TableauRecette[[#This Row],[Conditionnement]]),0)</f>
        <v/>
      </c>
      <c r="I28" s="184">
        <f>IFERROR(TableauRecette[[#This Row],[Prix d''achat / kg]],0)</f>
        <v/>
      </c>
      <c r="J28" s="184" t="n"/>
      <c r="K28" s="699" t="n"/>
      <c r="L28" s="700">
        <f>_xlfn.XLOOKUP(TableauRecette[[#This Row],[ID]],TableauProduit[ID],TableauProduit[Total (kg) N1],0,0,1)*TableauRecette[[#This Row],[poids / unite]]</f>
        <v/>
      </c>
      <c r="M28" s="701">
        <f>_xlfn.XLOOKUP(TableauRecette[[#This Row],[ID]],TableauProduit[ID],TableauProduit[Total (kg) N2],0,0,1)*TableauRecette[[#This Row],[poids / unite]]</f>
        <v/>
      </c>
      <c r="N28" s="701">
        <f>_xlfn.XLOOKUP(TableauRecette[[#This Row],[ID]],TableauProduit[ID],TableauProduit[Total (kg) N3],0,0,1)*TableauRecette[[#This Row],[poids / unite]]</f>
        <v/>
      </c>
      <c r="O28" s="701">
        <f>_xlfn.XLOOKUP(TableauRecette[[#This Row],[ID]],TableauProduit[ID],TableauProduit[Total (kg) N4],0,0,1)*TableauRecette[[#This Row],[poids / unite]]</f>
        <v/>
      </c>
      <c r="P28" s="701">
        <f>_xlfn.XLOOKUP(TableauRecette[[#This Row],[ID]],TableauProduit[ID],TableauProduit[Total (kg) N5],0,0,1)*TableauRecette[[#This Row],[poids / unite]]</f>
        <v/>
      </c>
      <c r="Q28" s="701">
        <f>_xlfn.XLOOKUP(TableauRecette[[#This Row],[ID]],TableauProduit[ID],TableauProduit[Total (kg) N6],0,0,1)*TableauRecette[[#This Row],[poids / unite]]</f>
        <v/>
      </c>
      <c r="R28" s="701">
        <f>_xlfn.XLOOKUP(TableauRecette[[#This Row],[ID]],TableauProduit[ID],TableauProduit[Total (kg) N7],0,0,1)*TableauRecette[[#This Row],[poids / unite]]</f>
        <v/>
      </c>
      <c r="S28" s="701">
        <f>_xlfn.XLOOKUP(TableauRecette[[#This Row],[ID]],TableauProduit[ID],TableauProduit[Total (kg) N8],0,0,1)*TableauRecette[[#This Row],[poids / unite]]</f>
        <v/>
      </c>
      <c r="T28" s="701">
        <f>_xlfn.XLOOKUP(TableauRecette[[#This Row],[ID]],TableauProduit[ID],TableauProduit[Total (kg) N9],0,0,1)*TableauRecette[[#This Row],[poids / unite]]</f>
        <v/>
      </c>
    </row>
    <row r="29">
      <c r="A29" s="60" t="inlineStr">
        <is>
          <t>Chaat masala</t>
        </is>
      </c>
      <c r="B29" s="60">
        <f>TableauRecette[[#This Row],[Recette]]&amp;TableauRecette[[#This Row],[Conditionnement]]</f>
        <v/>
      </c>
      <c r="C29" s="60" t="inlineStr">
        <is>
          <t>Gingembre Sec</t>
        </is>
      </c>
      <c r="D29" s="184" t="n">
        <v>1</v>
      </c>
      <c r="E29" s="60" t="inlineStr">
        <is>
          <t>Epice 100ml</t>
        </is>
      </c>
      <c r="F29" s="18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9" s="184">
        <f>IFERROR(_xlfn.XLOOKUP(TableauRecette[[#This Row],[Ingredients]],TableauIngredients[Ingredients],TableauIngredients[Prix d''achat (kg)],0)*TableauRecette[[#This Row],[poids / unite]],0)</f>
        <v/>
      </c>
      <c r="H29" s="184">
        <f>IFERROR(SUMIFS(TableauRecette[Proportion],TableauRecette[Recette],TableauRecette[[#This Row],[Recette]],TableauRecette[Conditionnement],TableauRecette[[#This Row],[Conditionnement]]),0)</f>
        <v/>
      </c>
      <c r="I29" s="184">
        <f>IFERROR(TableauRecette[[#This Row],[Prix d''achat / kg]],0)</f>
        <v/>
      </c>
      <c r="J29" s="184" t="inlineStr">
        <is>
          <t>Iran</t>
        </is>
      </c>
      <c r="K29" s="699" t="inlineStr">
        <is>
          <t>SEC</t>
        </is>
      </c>
      <c r="L29" s="700">
        <f>_xlfn.XLOOKUP(TableauRecette[[#This Row],[ID]],TableauProduit[ID],TableauProduit[Total (kg) N1],0,0,1)*TableauRecette[[#This Row],[poids / unite]]</f>
        <v/>
      </c>
      <c r="M29" s="701">
        <f>_xlfn.XLOOKUP(TableauRecette[[#This Row],[ID]],TableauProduit[ID],TableauProduit[Total (kg) N2],0,0,1)*TableauRecette[[#This Row],[poids / unite]]</f>
        <v/>
      </c>
      <c r="N29" s="701">
        <f>_xlfn.XLOOKUP(TableauRecette[[#This Row],[ID]],TableauProduit[ID],TableauProduit[Total (kg) N3],0,0,1)*TableauRecette[[#This Row],[poids / unite]]</f>
        <v/>
      </c>
      <c r="O29" s="701">
        <f>_xlfn.XLOOKUP(TableauRecette[[#This Row],[ID]],TableauProduit[ID],TableauProduit[Total (kg) N4],0,0,1)*TableauRecette[[#This Row],[poids / unite]]</f>
        <v/>
      </c>
      <c r="P29" s="701">
        <f>_xlfn.XLOOKUP(TableauRecette[[#This Row],[ID]],TableauProduit[ID],TableauProduit[Total (kg) N5],0,0,1)*TableauRecette[[#This Row],[poids / unite]]</f>
        <v/>
      </c>
      <c r="Q29" s="701">
        <f>_xlfn.XLOOKUP(TableauRecette[[#This Row],[ID]],TableauProduit[ID],TableauProduit[Total (kg) N6],0,0,1)*TableauRecette[[#This Row],[poids / unite]]</f>
        <v/>
      </c>
      <c r="R29" s="701">
        <f>_xlfn.XLOOKUP(TableauRecette[[#This Row],[ID]],TableauProduit[ID],TableauProduit[Total (kg) N7],0,0,1)*TableauRecette[[#This Row],[poids / unite]]</f>
        <v/>
      </c>
      <c r="S29" s="701">
        <f>_xlfn.XLOOKUP(TableauRecette[[#This Row],[ID]],TableauProduit[ID],TableauProduit[Total (kg) N8],0,0,1)*TableauRecette[[#This Row],[poids / unite]]</f>
        <v/>
      </c>
      <c r="T29" s="701">
        <f>_xlfn.XLOOKUP(TableauRecette[[#This Row],[ID]],TableauProduit[ID],TableauProduit[Total (kg) N9],0,0,1)*TableauRecette[[#This Row],[poids / unite]]</f>
        <v/>
      </c>
    </row>
    <row r="30">
      <c r="A30" s="60" t="inlineStr">
        <is>
          <t>Chaat masala</t>
        </is>
      </c>
      <c r="B30" s="60">
        <f>TableauRecette[[#This Row],[Recette]]&amp;TableauRecette[[#This Row],[Conditionnement]]</f>
        <v/>
      </c>
      <c r="C30" s="60" t="inlineStr">
        <is>
          <t>Asafoetida</t>
        </is>
      </c>
      <c r="D30" s="184" t="n">
        <v>0.5</v>
      </c>
      <c r="E30" s="60" t="inlineStr">
        <is>
          <t>Epice 100ml</t>
        </is>
      </c>
      <c r="F30" s="18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0" s="184">
        <f>IFERROR(_xlfn.XLOOKUP(TableauRecette[[#This Row],[Ingredients]],TableauIngredients[Ingredients],TableauIngredients[Prix d''achat (kg)],0)*TableauRecette[[#This Row],[poids / unite]],0)</f>
        <v/>
      </c>
      <c r="H30" s="184">
        <f>IFERROR(SUMIFS(TableauRecette[Proportion],TableauRecette[Recette],TableauRecette[[#This Row],[Recette]],TableauRecette[Conditionnement],TableauRecette[[#This Row],[Conditionnement]]),0)</f>
        <v/>
      </c>
      <c r="I30" s="184">
        <f>IFERROR(TableauRecette[[#This Row],[Prix d''achat / kg]],0)</f>
        <v/>
      </c>
      <c r="J30" s="184" t="inlineStr">
        <is>
          <t>Iran</t>
        </is>
      </c>
      <c r="K30" s="699" t="inlineStr">
        <is>
          <t>SEC</t>
        </is>
      </c>
      <c r="L30" s="700">
        <f>_xlfn.XLOOKUP(TableauRecette[[#This Row],[ID]],TableauProduit[ID],TableauProduit[Total (kg) N1],0,0,1)*TableauRecette[[#This Row],[poids / unite]]</f>
        <v/>
      </c>
      <c r="M30" s="701">
        <f>_xlfn.XLOOKUP(TableauRecette[[#This Row],[ID]],TableauProduit[ID],TableauProduit[Total (kg) N2],0,0,1)*TableauRecette[[#This Row],[poids / unite]]</f>
        <v/>
      </c>
      <c r="N30" s="701">
        <f>_xlfn.XLOOKUP(TableauRecette[[#This Row],[ID]],TableauProduit[ID],TableauProduit[Total (kg) N3],0,0,1)*TableauRecette[[#This Row],[poids / unite]]</f>
        <v/>
      </c>
      <c r="O30" s="701">
        <f>_xlfn.XLOOKUP(TableauRecette[[#This Row],[ID]],TableauProduit[ID],TableauProduit[Total (kg) N4],0,0,1)*TableauRecette[[#This Row],[poids / unite]]</f>
        <v/>
      </c>
      <c r="P30" s="701">
        <f>_xlfn.XLOOKUP(TableauRecette[[#This Row],[ID]],TableauProduit[ID],TableauProduit[Total (kg) N5],0,0,1)*TableauRecette[[#This Row],[poids / unite]]</f>
        <v/>
      </c>
      <c r="Q30" s="701">
        <f>_xlfn.XLOOKUP(TableauRecette[[#This Row],[ID]],TableauProduit[ID],TableauProduit[Total (kg) N6],0,0,1)*TableauRecette[[#This Row],[poids / unite]]</f>
        <v/>
      </c>
      <c r="R30" s="701">
        <f>_xlfn.XLOOKUP(TableauRecette[[#This Row],[ID]],TableauProduit[ID],TableauProduit[Total (kg) N7],0,0,1)*TableauRecette[[#This Row],[poids / unite]]</f>
        <v/>
      </c>
      <c r="S30" s="701">
        <f>_xlfn.XLOOKUP(TableauRecette[[#This Row],[ID]],TableauProduit[ID],TableauProduit[Total (kg) N8],0,0,1)*TableauRecette[[#This Row],[poids / unite]]</f>
        <v/>
      </c>
      <c r="T30" s="701">
        <f>_xlfn.XLOOKUP(TableauRecette[[#This Row],[ID]],TableauProduit[ID],TableauProduit[Total (kg) N9],0,0,1)*TableauRecette[[#This Row],[poids / unite]]</f>
        <v/>
      </c>
    </row>
    <row r="31">
      <c r="A31" s="60" t="inlineStr">
        <is>
          <t>Chaat masala</t>
        </is>
      </c>
      <c r="B31" s="60">
        <f>TableauRecette[[#This Row],[Recette]]&amp;TableauRecette[[#This Row],[Conditionnement]]</f>
        <v/>
      </c>
      <c r="C31" s="60" t="inlineStr">
        <is>
          <t>Kala Namak</t>
        </is>
      </c>
      <c r="D31" s="184" t="n">
        <v>3</v>
      </c>
      <c r="E31" s="60" t="inlineStr">
        <is>
          <t>Epice 100ml</t>
        </is>
      </c>
      <c r="F31" s="18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1" s="184">
        <f>IFERROR(_xlfn.XLOOKUP(TableauRecette[[#This Row],[Ingredients]],TableauIngredients[Ingredients],TableauIngredients[Prix d''achat (kg)],0)*TableauRecette[[#This Row],[poids / unite]],0)</f>
        <v/>
      </c>
      <c r="H31" s="184">
        <f>IFERROR(SUMIFS(TableauRecette[Proportion],TableauRecette[Recette],TableauRecette[[#This Row],[Recette]],TableauRecette[Conditionnement],TableauRecette[[#This Row],[Conditionnement]]),0)</f>
        <v/>
      </c>
      <c r="I31" s="184">
        <f>IFERROR(TableauRecette[[#This Row],[Prix d''achat / kg]],0)</f>
        <v/>
      </c>
      <c r="J31" s="184" t="inlineStr">
        <is>
          <t>Iran</t>
        </is>
      </c>
      <c r="K31" s="699" t="inlineStr">
        <is>
          <t>SEC</t>
        </is>
      </c>
      <c r="L31" s="700">
        <f>_xlfn.XLOOKUP(TableauRecette[[#This Row],[ID]],TableauProduit[ID],TableauProduit[Total (kg) N1],0,0,1)*TableauRecette[[#This Row],[poids / unite]]</f>
        <v/>
      </c>
      <c r="M31" s="701">
        <f>_xlfn.XLOOKUP(TableauRecette[[#This Row],[ID]],TableauProduit[ID],TableauProduit[Total (kg) N2],0,0,1)*TableauRecette[[#This Row],[poids / unite]]</f>
        <v/>
      </c>
      <c r="N31" s="701">
        <f>_xlfn.XLOOKUP(TableauRecette[[#This Row],[ID]],TableauProduit[ID],TableauProduit[Total (kg) N3],0,0,1)*TableauRecette[[#This Row],[poids / unite]]</f>
        <v/>
      </c>
      <c r="O31" s="701">
        <f>_xlfn.XLOOKUP(TableauRecette[[#This Row],[ID]],TableauProduit[ID],TableauProduit[Total (kg) N4],0,0,1)*TableauRecette[[#This Row],[poids / unite]]</f>
        <v/>
      </c>
      <c r="P31" s="701">
        <f>_xlfn.XLOOKUP(TableauRecette[[#This Row],[ID]],TableauProduit[ID],TableauProduit[Total (kg) N5],0,0,1)*TableauRecette[[#This Row],[poids / unite]]</f>
        <v/>
      </c>
      <c r="Q31" s="701">
        <f>_xlfn.XLOOKUP(TableauRecette[[#This Row],[ID]],TableauProduit[ID],TableauProduit[Total (kg) N6],0,0,1)*TableauRecette[[#This Row],[poids / unite]]</f>
        <v/>
      </c>
      <c r="R31" s="701">
        <f>_xlfn.XLOOKUP(TableauRecette[[#This Row],[ID]],TableauProduit[ID],TableauProduit[Total (kg) N7],0,0,1)*TableauRecette[[#This Row],[poids / unite]]</f>
        <v/>
      </c>
      <c r="S31" s="701">
        <f>_xlfn.XLOOKUP(TableauRecette[[#This Row],[ID]],TableauProduit[ID],TableauProduit[Total (kg) N8],0,0,1)*TableauRecette[[#This Row],[poids / unite]]</f>
        <v/>
      </c>
      <c r="T31" s="701">
        <f>_xlfn.XLOOKUP(TableauRecette[[#This Row],[ID]],TableauProduit[ID],TableauProduit[Total (kg) N9],0,0,1)*TableauRecette[[#This Row],[poids / unite]]</f>
        <v/>
      </c>
    </row>
    <row r="32">
      <c r="A32" s="60" t="inlineStr">
        <is>
          <t>Chaat masala</t>
        </is>
      </c>
      <c r="B32" s="60">
        <f>TableauRecette[[#This Row],[Recette]]&amp;TableauRecette[[#This Row],[Conditionnement]]</f>
        <v/>
      </c>
      <c r="C32" s="60" t="inlineStr">
        <is>
          <t>Sel</t>
        </is>
      </c>
      <c r="D32" s="184" t="n">
        <v>1</v>
      </c>
      <c r="E32" s="60" t="inlineStr">
        <is>
          <t>Epice 100ml</t>
        </is>
      </c>
      <c r="F32" s="18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2" s="184">
        <f>IFERROR(_xlfn.XLOOKUP(TableauRecette[[#This Row],[Ingredients]],TableauIngredients[Ingredients],TableauIngredients[Prix d''achat (kg)],0)*TableauRecette[[#This Row],[poids / unite]],0)</f>
        <v/>
      </c>
      <c r="H32" s="184">
        <f>IFERROR(SUMIFS(TableauRecette[Proportion],TableauRecette[Recette],TableauRecette[[#This Row],[Recette]],TableauRecette[Conditionnement],TableauRecette[[#This Row],[Conditionnement]]),0)</f>
        <v/>
      </c>
      <c r="I32" s="184">
        <f>IFERROR(TableauRecette[[#This Row],[Prix d''achat / kg]],0)</f>
        <v/>
      </c>
      <c r="J32" s="184" t="inlineStr">
        <is>
          <t>Iran</t>
        </is>
      </c>
      <c r="K32" s="699" t="inlineStr">
        <is>
          <t>SEC</t>
        </is>
      </c>
      <c r="L32" s="700">
        <f>_xlfn.XLOOKUP(TableauRecette[[#This Row],[ID]],TableauProduit[ID],TableauProduit[Total (kg) N1],0,0,1)*TableauRecette[[#This Row],[poids / unite]]</f>
        <v/>
      </c>
      <c r="M32" s="701">
        <f>_xlfn.XLOOKUP(TableauRecette[[#This Row],[ID]],TableauProduit[ID],TableauProduit[Total (kg) N2],0,0,1)*TableauRecette[[#This Row],[poids / unite]]</f>
        <v/>
      </c>
      <c r="N32" s="701">
        <f>_xlfn.XLOOKUP(TableauRecette[[#This Row],[ID]],TableauProduit[ID],TableauProduit[Total (kg) N3],0,0,1)*TableauRecette[[#This Row],[poids / unite]]</f>
        <v/>
      </c>
      <c r="O32" s="701">
        <f>_xlfn.XLOOKUP(TableauRecette[[#This Row],[ID]],TableauProduit[ID],TableauProduit[Total (kg) N4],0,0,1)*TableauRecette[[#This Row],[poids / unite]]</f>
        <v/>
      </c>
      <c r="P32" s="701">
        <f>_xlfn.XLOOKUP(TableauRecette[[#This Row],[ID]],TableauProduit[ID],TableauProduit[Total (kg) N5],0,0,1)*TableauRecette[[#This Row],[poids / unite]]</f>
        <v/>
      </c>
      <c r="Q32" s="701">
        <f>_xlfn.XLOOKUP(TableauRecette[[#This Row],[ID]],TableauProduit[ID],TableauProduit[Total (kg) N6],0,0,1)*TableauRecette[[#This Row],[poids / unite]]</f>
        <v/>
      </c>
      <c r="R32" s="701">
        <f>_xlfn.XLOOKUP(TableauRecette[[#This Row],[ID]],TableauProduit[ID],TableauProduit[Total (kg) N7],0,0,1)*TableauRecette[[#This Row],[poids / unite]]</f>
        <v/>
      </c>
      <c r="S32" s="701">
        <f>_xlfn.XLOOKUP(TableauRecette[[#This Row],[ID]],TableauProduit[ID],TableauProduit[Total (kg) N8],0,0,1)*TableauRecette[[#This Row],[poids / unite]]</f>
        <v/>
      </c>
      <c r="T32" s="701">
        <f>_xlfn.XLOOKUP(TableauRecette[[#This Row],[ID]],TableauProduit[ID],TableauProduit[Total (kg) N9],0,0,1)*TableauRecette[[#This Row],[poids / unite]]</f>
        <v/>
      </c>
    </row>
    <row r="33">
      <c r="A33" s="55" t="inlineStr">
        <is>
          <t>Choucroute</t>
        </is>
      </c>
      <c r="B33" s="55">
        <f>TableauRecette[[#This Row],[Recette]]&amp;TableauRecette[[#This Row],[Conditionnement]]</f>
        <v/>
      </c>
      <c r="C33" s="55" t="inlineStr">
        <is>
          <t>Choux</t>
        </is>
      </c>
      <c r="D33" s="179" t="n">
        <v>1000</v>
      </c>
      <c r="E33" s="55" t="inlineStr">
        <is>
          <t>Seau 2,5 l, plastique</t>
        </is>
      </c>
      <c r="F33" s="17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3" s="179">
        <f>IFERROR(_xlfn.XLOOKUP(TableauRecette[[#This Row],[Ingredients]],TableauIngredients[Ingredients],TableauIngredients[Prix d''achat (kg)],0)*TableauRecette[[#This Row],[poids / unite]],0)</f>
        <v/>
      </c>
      <c r="H33" s="179">
        <f>IFERROR(SUMIFS(TableauRecette[Proportion],TableauRecette[Recette],TableauRecette[[#This Row],[Recette]],TableauRecette[Conditionnement],TableauRecette[[#This Row],[Conditionnement]]),0)</f>
        <v/>
      </c>
      <c r="I33" s="179">
        <f>IFERROR(TableauRecette[[#This Row],[Prix d''achat / kg]],0)</f>
        <v/>
      </c>
      <c r="J33" s="179" t="n"/>
      <c r="K33" s="681" t="n"/>
      <c r="L33" s="682">
        <f>_xlfn.XLOOKUP(TableauRecette[[#This Row],[ID]],TableauProduit[ID],TableauProduit[Total (kg) N1],0,0,1)*TableauRecette[[#This Row],[poids / unite]]</f>
        <v/>
      </c>
      <c r="M33" s="683">
        <f>_xlfn.XLOOKUP(TableauRecette[[#This Row],[ID]],TableauProduit[ID],TableauProduit[Total (kg) N2],0,0,1)*TableauRecette[[#This Row],[poids / unite]]</f>
        <v/>
      </c>
      <c r="N33" s="683">
        <f>_xlfn.XLOOKUP(TableauRecette[[#This Row],[ID]],TableauProduit[ID],TableauProduit[Total (kg) N3],0,0,1)*TableauRecette[[#This Row],[poids / unite]]</f>
        <v/>
      </c>
      <c r="O33" s="683">
        <f>_xlfn.XLOOKUP(TableauRecette[[#This Row],[ID]],TableauProduit[ID],TableauProduit[Total (kg) N4],0,0,1)*TableauRecette[[#This Row],[poids / unite]]</f>
        <v/>
      </c>
      <c r="P33" s="683">
        <f>_xlfn.XLOOKUP(TableauRecette[[#This Row],[ID]],TableauProduit[ID],TableauProduit[Total (kg) N5],0,0,1)*TableauRecette[[#This Row],[poids / unite]]</f>
        <v/>
      </c>
      <c r="Q33" s="683">
        <f>_xlfn.XLOOKUP(TableauRecette[[#This Row],[ID]],TableauProduit[ID],TableauProduit[Total (kg) N6],0,0,1)*TableauRecette[[#This Row],[poids / unite]]</f>
        <v/>
      </c>
      <c r="R33" s="683">
        <f>_xlfn.XLOOKUP(TableauRecette[[#This Row],[ID]],TableauProduit[ID],TableauProduit[Total (kg) N7],0,0,1)*TableauRecette[[#This Row],[poids / unite]]</f>
        <v/>
      </c>
      <c r="S33" s="683">
        <f>_xlfn.XLOOKUP(TableauRecette[[#This Row],[ID]],TableauProduit[ID],TableauProduit[Total (kg) N8],0,0,1)*TableauRecette[[#This Row],[poids / unite]]</f>
        <v/>
      </c>
      <c r="T33" s="683">
        <f>_xlfn.XLOOKUP(TableauRecette[[#This Row],[ID]],TableauProduit[ID],TableauProduit[Total (kg) N9],0,0,1)*TableauRecette[[#This Row],[poids / unite]]</f>
        <v/>
      </c>
    </row>
    <row r="34">
      <c r="A34" s="55" t="inlineStr">
        <is>
          <t>Choucroute</t>
        </is>
      </c>
      <c r="B34" s="55">
        <f>TableauRecette[[#This Row],[Recette]]&amp;TableauRecette[[#This Row],[Conditionnement]]</f>
        <v/>
      </c>
      <c r="C34" s="55" t="inlineStr">
        <is>
          <t>Sel</t>
        </is>
      </c>
      <c r="D34" s="179" t="n">
        <v>20</v>
      </c>
      <c r="E34" s="55" t="inlineStr">
        <is>
          <t>Seau 2,5 l, plastique</t>
        </is>
      </c>
      <c r="F34" s="17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4" s="179">
        <f>IFERROR(_xlfn.XLOOKUP(TableauRecette[[#This Row],[Ingredients]],TableauIngredients[Ingredients],TableauIngredients[Prix d''achat (kg)],0)*TableauRecette[[#This Row],[poids / unite]],0)</f>
        <v/>
      </c>
      <c r="H34" s="179">
        <f>IFERROR(SUMIFS(TableauRecette[Proportion],TableauRecette[Recette],TableauRecette[[#This Row],[Recette]],TableauRecette[Conditionnement],TableauRecette[[#This Row],[Conditionnement]]),0)</f>
        <v/>
      </c>
      <c r="I34" s="179">
        <f>IFERROR(TableauRecette[[#This Row],[Prix d''achat / kg]],0)</f>
        <v/>
      </c>
      <c r="J34" s="179" t="n"/>
      <c r="K34" s="681" t="n"/>
      <c r="L34" s="682">
        <f>_xlfn.XLOOKUP(TableauRecette[[#This Row],[ID]],TableauProduit[ID],TableauProduit[Total (kg) N1],0,0,1)*TableauRecette[[#This Row],[poids / unite]]</f>
        <v/>
      </c>
      <c r="M34" s="683">
        <f>_xlfn.XLOOKUP(TableauRecette[[#This Row],[ID]],TableauProduit[ID],TableauProduit[Total (kg) N2],0,0,1)*TableauRecette[[#This Row],[poids / unite]]</f>
        <v/>
      </c>
      <c r="N34" s="683">
        <f>_xlfn.XLOOKUP(TableauRecette[[#This Row],[ID]],TableauProduit[ID],TableauProduit[Total (kg) N3],0,0,1)*TableauRecette[[#This Row],[poids / unite]]</f>
        <v/>
      </c>
      <c r="O34" s="683">
        <f>_xlfn.XLOOKUP(TableauRecette[[#This Row],[ID]],TableauProduit[ID],TableauProduit[Total (kg) N4],0,0,1)*TableauRecette[[#This Row],[poids / unite]]</f>
        <v/>
      </c>
      <c r="P34" s="683">
        <f>_xlfn.XLOOKUP(TableauRecette[[#This Row],[ID]],TableauProduit[ID],TableauProduit[Total (kg) N5],0,0,1)*TableauRecette[[#This Row],[poids / unite]]</f>
        <v/>
      </c>
      <c r="Q34" s="683">
        <f>_xlfn.XLOOKUP(TableauRecette[[#This Row],[ID]],TableauProduit[ID],TableauProduit[Total (kg) N6],0,0,1)*TableauRecette[[#This Row],[poids / unite]]</f>
        <v/>
      </c>
      <c r="R34" s="683">
        <f>_xlfn.XLOOKUP(TableauRecette[[#This Row],[ID]],TableauProduit[ID],TableauProduit[Total (kg) N7],0,0,1)*TableauRecette[[#This Row],[poids / unite]]</f>
        <v/>
      </c>
      <c r="S34" s="683">
        <f>_xlfn.XLOOKUP(TableauRecette[[#This Row],[ID]],TableauProduit[ID],TableauProduit[Total (kg) N8],0,0,1)*TableauRecette[[#This Row],[poids / unite]]</f>
        <v/>
      </c>
      <c r="T34" s="683">
        <f>_xlfn.XLOOKUP(TableauRecette[[#This Row],[ID]],TableauProduit[ID],TableauProduit[Total (kg) N9],0,0,1)*TableauRecette[[#This Row],[poids / unite]]</f>
        <v/>
      </c>
    </row>
    <row r="35">
      <c r="A35" s="55" t="inlineStr">
        <is>
          <t>Choucroute</t>
        </is>
      </c>
      <c r="B35" s="55">
        <f>TableauRecette[[#This Row],[Recette]]&amp;TableauRecette[[#This Row],[Conditionnement]]</f>
        <v/>
      </c>
      <c r="C35" s="55" t="inlineStr">
        <is>
          <t>Graine De Carvi</t>
        </is>
      </c>
      <c r="D35" s="179" t="n">
        <v>3</v>
      </c>
      <c r="E35" s="55" t="inlineStr">
        <is>
          <t>Seau 2,5 l, plastique</t>
        </is>
      </c>
      <c r="F35" s="17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5" s="179">
        <f>IFERROR(_xlfn.XLOOKUP(TableauRecette[[#This Row],[Ingredients]],TableauIngredients[Ingredients],TableauIngredients[Prix d''achat (kg)],0)*TableauRecette[[#This Row],[poids / unite]],0)</f>
        <v/>
      </c>
      <c r="H35" s="179">
        <f>IFERROR(SUMIFS(TableauRecette[Proportion],TableauRecette[Recette],TableauRecette[[#This Row],[Recette]],TableauRecette[Conditionnement],TableauRecette[[#This Row],[Conditionnement]]),0)</f>
        <v/>
      </c>
      <c r="I35" s="179">
        <f>IFERROR(TableauRecette[[#This Row],[Prix d''achat / kg]],0)</f>
        <v/>
      </c>
      <c r="J35" s="179" t="n"/>
      <c r="K35" s="681" t="n"/>
      <c r="L35" s="682">
        <f>_xlfn.XLOOKUP(TableauRecette[[#This Row],[ID]],TableauProduit[ID],TableauProduit[Total (kg) N1],0,0,1)*TableauRecette[[#This Row],[poids / unite]]</f>
        <v/>
      </c>
      <c r="M35" s="683">
        <f>_xlfn.XLOOKUP(TableauRecette[[#This Row],[ID]],TableauProduit[ID],TableauProduit[Total (kg) N2],0,0,1)*TableauRecette[[#This Row],[poids / unite]]</f>
        <v/>
      </c>
      <c r="N35" s="683">
        <f>_xlfn.XLOOKUP(TableauRecette[[#This Row],[ID]],TableauProduit[ID],TableauProduit[Total (kg) N3],0,0,1)*TableauRecette[[#This Row],[poids / unite]]</f>
        <v/>
      </c>
      <c r="O35" s="683">
        <f>_xlfn.XLOOKUP(TableauRecette[[#This Row],[ID]],TableauProduit[ID],TableauProduit[Total (kg) N4],0,0,1)*TableauRecette[[#This Row],[poids / unite]]</f>
        <v/>
      </c>
      <c r="P35" s="683">
        <f>_xlfn.XLOOKUP(TableauRecette[[#This Row],[ID]],TableauProduit[ID],TableauProduit[Total (kg) N5],0,0,1)*TableauRecette[[#This Row],[poids / unite]]</f>
        <v/>
      </c>
      <c r="Q35" s="683">
        <f>_xlfn.XLOOKUP(TableauRecette[[#This Row],[ID]],TableauProduit[ID],TableauProduit[Total (kg) N6],0,0,1)*TableauRecette[[#This Row],[poids / unite]]</f>
        <v/>
      </c>
      <c r="R35" s="683">
        <f>_xlfn.XLOOKUP(TableauRecette[[#This Row],[ID]],TableauProduit[ID],TableauProduit[Total (kg) N7],0,0,1)*TableauRecette[[#This Row],[poids / unite]]</f>
        <v/>
      </c>
      <c r="S35" s="683">
        <f>_xlfn.XLOOKUP(TableauRecette[[#This Row],[ID]],TableauProduit[ID],TableauProduit[Total (kg) N8],0,0,1)*TableauRecette[[#This Row],[poids / unite]]</f>
        <v/>
      </c>
      <c r="T35" s="683">
        <f>_xlfn.XLOOKUP(TableauRecette[[#This Row],[ID]],TableauProduit[ID],TableauProduit[Total (kg) N9],0,0,1)*TableauRecette[[#This Row],[poids / unite]]</f>
        <v/>
      </c>
    </row>
    <row r="36">
      <c r="A36" s="55" t="inlineStr">
        <is>
          <t>Choucroute</t>
        </is>
      </c>
      <c r="B36" s="55">
        <f>TableauRecette[[#This Row],[Recette]]&amp;TableauRecette[[#This Row],[Conditionnement]]</f>
        <v/>
      </c>
      <c r="C36" s="55" t="inlineStr">
        <is>
          <t>Poivre Des Moines</t>
        </is>
      </c>
      <c r="D36" s="179" t="n">
        <v>3</v>
      </c>
      <c r="E36" s="55" t="inlineStr">
        <is>
          <t>Seau 2,5 l, plastique</t>
        </is>
      </c>
      <c r="F36" s="17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6" s="179">
        <f>IFERROR(_xlfn.XLOOKUP(TableauRecette[[#This Row],[Ingredients]],TableauIngredients[Ingredients],TableauIngredients[Prix d''achat (kg)],0)*TableauRecette[[#This Row],[poids / unite]],0)</f>
        <v/>
      </c>
      <c r="H36" s="179">
        <f>IFERROR(SUMIFS(TableauRecette[Proportion],TableauRecette[Recette],TableauRecette[[#This Row],[Recette]],TableauRecette[Conditionnement],TableauRecette[[#This Row],[Conditionnement]]),0)</f>
        <v/>
      </c>
      <c r="I36" s="179">
        <f>IFERROR(TableauRecette[[#This Row],[Prix d''achat / kg]],0)</f>
        <v/>
      </c>
      <c r="J36" s="179" t="n"/>
      <c r="K36" s="681" t="n"/>
      <c r="L36" s="682">
        <f>_xlfn.XLOOKUP(TableauRecette[[#This Row],[ID]],TableauProduit[ID],TableauProduit[Total (kg) N1],0,0,1)*TableauRecette[[#This Row],[poids / unite]]</f>
        <v/>
      </c>
      <c r="M36" s="683">
        <f>_xlfn.XLOOKUP(TableauRecette[[#This Row],[ID]],TableauProduit[ID],TableauProduit[Total (kg) N2],0,0,1)*TableauRecette[[#This Row],[poids / unite]]</f>
        <v/>
      </c>
      <c r="N36" s="683">
        <f>_xlfn.XLOOKUP(TableauRecette[[#This Row],[ID]],TableauProduit[ID],TableauProduit[Total (kg) N3],0,0,1)*TableauRecette[[#This Row],[poids / unite]]</f>
        <v/>
      </c>
      <c r="O36" s="683">
        <f>_xlfn.XLOOKUP(TableauRecette[[#This Row],[ID]],TableauProduit[ID],TableauProduit[Total (kg) N4],0,0,1)*TableauRecette[[#This Row],[poids / unite]]</f>
        <v/>
      </c>
      <c r="P36" s="683">
        <f>_xlfn.XLOOKUP(TableauRecette[[#This Row],[ID]],TableauProduit[ID],TableauProduit[Total (kg) N5],0,0,1)*TableauRecette[[#This Row],[poids / unite]]</f>
        <v/>
      </c>
      <c r="Q36" s="683">
        <f>_xlfn.XLOOKUP(TableauRecette[[#This Row],[ID]],TableauProduit[ID],TableauProduit[Total (kg) N6],0,0,1)*TableauRecette[[#This Row],[poids / unite]]</f>
        <v/>
      </c>
      <c r="R36" s="683">
        <f>_xlfn.XLOOKUP(TableauRecette[[#This Row],[ID]],TableauProduit[ID],TableauProduit[Total (kg) N7],0,0,1)*TableauRecette[[#This Row],[poids / unite]]</f>
        <v/>
      </c>
      <c r="S36" s="683">
        <f>_xlfn.XLOOKUP(TableauRecette[[#This Row],[ID]],TableauProduit[ID],TableauProduit[Total (kg) N8],0,0,1)*TableauRecette[[#This Row],[poids / unite]]</f>
        <v/>
      </c>
      <c r="T36" s="683">
        <f>_xlfn.XLOOKUP(TableauRecette[[#This Row],[ID]],TableauProduit[ID],TableauProduit[Total (kg) N9],0,0,1)*TableauRecette[[#This Row],[poids / unite]]</f>
        <v/>
      </c>
    </row>
    <row r="37">
      <c r="A37" s="61" t="inlineStr">
        <is>
          <t>Colombo</t>
        </is>
      </c>
      <c r="B37" s="61">
        <f>TableauRecette[[#This Row],[Recette]]&amp;TableauRecette[[#This Row],[Conditionnement]]</f>
        <v/>
      </c>
      <c r="C37" s="61" t="inlineStr">
        <is>
          <t>Curcuma Moulu</t>
        </is>
      </c>
      <c r="D37" s="185" t="n">
        <v>30</v>
      </c>
      <c r="E37" s="61" t="inlineStr">
        <is>
          <t>Epice 100ml</t>
        </is>
      </c>
      <c r="F37" s="18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7" s="185">
        <f>IFERROR(_xlfn.XLOOKUP(TableauRecette[[#This Row],[Ingredients]],TableauIngredients[Ingredients],TableauIngredients[Prix d''achat (kg)],0)*TableauRecette[[#This Row],[poids / unite]],0)</f>
        <v/>
      </c>
      <c r="H37" s="185">
        <f>IFERROR(SUMIFS(TableauRecette[Proportion],TableauRecette[Recette],TableauRecette[[#This Row],[Recette]],TableauRecette[Conditionnement],TableauRecette[[#This Row],[Conditionnement]]),0)</f>
        <v/>
      </c>
      <c r="I37" s="185">
        <f>IFERROR(TableauRecette[[#This Row],[Prix d''achat / kg]],0)</f>
        <v/>
      </c>
      <c r="J37" s="185" t="n"/>
      <c r="K37" s="702" t="n"/>
      <c r="L37" s="703">
        <f>_xlfn.XLOOKUP(TableauRecette[[#This Row],[ID]],TableauProduit[ID],TableauProduit[Total (kg) N1],0,0,1)*TableauRecette[[#This Row],[poids / unite]]</f>
        <v/>
      </c>
      <c r="M37" s="704">
        <f>_xlfn.XLOOKUP(TableauRecette[[#This Row],[ID]],TableauProduit[ID],TableauProduit[Total (kg) N2],0,0,1)*TableauRecette[[#This Row],[poids / unite]]</f>
        <v/>
      </c>
      <c r="N37" s="704">
        <f>_xlfn.XLOOKUP(TableauRecette[[#This Row],[ID]],TableauProduit[ID],TableauProduit[Total (kg) N3],0,0,1)*TableauRecette[[#This Row],[poids / unite]]</f>
        <v/>
      </c>
      <c r="O37" s="704">
        <f>_xlfn.XLOOKUP(TableauRecette[[#This Row],[ID]],TableauProduit[ID],TableauProduit[Total (kg) N4],0,0,1)*TableauRecette[[#This Row],[poids / unite]]</f>
        <v/>
      </c>
      <c r="P37" s="704">
        <f>_xlfn.XLOOKUP(TableauRecette[[#This Row],[ID]],TableauProduit[ID],TableauProduit[Total (kg) N5],0,0,1)*TableauRecette[[#This Row],[poids / unite]]</f>
        <v/>
      </c>
      <c r="Q37" s="704">
        <f>_xlfn.XLOOKUP(TableauRecette[[#This Row],[ID]],TableauProduit[ID],TableauProduit[Total (kg) N6],0,0,1)*TableauRecette[[#This Row],[poids / unite]]</f>
        <v/>
      </c>
      <c r="R37" s="704">
        <f>_xlfn.XLOOKUP(TableauRecette[[#This Row],[ID]],TableauProduit[ID],TableauProduit[Total (kg) N7],0,0,1)*TableauRecette[[#This Row],[poids / unite]]</f>
        <v/>
      </c>
      <c r="S37" s="704">
        <f>_xlfn.XLOOKUP(TableauRecette[[#This Row],[ID]],TableauProduit[ID],TableauProduit[Total (kg) N8],0,0,1)*TableauRecette[[#This Row],[poids / unite]]</f>
        <v/>
      </c>
      <c r="T37" s="704">
        <f>_xlfn.XLOOKUP(TableauRecette[[#This Row],[ID]],TableauProduit[ID],TableauProduit[Total (kg) N9],0,0,1)*TableauRecette[[#This Row],[poids / unite]]</f>
        <v/>
      </c>
    </row>
    <row r="38">
      <c r="A38" s="61" t="inlineStr">
        <is>
          <t>Colombo</t>
        </is>
      </c>
      <c r="B38" s="61">
        <f>TableauRecette[[#This Row],[Recette]]&amp;TableauRecette[[#This Row],[Conditionnement]]</f>
        <v/>
      </c>
      <c r="C38" s="61" t="inlineStr">
        <is>
          <t>Coriandre Graine</t>
        </is>
      </c>
      <c r="D38" s="185" t="n">
        <v>20</v>
      </c>
      <c r="E38" s="61" t="inlineStr">
        <is>
          <t>Epice 100ml</t>
        </is>
      </c>
      <c r="F38" s="18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8" s="185">
        <f>IFERROR(_xlfn.XLOOKUP(TableauRecette[[#This Row],[Ingredients]],TableauIngredients[Ingredients],TableauIngredients[Prix d''achat (kg)],0)*TableauRecette[[#This Row],[poids / unite]],0)</f>
        <v/>
      </c>
      <c r="H38" s="185">
        <f>IFERROR(SUMIFS(TableauRecette[Proportion],TableauRecette[Recette],TableauRecette[[#This Row],[Recette]],TableauRecette[Conditionnement],TableauRecette[[#This Row],[Conditionnement]]),0)</f>
        <v/>
      </c>
      <c r="I38" s="185">
        <f>IFERROR(TableauRecette[[#This Row],[Prix d''achat / kg]],0)</f>
        <v/>
      </c>
      <c r="J38" s="185" t="n"/>
      <c r="K38" s="702" t="n"/>
      <c r="L38" s="703">
        <f>_xlfn.XLOOKUP(TableauRecette[[#This Row],[ID]],TableauProduit[ID],TableauProduit[Total (kg) N1],0,0,1)*TableauRecette[[#This Row],[poids / unite]]</f>
        <v/>
      </c>
      <c r="M38" s="704">
        <f>_xlfn.XLOOKUP(TableauRecette[[#This Row],[ID]],TableauProduit[ID],TableauProduit[Total (kg) N2],0,0,1)*TableauRecette[[#This Row],[poids / unite]]</f>
        <v/>
      </c>
      <c r="N38" s="704">
        <f>_xlfn.XLOOKUP(TableauRecette[[#This Row],[ID]],TableauProduit[ID],TableauProduit[Total (kg) N3],0,0,1)*TableauRecette[[#This Row],[poids / unite]]</f>
        <v/>
      </c>
      <c r="O38" s="704">
        <f>_xlfn.XLOOKUP(TableauRecette[[#This Row],[ID]],TableauProduit[ID],TableauProduit[Total (kg) N4],0,0,1)*TableauRecette[[#This Row],[poids / unite]]</f>
        <v/>
      </c>
      <c r="P38" s="704">
        <f>_xlfn.XLOOKUP(TableauRecette[[#This Row],[ID]],TableauProduit[ID],TableauProduit[Total (kg) N5],0,0,1)*TableauRecette[[#This Row],[poids / unite]]</f>
        <v/>
      </c>
      <c r="Q38" s="704">
        <f>_xlfn.XLOOKUP(TableauRecette[[#This Row],[ID]],TableauProduit[ID],TableauProduit[Total (kg) N6],0,0,1)*TableauRecette[[#This Row],[poids / unite]]</f>
        <v/>
      </c>
      <c r="R38" s="704">
        <f>_xlfn.XLOOKUP(TableauRecette[[#This Row],[ID]],TableauProduit[ID],TableauProduit[Total (kg) N7],0,0,1)*TableauRecette[[#This Row],[poids / unite]]</f>
        <v/>
      </c>
      <c r="S38" s="704">
        <f>_xlfn.XLOOKUP(TableauRecette[[#This Row],[ID]],TableauProduit[ID],TableauProduit[Total (kg) N8],0,0,1)*TableauRecette[[#This Row],[poids / unite]]</f>
        <v/>
      </c>
      <c r="T38" s="704">
        <f>_xlfn.XLOOKUP(TableauRecette[[#This Row],[ID]],TableauProduit[ID],TableauProduit[Total (kg) N9],0,0,1)*TableauRecette[[#This Row],[poids / unite]]</f>
        <v/>
      </c>
    </row>
    <row r="39">
      <c r="A39" s="61" t="inlineStr">
        <is>
          <t>Colombo</t>
        </is>
      </c>
      <c r="B39" s="61">
        <f>TableauRecette[[#This Row],[Recette]]&amp;TableauRecette[[#This Row],[Conditionnement]]</f>
        <v/>
      </c>
      <c r="C39" s="61" t="inlineStr">
        <is>
          <t>Graine De Moutarde</t>
        </is>
      </c>
      <c r="D39" s="185" t="n">
        <v>20</v>
      </c>
      <c r="E39" s="61" t="inlineStr">
        <is>
          <t>Epice 100ml</t>
        </is>
      </c>
      <c r="F39" s="18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9" s="185">
        <f>IFERROR(_xlfn.XLOOKUP(TableauRecette[[#This Row],[Ingredients]],TableauIngredients[Ingredients],TableauIngredients[Prix d''achat (kg)],0)*TableauRecette[[#This Row],[poids / unite]],0)</f>
        <v/>
      </c>
      <c r="H39" s="185">
        <f>IFERROR(SUMIFS(TableauRecette[Proportion],TableauRecette[Recette],TableauRecette[[#This Row],[Recette]],TableauRecette[Conditionnement],TableauRecette[[#This Row],[Conditionnement]]),0)</f>
        <v/>
      </c>
      <c r="I39" s="185">
        <f>IFERROR(TableauRecette[[#This Row],[Prix d''achat / kg]],0)</f>
        <v/>
      </c>
      <c r="J39" s="185" t="n"/>
      <c r="K39" s="702" t="n"/>
      <c r="L39" s="703">
        <f>_xlfn.XLOOKUP(TableauRecette[[#This Row],[ID]],TableauProduit[ID],TableauProduit[Total (kg) N1],0,0,1)*TableauRecette[[#This Row],[poids / unite]]</f>
        <v/>
      </c>
      <c r="M39" s="704">
        <f>_xlfn.XLOOKUP(TableauRecette[[#This Row],[ID]],TableauProduit[ID],TableauProduit[Total (kg) N2],0,0,1)*TableauRecette[[#This Row],[poids / unite]]</f>
        <v/>
      </c>
      <c r="N39" s="704">
        <f>_xlfn.XLOOKUP(TableauRecette[[#This Row],[ID]],TableauProduit[ID],TableauProduit[Total (kg) N3],0,0,1)*TableauRecette[[#This Row],[poids / unite]]</f>
        <v/>
      </c>
      <c r="O39" s="704">
        <f>_xlfn.XLOOKUP(TableauRecette[[#This Row],[ID]],TableauProduit[ID],TableauProduit[Total (kg) N4],0,0,1)*TableauRecette[[#This Row],[poids / unite]]</f>
        <v/>
      </c>
      <c r="P39" s="704">
        <f>_xlfn.XLOOKUP(TableauRecette[[#This Row],[ID]],TableauProduit[ID],TableauProduit[Total (kg) N5],0,0,1)*TableauRecette[[#This Row],[poids / unite]]</f>
        <v/>
      </c>
      <c r="Q39" s="704">
        <f>_xlfn.XLOOKUP(TableauRecette[[#This Row],[ID]],TableauProduit[ID],TableauProduit[Total (kg) N6],0,0,1)*TableauRecette[[#This Row],[poids / unite]]</f>
        <v/>
      </c>
      <c r="R39" s="704">
        <f>_xlfn.XLOOKUP(TableauRecette[[#This Row],[ID]],TableauProduit[ID],TableauProduit[Total (kg) N7],0,0,1)*TableauRecette[[#This Row],[poids / unite]]</f>
        <v/>
      </c>
      <c r="S39" s="704">
        <f>_xlfn.XLOOKUP(TableauRecette[[#This Row],[ID]],TableauProduit[ID],TableauProduit[Total (kg) N8],0,0,1)*TableauRecette[[#This Row],[poids / unite]]</f>
        <v/>
      </c>
      <c r="T39" s="704">
        <f>_xlfn.XLOOKUP(TableauRecette[[#This Row],[ID]],TableauProduit[ID],TableauProduit[Total (kg) N9],0,0,1)*TableauRecette[[#This Row],[poids / unite]]</f>
        <v/>
      </c>
    </row>
    <row r="40">
      <c r="A40" s="61" t="inlineStr">
        <is>
          <t>Colombo</t>
        </is>
      </c>
      <c r="B40" s="61">
        <f>TableauRecette[[#This Row],[Recette]]&amp;TableauRecette[[#This Row],[Conditionnement]]</f>
        <v/>
      </c>
      <c r="C40" s="61" t="inlineStr">
        <is>
          <t>Cumin Moulu</t>
        </is>
      </c>
      <c r="D40" s="185" t="n">
        <v>10</v>
      </c>
      <c r="E40" s="61" t="inlineStr">
        <is>
          <t>Epice 100ml</t>
        </is>
      </c>
      <c r="F40" s="18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0" s="185">
        <f>IFERROR(_xlfn.XLOOKUP(TableauRecette[[#This Row],[Ingredients]],TableauIngredients[Ingredients],TableauIngredients[Prix d''achat (kg)],0)*TableauRecette[[#This Row],[poids / unite]],0)</f>
        <v/>
      </c>
      <c r="H40" s="185">
        <f>IFERROR(SUMIFS(TableauRecette[Proportion],TableauRecette[Recette],TableauRecette[[#This Row],[Recette]],TableauRecette[Conditionnement],TableauRecette[[#This Row],[Conditionnement]]),0)</f>
        <v/>
      </c>
      <c r="I40" s="185">
        <f>IFERROR(TableauRecette[[#This Row],[Prix d''achat / kg]],0)</f>
        <v/>
      </c>
      <c r="J40" s="185" t="n"/>
      <c r="K40" s="702" t="n"/>
      <c r="L40" s="703">
        <f>_xlfn.XLOOKUP(TableauRecette[[#This Row],[ID]],TableauProduit[ID],TableauProduit[Total (kg) N1],0,0,1)*TableauRecette[[#This Row],[poids / unite]]</f>
        <v/>
      </c>
      <c r="M40" s="704">
        <f>_xlfn.XLOOKUP(TableauRecette[[#This Row],[ID]],TableauProduit[ID],TableauProduit[Total (kg) N2],0,0,1)*TableauRecette[[#This Row],[poids / unite]]</f>
        <v/>
      </c>
      <c r="N40" s="704">
        <f>_xlfn.XLOOKUP(TableauRecette[[#This Row],[ID]],TableauProduit[ID],TableauProduit[Total (kg) N3],0,0,1)*TableauRecette[[#This Row],[poids / unite]]</f>
        <v/>
      </c>
      <c r="O40" s="704">
        <f>_xlfn.XLOOKUP(TableauRecette[[#This Row],[ID]],TableauProduit[ID],TableauProduit[Total (kg) N4],0,0,1)*TableauRecette[[#This Row],[poids / unite]]</f>
        <v/>
      </c>
      <c r="P40" s="704">
        <f>_xlfn.XLOOKUP(TableauRecette[[#This Row],[ID]],TableauProduit[ID],TableauProduit[Total (kg) N5],0,0,1)*TableauRecette[[#This Row],[poids / unite]]</f>
        <v/>
      </c>
      <c r="Q40" s="704">
        <f>_xlfn.XLOOKUP(TableauRecette[[#This Row],[ID]],TableauProduit[ID],TableauProduit[Total (kg) N6],0,0,1)*TableauRecette[[#This Row],[poids / unite]]</f>
        <v/>
      </c>
      <c r="R40" s="704">
        <f>_xlfn.XLOOKUP(TableauRecette[[#This Row],[ID]],TableauProduit[ID],TableauProduit[Total (kg) N7],0,0,1)*TableauRecette[[#This Row],[poids / unite]]</f>
        <v/>
      </c>
      <c r="S40" s="704">
        <f>_xlfn.XLOOKUP(TableauRecette[[#This Row],[ID]],TableauProduit[ID],TableauProduit[Total (kg) N8],0,0,1)*TableauRecette[[#This Row],[poids / unite]]</f>
        <v/>
      </c>
      <c r="T40" s="704">
        <f>_xlfn.XLOOKUP(TableauRecette[[#This Row],[ID]],TableauProduit[ID],TableauProduit[Total (kg) N9],0,0,1)*TableauRecette[[#This Row],[poids / unite]]</f>
        <v/>
      </c>
    </row>
    <row r="41">
      <c r="A41" s="61" t="inlineStr">
        <is>
          <t>Colombo</t>
        </is>
      </c>
      <c r="B41" s="61">
        <f>TableauRecette[[#This Row],[Recette]]&amp;TableauRecette[[#This Row],[Conditionnement]]</f>
        <v/>
      </c>
      <c r="C41" s="61" t="inlineStr">
        <is>
          <t>Gingembre Sec</t>
        </is>
      </c>
      <c r="D41" s="185" t="n">
        <v>10</v>
      </c>
      <c r="E41" s="61" t="inlineStr">
        <is>
          <t>Epice 100ml</t>
        </is>
      </c>
      <c r="F41" s="18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1" s="185">
        <f>IFERROR(_xlfn.XLOOKUP(TableauRecette[[#This Row],[Ingredients]],TableauIngredients[Ingredients],TableauIngredients[Prix d''achat (kg)],0)*TableauRecette[[#This Row],[poids / unite]],0)</f>
        <v/>
      </c>
      <c r="H41" s="185">
        <f>IFERROR(SUMIFS(TableauRecette[Proportion],TableauRecette[Recette],TableauRecette[[#This Row],[Recette]],TableauRecette[Conditionnement],TableauRecette[[#This Row],[Conditionnement]]),0)</f>
        <v/>
      </c>
      <c r="I41" s="185">
        <f>IFERROR(TableauRecette[[#This Row],[Prix d''achat / kg]],0)</f>
        <v/>
      </c>
      <c r="J41" s="185" t="n"/>
      <c r="K41" s="702" t="n"/>
      <c r="L41" s="703">
        <f>_xlfn.XLOOKUP(TableauRecette[[#This Row],[ID]],TableauProduit[ID],TableauProduit[Total (kg) N1],0,0,1)*TableauRecette[[#This Row],[poids / unite]]</f>
        <v/>
      </c>
      <c r="M41" s="704">
        <f>_xlfn.XLOOKUP(TableauRecette[[#This Row],[ID]],TableauProduit[ID],TableauProduit[Total (kg) N2],0,0,1)*TableauRecette[[#This Row],[poids / unite]]</f>
        <v/>
      </c>
      <c r="N41" s="704">
        <f>_xlfn.XLOOKUP(TableauRecette[[#This Row],[ID]],TableauProduit[ID],TableauProduit[Total (kg) N3],0,0,1)*TableauRecette[[#This Row],[poids / unite]]</f>
        <v/>
      </c>
      <c r="O41" s="704">
        <f>_xlfn.XLOOKUP(TableauRecette[[#This Row],[ID]],TableauProduit[ID],TableauProduit[Total (kg) N4],0,0,1)*TableauRecette[[#This Row],[poids / unite]]</f>
        <v/>
      </c>
      <c r="P41" s="704">
        <f>_xlfn.XLOOKUP(TableauRecette[[#This Row],[ID]],TableauProduit[ID],TableauProduit[Total (kg) N5],0,0,1)*TableauRecette[[#This Row],[poids / unite]]</f>
        <v/>
      </c>
      <c r="Q41" s="704">
        <f>_xlfn.XLOOKUP(TableauRecette[[#This Row],[ID]],TableauProduit[ID],TableauProduit[Total (kg) N6],0,0,1)*TableauRecette[[#This Row],[poids / unite]]</f>
        <v/>
      </c>
      <c r="R41" s="704">
        <f>_xlfn.XLOOKUP(TableauRecette[[#This Row],[ID]],TableauProduit[ID],TableauProduit[Total (kg) N7],0,0,1)*TableauRecette[[#This Row],[poids / unite]]</f>
        <v/>
      </c>
      <c r="S41" s="704">
        <f>_xlfn.XLOOKUP(TableauRecette[[#This Row],[ID]],TableauProduit[ID],TableauProduit[Total (kg) N8],0,0,1)*TableauRecette[[#This Row],[poids / unite]]</f>
        <v/>
      </c>
      <c r="T41" s="704">
        <f>_xlfn.XLOOKUP(TableauRecette[[#This Row],[ID]],TableauProduit[ID],TableauProduit[Total (kg) N9],0,0,1)*TableauRecette[[#This Row],[poids / unite]]</f>
        <v/>
      </c>
    </row>
    <row r="42">
      <c r="A42" s="61" t="inlineStr">
        <is>
          <t>Colombo</t>
        </is>
      </c>
      <c r="B42" s="61">
        <f>TableauRecette[[#This Row],[Recette]]&amp;TableauRecette[[#This Row],[Conditionnement]]</f>
        <v/>
      </c>
      <c r="C42" s="61" t="inlineStr">
        <is>
          <t>Poivre Noir</t>
        </is>
      </c>
      <c r="D42" s="185" t="n">
        <v>10</v>
      </c>
      <c r="E42" s="61" t="inlineStr">
        <is>
          <t>Epice 100ml</t>
        </is>
      </c>
      <c r="F42" s="18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2" s="185">
        <f>IFERROR(_xlfn.XLOOKUP(TableauRecette[[#This Row],[Ingredients]],TableauIngredients[Ingredients],TableauIngredients[Prix d''achat (kg)],0)*TableauRecette[[#This Row],[poids / unite]],0)</f>
        <v/>
      </c>
      <c r="H42" s="185">
        <f>IFERROR(SUMIFS(TableauRecette[Proportion],TableauRecette[Recette],TableauRecette[[#This Row],[Recette]],TableauRecette[Conditionnement],TableauRecette[[#This Row],[Conditionnement]]),0)</f>
        <v/>
      </c>
      <c r="I42" s="185">
        <f>IFERROR(TableauRecette[[#This Row],[Prix d''achat / kg]],0)</f>
        <v/>
      </c>
      <c r="J42" s="185" t="n"/>
      <c r="K42" s="702" t="n"/>
      <c r="L42" s="703">
        <f>_xlfn.XLOOKUP(TableauRecette[[#This Row],[ID]],TableauProduit[ID],TableauProduit[Total (kg) N1],0,0,1)*TableauRecette[[#This Row],[poids / unite]]</f>
        <v/>
      </c>
      <c r="M42" s="704">
        <f>_xlfn.XLOOKUP(TableauRecette[[#This Row],[ID]],TableauProduit[ID],TableauProduit[Total (kg) N2],0,0,1)*TableauRecette[[#This Row],[poids / unite]]</f>
        <v/>
      </c>
      <c r="N42" s="704">
        <f>_xlfn.XLOOKUP(TableauRecette[[#This Row],[ID]],TableauProduit[ID],TableauProduit[Total (kg) N3],0,0,1)*TableauRecette[[#This Row],[poids / unite]]</f>
        <v/>
      </c>
      <c r="O42" s="704">
        <f>_xlfn.XLOOKUP(TableauRecette[[#This Row],[ID]],TableauProduit[ID],TableauProduit[Total (kg) N4],0,0,1)*TableauRecette[[#This Row],[poids / unite]]</f>
        <v/>
      </c>
      <c r="P42" s="704">
        <f>_xlfn.XLOOKUP(TableauRecette[[#This Row],[ID]],TableauProduit[ID],TableauProduit[Total (kg) N5],0,0,1)*TableauRecette[[#This Row],[poids / unite]]</f>
        <v/>
      </c>
      <c r="Q42" s="704">
        <f>_xlfn.XLOOKUP(TableauRecette[[#This Row],[ID]],TableauProduit[ID],TableauProduit[Total (kg) N6],0,0,1)*TableauRecette[[#This Row],[poids / unite]]</f>
        <v/>
      </c>
      <c r="R42" s="704">
        <f>_xlfn.XLOOKUP(TableauRecette[[#This Row],[ID]],TableauProduit[ID],TableauProduit[Total (kg) N7],0,0,1)*TableauRecette[[#This Row],[poids / unite]]</f>
        <v/>
      </c>
      <c r="S42" s="704">
        <f>_xlfn.XLOOKUP(TableauRecette[[#This Row],[ID]],TableauProduit[ID],TableauProduit[Total (kg) N8],0,0,1)*TableauRecette[[#This Row],[poids / unite]]</f>
        <v/>
      </c>
      <c r="T42" s="704">
        <f>_xlfn.XLOOKUP(TableauRecette[[#This Row],[ID]],TableauProduit[ID],TableauProduit[Total (kg) N9],0,0,1)*TableauRecette[[#This Row],[poids / unite]]</f>
        <v/>
      </c>
    </row>
    <row r="43">
      <c r="A43" s="61" t="inlineStr">
        <is>
          <t>Colombo</t>
        </is>
      </c>
      <c r="B43" s="61">
        <f>TableauRecette[[#This Row],[Recette]]&amp;TableauRecette[[#This Row],[Conditionnement]]</f>
        <v/>
      </c>
      <c r="C43" s="61" t="inlineStr">
        <is>
          <t>Graine De Fenugrec</t>
        </is>
      </c>
      <c r="D43" s="185" t="n">
        <v>5</v>
      </c>
      <c r="E43" s="61" t="inlineStr">
        <is>
          <t>Epice 100ml</t>
        </is>
      </c>
      <c r="F43" s="18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3" s="185">
        <f>IFERROR(_xlfn.XLOOKUP(TableauRecette[[#This Row],[Ingredients]],TableauIngredients[Ingredients],TableauIngredients[Prix d''achat (kg)],0)*TableauRecette[[#This Row],[poids / unite]],0)</f>
        <v/>
      </c>
      <c r="H43" s="185">
        <f>IFERROR(SUMIFS(TableauRecette[Proportion],TableauRecette[Recette],TableauRecette[[#This Row],[Recette]],TableauRecette[Conditionnement],TableauRecette[[#This Row],[Conditionnement]]),0)</f>
        <v/>
      </c>
      <c r="I43" s="185">
        <f>IFERROR(TableauRecette[[#This Row],[Prix d''achat / kg]],0)</f>
        <v/>
      </c>
      <c r="J43" s="185" t="n"/>
      <c r="K43" s="702" t="n"/>
      <c r="L43" s="703">
        <f>_xlfn.XLOOKUP(TableauRecette[[#This Row],[ID]],TableauProduit[ID],TableauProduit[Total (kg) N1],0,0,1)*TableauRecette[[#This Row],[poids / unite]]</f>
        <v/>
      </c>
      <c r="M43" s="704">
        <f>_xlfn.XLOOKUP(TableauRecette[[#This Row],[ID]],TableauProduit[ID],TableauProduit[Total (kg) N2],0,0,1)*TableauRecette[[#This Row],[poids / unite]]</f>
        <v/>
      </c>
      <c r="N43" s="704">
        <f>_xlfn.XLOOKUP(TableauRecette[[#This Row],[ID]],TableauProduit[ID],TableauProduit[Total (kg) N3],0,0,1)*TableauRecette[[#This Row],[poids / unite]]</f>
        <v/>
      </c>
      <c r="O43" s="704">
        <f>_xlfn.XLOOKUP(TableauRecette[[#This Row],[ID]],TableauProduit[ID],TableauProduit[Total (kg) N4],0,0,1)*TableauRecette[[#This Row],[poids / unite]]</f>
        <v/>
      </c>
      <c r="P43" s="704">
        <f>_xlfn.XLOOKUP(TableauRecette[[#This Row],[ID]],TableauProduit[ID],TableauProduit[Total (kg) N5],0,0,1)*TableauRecette[[#This Row],[poids / unite]]</f>
        <v/>
      </c>
      <c r="Q43" s="704">
        <f>_xlfn.XLOOKUP(TableauRecette[[#This Row],[ID]],TableauProduit[ID],TableauProduit[Total (kg) N6],0,0,1)*TableauRecette[[#This Row],[poids / unite]]</f>
        <v/>
      </c>
      <c r="R43" s="704">
        <f>_xlfn.XLOOKUP(TableauRecette[[#This Row],[ID]],TableauProduit[ID],TableauProduit[Total (kg) N7],0,0,1)*TableauRecette[[#This Row],[poids / unite]]</f>
        <v/>
      </c>
      <c r="S43" s="704">
        <f>_xlfn.XLOOKUP(TableauRecette[[#This Row],[ID]],TableauProduit[ID],TableauProduit[Total (kg) N8],0,0,1)*TableauRecette[[#This Row],[poids / unite]]</f>
        <v/>
      </c>
      <c r="T43" s="704">
        <f>_xlfn.XLOOKUP(TableauRecette[[#This Row],[ID]],TableauProduit[ID],TableauProduit[Total (kg) N9],0,0,1)*TableauRecette[[#This Row],[poids / unite]]</f>
        <v/>
      </c>
    </row>
    <row r="44">
      <c r="A44" s="61" t="inlineStr">
        <is>
          <t>Colombo</t>
        </is>
      </c>
      <c r="B44" s="61">
        <f>TableauRecette[[#This Row],[Recette]]&amp;TableauRecette[[#This Row],[Conditionnement]]</f>
        <v/>
      </c>
      <c r="C44" s="61" t="inlineStr">
        <is>
          <t>Graine De Cardamone</t>
        </is>
      </c>
      <c r="D44" s="185" t="n">
        <v>5</v>
      </c>
      <c r="E44" s="61" t="inlineStr">
        <is>
          <t>Epice 100ml</t>
        </is>
      </c>
      <c r="F44" s="18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4" s="185">
        <f>IFERROR(_xlfn.XLOOKUP(TableauRecette[[#This Row],[Ingredients]],TableauIngredients[Ingredients],TableauIngredients[Prix d''achat (kg)],0)*TableauRecette[[#This Row],[poids / unite]],0)</f>
        <v/>
      </c>
      <c r="H44" s="185">
        <f>IFERROR(SUMIFS(TableauRecette[Proportion],TableauRecette[Recette],TableauRecette[[#This Row],[Recette]],TableauRecette[Conditionnement],TableauRecette[[#This Row],[Conditionnement]]),0)</f>
        <v/>
      </c>
      <c r="I44" s="185">
        <f>IFERROR(TableauRecette[[#This Row],[Prix d''achat / kg]],0)</f>
        <v/>
      </c>
      <c r="J44" s="185" t="n"/>
      <c r="K44" s="702" t="n"/>
      <c r="L44" s="703">
        <f>_xlfn.XLOOKUP(TableauRecette[[#This Row],[ID]],TableauProduit[ID],TableauProduit[Total (kg) N1],0,0,1)*TableauRecette[[#This Row],[poids / unite]]</f>
        <v/>
      </c>
      <c r="M44" s="704">
        <f>_xlfn.XLOOKUP(TableauRecette[[#This Row],[ID]],TableauProduit[ID],TableauProduit[Total (kg) N2],0,0,1)*TableauRecette[[#This Row],[poids / unite]]</f>
        <v/>
      </c>
      <c r="N44" s="704">
        <f>_xlfn.XLOOKUP(TableauRecette[[#This Row],[ID]],TableauProduit[ID],TableauProduit[Total (kg) N3],0,0,1)*TableauRecette[[#This Row],[poids / unite]]</f>
        <v/>
      </c>
      <c r="O44" s="704">
        <f>_xlfn.XLOOKUP(TableauRecette[[#This Row],[ID]],TableauProduit[ID],TableauProduit[Total (kg) N4],0,0,1)*TableauRecette[[#This Row],[poids / unite]]</f>
        <v/>
      </c>
      <c r="P44" s="704">
        <f>_xlfn.XLOOKUP(TableauRecette[[#This Row],[ID]],TableauProduit[ID],TableauProduit[Total (kg) N5],0,0,1)*TableauRecette[[#This Row],[poids / unite]]</f>
        <v/>
      </c>
      <c r="Q44" s="704">
        <f>_xlfn.XLOOKUP(TableauRecette[[#This Row],[ID]],TableauProduit[ID],TableauProduit[Total (kg) N6],0,0,1)*TableauRecette[[#This Row],[poids / unite]]</f>
        <v/>
      </c>
      <c r="R44" s="704">
        <f>_xlfn.XLOOKUP(TableauRecette[[#This Row],[ID]],TableauProduit[ID],TableauProduit[Total (kg) N7],0,0,1)*TableauRecette[[#This Row],[poids / unite]]</f>
        <v/>
      </c>
      <c r="S44" s="704">
        <f>_xlfn.XLOOKUP(TableauRecette[[#This Row],[ID]],TableauProduit[ID],TableauProduit[Total (kg) N8],0,0,1)*TableauRecette[[#This Row],[poids / unite]]</f>
        <v/>
      </c>
      <c r="T44" s="704">
        <f>_xlfn.XLOOKUP(TableauRecette[[#This Row],[ID]],TableauProduit[ID],TableauProduit[Total (kg) N9],0,0,1)*TableauRecette[[#This Row],[poids / unite]]</f>
        <v/>
      </c>
    </row>
    <row r="45">
      <c r="A45" s="61" t="inlineStr">
        <is>
          <t>Colombo</t>
        </is>
      </c>
      <c r="B45" s="61">
        <f>TableauRecette[[#This Row],[Recette]]&amp;TableauRecette[[#This Row],[Conditionnement]]</f>
        <v/>
      </c>
      <c r="C45" s="61" t="inlineStr">
        <is>
          <t>Graine De Fenouil</t>
        </is>
      </c>
      <c r="D45" s="185" t="n">
        <v>4</v>
      </c>
      <c r="E45" s="61" t="inlineStr">
        <is>
          <t>Epice 100ml</t>
        </is>
      </c>
      <c r="F45" s="18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5" s="185">
        <f>IFERROR(_xlfn.XLOOKUP(TableauRecette[[#This Row],[Ingredients]],TableauIngredients[Ingredients],TableauIngredients[Prix d''achat (kg)],0)*TableauRecette[[#This Row],[poids / unite]],0)</f>
        <v/>
      </c>
      <c r="H45" s="185">
        <f>IFERROR(SUMIFS(TableauRecette[Proportion],TableauRecette[Recette],TableauRecette[[#This Row],[Recette]],TableauRecette[Conditionnement],TableauRecette[[#This Row],[Conditionnement]]),0)</f>
        <v/>
      </c>
      <c r="I45" s="185">
        <f>IFERROR(TableauRecette[[#This Row],[Prix d''achat / kg]],0)</f>
        <v/>
      </c>
      <c r="J45" s="185" t="n"/>
      <c r="K45" s="702" t="n"/>
      <c r="L45" s="703">
        <f>_xlfn.XLOOKUP(TableauRecette[[#This Row],[ID]],TableauProduit[ID],TableauProduit[Total (kg) N1],0,0,1)*TableauRecette[[#This Row],[poids / unite]]</f>
        <v/>
      </c>
      <c r="M45" s="704">
        <f>_xlfn.XLOOKUP(TableauRecette[[#This Row],[ID]],TableauProduit[ID],TableauProduit[Total (kg) N2],0,0,1)*TableauRecette[[#This Row],[poids / unite]]</f>
        <v/>
      </c>
      <c r="N45" s="704">
        <f>_xlfn.XLOOKUP(TableauRecette[[#This Row],[ID]],TableauProduit[ID],TableauProduit[Total (kg) N3],0,0,1)*TableauRecette[[#This Row],[poids / unite]]</f>
        <v/>
      </c>
      <c r="O45" s="704">
        <f>_xlfn.XLOOKUP(TableauRecette[[#This Row],[ID]],TableauProduit[ID],TableauProduit[Total (kg) N4],0,0,1)*TableauRecette[[#This Row],[poids / unite]]</f>
        <v/>
      </c>
      <c r="P45" s="704">
        <f>_xlfn.XLOOKUP(TableauRecette[[#This Row],[ID]],TableauProduit[ID],TableauProduit[Total (kg) N5],0,0,1)*TableauRecette[[#This Row],[poids / unite]]</f>
        <v/>
      </c>
      <c r="Q45" s="704">
        <f>_xlfn.XLOOKUP(TableauRecette[[#This Row],[ID]],TableauProduit[ID],TableauProduit[Total (kg) N6],0,0,1)*TableauRecette[[#This Row],[poids / unite]]</f>
        <v/>
      </c>
      <c r="R45" s="704">
        <f>_xlfn.XLOOKUP(TableauRecette[[#This Row],[ID]],TableauProduit[ID],TableauProduit[Total (kg) N7],0,0,1)*TableauRecette[[#This Row],[poids / unite]]</f>
        <v/>
      </c>
      <c r="S45" s="704">
        <f>_xlfn.XLOOKUP(TableauRecette[[#This Row],[ID]],TableauProduit[ID],TableauProduit[Total (kg) N8],0,0,1)*TableauRecette[[#This Row],[poids / unite]]</f>
        <v/>
      </c>
      <c r="T45" s="704">
        <f>_xlfn.XLOOKUP(TableauRecette[[#This Row],[ID]],TableauProduit[ID],TableauProduit[Total (kg) N9],0,0,1)*TableauRecette[[#This Row],[poids / unite]]</f>
        <v/>
      </c>
    </row>
    <row r="46">
      <c r="A46" s="61" t="inlineStr">
        <is>
          <t>Colombo</t>
        </is>
      </c>
      <c r="B46" s="61">
        <f>TableauRecette[[#This Row],[Recette]]&amp;TableauRecette[[#This Row],[Conditionnement]]</f>
        <v/>
      </c>
      <c r="C46" s="61" t="inlineStr">
        <is>
          <t>Anis Étoilé</t>
        </is>
      </c>
      <c r="D46" s="185" t="n">
        <v>3</v>
      </c>
      <c r="E46" s="61" t="inlineStr">
        <is>
          <t>Epice 100ml</t>
        </is>
      </c>
      <c r="F46" s="18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6" s="185">
        <f>IFERROR(_xlfn.XLOOKUP(TableauRecette[[#This Row],[Ingredients]],TableauIngredients[Ingredients],TableauIngredients[Prix d''achat (kg)],0)*TableauRecette[[#This Row],[poids / unite]],0)</f>
        <v/>
      </c>
      <c r="H46" s="185">
        <f>IFERROR(SUMIFS(TableauRecette[Proportion],TableauRecette[Recette],TableauRecette[[#This Row],[Recette]],TableauRecette[Conditionnement],TableauRecette[[#This Row],[Conditionnement]]),0)</f>
        <v/>
      </c>
      <c r="I46" s="185">
        <f>IFERROR(TableauRecette[[#This Row],[Prix d''achat / kg]],0)</f>
        <v/>
      </c>
      <c r="J46" s="185" t="n"/>
      <c r="K46" s="702" t="n"/>
      <c r="L46" s="703">
        <f>_xlfn.XLOOKUP(TableauRecette[[#This Row],[ID]],TableauProduit[ID],TableauProduit[Total (kg) N1],0,0,1)*TableauRecette[[#This Row],[poids / unite]]</f>
        <v/>
      </c>
      <c r="M46" s="704">
        <f>_xlfn.XLOOKUP(TableauRecette[[#This Row],[ID]],TableauProduit[ID],TableauProduit[Total (kg) N2],0,0,1)*TableauRecette[[#This Row],[poids / unite]]</f>
        <v/>
      </c>
      <c r="N46" s="704">
        <f>_xlfn.XLOOKUP(TableauRecette[[#This Row],[ID]],TableauProduit[ID],TableauProduit[Total (kg) N3],0,0,1)*TableauRecette[[#This Row],[poids / unite]]</f>
        <v/>
      </c>
      <c r="O46" s="704">
        <f>_xlfn.XLOOKUP(TableauRecette[[#This Row],[ID]],TableauProduit[ID],TableauProduit[Total (kg) N4],0,0,1)*TableauRecette[[#This Row],[poids / unite]]</f>
        <v/>
      </c>
      <c r="P46" s="704">
        <f>_xlfn.XLOOKUP(TableauRecette[[#This Row],[ID]],TableauProduit[ID],TableauProduit[Total (kg) N5],0,0,1)*TableauRecette[[#This Row],[poids / unite]]</f>
        <v/>
      </c>
      <c r="Q46" s="704">
        <f>_xlfn.XLOOKUP(TableauRecette[[#This Row],[ID]],TableauProduit[ID],TableauProduit[Total (kg) N6],0,0,1)*TableauRecette[[#This Row],[poids / unite]]</f>
        <v/>
      </c>
      <c r="R46" s="704">
        <f>_xlfn.XLOOKUP(TableauRecette[[#This Row],[ID]],TableauProduit[ID],TableauProduit[Total (kg) N7],0,0,1)*TableauRecette[[#This Row],[poids / unite]]</f>
        <v/>
      </c>
      <c r="S46" s="704">
        <f>_xlfn.XLOOKUP(TableauRecette[[#This Row],[ID]],TableauProduit[ID],TableauProduit[Total (kg) N8],0,0,1)*TableauRecette[[#This Row],[poids / unite]]</f>
        <v/>
      </c>
      <c r="T46" s="704">
        <f>_xlfn.XLOOKUP(TableauRecette[[#This Row],[ID]],TableauProduit[ID],TableauProduit[Total (kg) N9],0,0,1)*TableauRecette[[#This Row],[poids / unite]]</f>
        <v/>
      </c>
    </row>
    <row r="47">
      <c r="A47" s="61" t="inlineStr">
        <is>
          <t>Colombo</t>
        </is>
      </c>
      <c r="B47" s="61">
        <f>TableauRecette[[#This Row],[Recette]]&amp;TableauRecette[[#This Row],[Conditionnement]]</f>
        <v/>
      </c>
      <c r="C47" s="61" t="inlineStr">
        <is>
          <t>Muscade</t>
        </is>
      </c>
      <c r="D47" s="185" t="n">
        <v>1</v>
      </c>
      <c r="E47" s="61" t="inlineStr">
        <is>
          <t>Epice 100ml</t>
        </is>
      </c>
      <c r="F47" s="18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7" s="185">
        <f>IFERROR(_xlfn.XLOOKUP(TableauRecette[[#This Row],[Ingredients]],TableauIngredients[Ingredients],TableauIngredients[Prix d''achat (kg)],0)*TableauRecette[[#This Row],[poids / unite]],0)</f>
        <v/>
      </c>
      <c r="H47" s="185">
        <f>IFERROR(SUMIFS(TableauRecette[Proportion],TableauRecette[Recette],TableauRecette[[#This Row],[Recette]],TableauRecette[Conditionnement],TableauRecette[[#This Row],[Conditionnement]]),0)</f>
        <v/>
      </c>
      <c r="I47" s="185">
        <f>IFERROR(TableauRecette[[#This Row],[Prix d''achat / kg]],0)</f>
        <v/>
      </c>
      <c r="J47" s="185" t="n"/>
      <c r="K47" s="702" t="n"/>
      <c r="L47" s="703">
        <f>_xlfn.XLOOKUP(TableauRecette[[#This Row],[ID]],TableauProduit[ID],TableauProduit[Total (kg) N1],0,0,1)*TableauRecette[[#This Row],[poids / unite]]</f>
        <v/>
      </c>
      <c r="M47" s="704">
        <f>_xlfn.XLOOKUP(TableauRecette[[#This Row],[ID]],TableauProduit[ID],TableauProduit[Total (kg) N2],0,0,1)*TableauRecette[[#This Row],[poids / unite]]</f>
        <v/>
      </c>
      <c r="N47" s="704">
        <f>_xlfn.XLOOKUP(TableauRecette[[#This Row],[ID]],TableauProduit[ID],TableauProduit[Total (kg) N3],0,0,1)*TableauRecette[[#This Row],[poids / unite]]</f>
        <v/>
      </c>
      <c r="O47" s="704">
        <f>_xlfn.XLOOKUP(TableauRecette[[#This Row],[ID]],TableauProduit[ID],TableauProduit[Total (kg) N4],0,0,1)*TableauRecette[[#This Row],[poids / unite]]</f>
        <v/>
      </c>
      <c r="P47" s="704">
        <f>_xlfn.XLOOKUP(TableauRecette[[#This Row],[ID]],TableauProduit[ID],TableauProduit[Total (kg) N5],0,0,1)*TableauRecette[[#This Row],[poids / unite]]</f>
        <v/>
      </c>
      <c r="Q47" s="704">
        <f>_xlfn.XLOOKUP(TableauRecette[[#This Row],[ID]],TableauProduit[ID],TableauProduit[Total (kg) N6],0,0,1)*TableauRecette[[#This Row],[poids / unite]]</f>
        <v/>
      </c>
      <c r="R47" s="704">
        <f>_xlfn.XLOOKUP(TableauRecette[[#This Row],[ID]],TableauProduit[ID],TableauProduit[Total (kg) N7],0,0,1)*TableauRecette[[#This Row],[poids / unite]]</f>
        <v/>
      </c>
      <c r="S47" s="704">
        <f>_xlfn.XLOOKUP(TableauRecette[[#This Row],[ID]],TableauProduit[ID],TableauProduit[Total (kg) N8],0,0,1)*TableauRecette[[#This Row],[poids / unite]]</f>
        <v/>
      </c>
      <c r="T47" s="704">
        <f>_xlfn.XLOOKUP(TableauRecette[[#This Row],[ID]],TableauProduit[ID],TableauProduit[Total (kg) N9],0,0,1)*TableauRecette[[#This Row],[poids / unite]]</f>
        <v/>
      </c>
    </row>
    <row r="48">
      <c r="A48" s="61" t="inlineStr">
        <is>
          <t>Colombo</t>
        </is>
      </c>
      <c r="B48" s="61">
        <f>TableauRecette[[#This Row],[Recette]]&amp;TableauRecette[[#This Row],[Conditionnement]]</f>
        <v/>
      </c>
      <c r="C48" s="61" t="inlineStr">
        <is>
          <t>Piment Doux Rouge En Poudre</t>
        </is>
      </c>
      <c r="D48" s="185" t="n">
        <v>15</v>
      </c>
      <c r="E48" s="61" t="inlineStr">
        <is>
          <t>Epice 100ml</t>
        </is>
      </c>
      <c r="F48" s="18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8" s="185">
        <f>IFERROR(_xlfn.XLOOKUP(TableauRecette[[#This Row],[Ingredients]],TableauIngredients[Ingredients],TableauIngredients[Prix d''achat (kg)],0)*TableauRecette[[#This Row],[poids / unite]],0)</f>
        <v/>
      </c>
      <c r="H48" s="185">
        <f>IFERROR(SUMIFS(TableauRecette[Proportion],TableauRecette[Recette],TableauRecette[[#This Row],[Recette]],TableauRecette[Conditionnement],TableauRecette[[#This Row],[Conditionnement]]),0)</f>
        <v/>
      </c>
      <c r="I48" s="185">
        <f>IFERROR(TableauRecette[[#This Row],[Prix d''achat / kg]],0)</f>
        <v/>
      </c>
      <c r="J48" s="185" t="n"/>
      <c r="K48" s="702" t="n"/>
      <c r="L48" s="703">
        <f>_xlfn.XLOOKUP(TableauRecette[[#This Row],[ID]],TableauProduit[ID],TableauProduit[Total (kg) N1],0,0,1)*TableauRecette[[#This Row],[poids / unite]]</f>
        <v/>
      </c>
      <c r="M48" s="704">
        <f>_xlfn.XLOOKUP(TableauRecette[[#This Row],[ID]],TableauProduit[ID],TableauProduit[Total (kg) N2],0,0,1)*TableauRecette[[#This Row],[poids / unite]]</f>
        <v/>
      </c>
      <c r="N48" s="704">
        <f>_xlfn.XLOOKUP(TableauRecette[[#This Row],[ID]],TableauProduit[ID],TableauProduit[Total (kg) N3],0,0,1)*TableauRecette[[#This Row],[poids / unite]]</f>
        <v/>
      </c>
      <c r="O48" s="704">
        <f>_xlfn.XLOOKUP(TableauRecette[[#This Row],[ID]],TableauProduit[ID],TableauProduit[Total (kg) N4],0,0,1)*TableauRecette[[#This Row],[poids / unite]]</f>
        <v/>
      </c>
      <c r="P48" s="704">
        <f>_xlfn.XLOOKUP(TableauRecette[[#This Row],[ID]],TableauProduit[ID],TableauProduit[Total (kg) N5],0,0,1)*TableauRecette[[#This Row],[poids / unite]]</f>
        <v/>
      </c>
      <c r="Q48" s="704">
        <f>_xlfn.XLOOKUP(TableauRecette[[#This Row],[ID]],TableauProduit[ID],TableauProduit[Total (kg) N6],0,0,1)*TableauRecette[[#This Row],[poids / unite]]</f>
        <v/>
      </c>
      <c r="R48" s="704">
        <f>_xlfn.XLOOKUP(TableauRecette[[#This Row],[ID]],TableauProduit[ID],TableauProduit[Total (kg) N7],0,0,1)*TableauRecette[[#This Row],[poids / unite]]</f>
        <v/>
      </c>
      <c r="S48" s="704">
        <f>_xlfn.XLOOKUP(TableauRecette[[#This Row],[ID]],TableauProduit[ID],TableauProduit[Total (kg) N8],0,0,1)*TableauRecette[[#This Row],[poids / unite]]</f>
        <v/>
      </c>
      <c r="T48" s="704">
        <f>_xlfn.XLOOKUP(TableauRecette[[#This Row],[ID]],TableauProduit[ID],TableauProduit[Total (kg) N9],0,0,1)*TableauRecette[[#This Row],[poids / unite]]</f>
        <v/>
      </c>
    </row>
    <row r="49">
      <c r="A49" s="610" t="inlineStr">
        <is>
          <t>Cornichons aigres-doux</t>
        </is>
      </c>
      <c r="B49" s="610">
        <f>TableauRecette[[#This Row],[Recette]]&amp;TableauRecette[[#This Row],[Conditionnement]]</f>
        <v/>
      </c>
      <c r="C49" s="610" t="inlineStr">
        <is>
          <t>Cornichons gros</t>
        </is>
      </c>
      <c r="D49" s="611" t="n">
        <v>2000</v>
      </c>
      <c r="E49" s="610" t="inlineStr">
        <is>
          <t>Cornichon doux</t>
        </is>
      </c>
      <c r="F49" s="61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9" s="611">
        <f>IFERROR(_xlfn.XLOOKUP(TableauRecette[[#This Row],[Ingredients]],TableauIngredients[Ingredients],TableauIngredients[Prix d''achat (kg)],0)*TableauRecette[[#This Row],[poids / unite]],0)</f>
        <v/>
      </c>
      <c r="H49" s="611">
        <f>IFERROR(SUMIFS(TableauRecette[Proportion],TableauRecette[Recette],TableauRecette[[#This Row],[Recette]],TableauRecette[Conditionnement],TableauRecette[[#This Row],[Conditionnement]]),0)</f>
        <v/>
      </c>
      <c r="I49" s="611">
        <f>IFERROR(TableauRecette[[#This Row],[Prix d''achat / kg]],0)</f>
        <v/>
      </c>
      <c r="J49" s="611" t="n"/>
      <c r="K49" s="705" t="n"/>
      <c r="L49" s="706">
        <f>_xlfn.XLOOKUP(TableauRecette[[#This Row],[ID]],TableauProduit[ID],TableauProduit[Total (kg) N1],0,0,1)*TableauRecette[[#This Row],[poids / unite]]</f>
        <v/>
      </c>
      <c r="M49" s="707">
        <f>_xlfn.XLOOKUP(TableauRecette[[#This Row],[ID]],TableauProduit[ID],TableauProduit[Total (kg) N2],0,0,1)*TableauRecette[[#This Row],[poids / unite]]</f>
        <v/>
      </c>
      <c r="N49" s="707">
        <f>_xlfn.XLOOKUP(TableauRecette[[#This Row],[ID]],TableauProduit[ID],TableauProduit[Total (kg) N3],0,0,1)*TableauRecette[[#This Row],[poids / unite]]</f>
        <v/>
      </c>
      <c r="O49" s="707">
        <f>_xlfn.XLOOKUP(TableauRecette[[#This Row],[ID]],TableauProduit[ID],TableauProduit[Total (kg) N4],0,0,1)*TableauRecette[[#This Row],[poids / unite]]</f>
        <v/>
      </c>
      <c r="P49" s="707">
        <f>_xlfn.XLOOKUP(TableauRecette[[#This Row],[ID]],TableauProduit[ID],TableauProduit[Total (kg) N5],0,0,1)*TableauRecette[[#This Row],[poids / unite]]</f>
        <v/>
      </c>
      <c r="Q49" s="707">
        <f>_xlfn.XLOOKUP(TableauRecette[[#This Row],[ID]],TableauProduit[ID],TableauProduit[Total (kg) N6],0,0,1)*TableauRecette[[#This Row],[poids / unite]]</f>
        <v/>
      </c>
      <c r="R49" s="707">
        <f>_xlfn.XLOOKUP(TableauRecette[[#This Row],[ID]],TableauProduit[ID],TableauProduit[Total (kg) N7],0,0,1)*TableauRecette[[#This Row],[poids / unite]]</f>
        <v/>
      </c>
      <c r="S49" s="707">
        <f>_xlfn.XLOOKUP(TableauRecette[[#This Row],[ID]],TableauProduit[ID],TableauProduit[Total (kg) N8],0,0,1)*TableauRecette[[#This Row],[poids / unite]]</f>
        <v/>
      </c>
      <c r="T49" s="707">
        <f>_xlfn.XLOOKUP(TableauRecette[[#This Row],[ID]],TableauProduit[ID],TableauProduit[Total (kg) N9],0,0,1)*TableauRecette[[#This Row],[poids / unite]]</f>
        <v/>
      </c>
    </row>
    <row r="50">
      <c r="A50" s="610" t="inlineStr">
        <is>
          <t>Cornichons aigres-doux</t>
        </is>
      </c>
      <c r="B50" s="610">
        <f>TableauRecette[[#This Row],[Recette]]&amp;TableauRecette[[#This Row],[Conditionnement]]</f>
        <v/>
      </c>
      <c r="C50" s="610" t="inlineStr">
        <is>
          <t>Eau</t>
        </is>
      </c>
      <c r="D50" s="611" t="n">
        <v>150</v>
      </c>
      <c r="E50" s="610" t="inlineStr">
        <is>
          <t>Cornichon doux</t>
        </is>
      </c>
      <c r="F50" s="61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50" s="611">
        <f>IFERROR(_xlfn.XLOOKUP(TableauRecette[[#This Row],[Ingredients]],TableauIngredients[Ingredients],TableauIngredients[Prix d''achat (kg)],0)*TableauRecette[[#This Row],[poids / unite]],0)</f>
        <v/>
      </c>
      <c r="H50" s="611">
        <f>IFERROR(SUMIFS(TableauRecette[Proportion],TableauRecette[Recette],TableauRecette[[#This Row],[Recette]],TableauRecette[Conditionnement],TableauRecette[[#This Row],[Conditionnement]]),0)</f>
        <v/>
      </c>
      <c r="I50" s="611">
        <f>IFERROR(TableauRecette[[#This Row],[Prix d''achat / kg]],0)</f>
        <v/>
      </c>
      <c r="J50" s="611" t="n"/>
      <c r="K50" s="705" t="n"/>
      <c r="L50" s="706">
        <f>_xlfn.XLOOKUP(TableauRecette[[#This Row],[ID]],TableauProduit[ID],TableauProduit[Total (kg) N1],0,0,1)*TableauRecette[[#This Row],[poids / unite]]</f>
        <v/>
      </c>
      <c r="M50" s="707">
        <f>_xlfn.XLOOKUP(TableauRecette[[#This Row],[ID]],TableauProduit[ID],TableauProduit[Total (kg) N2],0,0,1)*TableauRecette[[#This Row],[poids / unite]]</f>
        <v/>
      </c>
      <c r="N50" s="707">
        <f>_xlfn.XLOOKUP(TableauRecette[[#This Row],[ID]],TableauProduit[ID],TableauProduit[Total (kg) N3],0,0,1)*TableauRecette[[#This Row],[poids / unite]]</f>
        <v/>
      </c>
      <c r="O50" s="707">
        <f>_xlfn.XLOOKUP(TableauRecette[[#This Row],[ID]],TableauProduit[ID],TableauProduit[Total (kg) N4],0,0,1)*TableauRecette[[#This Row],[poids / unite]]</f>
        <v/>
      </c>
      <c r="P50" s="707">
        <f>_xlfn.XLOOKUP(TableauRecette[[#This Row],[ID]],TableauProduit[ID],TableauProduit[Total (kg) N5],0,0,1)*TableauRecette[[#This Row],[poids / unite]]</f>
        <v/>
      </c>
      <c r="Q50" s="707">
        <f>_xlfn.XLOOKUP(TableauRecette[[#This Row],[ID]],TableauProduit[ID],TableauProduit[Total (kg) N6],0,0,1)*TableauRecette[[#This Row],[poids / unite]]</f>
        <v/>
      </c>
      <c r="R50" s="707">
        <f>_xlfn.XLOOKUP(TableauRecette[[#This Row],[ID]],TableauProduit[ID],TableauProduit[Total (kg) N7],0,0,1)*TableauRecette[[#This Row],[poids / unite]]</f>
        <v/>
      </c>
      <c r="S50" s="707">
        <f>_xlfn.XLOOKUP(TableauRecette[[#This Row],[ID]],TableauProduit[ID],TableauProduit[Total (kg) N8],0,0,1)*TableauRecette[[#This Row],[poids / unite]]</f>
        <v/>
      </c>
      <c r="T50" s="707">
        <f>_xlfn.XLOOKUP(TableauRecette[[#This Row],[ID]],TableauProduit[ID],TableauProduit[Total (kg) N9],0,0,1)*TableauRecette[[#This Row],[poids / unite]]</f>
        <v/>
      </c>
    </row>
    <row r="51">
      <c r="A51" s="610" t="inlineStr">
        <is>
          <t>Cornichons aigres-doux</t>
        </is>
      </c>
      <c r="B51" s="610">
        <f>TableauRecette[[#This Row],[Recette]]&amp;TableauRecette[[#This Row],[Conditionnement]]</f>
        <v/>
      </c>
      <c r="C51" s="610" t="inlineStr">
        <is>
          <t>Vinaigre De Cidre</t>
        </is>
      </c>
      <c r="D51" s="611" t="n">
        <v>750</v>
      </c>
      <c r="E51" s="610" t="inlineStr">
        <is>
          <t>Cornichon doux</t>
        </is>
      </c>
      <c r="F51" s="61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51" s="611">
        <f>IFERROR(_xlfn.XLOOKUP(TableauRecette[[#This Row],[Ingredients]],TableauIngredients[Ingredients],TableauIngredients[Prix d''achat (kg)],0)*TableauRecette[[#This Row],[poids / unite]],0)</f>
        <v/>
      </c>
      <c r="H51" s="611">
        <f>IFERROR(SUMIFS(TableauRecette[Proportion],TableauRecette[Recette],TableauRecette[[#This Row],[Recette]],TableauRecette[Conditionnement],TableauRecette[[#This Row],[Conditionnement]]),0)</f>
        <v/>
      </c>
      <c r="I51" s="611">
        <f>IFERROR(TableauRecette[[#This Row],[Prix d''achat / kg]],0)</f>
        <v/>
      </c>
      <c r="J51" s="611" t="n"/>
      <c r="K51" s="705" t="n"/>
      <c r="L51" s="706">
        <f>_xlfn.XLOOKUP(TableauRecette[[#This Row],[ID]],TableauProduit[ID],TableauProduit[Total (kg) N1],0,0,1)*TableauRecette[[#This Row],[poids / unite]]</f>
        <v/>
      </c>
      <c r="M51" s="707">
        <f>_xlfn.XLOOKUP(TableauRecette[[#This Row],[ID]],TableauProduit[ID],TableauProduit[Total (kg) N2],0,0,1)*TableauRecette[[#This Row],[poids / unite]]</f>
        <v/>
      </c>
      <c r="N51" s="707">
        <f>_xlfn.XLOOKUP(TableauRecette[[#This Row],[ID]],TableauProduit[ID],TableauProduit[Total (kg) N3],0,0,1)*TableauRecette[[#This Row],[poids / unite]]</f>
        <v/>
      </c>
      <c r="O51" s="707">
        <f>_xlfn.XLOOKUP(TableauRecette[[#This Row],[ID]],TableauProduit[ID],TableauProduit[Total (kg) N4],0,0,1)*TableauRecette[[#This Row],[poids / unite]]</f>
        <v/>
      </c>
      <c r="P51" s="707">
        <f>_xlfn.XLOOKUP(TableauRecette[[#This Row],[ID]],TableauProduit[ID],TableauProduit[Total (kg) N5],0,0,1)*TableauRecette[[#This Row],[poids / unite]]</f>
        <v/>
      </c>
      <c r="Q51" s="707">
        <f>_xlfn.XLOOKUP(TableauRecette[[#This Row],[ID]],TableauProduit[ID],TableauProduit[Total (kg) N6],0,0,1)*TableauRecette[[#This Row],[poids / unite]]</f>
        <v/>
      </c>
      <c r="R51" s="707">
        <f>_xlfn.XLOOKUP(TableauRecette[[#This Row],[ID]],TableauProduit[ID],TableauProduit[Total (kg) N7],0,0,1)*TableauRecette[[#This Row],[poids / unite]]</f>
        <v/>
      </c>
      <c r="S51" s="707">
        <f>_xlfn.XLOOKUP(TableauRecette[[#This Row],[ID]],TableauProduit[ID],TableauProduit[Total (kg) N8],0,0,1)*TableauRecette[[#This Row],[poids / unite]]</f>
        <v/>
      </c>
      <c r="T51" s="707">
        <f>_xlfn.XLOOKUP(TableauRecette[[#This Row],[ID]],TableauProduit[ID],TableauProduit[Total (kg) N9],0,0,1)*TableauRecette[[#This Row],[poids / unite]]</f>
        <v/>
      </c>
    </row>
    <row r="52">
      <c r="A52" s="610" t="inlineStr">
        <is>
          <t>Cornichons aigres-doux</t>
        </is>
      </c>
      <c r="B52" s="610">
        <f>TableauRecette[[#This Row],[Recette]]&amp;TableauRecette[[#This Row],[Conditionnement]]</f>
        <v/>
      </c>
      <c r="C52" s="610" t="inlineStr">
        <is>
          <t>Sel</t>
        </is>
      </c>
      <c r="D52" s="611" t="n">
        <v>3</v>
      </c>
      <c r="E52" s="610" t="inlineStr">
        <is>
          <t>Cornichon doux</t>
        </is>
      </c>
      <c r="F52" s="61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52" s="611">
        <f>IFERROR(_xlfn.XLOOKUP(TableauRecette[[#This Row],[Ingredients]],TableauIngredients[Ingredients],TableauIngredients[Prix d''achat (kg)],0)*TableauRecette[[#This Row],[poids / unite]],0)</f>
        <v/>
      </c>
      <c r="H52" s="611">
        <f>IFERROR(SUMIFS(TableauRecette[Proportion],TableauRecette[Recette],TableauRecette[[#This Row],[Recette]],TableauRecette[Conditionnement],TableauRecette[[#This Row],[Conditionnement]]),0)</f>
        <v/>
      </c>
      <c r="I52" s="611">
        <f>IFERROR(TableauRecette[[#This Row],[Prix d''achat / kg]],0)</f>
        <v/>
      </c>
      <c r="J52" s="611" t="n"/>
      <c r="K52" s="705" t="n"/>
      <c r="L52" s="706">
        <f>_xlfn.XLOOKUP(TableauRecette[[#This Row],[ID]],TableauProduit[ID],TableauProduit[Total (kg) N1],0,0,1)*TableauRecette[[#This Row],[poids / unite]]</f>
        <v/>
      </c>
      <c r="M52" s="707">
        <f>_xlfn.XLOOKUP(TableauRecette[[#This Row],[ID]],TableauProduit[ID],TableauProduit[Total (kg) N2],0,0,1)*TableauRecette[[#This Row],[poids / unite]]</f>
        <v/>
      </c>
      <c r="N52" s="707">
        <f>_xlfn.XLOOKUP(TableauRecette[[#This Row],[ID]],TableauProduit[ID],TableauProduit[Total (kg) N3],0,0,1)*TableauRecette[[#This Row],[poids / unite]]</f>
        <v/>
      </c>
      <c r="O52" s="707">
        <f>_xlfn.XLOOKUP(TableauRecette[[#This Row],[ID]],TableauProduit[ID],TableauProduit[Total (kg) N4],0,0,1)*TableauRecette[[#This Row],[poids / unite]]</f>
        <v/>
      </c>
      <c r="P52" s="707">
        <f>_xlfn.XLOOKUP(TableauRecette[[#This Row],[ID]],TableauProduit[ID],TableauProduit[Total (kg) N5],0,0,1)*TableauRecette[[#This Row],[poids / unite]]</f>
        <v/>
      </c>
      <c r="Q52" s="707">
        <f>_xlfn.XLOOKUP(TableauRecette[[#This Row],[ID]],TableauProduit[ID],TableauProduit[Total (kg) N6],0,0,1)*TableauRecette[[#This Row],[poids / unite]]</f>
        <v/>
      </c>
      <c r="R52" s="707">
        <f>_xlfn.XLOOKUP(TableauRecette[[#This Row],[ID]],TableauProduit[ID],TableauProduit[Total (kg) N7],0,0,1)*TableauRecette[[#This Row],[poids / unite]]</f>
        <v/>
      </c>
      <c r="S52" s="707">
        <f>_xlfn.XLOOKUP(TableauRecette[[#This Row],[ID]],TableauProduit[ID],TableauProduit[Total (kg) N8],0,0,1)*TableauRecette[[#This Row],[poids / unite]]</f>
        <v/>
      </c>
      <c r="T52" s="707">
        <f>_xlfn.XLOOKUP(TableauRecette[[#This Row],[ID]],TableauProduit[ID],TableauProduit[Total (kg) N9],0,0,1)*TableauRecette[[#This Row],[poids / unite]]</f>
        <v/>
      </c>
    </row>
    <row r="53">
      <c r="A53" s="610" t="inlineStr">
        <is>
          <t>Cornichons aigres-doux</t>
        </is>
      </c>
      <c r="B53" s="610">
        <f>TableauRecette[[#This Row],[Recette]]&amp;TableauRecette[[#This Row],[Conditionnement]]</f>
        <v/>
      </c>
      <c r="C53" s="610" t="inlineStr">
        <is>
          <t>Graine De Moutarde</t>
        </is>
      </c>
      <c r="D53" s="611" t="n">
        <v>50</v>
      </c>
      <c r="E53" s="610" t="inlineStr">
        <is>
          <t>Cornichon doux</t>
        </is>
      </c>
      <c r="F53" s="61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53" s="611">
        <f>IFERROR(_xlfn.XLOOKUP(TableauRecette[[#This Row],[Ingredients]],TableauIngredients[Ingredients],TableauIngredients[Prix d''achat (kg)],0)*TableauRecette[[#This Row],[poids / unite]],0)</f>
        <v/>
      </c>
      <c r="H53" s="611">
        <f>IFERROR(SUMIFS(TableauRecette[Proportion],TableauRecette[Recette],TableauRecette[[#This Row],[Recette]],TableauRecette[Conditionnement],TableauRecette[[#This Row],[Conditionnement]]),0)</f>
        <v/>
      </c>
      <c r="I53" s="611">
        <f>IFERROR(TableauRecette[[#This Row],[Prix d''achat / kg]],0)</f>
        <v/>
      </c>
      <c r="J53" s="611" t="n"/>
      <c r="K53" s="705" t="n"/>
      <c r="L53" s="706">
        <f>_xlfn.XLOOKUP(TableauRecette[[#This Row],[ID]],TableauProduit[ID],TableauProduit[Total (kg) N1],0,0,1)*TableauRecette[[#This Row],[poids / unite]]</f>
        <v/>
      </c>
      <c r="M53" s="707">
        <f>_xlfn.XLOOKUP(TableauRecette[[#This Row],[ID]],TableauProduit[ID],TableauProduit[Total (kg) N2],0,0,1)*TableauRecette[[#This Row],[poids / unite]]</f>
        <v/>
      </c>
      <c r="N53" s="707">
        <f>_xlfn.XLOOKUP(TableauRecette[[#This Row],[ID]],TableauProduit[ID],TableauProduit[Total (kg) N3],0,0,1)*TableauRecette[[#This Row],[poids / unite]]</f>
        <v/>
      </c>
      <c r="O53" s="707">
        <f>_xlfn.XLOOKUP(TableauRecette[[#This Row],[ID]],TableauProduit[ID],TableauProduit[Total (kg) N4],0,0,1)*TableauRecette[[#This Row],[poids / unite]]</f>
        <v/>
      </c>
      <c r="P53" s="707">
        <f>_xlfn.XLOOKUP(TableauRecette[[#This Row],[ID]],TableauProduit[ID],TableauProduit[Total (kg) N5],0,0,1)*TableauRecette[[#This Row],[poids / unite]]</f>
        <v/>
      </c>
      <c r="Q53" s="707">
        <f>_xlfn.XLOOKUP(TableauRecette[[#This Row],[ID]],TableauProduit[ID],TableauProduit[Total (kg) N6],0,0,1)*TableauRecette[[#This Row],[poids / unite]]</f>
        <v/>
      </c>
      <c r="R53" s="707">
        <f>_xlfn.XLOOKUP(TableauRecette[[#This Row],[ID]],TableauProduit[ID],TableauProduit[Total (kg) N7],0,0,1)*TableauRecette[[#This Row],[poids / unite]]</f>
        <v/>
      </c>
      <c r="S53" s="707">
        <f>_xlfn.XLOOKUP(TableauRecette[[#This Row],[ID]],TableauProduit[ID],TableauProduit[Total (kg) N8],0,0,1)*TableauRecette[[#This Row],[poids / unite]]</f>
        <v/>
      </c>
      <c r="T53" s="707">
        <f>_xlfn.XLOOKUP(TableauRecette[[#This Row],[ID]],TableauProduit[ID],TableauProduit[Total (kg) N9],0,0,1)*TableauRecette[[#This Row],[poids / unite]]</f>
        <v/>
      </c>
    </row>
    <row r="54">
      <c r="A54" s="610" t="inlineStr">
        <is>
          <t>Cornichons aigres-doux</t>
        </is>
      </c>
      <c r="B54" s="610">
        <f>TableauRecette[[#This Row],[Recette]]&amp;TableauRecette[[#This Row],[Conditionnement]]</f>
        <v/>
      </c>
      <c r="C54" s="610" t="inlineStr">
        <is>
          <t>Coriandre Graine</t>
        </is>
      </c>
      <c r="D54" s="611" t="n">
        <v>10</v>
      </c>
      <c r="E54" s="610" t="inlineStr">
        <is>
          <t>Cornichon doux</t>
        </is>
      </c>
      <c r="F54" s="61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54" s="611">
        <f>IFERROR(_xlfn.XLOOKUP(TableauRecette[[#This Row],[Ingredients]],TableauIngredients[Ingredients],TableauIngredients[Prix d''achat (kg)],0)*TableauRecette[[#This Row],[poids / unite]],0)</f>
        <v/>
      </c>
      <c r="H54" s="611">
        <f>IFERROR(SUMIFS(TableauRecette[Proportion],TableauRecette[Recette],TableauRecette[[#This Row],[Recette]],TableauRecette[Conditionnement],TableauRecette[[#This Row],[Conditionnement]]),0)</f>
        <v/>
      </c>
      <c r="I54" s="611">
        <f>IFERROR(TableauRecette[[#This Row],[Prix d''achat / kg]],0)</f>
        <v/>
      </c>
      <c r="J54" s="611" t="n"/>
      <c r="K54" s="705" t="n"/>
      <c r="L54" s="706">
        <f>_xlfn.XLOOKUP(TableauRecette[[#This Row],[ID]],TableauProduit[ID],TableauProduit[Total (kg) N1],0,0,1)*TableauRecette[[#This Row],[poids / unite]]</f>
        <v/>
      </c>
      <c r="M54" s="707">
        <f>_xlfn.XLOOKUP(TableauRecette[[#This Row],[ID]],TableauProduit[ID],TableauProduit[Total (kg) N2],0,0,1)*TableauRecette[[#This Row],[poids / unite]]</f>
        <v/>
      </c>
      <c r="N54" s="707">
        <f>_xlfn.XLOOKUP(TableauRecette[[#This Row],[ID]],TableauProduit[ID],TableauProduit[Total (kg) N3],0,0,1)*TableauRecette[[#This Row],[poids / unite]]</f>
        <v/>
      </c>
      <c r="O54" s="707">
        <f>_xlfn.XLOOKUP(TableauRecette[[#This Row],[ID]],TableauProduit[ID],TableauProduit[Total (kg) N4],0,0,1)*TableauRecette[[#This Row],[poids / unite]]</f>
        <v/>
      </c>
      <c r="P54" s="707">
        <f>_xlfn.XLOOKUP(TableauRecette[[#This Row],[ID]],TableauProduit[ID],TableauProduit[Total (kg) N5],0,0,1)*TableauRecette[[#This Row],[poids / unite]]</f>
        <v/>
      </c>
      <c r="Q54" s="707">
        <f>_xlfn.XLOOKUP(TableauRecette[[#This Row],[ID]],TableauProduit[ID],TableauProduit[Total (kg) N6],0,0,1)*TableauRecette[[#This Row],[poids / unite]]</f>
        <v/>
      </c>
      <c r="R54" s="707">
        <f>_xlfn.XLOOKUP(TableauRecette[[#This Row],[ID]],TableauProduit[ID],TableauProduit[Total (kg) N7],0,0,1)*TableauRecette[[#This Row],[poids / unite]]</f>
        <v/>
      </c>
      <c r="S54" s="707">
        <f>_xlfn.XLOOKUP(TableauRecette[[#This Row],[ID]],TableauProduit[ID],TableauProduit[Total (kg) N8],0,0,1)*TableauRecette[[#This Row],[poids / unite]]</f>
        <v/>
      </c>
      <c r="T54" s="707">
        <f>_xlfn.XLOOKUP(TableauRecette[[#This Row],[ID]],TableauProduit[ID],TableauProduit[Total (kg) N9],0,0,1)*TableauRecette[[#This Row],[poids / unite]]</f>
        <v/>
      </c>
    </row>
    <row r="55">
      <c r="A55" s="610" t="inlineStr">
        <is>
          <t>Cornichons aigres-doux</t>
        </is>
      </c>
      <c r="B55" s="610">
        <f>TableauRecette[[#This Row],[Recette]]&amp;TableauRecette[[#This Row],[Conditionnement]]</f>
        <v/>
      </c>
      <c r="C55" s="610" t="inlineStr">
        <is>
          <t>Poivre De Sichuan</t>
        </is>
      </c>
      <c r="D55" s="611" t="n">
        <v>5</v>
      </c>
      <c r="E55" s="610" t="inlineStr">
        <is>
          <t>Cornichon doux</t>
        </is>
      </c>
      <c r="F55" s="61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55" s="611">
        <f>IFERROR(_xlfn.XLOOKUP(TableauRecette[[#This Row],[Ingredients]],TableauIngredients[Ingredients],TableauIngredients[Prix d''achat (kg)],0)*TableauRecette[[#This Row],[poids / unite]],0)</f>
        <v/>
      </c>
      <c r="H55" s="611">
        <f>IFERROR(SUMIFS(TableauRecette[Proportion],TableauRecette[Recette],TableauRecette[[#This Row],[Recette]],TableauRecette[Conditionnement],TableauRecette[[#This Row],[Conditionnement]]),0)</f>
        <v/>
      </c>
      <c r="I55" s="611">
        <f>IFERROR(TableauRecette[[#This Row],[Prix d''achat / kg]],0)</f>
        <v/>
      </c>
      <c r="J55" s="611" t="n"/>
      <c r="K55" s="705" t="n"/>
      <c r="L55" s="706">
        <f>_xlfn.XLOOKUP(TableauRecette[[#This Row],[ID]],TableauProduit[ID],TableauProduit[Total (kg) N1],0,0,1)*TableauRecette[[#This Row],[poids / unite]]</f>
        <v/>
      </c>
      <c r="M55" s="707">
        <f>_xlfn.XLOOKUP(TableauRecette[[#This Row],[ID]],TableauProduit[ID],TableauProduit[Total (kg) N2],0,0,1)*TableauRecette[[#This Row],[poids / unite]]</f>
        <v/>
      </c>
      <c r="N55" s="707">
        <f>_xlfn.XLOOKUP(TableauRecette[[#This Row],[ID]],TableauProduit[ID],TableauProduit[Total (kg) N3],0,0,1)*TableauRecette[[#This Row],[poids / unite]]</f>
        <v/>
      </c>
      <c r="O55" s="707">
        <f>_xlfn.XLOOKUP(TableauRecette[[#This Row],[ID]],TableauProduit[ID],TableauProduit[Total (kg) N4],0,0,1)*TableauRecette[[#This Row],[poids / unite]]</f>
        <v/>
      </c>
      <c r="P55" s="707">
        <f>_xlfn.XLOOKUP(TableauRecette[[#This Row],[ID]],TableauProduit[ID],TableauProduit[Total (kg) N5],0,0,1)*TableauRecette[[#This Row],[poids / unite]]</f>
        <v/>
      </c>
      <c r="Q55" s="707">
        <f>_xlfn.XLOOKUP(TableauRecette[[#This Row],[ID]],TableauProduit[ID],TableauProduit[Total (kg) N6],0,0,1)*TableauRecette[[#This Row],[poids / unite]]</f>
        <v/>
      </c>
      <c r="R55" s="707">
        <f>_xlfn.XLOOKUP(TableauRecette[[#This Row],[ID]],TableauProduit[ID],TableauProduit[Total (kg) N7],0,0,1)*TableauRecette[[#This Row],[poids / unite]]</f>
        <v/>
      </c>
      <c r="S55" s="707">
        <f>_xlfn.XLOOKUP(TableauRecette[[#This Row],[ID]],TableauProduit[ID],TableauProduit[Total (kg) N8],0,0,1)*TableauRecette[[#This Row],[poids / unite]]</f>
        <v/>
      </c>
      <c r="T55" s="707">
        <f>_xlfn.XLOOKUP(TableauRecette[[#This Row],[ID]],TableauProduit[ID],TableauProduit[Total (kg) N9],0,0,1)*TableauRecette[[#This Row],[poids / unite]]</f>
        <v/>
      </c>
    </row>
    <row r="56">
      <c r="A56" s="610" t="inlineStr">
        <is>
          <t>Cornichons aigres-doux</t>
        </is>
      </c>
      <c r="B56" s="610">
        <f>TableauRecette[[#This Row],[Recette]]&amp;TableauRecette[[#This Row],[Conditionnement]]</f>
        <v/>
      </c>
      <c r="C56" s="610" t="inlineStr">
        <is>
          <t>Timut</t>
        </is>
      </c>
      <c r="D56" s="611" t="n">
        <v>5</v>
      </c>
      <c r="E56" s="610" t="inlineStr">
        <is>
          <t>Cornichon doux</t>
        </is>
      </c>
      <c r="F56" s="61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56" s="611">
        <f>IFERROR(_xlfn.XLOOKUP(TableauRecette[[#This Row],[Ingredients]],TableauIngredients[Ingredients],TableauIngredients[Prix d''achat (kg)],0)*TableauRecette[[#This Row],[poids / unite]],0)</f>
        <v/>
      </c>
      <c r="H56" s="611">
        <f>IFERROR(SUMIFS(TableauRecette[Proportion],TableauRecette[Recette],TableauRecette[[#This Row],[Recette]],TableauRecette[Conditionnement],TableauRecette[[#This Row],[Conditionnement]]),0)</f>
        <v/>
      </c>
      <c r="I56" s="611">
        <f>IFERROR(TableauRecette[[#This Row],[Prix d''achat / kg]],0)</f>
        <v/>
      </c>
      <c r="J56" s="611" t="n"/>
      <c r="K56" s="705" t="n"/>
      <c r="L56" s="706">
        <f>_xlfn.XLOOKUP(TableauRecette[[#This Row],[ID]],TableauProduit[ID],TableauProduit[Total (kg) N1],0,0,1)*TableauRecette[[#This Row],[poids / unite]]</f>
        <v/>
      </c>
      <c r="M56" s="707">
        <f>_xlfn.XLOOKUP(TableauRecette[[#This Row],[ID]],TableauProduit[ID],TableauProduit[Total (kg) N2],0,0,1)*TableauRecette[[#This Row],[poids / unite]]</f>
        <v/>
      </c>
      <c r="N56" s="707">
        <f>_xlfn.XLOOKUP(TableauRecette[[#This Row],[ID]],TableauProduit[ID],TableauProduit[Total (kg) N3],0,0,1)*TableauRecette[[#This Row],[poids / unite]]</f>
        <v/>
      </c>
      <c r="O56" s="707">
        <f>_xlfn.XLOOKUP(TableauRecette[[#This Row],[ID]],TableauProduit[ID],TableauProduit[Total (kg) N4],0,0,1)*TableauRecette[[#This Row],[poids / unite]]</f>
        <v/>
      </c>
      <c r="P56" s="707">
        <f>_xlfn.XLOOKUP(TableauRecette[[#This Row],[ID]],TableauProduit[ID],TableauProduit[Total (kg) N5],0,0,1)*TableauRecette[[#This Row],[poids / unite]]</f>
        <v/>
      </c>
      <c r="Q56" s="707">
        <f>_xlfn.XLOOKUP(TableauRecette[[#This Row],[ID]],TableauProduit[ID],TableauProduit[Total (kg) N6],0,0,1)*TableauRecette[[#This Row],[poids / unite]]</f>
        <v/>
      </c>
      <c r="R56" s="707">
        <f>_xlfn.XLOOKUP(TableauRecette[[#This Row],[ID]],TableauProduit[ID],TableauProduit[Total (kg) N7],0,0,1)*TableauRecette[[#This Row],[poids / unite]]</f>
        <v/>
      </c>
      <c r="S56" s="707">
        <f>_xlfn.XLOOKUP(TableauRecette[[#This Row],[ID]],TableauProduit[ID],TableauProduit[Total (kg) N8],0,0,1)*TableauRecette[[#This Row],[poids / unite]]</f>
        <v/>
      </c>
      <c r="T56" s="707">
        <f>_xlfn.XLOOKUP(TableauRecette[[#This Row],[ID]],TableauProduit[ID],TableauProduit[Total (kg) N9],0,0,1)*TableauRecette[[#This Row],[poids / unite]]</f>
        <v/>
      </c>
    </row>
    <row r="57">
      <c r="A57" s="610" t="inlineStr">
        <is>
          <t>Cornichons aigres-doux</t>
        </is>
      </c>
      <c r="B57" s="610">
        <f>TableauRecette[[#This Row],[Recette]]&amp;TableauRecette[[#This Row],[Conditionnement]]</f>
        <v/>
      </c>
      <c r="C57" s="610" t="inlineStr">
        <is>
          <t>Feuilles De Laurier</t>
        </is>
      </c>
      <c r="D57" s="611" t="n">
        <v>3</v>
      </c>
      <c r="E57" s="610" t="inlineStr">
        <is>
          <t>Cornichon doux</t>
        </is>
      </c>
      <c r="F57" s="61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57" s="611">
        <f>IFERROR(_xlfn.XLOOKUP(TableauRecette[[#This Row],[Ingredients]],TableauIngredients[Ingredients],TableauIngredients[Prix d''achat (kg)],0)*TableauRecette[[#This Row],[poids / unite]],0)</f>
        <v/>
      </c>
      <c r="H57" s="611">
        <f>IFERROR(SUMIFS(TableauRecette[Proportion],TableauRecette[Recette],TableauRecette[[#This Row],[Recette]],TableauRecette[Conditionnement],TableauRecette[[#This Row],[Conditionnement]]),0)</f>
        <v/>
      </c>
      <c r="I57" s="611">
        <f>IFERROR(TableauRecette[[#This Row],[Prix d''achat / kg]],0)</f>
        <v/>
      </c>
      <c r="J57" s="611" t="n"/>
      <c r="K57" s="705" t="n"/>
      <c r="L57" s="706">
        <f>_xlfn.XLOOKUP(TableauRecette[[#This Row],[ID]],TableauProduit[ID],TableauProduit[Total (kg) N1],0,0,1)*TableauRecette[[#This Row],[poids / unite]]</f>
        <v/>
      </c>
      <c r="M57" s="707">
        <f>_xlfn.XLOOKUP(TableauRecette[[#This Row],[ID]],TableauProduit[ID],TableauProduit[Total (kg) N2],0,0,1)*TableauRecette[[#This Row],[poids / unite]]</f>
        <v/>
      </c>
      <c r="N57" s="707">
        <f>_xlfn.XLOOKUP(TableauRecette[[#This Row],[ID]],TableauProduit[ID],TableauProduit[Total (kg) N3],0,0,1)*TableauRecette[[#This Row],[poids / unite]]</f>
        <v/>
      </c>
      <c r="O57" s="707">
        <f>_xlfn.XLOOKUP(TableauRecette[[#This Row],[ID]],TableauProduit[ID],TableauProduit[Total (kg) N4],0,0,1)*TableauRecette[[#This Row],[poids / unite]]</f>
        <v/>
      </c>
      <c r="P57" s="707">
        <f>_xlfn.XLOOKUP(TableauRecette[[#This Row],[ID]],TableauProduit[ID],TableauProduit[Total (kg) N5],0,0,1)*TableauRecette[[#This Row],[poids / unite]]</f>
        <v/>
      </c>
      <c r="Q57" s="707">
        <f>_xlfn.XLOOKUP(TableauRecette[[#This Row],[ID]],TableauProduit[ID],TableauProduit[Total (kg) N6],0,0,1)*TableauRecette[[#This Row],[poids / unite]]</f>
        <v/>
      </c>
      <c r="R57" s="707">
        <f>_xlfn.XLOOKUP(TableauRecette[[#This Row],[ID]],TableauProduit[ID],TableauProduit[Total (kg) N7],0,0,1)*TableauRecette[[#This Row],[poids / unite]]</f>
        <v/>
      </c>
      <c r="S57" s="707">
        <f>_xlfn.XLOOKUP(TableauRecette[[#This Row],[ID]],TableauProduit[ID],TableauProduit[Total (kg) N8],0,0,1)*TableauRecette[[#This Row],[poids / unite]]</f>
        <v/>
      </c>
      <c r="T57" s="707">
        <f>_xlfn.XLOOKUP(TableauRecette[[#This Row],[ID]],TableauProduit[ID],TableauProduit[Total (kg) N9],0,0,1)*TableauRecette[[#This Row],[poids / unite]]</f>
        <v/>
      </c>
    </row>
    <row r="58">
      <c r="A58" s="610" t="inlineStr">
        <is>
          <t>Cornichons aigres-doux</t>
        </is>
      </c>
      <c r="B58" s="610">
        <f>TableauRecette[[#This Row],[Recette]]&amp;TableauRecette[[#This Row],[Conditionnement]]</f>
        <v/>
      </c>
      <c r="C58" s="610" t="inlineStr">
        <is>
          <t>Graine D'Aneth</t>
        </is>
      </c>
      <c r="D58" s="611" t="n">
        <v>5</v>
      </c>
      <c r="E58" s="610" t="inlineStr">
        <is>
          <t>Cornichon doux</t>
        </is>
      </c>
      <c r="F58" s="61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58" s="611">
        <f>IFERROR(_xlfn.XLOOKUP(TableauRecette[[#This Row],[Ingredients]],TableauIngredients[Ingredients],TableauIngredients[Prix d''achat (kg)],0)*TableauRecette[[#This Row],[poids / unite]],0)</f>
        <v/>
      </c>
      <c r="H58" s="611">
        <f>IFERROR(SUMIFS(TableauRecette[Proportion],TableauRecette[Recette],TableauRecette[[#This Row],[Recette]],TableauRecette[Conditionnement],TableauRecette[[#This Row],[Conditionnement]]),0)</f>
        <v/>
      </c>
      <c r="I58" s="611">
        <f>IFERROR(TableauRecette[[#This Row],[Prix d''achat / kg]],0)</f>
        <v/>
      </c>
      <c r="J58" s="611" t="n"/>
      <c r="K58" s="705" t="n"/>
      <c r="L58" s="706">
        <f>_xlfn.XLOOKUP(TableauRecette[[#This Row],[ID]],TableauProduit[ID],TableauProduit[Total (kg) N1],0,0,1)*TableauRecette[[#This Row],[poids / unite]]</f>
        <v/>
      </c>
      <c r="M58" s="707">
        <f>_xlfn.XLOOKUP(TableauRecette[[#This Row],[ID]],TableauProduit[ID],TableauProduit[Total (kg) N2],0,0,1)*TableauRecette[[#This Row],[poids / unite]]</f>
        <v/>
      </c>
      <c r="N58" s="707">
        <f>_xlfn.XLOOKUP(TableauRecette[[#This Row],[ID]],TableauProduit[ID],TableauProduit[Total (kg) N3],0,0,1)*TableauRecette[[#This Row],[poids / unite]]</f>
        <v/>
      </c>
      <c r="O58" s="707">
        <f>_xlfn.XLOOKUP(TableauRecette[[#This Row],[ID]],TableauProduit[ID],TableauProduit[Total (kg) N4],0,0,1)*TableauRecette[[#This Row],[poids / unite]]</f>
        <v/>
      </c>
      <c r="P58" s="707">
        <f>_xlfn.XLOOKUP(TableauRecette[[#This Row],[ID]],TableauProduit[ID],TableauProduit[Total (kg) N5],0,0,1)*TableauRecette[[#This Row],[poids / unite]]</f>
        <v/>
      </c>
      <c r="Q58" s="707">
        <f>_xlfn.XLOOKUP(TableauRecette[[#This Row],[ID]],TableauProduit[ID],TableauProduit[Total (kg) N6],0,0,1)*TableauRecette[[#This Row],[poids / unite]]</f>
        <v/>
      </c>
      <c r="R58" s="707">
        <f>_xlfn.XLOOKUP(TableauRecette[[#This Row],[ID]],TableauProduit[ID],TableauProduit[Total (kg) N7],0,0,1)*TableauRecette[[#This Row],[poids / unite]]</f>
        <v/>
      </c>
      <c r="S58" s="707">
        <f>_xlfn.XLOOKUP(TableauRecette[[#This Row],[ID]],TableauProduit[ID],TableauProduit[Total (kg) N8],0,0,1)*TableauRecette[[#This Row],[poids / unite]]</f>
        <v/>
      </c>
      <c r="T58" s="707">
        <f>_xlfn.XLOOKUP(TableauRecette[[#This Row],[ID]],TableauProduit[ID],TableauProduit[Total (kg) N9],0,0,1)*TableauRecette[[#This Row],[poids / unite]]</f>
        <v/>
      </c>
    </row>
    <row r="59">
      <c r="A59" s="608" t="inlineStr">
        <is>
          <t xml:space="preserve">Cornichons extra-fins </t>
        </is>
      </c>
      <c r="B59" s="608">
        <f>TableauRecette[[#This Row],[Recette]]&amp;TableauRecette[[#This Row],[Conditionnement]]</f>
        <v/>
      </c>
      <c r="C59" s="608" t="inlineStr">
        <is>
          <t>Cornichons fins</t>
        </is>
      </c>
      <c r="D59" s="609" t="n">
        <v>1000</v>
      </c>
      <c r="E59" s="608" t="inlineStr">
        <is>
          <t>Cornichon fin</t>
        </is>
      </c>
      <c r="F59" s="60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59" s="609">
        <f>IFERROR(_xlfn.XLOOKUP(TableauRecette[[#This Row],[Ingredients]],TableauIngredients[Ingredients],TableauIngredients[Prix d''achat (kg)],0)*TableauRecette[[#This Row],[poids / unite]],0)</f>
        <v/>
      </c>
      <c r="H59" s="609">
        <f>IFERROR(SUMIFS(TableauRecette[Proportion],TableauRecette[Recette],TableauRecette[[#This Row],[Recette]],TableauRecette[Conditionnement],TableauRecette[[#This Row],[Conditionnement]]),0)</f>
        <v/>
      </c>
      <c r="I59" s="609">
        <f>IFERROR(TableauRecette[[#This Row],[Prix d''achat / kg]],0)</f>
        <v/>
      </c>
      <c r="J59" s="609" t="n"/>
      <c r="K59" s="708" t="n"/>
      <c r="L59" s="709">
        <f>_xlfn.XLOOKUP(TableauRecette[[#This Row],[ID]],TableauProduit[ID],TableauProduit[Total (kg) N1],0,0,1)*TableauRecette[[#This Row],[poids / unite]]</f>
        <v/>
      </c>
      <c r="M59" s="710">
        <f>_xlfn.XLOOKUP(TableauRecette[[#This Row],[ID]],TableauProduit[ID],TableauProduit[Total (kg) N2],0,0,1)*TableauRecette[[#This Row],[poids / unite]]</f>
        <v/>
      </c>
      <c r="N59" s="710">
        <f>_xlfn.XLOOKUP(TableauRecette[[#This Row],[ID]],TableauProduit[ID],TableauProduit[Total (kg) N3],0,0,1)*TableauRecette[[#This Row],[poids / unite]]</f>
        <v/>
      </c>
      <c r="O59" s="710">
        <f>_xlfn.XLOOKUP(TableauRecette[[#This Row],[ID]],TableauProduit[ID],TableauProduit[Total (kg) N4],0,0,1)*TableauRecette[[#This Row],[poids / unite]]</f>
        <v/>
      </c>
      <c r="P59" s="710">
        <f>_xlfn.XLOOKUP(TableauRecette[[#This Row],[ID]],TableauProduit[ID],TableauProduit[Total (kg) N5],0,0,1)*TableauRecette[[#This Row],[poids / unite]]</f>
        <v/>
      </c>
      <c r="Q59" s="710">
        <f>_xlfn.XLOOKUP(TableauRecette[[#This Row],[ID]],TableauProduit[ID],TableauProduit[Total (kg) N6],0,0,1)*TableauRecette[[#This Row],[poids / unite]]</f>
        <v/>
      </c>
      <c r="R59" s="710">
        <f>_xlfn.XLOOKUP(TableauRecette[[#This Row],[ID]],TableauProduit[ID],TableauProduit[Total (kg) N7],0,0,1)*TableauRecette[[#This Row],[poids / unite]]</f>
        <v/>
      </c>
      <c r="S59" s="710">
        <f>_xlfn.XLOOKUP(TableauRecette[[#This Row],[ID]],TableauProduit[ID],TableauProduit[Total (kg) N8],0,0,1)*TableauRecette[[#This Row],[poids / unite]]</f>
        <v/>
      </c>
      <c r="T59" s="710">
        <f>_xlfn.XLOOKUP(TableauRecette[[#This Row],[ID]],TableauProduit[ID],TableauProduit[Total (kg) N9],0,0,1)*TableauRecette[[#This Row],[poids / unite]]</f>
        <v/>
      </c>
    </row>
    <row r="60">
      <c r="A60" s="608" t="inlineStr">
        <is>
          <t xml:space="preserve">Cornichons extra-fins </t>
        </is>
      </c>
      <c r="B60" s="608">
        <f>TableauRecette[[#This Row],[Recette]]&amp;TableauRecette[[#This Row],[Conditionnement]]</f>
        <v/>
      </c>
      <c r="C60" s="608" t="inlineStr">
        <is>
          <t>Eau</t>
        </is>
      </c>
      <c r="D60" s="609" t="n">
        <v>150</v>
      </c>
      <c r="E60" s="608" t="inlineStr">
        <is>
          <t>Cornichon fin</t>
        </is>
      </c>
      <c r="F60" s="60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60" s="609">
        <f>IFERROR(_xlfn.XLOOKUP(TableauRecette[[#This Row],[Ingredients]],TableauIngredients[Ingredients],TableauIngredients[Prix d''achat (kg)],0)*TableauRecette[[#This Row],[poids / unite]],0)</f>
        <v/>
      </c>
      <c r="H60" s="609">
        <f>IFERROR(SUMIFS(TableauRecette[Proportion],TableauRecette[Recette],TableauRecette[[#This Row],[Recette]],TableauRecette[Conditionnement],TableauRecette[[#This Row],[Conditionnement]]),0)</f>
        <v/>
      </c>
      <c r="I60" s="609">
        <f>IFERROR(TableauRecette[[#This Row],[Prix d''achat / kg]],0)</f>
        <v/>
      </c>
      <c r="J60" s="609" t="n"/>
      <c r="K60" s="708" t="n"/>
      <c r="L60" s="709">
        <f>_xlfn.XLOOKUP(TableauRecette[[#This Row],[ID]],TableauProduit[ID],TableauProduit[Total (kg) N1],0,0,1)*TableauRecette[[#This Row],[poids / unite]]</f>
        <v/>
      </c>
      <c r="M60" s="710">
        <f>_xlfn.XLOOKUP(TableauRecette[[#This Row],[ID]],TableauProduit[ID],TableauProduit[Total (kg) N2],0,0,1)*TableauRecette[[#This Row],[poids / unite]]</f>
        <v/>
      </c>
      <c r="N60" s="710">
        <f>_xlfn.XLOOKUP(TableauRecette[[#This Row],[ID]],TableauProduit[ID],TableauProduit[Total (kg) N3],0,0,1)*TableauRecette[[#This Row],[poids / unite]]</f>
        <v/>
      </c>
      <c r="O60" s="710">
        <f>_xlfn.XLOOKUP(TableauRecette[[#This Row],[ID]],TableauProduit[ID],TableauProduit[Total (kg) N4],0,0,1)*TableauRecette[[#This Row],[poids / unite]]</f>
        <v/>
      </c>
      <c r="P60" s="710">
        <f>_xlfn.XLOOKUP(TableauRecette[[#This Row],[ID]],TableauProduit[ID],TableauProduit[Total (kg) N5],0,0,1)*TableauRecette[[#This Row],[poids / unite]]</f>
        <v/>
      </c>
      <c r="Q60" s="710">
        <f>_xlfn.XLOOKUP(TableauRecette[[#This Row],[ID]],TableauProduit[ID],TableauProduit[Total (kg) N6],0,0,1)*TableauRecette[[#This Row],[poids / unite]]</f>
        <v/>
      </c>
      <c r="R60" s="710">
        <f>_xlfn.XLOOKUP(TableauRecette[[#This Row],[ID]],TableauProduit[ID],TableauProduit[Total (kg) N7],0,0,1)*TableauRecette[[#This Row],[poids / unite]]</f>
        <v/>
      </c>
      <c r="S60" s="710">
        <f>_xlfn.XLOOKUP(TableauRecette[[#This Row],[ID]],TableauProduit[ID],TableauProduit[Total (kg) N8],0,0,1)*TableauRecette[[#This Row],[poids / unite]]</f>
        <v/>
      </c>
      <c r="T60" s="710">
        <f>_xlfn.XLOOKUP(TableauRecette[[#This Row],[ID]],TableauProduit[ID],TableauProduit[Total (kg) N9],0,0,1)*TableauRecette[[#This Row],[poids / unite]]</f>
        <v/>
      </c>
    </row>
    <row r="61">
      <c r="A61" s="608" t="inlineStr">
        <is>
          <t xml:space="preserve">Cornichons extra-fins </t>
        </is>
      </c>
      <c r="B61" s="608">
        <f>TableauRecette[[#This Row],[Recette]]&amp;TableauRecette[[#This Row],[Conditionnement]]</f>
        <v/>
      </c>
      <c r="C61" s="608" t="inlineStr">
        <is>
          <t>Vinaigre De Cidre</t>
        </is>
      </c>
      <c r="D61" s="609" t="n">
        <v>750</v>
      </c>
      <c r="E61" s="608" t="inlineStr">
        <is>
          <t>Cornichon fin</t>
        </is>
      </c>
      <c r="F61" s="60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61" s="609">
        <f>IFERROR(_xlfn.XLOOKUP(TableauRecette[[#This Row],[Ingredients]],TableauIngredients[Ingredients],TableauIngredients[Prix d''achat (kg)],0)*TableauRecette[[#This Row],[poids / unite]],0)</f>
        <v/>
      </c>
      <c r="H61" s="609">
        <f>IFERROR(SUMIFS(TableauRecette[Proportion],TableauRecette[Recette],TableauRecette[[#This Row],[Recette]],TableauRecette[Conditionnement],TableauRecette[[#This Row],[Conditionnement]]),0)</f>
        <v/>
      </c>
      <c r="I61" s="609">
        <f>IFERROR(TableauRecette[[#This Row],[Prix d''achat / kg]],0)</f>
        <v/>
      </c>
      <c r="J61" s="609" t="n"/>
      <c r="K61" s="708" t="n"/>
      <c r="L61" s="709">
        <f>_xlfn.XLOOKUP(TableauRecette[[#This Row],[ID]],TableauProduit[ID],TableauProduit[Total (kg) N1],0,0,1)*TableauRecette[[#This Row],[poids / unite]]</f>
        <v/>
      </c>
      <c r="M61" s="710">
        <f>_xlfn.XLOOKUP(TableauRecette[[#This Row],[ID]],TableauProduit[ID],TableauProduit[Total (kg) N2],0,0,1)*TableauRecette[[#This Row],[poids / unite]]</f>
        <v/>
      </c>
      <c r="N61" s="710">
        <f>_xlfn.XLOOKUP(TableauRecette[[#This Row],[ID]],TableauProduit[ID],TableauProduit[Total (kg) N3],0,0,1)*TableauRecette[[#This Row],[poids / unite]]</f>
        <v/>
      </c>
      <c r="O61" s="710">
        <f>_xlfn.XLOOKUP(TableauRecette[[#This Row],[ID]],TableauProduit[ID],TableauProduit[Total (kg) N4],0,0,1)*TableauRecette[[#This Row],[poids / unite]]</f>
        <v/>
      </c>
      <c r="P61" s="710">
        <f>_xlfn.XLOOKUP(TableauRecette[[#This Row],[ID]],TableauProduit[ID],TableauProduit[Total (kg) N5],0,0,1)*TableauRecette[[#This Row],[poids / unite]]</f>
        <v/>
      </c>
      <c r="Q61" s="710">
        <f>_xlfn.XLOOKUP(TableauRecette[[#This Row],[ID]],TableauProduit[ID],TableauProduit[Total (kg) N6],0,0,1)*TableauRecette[[#This Row],[poids / unite]]</f>
        <v/>
      </c>
      <c r="R61" s="710">
        <f>_xlfn.XLOOKUP(TableauRecette[[#This Row],[ID]],TableauProduit[ID],TableauProduit[Total (kg) N7],0,0,1)*TableauRecette[[#This Row],[poids / unite]]</f>
        <v/>
      </c>
      <c r="S61" s="710">
        <f>_xlfn.XLOOKUP(TableauRecette[[#This Row],[ID]],TableauProduit[ID],TableauProduit[Total (kg) N8],0,0,1)*TableauRecette[[#This Row],[poids / unite]]</f>
        <v/>
      </c>
      <c r="T61" s="710">
        <f>_xlfn.XLOOKUP(TableauRecette[[#This Row],[ID]],TableauProduit[ID],TableauProduit[Total (kg) N9],0,0,1)*TableauRecette[[#This Row],[poids / unite]]</f>
        <v/>
      </c>
    </row>
    <row r="62">
      <c r="A62" s="608" t="inlineStr">
        <is>
          <t xml:space="preserve">Cornichons extra-fins </t>
        </is>
      </c>
      <c r="B62" s="608">
        <f>TableauRecette[[#This Row],[Recette]]&amp;TableauRecette[[#This Row],[Conditionnement]]</f>
        <v/>
      </c>
      <c r="C62" s="608" t="inlineStr">
        <is>
          <t>Estragon</t>
        </is>
      </c>
      <c r="D62" s="609" t="n">
        <v>12</v>
      </c>
      <c r="E62" s="608" t="inlineStr">
        <is>
          <t>Cornichon fin</t>
        </is>
      </c>
      <c r="F62" s="60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62" s="609">
        <f>IFERROR(_xlfn.XLOOKUP(TableauRecette[[#This Row],[Ingredients]],TableauIngredients[Ingredients],TableauIngredients[Prix d''achat (kg)],0)*TableauRecette[[#This Row],[poids / unite]],0)</f>
        <v/>
      </c>
      <c r="H62" s="609">
        <f>IFERROR(SUMIFS(TableauRecette[Proportion],TableauRecette[Recette],TableauRecette[[#This Row],[Recette]],TableauRecette[Conditionnement],TableauRecette[[#This Row],[Conditionnement]]),0)</f>
        <v/>
      </c>
      <c r="I62" s="609">
        <f>IFERROR(TableauRecette[[#This Row],[Prix d''achat / kg]],0)</f>
        <v/>
      </c>
      <c r="J62" s="609" t="n"/>
      <c r="K62" s="708" t="n"/>
      <c r="L62" s="709">
        <f>_xlfn.XLOOKUP(TableauRecette[[#This Row],[ID]],TableauProduit[ID],TableauProduit[Total (kg) N1],0,0,1)*TableauRecette[[#This Row],[poids / unite]]</f>
        <v/>
      </c>
      <c r="M62" s="710">
        <f>_xlfn.XLOOKUP(TableauRecette[[#This Row],[ID]],TableauProduit[ID],TableauProduit[Total (kg) N2],0,0,1)*TableauRecette[[#This Row],[poids / unite]]</f>
        <v/>
      </c>
      <c r="N62" s="710">
        <f>_xlfn.XLOOKUP(TableauRecette[[#This Row],[ID]],TableauProduit[ID],TableauProduit[Total (kg) N3],0,0,1)*TableauRecette[[#This Row],[poids / unite]]</f>
        <v/>
      </c>
      <c r="O62" s="710">
        <f>_xlfn.XLOOKUP(TableauRecette[[#This Row],[ID]],TableauProduit[ID],TableauProduit[Total (kg) N4],0,0,1)*TableauRecette[[#This Row],[poids / unite]]</f>
        <v/>
      </c>
      <c r="P62" s="710">
        <f>_xlfn.XLOOKUP(TableauRecette[[#This Row],[ID]],TableauProduit[ID],TableauProduit[Total (kg) N5],0,0,1)*TableauRecette[[#This Row],[poids / unite]]</f>
        <v/>
      </c>
      <c r="Q62" s="710">
        <f>_xlfn.XLOOKUP(TableauRecette[[#This Row],[ID]],TableauProduit[ID],TableauProduit[Total (kg) N6],0,0,1)*TableauRecette[[#This Row],[poids / unite]]</f>
        <v/>
      </c>
      <c r="R62" s="710">
        <f>_xlfn.XLOOKUP(TableauRecette[[#This Row],[ID]],TableauProduit[ID],TableauProduit[Total (kg) N7],0,0,1)*TableauRecette[[#This Row],[poids / unite]]</f>
        <v/>
      </c>
      <c r="S62" s="710">
        <f>_xlfn.XLOOKUP(TableauRecette[[#This Row],[ID]],TableauProduit[ID],TableauProduit[Total (kg) N8],0,0,1)*TableauRecette[[#This Row],[poids / unite]]</f>
        <v/>
      </c>
      <c r="T62" s="710">
        <f>_xlfn.XLOOKUP(TableauRecette[[#This Row],[ID]],TableauProduit[ID],TableauProduit[Total (kg) N9],0,0,1)*TableauRecette[[#This Row],[poids / unite]]</f>
        <v/>
      </c>
    </row>
    <row r="63">
      <c r="A63" s="608" t="inlineStr">
        <is>
          <t xml:space="preserve">Cornichons extra-fins </t>
        </is>
      </c>
      <c r="B63" s="608">
        <f>TableauRecette[[#This Row],[Recette]]&amp;TableauRecette[[#This Row],[Conditionnement]]</f>
        <v/>
      </c>
      <c r="C63" s="608" t="inlineStr">
        <is>
          <t>Oignon rocambole</t>
        </is>
      </c>
      <c r="D63" s="609" t="n">
        <v>250</v>
      </c>
      <c r="E63" s="608" t="inlineStr">
        <is>
          <t>Cornichon fin</t>
        </is>
      </c>
      <c r="F63" s="60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63" s="609">
        <f>IFERROR(_xlfn.XLOOKUP(TableauRecette[[#This Row],[Ingredients]],TableauIngredients[Ingredients],TableauIngredients[Prix d''achat (kg)],0)*TableauRecette[[#This Row],[poids / unite]],0)</f>
        <v/>
      </c>
      <c r="H63" s="609">
        <f>IFERROR(SUMIFS(TableauRecette[Proportion],TableauRecette[Recette],TableauRecette[[#This Row],[Recette]],TableauRecette[Conditionnement],TableauRecette[[#This Row],[Conditionnement]]),0)</f>
        <v/>
      </c>
      <c r="I63" s="609">
        <f>IFERROR(TableauRecette[[#This Row],[Prix d''achat / kg]],0)</f>
        <v/>
      </c>
      <c r="J63" s="609" t="n"/>
      <c r="K63" s="708" t="n"/>
      <c r="L63" s="709">
        <f>_xlfn.XLOOKUP(TableauRecette[[#This Row],[ID]],TableauProduit[ID],TableauProduit[Total (kg) N1],0,0,1)*TableauRecette[[#This Row],[poids / unite]]</f>
        <v/>
      </c>
      <c r="M63" s="710">
        <f>_xlfn.XLOOKUP(TableauRecette[[#This Row],[ID]],TableauProduit[ID],TableauProduit[Total (kg) N2],0,0,1)*TableauRecette[[#This Row],[poids / unite]]</f>
        <v/>
      </c>
      <c r="N63" s="710">
        <f>_xlfn.XLOOKUP(TableauRecette[[#This Row],[ID]],TableauProduit[ID],TableauProduit[Total (kg) N3],0,0,1)*TableauRecette[[#This Row],[poids / unite]]</f>
        <v/>
      </c>
      <c r="O63" s="710">
        <f>_xlfn.XLOOKUP(TableauRecette[[#This Row],[ID]],TableauProduit[ID],TableauProduit[Total (kg) N4],0,0,1)*TableauRecette[[#This Row],[poids / unite]]</f>
        <v/>
      </c>
      <c r="P63" s="710">
        <f>_xlfn.XLOOKUP(TableauRecette[[#This Row],[ID]],TableauProduit[ID],TableauProduit[Total (kg) N5],0,0,1)*TableauRecette[[#This Row],[poids / unite]]</f>
        <v/>
      </c>
      <c r="Q63" s="710">
        <f>_xlfn.XLOOKUP(TableauRecette[[#This Row],[ID]],TableauProduit[ID],TableauProduit[Total (kg) N6],0,0,1)*TableauRecette[[#This Row],[poids / unite]]</f>
        <v/>
      </c>
      <c r="R63" s="710">
        <f>_xlfn.XLOOKUP(TableauRecette[[#This Row],[ID]],TableauProduit[ID],TableauProduit[Total (kg) N7],0,0,1)*TableauRecette[[#This Row],[poids / unite]]</f>
        <v/>
      </c>
      <c r="S63" s="710">
        <f>_xlfn.XLOOKUP(TableauRecette[[#This Row],[ID]],TableauProduit[ID],TableauProduit[Total (kg) N8],0,0,1)*TableauRecette[[#This Row],[poids / unite]]</f>
        <v/>
      </c>
      <c r="T63" s="710">
        <f>_xlfn.XLOOKUP(TableauRecette[[#This Row],[ID]],TableauProduit[ID],TableauProduit[Total (kg) N9],0,0,1)*TableauRecette[[#This Row],[poids / unite]]</f>
        <v/>
      </c>
    </row>
    <row r="64">
      <c r="A64" s="608" t="inlineStr">
        <is>
          <t xml:space="preserve">Cornichons extra-fins </t>
        </is>
      </c>
      <c r="B64" s="608">
        <f>TableauRecette[[#This Row],[Recette]]&amp;TableauRecette[[#This Row],[Conditionnement]]</f>
        <v/>
      </c>
      <c r="C64" s="608" t="inlineStr">
        <is>
          <t>Sel</t>
        </is>
      </c>
      <c r="D64" s="609" t="n">
        <v>250</v>
      </c>
      <c r="E64" s="608" t="inlineStr">
        <is>
          <t>Cornichon fin</t>
        </is>
      </c>
      <c r="F64" s="60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64" s="609">
        <f>IFERROR(_xlfn.XLOOKUP(TableauRecette[[#This Row],[Ingredients]],TableauIngredients[Ingredients],TableauIngredients[Prix d''achat (kg)],0)*TableauRecette[[#This Row],[poids / unite]],0)</f>
        <v/>
      </c>
      <c r="H64" s="609">
        <f>IFERROR(SUMIFS(TableauRecette[Proportion],TableauRecette[Recette],TableauRecette[[#This Row],[Recette]],TableauRecette[Conditionnement],TableauRecette[[#This Row],[Conditionnement]]),0)</f>
        <v/>
      </c>
      <c r="I64" s="609">
        <f>IFERROR(TableauRecette[[#This Row],[Prix d''achat / kg]],0)</f>
        <v/>
      </c>
      <c r="J64" s="609" t="n"/>
      <c r="K64" s="708" t="n"/>
      <c r="L64" s="709">
        <f>_xlfn.XLOOKUP(TableauRecette[[#This Row],[ID]],TableauProduit[ID],TableauProduit[Total (kg) N1],0,0,1)*TableauRecette[[#This Row],[poids / unite]]</f>
        <v/>
      </c>
      <c r="M64" s="710">
        <f>_xlfn.XLOOKUP(TableauRecette[[#This Row],[ID]],TableauProduit[ID],TableauProduit[Total (kg) N2],0,0,1)*TableauRecette[[#This Row],[poids / unite]]</f>
        <v/>
      </c>
      <c r="N64" s="710">
        <f>_xlfn.XLOOKUP(TableauRecette[[#This Row],[ID]],TableauProduit[ID],TableauProduit[Total (kg) N3],0,0,1)*TableauRecette[[#This Row],[poids / unite]]</f>
        <v/>
      </c>
      <c r="O64" s="710">
        <f>_xlfn.XLOOKUP(TableauRecette[[#This Row],[ID]],TableauProduit[ID],TableauProduit[Total (kg) N4],0,0,1)*TableauRecette[[#This Row],[poids / unite]]</f>
        <v/>
      </c>
      <c r="P64" s="710">
        <f>_xlfn.XLOOKUP(TableauRecette[[#This Row],[ID]],TableauProduit[ID],TableauProduit[Total (kg) N5],0,0,1)*TableauRecette[[#This Row],[poids / unite]]</f>
        <v/>
      </c>
      <c r="Q64" s="710">
        <f>_xlfn.XLOOKUP(TableauRecette[[#This Row],[ID]],TableauProduit[ID],TableauProduit[Total (kg) N6],0,0,1)*TableauRecette[[#This Row],[poids / unite]]</f>
        <v/>
      </c>
      <c r="R64" s="710">
        <f>_xlfn.XLOOKUP(TableauRecette[[#This Row],[ID]],TableauProduit[ID],TableauProduit[Total (kg) N7],0,0,1)*TableauRecette[[#This Row],[poids / unite]]</f>
        <v/>
      </c>
      <c r="S64" s="710">
        <f>_xlfn.XLOOKUP(TableauRecette[[#This Row],[ID]],TableauProduit[ID],TableauProduit[Total (kg) N8],0,0,1)*TableauRecette[[#This Row],[poids / unite]]</f>
        <v/>
      </c>
      <c r="T64" s="710">
        <f>_xlfn.XLOOKUP(TableauRecette[[#This Row],[ID]],TableauProduit[ID],TableauProduit[Total (kg) N9],0,0,1)*TableauRecette[[#This Row],[poids / unite]]</f>
        <v/>
      </c>
    </row>
    <row r="65">
      <c r="A65" s="608" t="inlineStr">
        <is>
          <t xml:space="preserve">Cornichons extra-fins </t>
        </is>
      </c>
      <c r="B65" s="608">
        <f>TableauRecette[[#This Row],[Recette]]&amp;TableauRecette[[#This Row],[Conditionnement]]</f>
        <v/>
      </c>
      <c r="C65" s="608" t="inlineStr">
        <is>
          <t>Feuilles De Laurier Sec</t>
        </is>
      </c>
      <c r="D65" s="609" t="n">
        <v>4</v>
      </c>
      <c r="E65" s="608" t="inlineStr">
        <is>
          <t>Cornichon fin</t>
        </is>
      </c>
      <c r="F65" s="60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65" s="609">
        <f>IFERROR(_xlfn.XLOOKUP(TableauRecette[[#This Row],[Ingredients]],TableauIngredients[Ingredients],TableauIngredients[Prix d''achat (kg)],0)*TableauRecette[[#This Row],[poids / unite]],0)</f>
        <v/>
      </c>
      <c r="H65" s="609">
        <f>IFERROR(SUMIFS(TableauRecette[Proportion],TableauRecette[Recette],TableauRecette[[#This Row],[Recette]],TableauRecette[Conditionnement],TableauRecette[[#This Row],[Conditionnement]]),0)</f>
        <v/>
      </c>
      <c r="I65" s="609">
        <f>IFERROR(TableauRecette[[#This Row],[Prix d''achat / kg]],0)</f>
        <v/>
      </c>
      <c r="J65" s="609" t="n"/>
      <c r="K65" s="708" t="n"/>
      <c r="L65" s="709">
        <f>_xlfn.XLOOKUP(TableauRecette[[#This Row],[ID]],TableauProduit[ID],TableauProduit[Total (kg) N1],0,0,1)*TableauRecette[[#This Row],[poids / unite]]</f>
        <v/>
      </c>
      <c r="M65" s="710">
        <f>_xlfn.XLOOKUP(TableauRecette[[#This Row],[ID]],TableauProduit[ID],TableauProduit[Total (kg) N2],0,0,1)*TableauRecette[[#This Row],[poids / unite]]</f>
        <v/>
      </c>
      <c r="N65" s="710">
        <f>_xlfn.XLOOKUP(TableauRecette[[#This Row],[ID]],TableauProduit[ID],TableauProduit[Total (kg) N3],0,0,1)*TableauRecette[[#This Row],[poids / unite]]</f>
        <v/>
      </c>
      <c r="O65" s="710">
        <f>_xlfn.XLOOKUP(TableauRecette[[#This Row],[ID]],TableauProduit[ID],TableauProduit[Total (kg) N4],0,0,1)*TableauRecette[[#This Row],[poids / unite]]</f>
        <v/>
      </c>
      <c r="P65" s="710">
        <f>_xlfn.XLOOKUP(TableauRecette[[#This Row],[ID]],TableauProduit[ID],TableauProduit[Total (kg) N5],0,0,1)*TableauRecette[[#This Row],[poids / unite]]</f>
        <v/>
      </c>
      <c r="Q65" s="710">
        <f>_xlfn.XLOOKUP(TableauRecette[[#This Row],[ID]],TableauProduit[ID],TableauProduit[Total (kg) N6],0,0,1)*TableauRecette[[#This Row],[poids / unite]]</f>
        <v/>
      </c>
      <c r="R65" s="710">
        <f>_xlfn.XLOOKUP(TableauRecette[[#This Row],[ID]],TableauProduit[ID],TableauProduit[Total (kg) N7],0,0,1)*TableauRecette[[#This Row],[poids / unite]]</f>
        <v/>
      </c>
      <c r="S65" s="710">
        <f>_xlfn.XLOOKUP(TableauRecette[[#This Row],[ID]],TableauProduit[ID],TableauProduit[Total (kg) N8],0,0,1)*TableauRecette[[#This Row],[poids / unite]]</f>
        <v/>
      </c>
      <c r="T65" s="710">
        <f>_xlfn.XLOOKUP(TableauRecette[[#This Row],[ID]],TableauProduit[ID],TableauProduit[Total (kg) N9],0,0,1)*TableauRecette[[#This Row],[poids / unite]]</f>
        <v/>
      </c>
    </row>
    <row r="66">
      <c r="A66" s="608" t="inlineStr">
        <is>
          <t xml:space="preserve">Cornichons extra-fins </t>
        </is>
      </c>
      <c r="B66" s="608">
        <f>TableauRecette[[#This Row],[Recette]]&amp;TableauRecette[[#This Row],[Conditionnement]]</f>
        <v/>
      </c>
      <c r="C66" s="608" t="inlineStr">
        <is>
          <t>Graine De Moutarde</t>
        </is>
      </c>
      <c r="D66" s="609" t="n">
        <v>100</v>
      </c>
      <c r="E66" s="608" t="inlineStr">
        <is>
          <t>Cornichon fin</t>
        </is>
      </c>
      <c r="F66" s="60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66" s="609">
        <f>IFERROR(_xlfn.XLOOKUP(TableauRecette[[#This Row],[Ingredients]],TableauIngredients[Ingredients],TableauIngredients[Prix d''achat (kg)],0)*TableauRecette[[#This Row],[poids / unite]],0)</f>
        <v/>
      </c>
      <c r="H66" s="609">
        <f>IFERROR(SUMIFS(TableauRecette[Proportion],TableauRecette[Recette],TableauRecette[[#This Row],[Recette]],TableauRecette[Conditionnement],TableauRecette[[#This Row],[Conditionnement]]),0)</f>
        <v/>
      </c>
      <c r="I66" s="609">
        <f>IFERROR(TableauRecette[[#This Row],[Prix d''achat / kg]],0)</f>
        <v/>
      </c>
      <c r="J66" s="609" t="n"/>
      <c r="K66" s="708" t="n"/>
      <c r="L66" s="709">
        <f>_xlfn.XLOOKUP(TableauRecette[[#This Row],[ID]],TableauProduit[ID],TableauProduit[Total (kg) N1],0,0,1)*TableauRecette[[#This Row],[poids / unite]]</f>
        <v/>
      </c>
      <c r="M66" s="710">
        <f>_xlfn.XLOOKUP(TableauRecette[[#This Row],[ID]],TableauProduit[ID],TableauProduit[Total (kg) N2],0,0,1)*TableauRecette[[#This Row],[poids / unite]]</f>
        <v/>
      </c>
      <c r="N66" s="710">
        <f>_xlfn.XLOOKUP(TableauRecette[[#This Row],[ID]],TableauProduit[ID],TableauProduit[Total (kg) N3],0,0,1)*TableauRecette[[#This Row],[poids / unite]]</f>
        <v/>
      </c>
      <c r="O66" s="710">
        <f>_xlfn.XLOOKUP(TableauRecette[[#This Row],[ID]],TableauProduit[ID],TableauProduit[Total (kg) N4],0,0,1)*TableauRecette[[#This Row],[poids / unite]]</f>
        <v/>
      </c>
      <c r="P66" s="710">
        <f>_xlfn.XLOOKUP(TableauRecette[[#This Row],[ID]],TableauProduit[ID],TableauProduit[Total (kg) N5],0,0,1)*TableauRecette[[#This Row],[poids / unite]]</f>
        <v/>
      </c>
      <c r="Q66" s="710">
        <f>_xlfn.XLOOKUP(TableauRecette[[#This Row],[ID]],TableauProduit[ID],TableauProduit[Total (kg) N6],0,0,1)*TableauRecette[[#This Row],[poids / unite]]</f>
        <v/>
      </c>
      <c r="R66" s="710">
        <f>_xlfn.XLOOKUP(TableauRecette[[#This Row],[ID]],TableauProduit[ID],TableauProduit[Total (kg) N7],0,0,1)*TableauRecette[[#This Row],[poids / unite]]</f>
        <v/>
      </c>
      <c r="S66" s="710">
        <f>_xlfn.XLOOKUP(TableauRecette[[#This Row],[ID]],TableauProduit[ID],TableauProduit[Total (kg) N8],0,0,1)*TableauRecette[[#This Row],[poids / unite]]</f>
        <v/>
      </c>
      <c r="T66" s="710">
        <f>_xlfn.XLOOKUP(TableauRecette[[#This Row],[ID]],TableauProduit[ID],TableauProduit[Total (kg) N9],0,0,1)*TableauRecette[[#This Row],[poids / unite]]</f>
        <v/>
      </c>
    </row>
    <row r="67">
      <c r="A67" s="608" t="inlineStr">
        <is>
          <t xml:space="preserve">Cornichons extra-fins </t>
        </is>
      </c>
      <c r="B67" s="608">
        <f>TableauRecette[[#This Row],[Recette]]&amp;TableauRecette[[#This Row],[Conditionnement]]</f>
        <v/>
      </c>
      <c r="C67" s="608" t="inlineStr">
        <is>
          <t>Coriandre Graine</t>
        </is>
      </c>
      <c r="D67" s="609" t="n">
        <v>10</v>
      </c>
      <c r="E67" s="608" t="inlineStr">
        <is>
          <t>Cornichon fin</t>
        </is>
      </c>
      <c r="F67" s="60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67" s="609">
        <f>IFERROR(_xlfn.XLOOKUP(TableauRecette[[#This Row],[Ingredients]],TableauIngredients[Ingredients],TableauIngredients[Prix d''achat (kg)],0)*TableauRecette[[#This Row],[poids / unite]],0)</f>
        <v/>
      </c>
      <c r="H67" s="609">
        <f>IFERROR(SUMIFS(TableauRecette[Proportion],TableauRecette[Recette],TableauRecette[[#This Row],[Recette]],TableauRecette[Conditionnement],TableauRecette[[#This Row],[Conditionnement]]),0)</f>
        <v/>
      </c>
      <c r="I67" s="609">
        <f>IFERROR(TableauRecette[[#This Row],[Prix d''achat / kg]],0)</f>
        <v/>
      </c>
      <c r="J67" s="609" t="n"/>
      <c r="K67" s="708" t="n"/>
      <c r="L67" s="709">
        <f>_xlfn.XLOOKUP(TableauRecette[[#This Row],[ID]],TableauProduit[ID],TableauProduit[Total (kg) N1],0,0,1)*TableauRecette[[#This Row],[poids / unite]]</f>
        <v/>
      </c>
      <c r="M67" s="710">
        <f>_xlfn.XLOOKUP(TableauRecette[[#This Row],[ID]],TableauProduit[ID],TableauProduit[Total (kg) N2],0,0,1)*TableauRecette[[#This Row],[poids / unite]]</f>
        <v/>
      </c>
      <c r="N67" s="710">
        <f>_xlfn.XLOOKUP(TableauRecette[[#This Row],[ID]],TableauProduit[ID],TableauProduit[Total (kg) N3],0,0,1)*TableauRecette[[#This Row],[poids / unite]]</f>
        <v/>
      </c>
      <c r="O67" s="710">
        <f>_xlfn.XLOOKUP(TableauRecette[[#This Row],[ID]],TableauProduit[ID],TableauProduit[Total (kg) N4],0,0,1)*TableauRecette[[#This Row],[poids / unite]]</f>
        <v/>
      </c>
      <c r="P67" s="710">
        <f>_xlfn.XLOOKUP(TableauRecette[[#This Row],[ID]],TableauProduit[ID],TableauProduit[Total (kg) N5],0,0,1)*TableauRecette[[#This Row],[poids / unite]]</f>
        <v/>
      </c>
      <c r="Q67" s="710">
        <f>_xlfn.XLOOKUP(TableauRecette[[#This Row],[ID]],TableauProduit[ID],TableauProduit[Total (kg) N6],0,0,1)*TableauRecette[[#This Row],[poids / unite]]</f>
        <v/>
      </c>
      <c r="R67" s="710">
        <f>_xlfn.XLOOKUP(TableauRecette[[#This Row],[ID]],TableauProduit[ID],TableauProduit[Total (kg) N7],0,0,1)*TableauRecette[[#This Row],[poids / unite]]</f>
        <v/>
      </c>
      <c r="S67" s="710">
        <f>_xlfn.XLOOKUP(TableauRecette[[#This Row],[ID]],TableauProduit[ID],TableauProduit[Total (kg) N8],0,0,1)*TableauRecette[[#This Row],[poids / unite]]</f>
        <v/>
      </c>
      <c r="T67" s="710">
        <f>_xlfn.XLOOKUP(TableauRecette[[#This Row],[ID]],TableauProduit[ID],TableauProduit[Total (kg) N9],0,0,1)*TableauRecette[[#This Row],[poids / unite]]</f>
        <v/>
      </c>
    </row>
    <row r="68">
      <c r="A68" s="62" t="inlineStr">
        <is>
          <t>Cumin graine</t>
        </is>
      </c>
      <c r="B68" s="62">
        <f>TableauRecette[[#This Row],[Recette]]&amp;TableauRecette[[#This Row],[Conditionnement]]</f>
        <v/>
      </c>
      <c r="C68" s="62" t="inlineStr">
        <is>
          <t>Graine De Cumin</t>
        </is>
      </c>
      <c r="D68" s="186" t="n">
        <v>1</v>
      </c>
      <c r="E68" s="62" t="inlineStr">
        <is>
          <t>Epice 100ml</t>
        </is>
      </c>
      <c r="F68" s="18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68" s="186">
        <f>IFERROR(_xlfn.XLOOKUP(TableauRecette[[#This Row],[Ingredients]],TableauIngredients[Ingredients],TableauIngredients[Prix d''achat (kg)],0)*TableauRecette[[#This Row],[poids / unite]],0)</f>
        <v/>
      </c>
      <c r="H68" s="186">
        <f>IFERROR(SUMIFS(TableauRecette[Proportion],TableauRecette[Recette],TableauRecette[[#This Row],[Recette]],TableauRecette[Conditionnement],TableauRecette[[#This Row],[Conditionnement]]),0)</f>
        <v/>
      </c>
      <c r="I68" s="186">
        <f>IFERROR(TableauRecette[[#This Row],[Prix d''achat / kg]],0)</f>
        <v/>
      </c>
      <c r="J68" s="186" t="inlineStr">
        <is>
          <t>Iran</t>
        </is>
      </c>
      <c r="K68" s="711" t="inlineStr">
        <is>
          <t>SEC</t>
        </is>
      </c>
      <c r="L68" s="712">
        <f>_xlfn.XLOOKUP(TableauRecette[[#This Row],[ID]],TableauProduit[ID],TableauProduit[Total (kg) N1],0,0,1)*TableauRecette[[#This Row],[poids / unite]]</f>
        <v/>
      </c>
      <c r="M68" s="713">
        <f>_xlfn.XLOOKUP(TableauRecette[[#This Row],[ID]],TableauProduit[ID],TableauProduit[Total (kg) N2],0,0,1)*TableauRecette[[#This Row],[poids / unite]]</f>
        <v/>
      </c>
      <c r="N68" s="713">
        <f>_xlfn.XLOOKUP(TableauRecette[[#This Row],[ID]],TableauProduit[ID],TableauProduit[Total (kg) N3],0,0,1)*TableauRecette[[#This Row],[poids / unite]]</f>
        <v/>
      </c>
      <c r="O68" s="713">
        <f>_xlfn.XLOOKUP(TableauRecette[[#This Row],[ID]],TableauProduit[ID],TableauProduit[Total (kg) N4],0,0,1)*TableauRecette[[#This Row],[poids / unite]]</f>
        <v/>
      </c>
      <c r="P68" s="713">
        <f>_xlfn.XLOOKUP(TableauRecette[[#This Row],[ID]],TableauProduit[ID],TableauProduit[Total (kg) N5],0,0,1)*TableauRecette[[#This Row],[poids / unite]]</f>
        <v/>
      </c>
      <c r="Q68" s="713">
        <f>_xlfn.XLOOKUP(TableauRecette[[#This Row],[ID]],TableauProduit[ID],TableauProduit[Total (kg) N6],0,0,1)*TableauRecette[[#This Row],[poids / unite]]</f>
        <v/>
      </c>
      <c r="R68" s="713">
        <f>_xlfn.XLOOKUP(TableauRecette[[#This Row],[ID]],TableauProduit[ID],TableauProduit[Total (kg) N7],0,0,1)*TableauRecette[[#This Row],[poids / unite]]</f>
        <v/>
      </c>
      <c r="S68" s="713">
        <f>_xlfn.XLOOKUP(TableauRecette[[#This Row],[ID]],TableauProduit[ID],TableauProduit[Total (kg) N8],0,0,1)*TableauRecette[[#This Row],[poids / unite]]</f>
        <v/>
      </c>
      <c r="T68" s="713">
        <f>_xlfn.XLOOKUP(TableauRecette[[#This Row],[ID]],TableauProduit[ID],TableauProduit[Total (kg) N9],0,0,1)*TableauRecette[[#This Row],[poids / unite]]</f>
        <v/>
      </c>
    </row>
    <row r="69">
      <c r="A69" s="63" t="inlineStr">
        <is>
          <t>Cumin moulu</t>
        </is>
      </c>
      <c r="B69" s="63">
        <f>TableauRecette[[#This Row],[Recette]]&amp;TableauRecette[[#This Row],[Conditionnement]]</f>
        <v/>
      </c>
      <c r="C69" s="63" t="inlineStr">
        <is>
          <t>Cumin Moulu</t>
        </is>
      </c>
      <c r="D69" s="187" t="n">
        <v>1</v>
      </c>
      <c r="E69" s="63" t="inlineStr">
        <is>
          <t>Epice 100ml</t>
        </is>
      </c>
      <c r="F69" s="18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69" s="187">
        <f>IFERROR(_xlfn.XLOOKUP(TableauRecette[[#This Row],[Ingredients]],TableauIngredients[Ingredients],TableauIngredients[Prix d''achat (kg)],0)*TableauRecette[[#This Row],[poids / unite]],0)</f>
        <v/>
      </c>
      <c r="H69" s="187">
        <f>IFERROR(SUMIFS(TableauRecette[Proportion],TableauRecette[Recette],TableauRecette[[#This Row],[Recette]],TableauRecette[Conditionnement],TableauRecette[[#This Row],[Conditionnement]]),0)</f>
        <v/>
      </c>
      <c r="I69" s="187">
        <f>IFERROR(TableauRecette[[#This Row],[Prix d''achat / kg]],0)</f>
        <v/>
      </c>
      <c r="J69" s="187" t="inlineStr">
        <is>
          <t>Irak</t>
        </is>
      </c>
      <c r="K69" s="714" t="inlineStr">
        <is>
          <t>SEC</t>
        </is>
      </c>
      <c r="L69" s="715">
        <f>_xlfn.XLOOKUP(TableauRecette[[#This Row],[ID]],TableauProduit[ID],TableauProduit[Total (kg) N1],0,0,1)*TableauRecette[[#This Row],[poids / unite]]</f>
        <v/>
      </c>
      <c r="M69" s="716">
        <f>_xlfn.XLOOKUP(TableauRecette[[#This Row],[ID]],TableauProduit[ID],TableauProduit[Total (kg) N2],0,0,1)*TableauRecette[[#This Row],[poids / unite]]</f>
        <v/>
      </c>
      <c r="N69" s="716">
        <f>_xlfn.XLOOKUP(TableauRecette[[#This Row],[ID]],TableauProduit[ID],TableauProduit[Total (kg) N3],0,0,1)*TableauRecette[[#This Row],[poids / unite]]</f>
        <v/>
      </c>
      <c r="O69" s="716">
        <f>_xlfn.XLOOKUP(TableauRecette[[#This Row],[ID]],TableauProduit[ID],TableauProduit[Total (kg) N4],0,0,1)*TableauRecette[[#This Row],[poids / unite]]</f>
        <v/>
      </c>
      <c r="P69" s="716">
        <f>_xlfn.XLOOKUP(TableauRecette[[#This Row],[ID]],TableauProduit[ID],TableauProduit[Total (kg) N5],0,0,1)*TableauRecette[[#This Row],[poids / unite]]</f>
        <v/>
      </c>
      <c r="Q69" s="716">
        <f>_xlfn.XLOOKUP(TableauRecette[[#This Row],[ID]],TableauProduit[ID],TableauProduit[Total (kg) N6],0,0,1)*TableauRecette[[#This Row],[poids / unite]]</f>
        <v/>
      </c>
      <c r="R69" s="716">
        <f>_xlfn.XLOOKUP(TableauRecette[[#This Row],[ID]],TableauProduit[ID],TableauProduit[Total (kg) N7],0,0,1)*TableauRecette[[#This Row],[poids / unite]]</f>
        <v/>
      </c>
      <c r="S69" s="716">
        <f>_xlfn.XLOOKUP(TableauRecette[[#This Row],[ID]],TableauProduit[ID],TableauProduit[Total (kg) N8],0,0,1)*TableauRecette[[#This Row],[poids / unite]]</f>
        <v/>
      </c>
      <c r="T69" s="716">
        <f>_xlfn.XLOOKUP(TableauRecette[[#This Row],[ID]],TableauProduit[ID],TableauProduit[Total (kg) N9],0,0,1)*TableauRecette[[#This Row],[poids / unite]]</f>
        <v/>
      </c>
    </row>
    <row r="70">
      <c r="A70" s="64" t="inlineStr">
        <is>
          <t>Curcuma</t>
        </is>
      </c>
      <c r="B70" s="64">
        <f>TableauRecette[[#This Row],[Recette]]&amp;TableauRecette[[#This Row],[Conditionnement]]</f>
        <v/>
      </c>
      <c r="C70" s="64" t="inlineStr">
        <is>
          <t>Curcuma Moulu</t>
        </is>
      </c>
      <c r="D70" s="188" t="n">
        <v>1</v>
      </c>
      <c r="E70" s="64" t="inlineStr">
        <is>
          <t>Epice 100ml</t>
        </is>
      </c>
      <c r="F70" s="18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70" s="188">
        <f>IFERROR(_xlfn.XLOOKUP(TableauRecette[[#This Row],[Ingredients]],TableauIngredients[Ingredients],TableauIngredients[Prix d''achat (kg)],0)*TableauRecette[[#This Row],[poids / unite]],0)</f>
        <v/>
      </c>
      <c r="H70" s="188">
        <f>IFERROR(SUMIFS(TableauRecette[Proportion],TableauRecette[Recette],TableauRecette[[#This Row],[Recette]],TableauRecette[Conditionnement],TableauRecette[[#This Row],[Conditionnement]]),0)</f>
        <v/>
      </c>
      <c r="I70" s="188">
        <f>IFERROR(TableauRecette[[#This Row],[Prix d''achat / kg]],0)</f>
        <v/>
      </c>
      <c r="J70" s="188" t="inlineStr">
        <is>
          <t>Irak</t>
        </is>
      </c>
      <c r="K70" s="717" t="inlineStr">
        <is>
          <t>SEC</t>
        </is>
      </c>
      <c r="L70" s="718">
        <f>_xlfn.XLOOKUP(TableauRecette[[#This Row],[ID]],TableauProduit[ID],TableauProduit[Total (kg) N1],0,0,1)*TableauRecette[[#This Row],[poids / unite]]</f>
        <v/>
      </c>
      <c r="M70" s="719">
        <f>_xlfn.XLOOKUP(TableauRecette[[#This Row],[ID]],TableauProduit[ID],TableauProduit[Total (kg) N2],0,0,1)*TableauRecette[[#This Row],[poids / unite]]</f>
        <v/>
      </c>
      <c r="N70" s="719">
        <f>_xlfn.XLOOKUP(TableauRecette[[#This Row],[ID]],TableauProduit[ID],TableauProduit[Total (kg) N3],0,0,1)*TableauRecette[[#This Row],[poids / unite]]</f>
        <v/>
      </c>
      <c r="O70" s="719">
        <f>_xlfn.XLOOKUP(TableauRecette[[#This Row],[ID]],TableauProduit[ID],TableauProduit[Total (kg) N4],0,0,1)*TableauRecette[[#This Row],[poids / unite]]</f>
        <v/>
      </c>
      <c r="P70" s="719">
        <f>_xlfn.XLOOKUP(TableauRecette[[#This Row],[ID]],TableauProduit[ID],TableauProduit[Total (kg) N5],0,0,1)*TableauRecette[[#This Row],[poids / unite]]</f>
        <v/>
      </c>
      <c r="Q70" s="719">
        <f>_xlfn.XLOOKUP(TableauRecette[[#This Row],[ID]],TableauProduit[ID],TableauProduit[Total (kg) N6],0,0,1)*TableauRecette[[#This Row],[poids / unite]]</f>
        <v/>
      </c>
      <c r="R70" s="719">
        <f>_xlfn.XLOOKUP(TableauRecette[[#This Row],[ID]],TableauProduit[ID],TableauProduit[Total (kg) N7],0,0,1)*TableauRecette[[#This Row],[poids / unite]]</f>
        <v/>
      </c>
      <c r="S70" s="719">
        <f>_xlfn.XLOOKUP(TableauRecette[[#This Row],[ID]],TableauProduit[ID],TableauProduit[Total (kg) N8],0,0,1)*TableauRecette[[#This Row],[poids / unite]]</f>
        <v/>
      </c>
      <c r="T70" s="719">
        <f>_xlfn.XLOOKUP(TableauRecette[[#This Row],[ID]],TableauProduit[ID],TableauProduit[Total (kg) N9],0,0,1)*TableauRecette[[#This Row],[poids / unite]]</f>
        <v/>
      </c>
    </row>
    <row r="71">
      <c r="A71" s="65" t="inlineStr">
        <is>
          <t>Curry</t>
        </is>
      </c>
      <c r="B71" s="65">
        <f>TableauRecette[[#This Row],[Recette]]&amp;TableauRecette[[#This Row],[Conditionnement]]</f>
        <v/>
      </c>
      <c r="C71" s="65" t="inlineStr">
        <is>
          <t>Coriandre Graine</t>
        </is>
      </c>
      <c r="D71" s="189" t="n">
        <v>0.75</v>
      </c>
      <c r="E71" s="65" t="inlineStr">
        <is>
          <t>Epice 100ml</t>
        </is>
      </c>
      <c r="F71" s="18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71" s="189">
        <f>IFERROR(_xlfn.XLOOKUP(TableauRecette[[#This Row],[Ingredients]],TableauIngredients[Ingredients],TableauIngredients[Prix d''achat (kg)],0)*TableauRecette[[#This Row],[poids / unite]],0)</f>
        <v/>
      </c>
      <c r="H71" s="189">
        <f>IFERROR(SUMIFS(TableauRecette[Proportion],TableauRecette[Recette],TableauRecette[[#This Row],[Recette]],TableauRecette[Conditionnement],TableauRecette[[#This Row],[Conditionnement]]),0)</f>
        <v/>
      </c>
      <c r="I71" s="189">
        <f>IFERROR(TableauRecette[[#This Row],[Prix d''achat / kg]],0)</f>
        <v/>
      </c>
      <c r="J71" s="189" t="inlineStr">
        <is>
          <t>Irak</t>
        </is>
      </c>
      <c r="K71" s="720" t="inlineStr">
        <is>
          <t>SEC</t>
        </is>
      </c>
      <c r="L71" s="721">
        <f>_xlfn.XLOOKUP(TableauRecette[[#This Row],[ID]],TableauProduit[ID],TableauProduit[Total (kg) N1],0,0,1)*TableauRecette[[#This Row],[poids / unite]]</f>
        <v/>
      </c>
      <c r="M71" s="722">
        <f>_xlfn.XLOOKUP(TableauRecette[[#This Row],[ID]],TableauProduit[ID],TableauProduit[Total (kg) N2],0,0,1)*TableauRecette[[#This Row],[poids / unite]]</f>
        <v/>
      </c>
      <c r="N71" s="722">
        <f>_xlfn.XLOOKUP(TableauRecette[[#This Row],[ID]],TableauProduit[ID],TableauProduit[Total (kg) N3],0,0,1)*TableauRecette[[#This Row],[poids / unite]]</f>
        <v/>
      </c>
      <c r="O71" s="722">
        <f>_xlfn.XLOOKUP(TableauRecette[[#This Row],[ID]],TableauProduit[ID],TableauProduit[Total (kg) N4],0,0,1)*TableauRecette[[#This Row],[poids / unite]]</f>
        <v/>
      </c>
      <c r="P71" s="722">
        <f>_xlfn.XLOOKUP(TableauRecette[[#This Row],[ID]],TableauProduit[ID],TableauProduit[Total (kg) N5],0,0,1)*TableauRecette[[#This Row],[poids / unite]]</f>
        <v/>
      </c>
      <c r="Q71" s="722">
        <f>_xlfn.XLOOKUP(TableauRecette[[#This Row],[ID]],TableauProduit[ID],TableauProduit[Total (kg) N6],0,0,1)*TableauRecette[[#This Row],[poids / unite]]</f>
        <v/>
      </c>
      <c r="R71" s="722">
        <f>_xlfn.XLOOKUP(TableauRecette[[#This Row],[ID]],TableauProduit[ID],TableauProduit[Total (kg) N7],0,0,1)*TableauRecette[[#This Row],[poids / unite]]</f>
        <v/>
      </c>
      <c r="S71" s="722">
        <f>_xlfn.XLOOKUP(TableauRecette[[#This Row],[ID]],TableauProduit[ID],TableauProduit[Total (kg) N8],0,0,1)*TableauRecette[[#This Row],[poids / unite]]</f>
        <v/>
      </c>
      <c r="T71" s="722">
        <f>_xlfn.XLOOKUP(TableauRecette[[#This Row],[ID]],TableauProduit[ID],TableauProduit[Total (kg) N9],0,0,1)*TableauRecette[[#This Row],[poids / unite]]</f>
        <v/>
      </c>
    </row>
    <row r="72">
      <c r="A72" s="65" t="inlineStr">
        <is>
          <t>Curry</t>
        </is>
      </c>
      <c r="B72" s="65">
        <f>TableauRecette[[#This Row],[Recette]]&amp;TableauRecette[[#This Row],[Conditionnement]]</f>
        <v/>
      </c>
      <c r="C72" s="65" t="inlineStr">
        <is>
          <t>Curcuma Moulu</t>
        </is>
      </c>
      <c r="D72" s="189" t="n">
        <v>1</v>
      </c>
      <c r="E72" s="65" t="inlineStr">
        <is>
          <t>Epice 100ml</t>
        </is>
      </c>
      <c r="F72" s="18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72" s="189">
        <f>IFERROR(_xlfn.XLOOKUP(TableauRecette[[#This Row],[Ingredients]],TableauIngredients[Ingredients],TableauIngredients[Prix d''achat (kg)],0)*TableauRecette[[#This Row],[poids / unite]],0)</f>
        <v/>
      </c>
      <c r="H72" s="189">
        <f>IFERROR(SUMIFS(TableauRecette[Proportion],TableauRecette[Recette],TableauRecette[[#This Row],[Recette]],TableauRecette[Conditionnement],TableauRecette[[#This Row],[Conditionnement]]),0)</f>
        <v/>
      </c>
      <c r="I72" s="189">
        <f>IFERROR(TableauRecette[[#This Row],[Prix d''achat / kg]],0)</f>
        <v/>
      </c>
      <c r="J72" s="189" t="inlineStr">
        <is>
          <t>Irak</t>
        </is>
      </c>
      <c r="K72" s="720" t="inlineStr">
        <is>
          <t>SEC</t>
        </is>
      </c>
      <c r="L72" s="721">
        <f>_xlfn.XLOOKUP(TableauRecette[[#This Row],[ID]],TableauProduit[ID],TableauProduit[Total (kg) N1],0,0,1)*TableauRecette[[#This Row],[poids / unite]]</f>
        <v/>
      </c>
      <c r="M72" s="722">
        <f>_xlfn.XLOOKUP(TableauRecette[[#This Row],[ID]],TableauProduit[ID],TableauProduit[Total (kg) N2],0,0,1)*TableauRecette[[#This Row],[poids / unite]]</f>
        <v/>
      </c>
      <c r="N72" s="722">
        <f>_xlfn.XLOOKUP(TableauRecette[[#This Row],[ID]],TableauProduit[ID],TableauProduit[Total (kg) N3],0,0,1)*TableauRecette[[#This Row],[poids / unite]]</f>
        <v/>
      </c>
      <c r="O72" s="722">
        <f>_xlfn.XLOOKUP(TableauRecette[[#This Row],[ID]],TableauProduit[ID],TableauProduit[Total (kg) N4],0,0,1)*TableauRecette[[#This Row],[poids / unite]]</f>
        <v/>
      </c>
      <c r="P72" s="722">
        <f>_xlfn.XLOOKUP(TableauRecette[[#This Row],[ID]],TableauProduit[ID],TableauProduit[Total (kg) N5],0,0,1)*TableauRecette[[#This Row],[poids / unite]]</f>
        <v/>
      </c>
      <c r="Q72" s="722">
        <f>_xlfn.XLOOKUP(TableauRecette[[#This Row],[ID]],TableauProduit[ID],TableauProduit[Total (kg) N6],0,0,1)*TableauRecette[[#This Row],[poids / unite]]</f>
        <v/>
      </c>
      <c r="R72" s="722">
        <f>_xlfn.XLOOKUP(TableauRecette[[#This Row],[ID]],TableauProduit[ID],TableauProduit[Total (kg) N7],0,0,1)*TableauRecette[[#This Row],[poids / unite]]</f>
        <v/>
      </c>
      <c r="S72" s="722">
        <f>_xlfn.XLOOKUP(TableauRecette[[#This Row],[ID]],TableauProduit[ID],TableauProduit[Total (kg) N8],0,0,1)*TableauRecette[[#This Row],[poids / unite]]</f>
        <v/>
      </c>
      <c r="T72" s="722">
        <f>_xlfn.XLOOKUP(TableauRecette[[#This Row],[ID]],TableauProduit[ID],TableauProduit[Total (kg) N9],0,0,1)*TableauRecette[[#This Row],[poids / unite]]</f>
        <v/>
      </c>
    </row>
    <row r="73">
      <c r="A73" s="65" t="inlineStr">
        <is>
          <t>Curry</t>
        </is>
      </c>
      <c r="B73" s="65">
        <f>TableauRecette[[#This Row],[Recette]]&amp;TableauRecette[[#This Row],[Conditionnement]]</f>
        <v/>
      </c>
      <c r="C73" s="65" t="inlineStr">
        <is>
          <t>Graine De Moutarde</t>
        </is>
      </c>
      <c r="D73" s="189" t="n">
        <v>0.5</v>
      </c>
      <c r="E73" s="65" t="inlineStr">
        <is>
          <t>Epice 100ml</t>
        </is>
      </c>
      <c r="F73" s="18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73" s="189">
        <f>IFERROR(_xlfn.XLOOKUP(TableauRecette[[#This Row],[Ingredients]],TableauIngredients[Ingredients],TableauIngredients[Prix d''achat (kg)],0)*TableauRecette[[#This Row],[poids / unite]],0)</f>
        <v/>
      </c>
      <c r="H73" s="189">
        <f>IFERROR(SUMIFS(TableauRecette[Proportion],TableauRecette[Recette],TableauRecette[[#This Row],[Recette]],TableauRecette[Conditionnement],TableauRecette[[#This Row],[Conditionnement]]),0)</f>
        <v/>
      </c>
      <c r="I73" s="189">
        <f>IFERROR(TableauRecette[[#This Row],[Prix d''achat / kg]],0)</f>
        <v/>
      </c>
      <c r="J73" s="189" t="inlineStr">
        <is>
          <t>Irak</t>
        </is>
      </c>
      <c r="K73" s="720" t="inlineStr">
        <is>
          <t>SEC</t>
        </is>
      </c>
      <c r="L73" s="721">
        <f>_xlfn.XLOOKUP(TableauRecette[[#This Row],[ID]],TableauProduit[ID],TableauProduit[Total (kg) N1],0,0,1)*TableauRecette[[#This Row],[poids / unite]]</f>
        <v/>
      </c>
      <c r="M73" s="722">
        <f>_xlfn.XLOOKUP(TableauRecette[[#This Row],[ID]],TableauProduit[ID],TableauProduit[Total (kg) N2],0,0,1)*TableauRecette[[#This Row],[poids / unite]]</f>
        <v/>
      </c>
      <c r="N73" s="722">
        <f>_xlfn.XLOOKUP(TableauRecette[[#This Row],[ID]],TableauProduit[ID],TableauProduit[Total (kg) N3],0,0,1)*TableauRecette[[#This Row],[poids / unite]]</f>
        <v/>
      </c>
      <c r="O73" s="722">
        <f>_xlfn.XLOOKUP(TableauRecette[[#This Row],[ID]],TableauProduit[ID],TableauProduit[Total (kg) N4],0,0,1)*TableauRecette[[#This Row],[poids / unite]]</f>
        <v/>
      </c>
      <c r="P73" s="722">
        <f>_xlfn.XLOOKUP(TableauRecette[[#This Row],[ID]],TableauProduit[ID],TableauProduit[Total (kg) N5],0,0,1)*TableauRecette[[#This Row],[poids / unite]]</f>
        <v/>
      </c>
      <c r="Q73" s="722">
        <f>_xlfn.XLOOKUP(TableauRecette[[#This Row],[ID]],TableauProduit[ID],TableauProduit[Total (kg) N6],0,0,1)*TableauRecette[[#This Row],[poids / unite]]</f>
        <v/>
      </c>
      <c r="R73" s="722">
        <f>_xlfn.XLOOKUP(TableauRecette[[#This Row],[ID]],TableauProduit[ID],TableauProduit[Total (kg) N7],0,0,1)*TableauRecette[[#This Row],[poids / unite]]</f>
        <v/>
      </c>
      <c r="S73" s="722">
        <f>_xlfn.XLOOKUP(TableauRecette[[#This Row],[ID]],TableauProduit[ID],TableauProduit[Total (kg) N8],0,0,1)*TableauRecette[[#This Row],[poids / unite]]</f>
        <v/>
      </c>
      <c r="T73" s="722">
        <f>_xlfn.XLOOKUP(TableauRecette[[#This Row],[ID]],TableauProduit[ID],TableauProduit[Total (kg) N9],0,0,1)*TableauRecette[[#This Row],[poids / unite]]</f>
        <v/>
      </c>
    </row>
    <row r="74">
      <c r="A74" s="65" t="inlineStr">
        <is>
          <t>Curry</t>
        </is>
      </c>
      <c r="B74" s="65">
        <f>TableauRecette[[#This Row],[Recette]]&amp;TableauRecette[[#This Row],[Conditionnement]]</f>
        <v/>
      </c>
      <c r="C74" s="65" t="inlineStr">
        <is>
          <t>Cumin Moulu</t>
        </is>
      </c>
      <c r="D74" s="189" t="n">
        <v>0.5</v>
      </c>
      <c r="E74" s="65" t="inlineStr">
        <is>
          <t>Epice 100ml</t>
        </is>
      </c>
      <c r="F74" s="18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74" s="189">
        <f>IFERROR(_xlfn.XLOOKUP(TableauRecette[[#This Row],[Ingredients]],TableauIngredients[Ingredients],TableauIngredients[Prix d''achat (kg)],0)*TableauRecette[[#This Row],[poids / unite]],0)</f>
        <v/>
      </c>
      <c r="H74" s="189">
        <f>IFERROR(SUMIFS(TableauRecette[Proportion],TableauRecette[Recette],TableauRecette[[#This Row],[Recette]],TableauRecette[Conditionnement],TableauRecette[[#This Row],[Conditionnement]]),0)</f>
        <v/>
      </c>
      <c r="I74" s="189">
        <f>IFERROR(TableauRecette[[#This Row],[Prix d''achat / kg]],0)</f>
        <v/>
      </c>
      <c r="J74" s="189" t="inlineStr">
        <is>
          <t>Irak</t>
        </is>
      </c>
      <c r="K74" s="720" t="inlineStr">
        <is>
          <t>SEC</t>
        </is>
      </c>
      <c r="L74" s="721">
        <f>_xlfn.XLOOKUP(TableauRecette[[#This Row],[ID]],TableauProduit[ID],TableauProduit[Total (kg) N1],0,0,1)*TableauRecette[[#This Row],[poids / unite]]</f>
        <v/>
      </c>
      <c r="M74" s="722">
        <f>_xlfn.XLOOKUP(TableauRecette[[#This Row],[ID]],TableauProduit[ID],TableauProduit[Total (kg) N2],0,0,1)*TableauRecette[[#This Row],[poids / unite]]</f>
        <v/>
      </c>
      <c r="N74" s="722">
        <f>_xlfn.XLOOKUP(TableauRecette[[#This Row],[ID]],TableauProduit[ID],TableauProduit[Total (kg) N3],0,0,1)*TableauRecette[[#This Row],[poids / unite]]</f>
        <v/>
      </c>
      <c r="O74" s="722">
        <f>_xlfn.XLOOKUP(TableauRecette[[#This Row],[ID]],TableauProduit[ID],TableauProduit[Total (kg) N4],0,0,1)*TableauRecette[[#This Row],[poids / unite]]</f>
        <v/>
      </c>
      <c r="P74" s="722">
        <f>_xlfn.XLOOKUP(TableauRecette[[#This Row],[ID]],TableauProduit[ID],TableauProduit[Total (kg) N5],0,0,1)*TableauRecette[[#This Row],[poids / unite]]</f>
        <v/>
      </c>
      <c r="Q74" s="722">
        <f>_xlfn.XLOOKUP(TableauRecette[[#This Row],[ID]],TableauProduit[ID],TableauProduit[Total (kg) N6],0,0,1)*TableauRecette[[#This Row],[poids / unite]]</f>
        <v/>
      </c>
      <c r="R74" s="722">
        <f>_xlfn.XLOOKUP(TableauRecette[[#This Row],[ID]],TableauProduit[ID],TableauProduit[Total (kg) N7],0,0,1)*TableauRecette[[#This Row],[poids / unite]]</f>
        <v/>
      </c>
      <c r="S74" s="722">
        <f>_xlfn.XLOOKUP(TableauRecette[[#This Row],[ID]],TableauProduit[ID],TableauProduit[Total (kg) N8],0,0,1)*TableauRecette[[#This Row],[poids / unite]]</f>
        <v/>
      </c>
      <c r="T74" s="722">
        <f>_xlfn.XLOOKUP(TableauRecette[[#This Row],[ID]],TableauProduit[ID],TableauProduit[Total (kg) N9],0,0,1)*TableauRecette[[#This Row],[poids / unite]]</f>
        <v/>
      </c>
    </row>
    <row r="75">
      <c r="A75" s="65" t="inlineStr">
        <is>
          <t>Curry</t>
        </is>
      </c>
      <c r="B75" s="65">
        <f>TableauRecette[[#This Row],[Recette]]&amp;TableauRecette[[#This Row],[Conditionnement]]</f>
        <v/>
      </c>
      <c r="C75" s="65" t="inlineStr">
        <is>
          <t>Sel</t>
        </is>
      </c>
      <c r="D75" s="189" t="n">
        <v>1</v>
      </c>
      <c r="E75" s="65" t="inlineStr">
        <is>
          <t>Epice 100ml</t>
        </is>
      </c>
      <c r="F75" s="18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75" s="189">
        <f>IFERROR(_xlfn.XLOOKUP(TableauRecette[[#This Row],[Ingredients]],TableauIngredients[Ingredients],TableauIngredients[Prix d''achat (kg)],0)*TableauRecette[[#This Row],[poids / unite]],0)</f>
        <v/>
      </c>
      <c r="H75" s="189">
        <f>IFERROR(SUMIFS(TableauRecette[Proportion],TableauRecette[Recette],TableauRecette[[#This Row],[Recette]],TableauRecette[Conditionnement],TableauRecette[[#This Row],[Conditionnement]]),0)</f>
        <v/>
      </c>
      <c r="I75" s="189">
        <f>IFERROR(TableauRecette[[#This Row],[Prix d''achat / kg]],0)</f>
        <v/>
      </c>
      <c r="J75" s="189" t="inlineStr">
        <is>
          <t>egypte</t>
        </is>
      </c>
      <c r="K75" s="720" t="inlineStr">
        <is>
          <t>SEC</t>
        </is>
      </c>
      <c r="L75" s="721">
        <f>_xlfn.XLOOKUP(TableauRecette[[#This Row],[ID]],TableauProduit[ID],TableauProduit[Total (kg) N1],0,0,1)*TableauRecette[[#This Row],[poids / unite]]</f>
        <v/>
      </c>
      <c r="M75" s="722">
        <f>_xlfn.XLOOKUP(TableauRecette[[#This Row],[ID]],TableauProduit[ID],TableauProduit[Total (kg) N2],0,0,1)*TableauRecette[[#This Row],[poids / unite]]</f>
        <v/>
      </c>
      <c r="N75" s="722">
        <f>_xlfn.XLOOKUP(TableauRecette[[#This Row],[ID]],TableauProduit[ID],TableauProduit[Total (kg) N3],0,0,1)*TableauRecette[[#This Row],[poids / unite]]</f>
        <v/>
      </c>
      <c r="O75" s="722">
        <f>_xlfn.XLOOKUP(TableauRecette[[#This Row],[ID]],TableauProduit[ID],TableauProduit[Total (kg) N4],0,0,1)*TableauRecette[[#This Row],[poids / unite]]</f>
        <v/>
      </c>
      <c r="P75" s="722">
        <f>_xlfn.XLOOKUP(TableauRecette[[#This Row],[ID]],TableauProduit[ID],TableauProduit[Total (kg) N5],0,0,1)*TableauRecette[[#This Row],[poids / unite]]</f>
        <v/>
      </c>
      <c r="Q75" s="722">
        <f>_xlfn.XLOOKUP(TableauRecette[[#This Row],[ID]],TableauProduit[ID],TableauProduit[Total (kg) N6],0,0,1)*TableauRecette[[#This Row],[poids / unite]]</f>
        <v/>
      </c>
      <c r="R75" s="722">
        <f>_xlfn.XLOOKUP(TableauRecette[[#This Row],[ID]],TableauProduit[ID],TableauProduit[Total (kg) N7],0,0,1)*TableauRecette[[#This Row],[poids / unite]]</f>
        <v/>
      </c>
      <c r="S75" s="722">
        <f>_xlfn.XLOOKUP(TableauRecette[[#This Row],[ID]],TableauProduit[ID],TableauProduit[Total (kg) N8],0,0,1)*TableauRecette[[#This Row],[poids / unite]]</f>
        <v/>
      </c>
      <c r="T75" s="722">
        <f>_xlfn.XLOOKUP(TableauRecette[[#This Row],[ID]],TableauProduit[ID],TableauProduit[Total (kg) N9],0,0,1)*TableauRecette[[#This Row],[poids / unite]]</f>
        <v/>
      </c>
    </row>
    <row r="76">
      <c r="A76" s="65" t="inlineStr">
        <is>
          <t>Curry</t>
        </is>
      </c>
      <c r="B76" s="65">
        <f>TableauRecette[[#This Row],[Recette]]&amp;TableauRecette[[#This Row],[Conditionnement]]</f>
        <v/>
      </c>
      <c r="C76" s="65" t="inlineStr">
        <is>
          <t>Poivre Noir</t>
        </is>
      </c>
      <c r="D76" s="189" t="n">
        <v>0.75</v>
      </c>
      <c r="E76" s="65" t="inlineStr">
        <is>
          <t>Epice 100ml</t>
        </is>
      </c>
      <c r="F76" s="18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76" s="189">
        <f>IFERROR(_xlfn.XLOOKUP(TableauRecette[[#This Row],[Ingredients]],TableauIngredients[Ingredients],TableauIngredients[Prix d''achat (kg)],0)*TableauRecette[[#This Row],[poids / unite]],0)</f>
        <v/>
      </c>
      <c r="H76" s="189">
        <f>IFERROR(SUMIFS(TableauRecette[Proportion],TableauRecette[Recette],TableauRecette[[#This Row],[Recette]],TableauRecette[Conditionnement],TableauRecette[[#This Row],[Conditionnement]]),0)</f>
        <v/>
      </c>
      <c r="I76" s="189">
        <f>IFERROR(TableauRecette[[#This Row],[Prix d''achat / kg]],0)</f>
        <v/>
      </c>
      <c r="J76" s="189" t="inlineStr">
        <is>
          <t>egypte</t>
        </is>
      </c>
      <c r="K76" s="720" t="inlineStr">
        <is>
          <t>SEC</t>
        </is>
      </c>
      <c r="L76" s="721">
        <f>_xlfn.XLOOKUP(TableauRecette[[#This Row],[ID]],TableauProduit[ID],TableauProduit[Total (kg) N1],0,0,1)*TableauRecette[[#This Row],[poids / unite]]</f>
        <v/>
      </c>
      <c r="M76" s="722">
        <f>_xlfn.XLOOKUP(TableauRecette[[#This Row],[ID]],TableauProduit[ID],TableauProduit[Total (kg) N2],0,0,1)*TableauRecette[[#This Row],[poids / unite]]</f>
        <v/>
      </c>
      <c r="N76" s="722">
        <f>_xlfn.XLOOKUP(TableauRecette[[#This Row],[ID]],TableauProduit[ID],TableauProduit[Total (kg) N3],0,0,1)*TableauRecette[[#This Row],[poids / unite]]</f>
        <v/>
      </c>
      <c r="O76" s="722">
        <f>_xlfn.XLOOKUP(TableauRecette[[#This Row],[ID]],TableauProduit[ID],TableauProduit[Total (kg) N4],0,0,1)*TableauRecette[[#This Row],[poids / unite]]</f>
        <v/>
      </c>
      <c r="P76" s="722">
        <f>_xlfn.XLOOKUP(TableauRecette[[#This Row],[ID]],TableauProduit[ID],TableauProduit[Total (kg) N5],0,0,1)*TableauRecette[[#This Row],[poids / unite]]</f>
        <v/>
      </c>
      <c r="Q76" s="722">
        <f>_xlfn.XLOOKUP(TableauRecette[[#This Row],[ID]],TableauProduit[ID],TableauProduit[Total (kg) N6],0,0,1)*TableauRecette[[#This Row],[poids / unite]]</f>
        <v/>
      </c>
      <c r="R76" s="722">
        <f>_xlfn.XLOOKUP(TableauRecette[[#This Row],[ID]],TableauProduit[ID],TableauProduit[Total (kg) N7],0,0,1)*TableauRecette[[#This Row],[poids / unite]]</f>
        <v/>
      </c>
      <c r="S76" s="722">
        <f>_xlfn.XLOOKUP(TableauRecette[[#This Row],[ID]],TableauProduit[ID],TableauProduit[Total (kg) N8],0,0,1)*TableauRecette[[#This Row],[poids / unite]]</f>
        <v/>
      </c>
      <c r="T76" s="722">
        <f>_xlfn.XLOOKUP(TableauRecette[[#This Row],[ID]],TableauProduit[ID],TableauProduit[Total (kg) N9],0,0,1)*TableauRecette[[#This Row],[poids / unite]]</f>
        <v/>
      </c>
    </row>
    <row r="77">
      <c r="A77" s="65" t="inlineStr">
        <is>
          <t>Curry</t>
        </is>
      </c>
      <c r="B77" s="65">
        <f>TableauRecette[[#This Row],[Recette]]&amp;TableauRecette[[#This Row],[Conditionnement]]</f>
        <v/>
      </c>
      <c r="C77" s="65" t="inlineStr">
        <is>
          <t>Gingembre Sec</t>
        </is>
      </c>
      <c r="D77" s="189" t="n">
        <v>0.5</v>
      </c>
      <c r="E77" s="65" t="inlineStr">
        <is>
          <t>Epice 100ml</t>
        </is>
      </c>
      <c r="F77" s="18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77" s="189">
        <f>IFERROR(_xlfn.XLOOKUP(TableauRecette[[#This Row],[Ingredients]],TableauIngredients[Ingredients],TableauIngredients[Prix d''achat (kg)],0)*TableauRecette[[#This Row],[poids / unite]],0)</f>
        <v/>
      </c>
      <c r="H77" s="189">
        <f>IFERROR(SUMIFS(TableauRecette[Proportion],TableauRecette[Recette],TableauRecette[[#This Row],[Recette]],TableauRecette[Conditionnement],TableauRecette[[#This Row],[Conditionnement]]),0)</f>
        <v/>
      </c>
      <c r="I77" s="189">
        <f>IFERROR(TableauRecette[[#This Row],[Prix d''achat / kg]],0)</f>
        <v/>
      </c>
      <c r="J77" s="189" t="inlineStr">
        <is>
          <t>egypte</t>
        </is>
      </c>
      <c r="K77" s="720" t="inlineStr">
        <is>
          <t>SEC</t>
        </is>
      </c>
      <c r="L77" s="721">
        <f>_xlfn.XLOOKUP(TableauRecette[[#This Row],[ID]],TableauProduit[ID],TableauProduit[Total (kg) N1],0,0,1)*TableauRecette[[#This Row],[poids / unite]]</f>
        <v/>
      </c>
      <c r="M77" s="722">
        <f>_xlfn.XLOOKUP(TableauRecette[[#This Row],[ID]],TableauProduit[ID],TableauProduit[Total (kg) N2],0,0,1)*TableauRecette[[#This Row],[poids / unite]]</f>
        <v/>
      </c>
      <c r="N77" s="722">
        <f>_xlfn.XLOOKUP(TableauRecette[[#This Row],[ID]],TableauProduit[ID],TableauProduit[Total (kg) N3],0,0,1)*TableauRecette[[#This Row],[poids / unite]]</f>
        <v/>
      </c>
      <c r="O77" s="722">
        <f>_xlfn.XLOOKUP(TableauRecette[[#This Row],[ID]],TableauProduit[ID],TableauProduit[Total (kg) N4],0,0,1)*TableauRecette[[#This Row],[poids / unite]]</f>
        <v/>
      </c>
      <c r="P77" s="722">
        <f>_xlfn.XLOOKUP(TableauRecette[[#This Row],[ID]],TableauProduit[ID],TableauProduit[Total (kg) N5],0,0,1)*TableauRecette[[#This Row],[poids / unite]]</f>
        <v/>
      </c>
      <c r="Q77" s="722">
        <f>_xlfn.XLOOKUP(TableauRecette[[#This Row],[ID]],TableauProduit[ID],TableauProduit[Total (kg) N6],0,0,1)*TableauRecette[[#This Row],[poids / unite]]</f>
        <v/>
      </c>
      <c r="R77" s="722">
        <f>_xlfn.XLOOKUP(TableauRecette[[#This Row],[ID]],TableauProduit[ID],TableauProduit[Total (kg) N7],0,0,1)*TableauRecette[[#This Row],[poids / unite]]</f>
        <v/>
      </c>
      <c r="S77" s="722">
        <f>_xlfn.XLOOKUP(TableauRecette[[#This Row],[ID]],TableauProduit[ID],TableauProduit[Total (kg) N8],0,0,1)*TableauRecette[[#This Row],[poids / unite]]</f>
        <v/>
      </c>
      <c r="T77" s="722">
        <f>_xlfn.XLOOKUP(TableauRecette[[#This Row],[ID]],TableauProduit[ID],TableauProduit[Total (kg) N9],0,0,1)*TableauRecette[[#This Row],[poids / unite]]</f>
        <v/>
      </c>
    </row>
    <row r="78">
      <c r="A78" s="65" t="inlineStr">
        <is>
          <t>Curry</t>
        </is>
      </c>
      <c r="B78" s="65">
        <f>TableauRecette[[#This Row],[Recette]]&amp;TableauRecette[[#This Row],[Conditionnement]]</f>
        <v/>
      </c>
      <c r="C78" s="65" t="inlineStr">
        <is>
          <t>Curcuma Moulu</t>
        </is>
      </c>
      <c r="D78" s="189" t="n">
        <v>3</v>
      </c>
      <c r="E78" s="65" t="inlineStr">
        <is>
          <t>Epice 100ml</t>
        </is>
      </c>
      <c r="F78" s="18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78" s="189">
        <f>IFERROR(_xlfn.XLOOKUP(TableauRecette[[#This Row],[Ingredients]],TableauIngredients[Ingredients],TableauIngredients[Prix d''achat (kg)],0)*TableauRecette[[#This Row],[poids / unite]],0)</f>
        <v/>
      </c>
      <c r="H78" s="189">
        <f>IFERROR(SUMIFS(TableauRecette[Proportion],TableauRecette[Recette],TableauRecette[[#This Row],[Recette]],TableauRecette[Conditionnement],TableauRecette[[#This Row],[Conditionnement]]),0)</f>
        <v/>
      </c>
      <c r="I78" s="189">
        <f>IFERROR(TableauRecette[[#This Row],[Prix d''achat / kg]],0)</f>
        <v/>
      </c>
      <c r="J78" s="189" t="n"/>
      <c r="K78" s="720" t="n"/>
      <c r="L78" s="721">
        <f>_xlfn.XLOOKUP(TableauRecette[[#This Row],[ID]],TableauProduit[ID],TableauProduit[Total (kg) N1],0,0,1)*TableauRecette[[#This Row],[poids / unite]]</f>
        <v/>
      </c>
      <c r="M78" s="722">
        <f>_xlfn.XLOOKUP(TableauRecette[[#This Row],[ID]],TableauProduit[ID],TableauProduit[Total (kg) N2],0,0,1)*TableauRecette[[#This Row],[poids / unite]]</f>
        <v/>
      </c>
      <c r="N78" s="722">
        <f>_xlfn.XLOOKUP(TableauRecette[[#This Row],[ID]],TableauProduit[ID],TableauProduit[Total (kg) N3],0,0,1)*TableauRecette[[#This Row],[poids / unite]]</f>
        <v/>
      </c>
      <c r="O78" s="722">
        <f>_xlfn.XLOOKUP(TableauRecette[[#This Row],[ID]],TableauProduit[ID],TableauProduit[Total (kg) N4],0,0,1)*TableauRecette[[#This Row],[poids / unite]]</f>
        <v/>
      </c>
      <c r="P78" s="722">
        <f>_xlfn.XLOOKUP(TableauRecette[[#This Row],[ID]],TableauProduit[ID],TableauProduit[Total (kg) N5],0,0,1)*TableauRecette[[#This Row],[poids / unite]]</f>
        <v/>
      </c>
      <c r="Q78" s="722">
        <f>_xlfn.XLOOKUP(TableauRecette[[#This Row],[ID]],TableauProduit[ID],TableauProduit[Total (kg) N6],0,0,1)*TableauRecette[[#This Row],[poids / unite]]</f>
        <v/>
      </c>
      <c r="R78" s="722">
        <f>_xlfn.XLOOKUP(TableauRecette[[#This Row],[ID]],TableauProduit[ID],TableauProduit[Total (kg) N7],0,0,1)*TableauRecette[[#This Row],[poids / unite]]</f>
        <v/>
      </c>
      <c r="S78" s="722">
        <f>_xlfn.XLOOKUP(TableauRecette[[#This Row],[ID]],TableauProduit[ID],TableauProduit[Total (kg) N8],0,0,1)*TableauRecette[[#This Row],[poids / unite]]</f>
        <v/>
      </c>
      <c r="T78" s="722">
        <f>_xlfn.XLOOKUP(TableauRecette[[#This Row],[ID]],TableauProduit[ID],TableauProduit[Total (kg) N9],0,0,1)*TableauRecette[[#This Row],[poids / unite]]</f>
        <v/>
      </c>
    </row>
    <row r="79">
      <c r="A79" s="65" t="inlineStr">
        <is>
          <t>Curry</t>
        </is>
      </c>
      <c r="B79" s="65">
        <f>TableauRecette[[#This Row],[Recette]]&amp;TableauRecette[[#This Row],[Conditionnement]]</f>
        <v/>
      </c>
      <c r="C79" s="65" t="inlineStr">
        <is>
          <t>Cumin Moulu</t>
        </is>
      </c>
      <c r="D79" s="189" t="n">
        <v>6</v>
      </c>
      <c r="E79" s="65" t="inlineStr">
        <is>
          <t>Epice 100ml</t>
        </is>
      </c>
      <c r="F79" s="18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79" s="189">
        <f>IFERROR(_xlfn.XLOOKUP(TableauRecette[[#This Row],[Ingredients]],TableauIngredients[Ingredients],TableauIngredients[Prix d''achat (kg)],0)*TableauRecette[[#This Row],[poids / unite]],0)</f>
        <v/>
      </c>
      <c r="H79" s="189">
        <f>IFERROR(SUMIFS(TableauRecette[Proportion],TableauRecette[Recette],TableauRecette[[#This Row],[Recette]],TableauRecette[Conditionnement],TableauRecette[[#This Row],[Conditionnement]]),0)</f>
        <v/>
      </c>
      <c r="I79" s="189">
        <f>IFERROR(TableauRecette[[#This Row],[Prix d''achat / kg]],0)</f>
        <v/>
      </c>
      <c r="J79" s="189" t="n"/>
      <c r="K79" s="720" t="n"/>
      <c r="L79" s="721">
        <f>_xlfn.XLOOKUP(TableauRecette[[#This Row],[ID]],TableauProduit[ID],TableauProduit[Total (kg) N1],0,0,1)*TableauRecette[[#This Row],[poids / unite]]</f>
        <v/>
      </c>
      <c r="M79" s="722">
        <f>_xlfn.XLOOKUP(TableauRecette[[#This Row],[ID]],TableauProduit[ID],TableauProduit[Total (kg) N2],0,0,1)*TableauRecette[[#This Row],[poids / unite]]</f>
        <v/>
      </c>
      <c r="N79" s="722">
        <f>_xlfn.XLOOKUP(TableauRecette[[#This Row],[ID]],TableauProduit[ID],TableauProduit[Total (kg) N3],0,0,1)*TableauRecette[[#This Row],[poids / unite]]</f>
        <v/>
      </c>
      <c r="O79" s="722">
        <f>_xlfn.XLOOKUP(TableauRecette[[#This Row],[ID]],TableauProduit[ID],TableauProduit[Total (kg) N4],0,0,1)*TableauRecette[[#This Row],[poids / unite]]</f>
        <v/>
      </c>
      <c r="P79" s="722">
        <f>_xlfn.XLOOKUP(TableauRecette[[#This Row],[ID]],TableauProduit[ID],TableauProduit[Total (kg) N5],0,0,1)*TableauRecette[[#This Row],[poids / unite]]</f>
        <v/>
      </c>
      <c r="Q79" s="722">
        <f>_xlfn.XLOOKUP(TableauRecette[[#This Row],[ID]],TableauProduit[ID],TableauProduit[Total (kg) N6],0,0,1)*TableauRecette[[#This Row],[poids / unite]]</f>
        <v/>
      </c>
      <c r="R79" s="722">
        <f>_xlfn.XLOOKUP(TableauRecette[[#This Row],[ID]],TableauProduit[ID],TableauProduit[Total (kg) N7],0,0,1)*TableauRecette[[#This Row],[poids / unite]]</f>
        <v/>
      </c>
      <c r="S79" s="722">
        <f>_xlfn.XLOOKUP(TableauRecette[[#This Row],[ID]],TableauProduit[ID],TableauProduit[Total (kg) N8],0,0,1)*TableauRecette[[#This Row],[poids / unite]]</f>
        <v/>
      </c>
      <c r="T79" s="722">
        <f>_xlfn.XLOOKUP(TableauRecette[[#This Row],[ID]],TableauProduit[ID],TableauProduit[Total (kg) N9],0,0,1)*TableauRecette[[#This Row],[poids / unite]]</f>
        <v/>
      </c>
    </row>
    <row r="80">
      <c r="A80" s="65" t="inlineStr">
        <is>
          <t>Curry</t>
        </is>
      </c>
      <c r="B80" s="65">
        <f>TableauRecette[[#This Row],[Recette]]&amp;TableauRecette[[#This Row],[Conditionnement]]</f>
        <v/>
      </c>
      <c r="C80" s="65" t="inlineStr">
        <is>
          <t>Coriandre Moulue</t>
        </is>
      </c>
      <c r="D80" s="189" t="n">
        <v>6</v>
      </c>
      <c r="E80" s="65" t="inlineStr">
        <is>
          <t>Epice 100ml</t>
        </is>
      </c>
      <c r="F80" s="18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80" s="189">
        <f>IFERROR(_xlfn.XLOOKUP(TableauRecette[[#This Row],[Ingredients]],TableauIngredients[Ingredients],TableauIngredients[Prix d''achat (kg)],0)*TableauRecette[[#This Row],[poids / unite]],0)</f>
        <v/>
      </c>
      <c r="H80" s="189">
        <f>IFERROR(SUMIFS(TableauRecette[Proportion],TableauRecette[Recette],TableauRecette[[#This Row],[Recette]],TableauRecette[Conditionnement],TableauRecette[[#This Row],[Conditionnement]]),0)</f>
        <v/>
      </c>
      <c r="I80" s="189">
        <f>IFERROR(TableauRecette[[#This Row],[Prix d''achat / kg]],0)</f>
        <v/>
      </c>
      <c r="J80" s="189" t="n"/>
      <c r="K80" s="720" t="n"/>
      <c r="L80" s="721">
        <f>_xlfn.XLOOKUP(TableauRecette[[#This Row],[ID]],TableauProduit[ID],TableauProduit[Total (kg) N1],0,0,1)*TableauRecette[[#This Row],[poids / unite]]</f>
        <v/>
      </c>
      <c r="M80" s="722">
        <f>_xlfn.XLOOKUP(TableauRecette[[#This Row],[ID]],TableauProduit[ID],TableauProduit[Total (kg) N2],0,0,1)*TableauRecette[[#This Row],[poids / unite]]</f>
        <v/>
      </c>
      <c r="N80" s="722">
        <f>_xlfn.XLOOKUP(TableauRecette[[#This Row],[ID]],TableauProduit[ID],TableauProduit[Total (kg) N3],0,0,1)*TableauRecette[[#This Row],[poids / unite]]</f>
        <v/>
      </c>
      <c r="O80" s="722">
        <f>_xlfn.XLOOKUP(TableauRecette[[#This Row],[ID]],TableauProduit[ID],TableauProduit[Total (kg) N4],0,0,1)*TableauRecette[[#This Row],[poids / unite]]</f>
        <v/>
      </c>
      <c r="P80" s="722">
        <f>_xlfn.XLOOKUP(TableauRecette[[#This Row],[ID]],TableauProduit[ID],TableauProduit[Total (kg) N5],0,0,1)*TableauRecette[[#This Row],[poids / unite]]</f>
        <v/>
      </c>
      <c r="Q80" s="722">
        <f>_xlfn.XLOOKUP(TableauRecette[[#This Row],[ID]],TableauProduit[ID],TableauProduit[Total (kg) N6],0,0,1)*TableauRecette[[#This Row],[poids / unite]]</f>
        <v/>
      </c>
      <c r="R80" s="722">
        <f>_xlfn.XLOOKUP(TableauRecette[[#This Row],[ID]],TableauProduit[ID],TableauProduit[Total (kg) N7],0,0,1)*TableauRecette[[#This Row],[poids / unite]]</f>
        <v/>
      </c>
      <c r="S80" s="722">
        <f>_xlfn.XLOOKUP(TableauRecette[[#This Row],[ID]],TableauProduit[ID],TableauProduit[Total (kg) N8],0,0,1)*TableauRecette[[#This Row],[poids / unite]]</f>
        <v/>
      </c>
      <c r="T80" s="722">
        <f>_xlfn.XLOOKUP(TableauRecette[[#This Row],[ID]],TableauProduit[ID],TableauProduit[Total (kg) N9],0,0,1)*TableauRecette[[#This Row],[poids / unite]]</f>
        <v/>
      </c>
    </row>
    <row r="81">
      <c r="A81" s="65" t="inlineStr">
        <is>
          <t>Curry</t>
        </is>
      </c>
      <c r="B81" s="65">
        <f>TableauRecette[[#This Row],[Recette]]&amp;TableauRecette[[#This Row],[Conditionnement]]</f>
        <v/>
      </c>
      <c r="C81" s="65" t="inlineStr">
        <is>
          <t>Graine De Moutarde</t>
        </is>
      </c>
      <c r="D81" s="189" t="n">
        <v>0.5</v>
      </c>
      <c r="E81" s="65" t="inlineStr">
        <is>
          <t>Epice 100ml</t>
        </is>
      </c>
      <c r="F81" s="18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81" s="189">
        <f>IFERROR(_xlfn.XLOOKUP(TableauRecette[[#This Row],[Ingredients]],TableauIngredients[Ingredients],TableauIngredients[Prix d''achat (kg)],0)*TableauRecette[[#This Row],[poids / unite]],0)</f>
        <v/>
      </c>
      <c r="H81" s="189">
        <f>IFERROR(SUMIFS(TableauRecette[Proportion],TableauRecette[Recette],TableauRecette[[#This Row],[Recette]],TableauRecette[Conditionnement],TableauRecette[[#This Row],[Conditionnement]]),0)</f>
        <v/>
      </c>
      <c r="I81" s="189">
        <f>IFERROR(TableauRecette[[#This Row],[Prix d''achat / kg]],0)</f>
        <v/>
      </c>
      <c r="J81" s="189" t="n"/>
      <c r="K81" s="720" t="n"/>
      <c r="L81" s="721">
        <f>_xlfn.XLOOKUP(TableauRecette[[#This Row],[ID]],TableauProduit[ID],TableauProduit[Total (kg) N1],0,0,1)*TableauRecette[[#This Row],[poids / unite]]</f>
        <v/>
      </c>
      <c r="M81" s="722">
        <f>_xlfn.XLOOKUP(TableauRecette[[#This Row],[ID]],TableauProduit[ID],TableauProduit[Total (kg) N2],0,0,1)*TableauRecette[[#This Row],[poids / unite]]</f>
        <v/>
      </c>
      <c r="N81" s="722">
        <f>_xlfn.XLOOKUP(TableauRecette[[#This Row],[ID]],TableauProduit[ID],TableauProduit[Total (kg) N3],0,0,1)*TableauRecette[[#This Row],[poids / unite]]</f>
        <v/>
      </c>
      <c r="O81" s="722">
        <f>_xlfn.XLOOKUP(TableauRecette[[#This Row],[ID]],TableauProduit[ID],TableauProduit[Total (kg) N4],0,0,1)*TableauRecette[[#This Row],[poids / unite]]</f>
        <v/>
      </c>
      <c r="P81" s="722">
        <f>_xlfn.XLOOKUP(TableauRecette[[#This Row],[ID]],TableauProduit[ID],TableauProduit[Total (kg) N5],0,0,1)*TableauRecette[[#This Row],[poids / unite]]</f>
        <v/>
      </c>
      <c r="Q81" s="722">
        <f>_xlfn.XLOOKUP(TableauRecette[[#This Row],[ID]],TableauProduit[ID],TableauProduit[Total (kg) N6],0,0,1)*TableauRecette[[#This Row],[poids / unite]]</f>
        <v/>
      </c>
      <c r="R81" s="722">
        <f>_xlfn.XLOOKUP(TableauRecette[[#This Row],[ID]],TableauProduit[ID],TableauProduit[Total (kg) N7],0,0,1)*TableauRecette[[#This Row],[poids / unite]]</f>
        <v/>
      </c>
      <c r="S81" s="722">
        <f>_xlfn.XLOOKUP(TableauRecette[[#This Row],[ID]],TableauProduit[ID],TableauProduit[Total (kg) N8],0,0,1)*TableauRecette[[#This Row],[poids / unite]]</f>
        <v/>
      </c>
      <c r="T81" s="722">
        <f>_xlfn.XLOOKUP(TableauRecette[[#This Row],[ID]],TableauProduit[ID],TableauProduit[Total (kg) N9],0,0,1)*TableauRecette[[#This Row],[poids / unite]]</f>
        <v/>
      </c>
    </row>
    <row r="82">
      <c r="A82" s="65" t="inlineStr">
        <is>
          <t>Curry</t>
        </is>
      </c>
      <c r="B82" s="65">
        <f>TableauRecette[[#This Row],[Recette]]&amp;TableauRecette[[#This Row],[Conditionnement]]</f>
        <v/>
      </c>
      <c r="C82" s="65" t="inlineStr">
        <is>
          <t>Gingembre Sec</t>
        </is>
      </c>
      <c r="D82" s="189" t="n">
        <v>0.5</v>
      </c>
      <c r="E82" s="65" t="inlineStr">
        <is>
          <t>Epice 100ml</t>
        </is>
      </c>
      <c r="F82" s="18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82" s="189">
        <f>IFERROR(_xlfn.XLOOKUP(TableauRecette[[#This Row],[Ingredients]],TableauIngredients[Ingredients],TableauIngredients[Prix d''achat (kg)],0)*TableauRecette[[#This Row],[poids / unite]],0)</f>
        <v/>
      </c>
      <c r="H82" s="189">
        <f>IFERROR(SUMIFS(TableauRecette[Proportion],TableauRecette[Recette],TableauRecette[[#This Row],[Recette]],TableauRecette[Conditionnement],TableauRecette[[#This Row],[Conditionnement]]),0)</f>
        <v/>
      </c>
      <c r="I82" s="189">
        <f>IFERROR(TableauRecette[[#This Row],[Prix d''achat / kg]],0)</f>
        <v/>
      </c>
      <c r="J82" s="189" t="n"/>
      <c r="K82" s="720" t="n"/>
      <c r="L82" s="721">
        <f>_xlfn.XLOOKUP(TableauRecette[[#This Row],[ID]],TableauProduit[ID],TableauProduit[Total (kg) N1],0,0,1)*TableauRecette[[#This Row],[poids / unite]]</f>
        <v/>
      </c>
      <c r="M82" s="722">
        <f>_xlfn.XLOOKUP(TableauRecette[[#This Row],[ID]],TableauProduit[ID],TableauProduit[Total (kg) N2],0,0,1)*TableauRecette[[#This Row],[poids / unite]]</f>
        <v/>
      </c>
      <c r="N82" s="722">
        <f>_xlfn.XLOOKUP(TableauRecette[[#This Row],[ID]],TableauProduit[ID],TableauProduit[Total (kg) N3],0,0,1)*TableauRecette[[#This Row],[poids / unite]]</f>
        <v/>
      </c>
      <c r="O82" s="722">
        <f>_xlfn.XLOOKUP(TableauRecette[[#This Row],[ID]],TableauProduit[ID],TableauProduit[Total (kg) N4],0,0,1)*TableauRecette[[#This Row],[poids / unite]]</f>
        <v/>
      </c>
      <c r="P82" s="722">
        <f>_xlfn.XLOOKUP(TableauRecette[[#This Row],[ID]],TableauProduit[ID],TableauProduit[Total (kg) N5],0,0,1)*TableauRecette[[#This Row],[poids / unite]]</f>
        <v/>
      </c>
      <c r="Q82" s="722">
        <f>_xlfn.XLOOKUP(TableauRecette[[#This Row],[ID]],TableauProduit[ID],TableauProduit[Total (kg) N6],0,0,1)*TableauRecette[[#This Row],[poids / unite]]</f>
        <v/>
      </c>
      <c r="R82" s="722">
        <f>_xlfn.XLOOKUP(TableauRecette[[#This Row],[ID]],TableauProduit[ID],TableauProduit[Total (kg) N7],0,0,1)*TableauRecette[[#This Row],[poids / unite]]</f>
        <v/>
      </c>
      <c r="S82" s="722">
        <f>_xlfn.XLOOKUP(TableauRecette[[#This Row],[ID]],TableauProduit[ID],TableauProduit[Total (kg) N8],0,0,1)*TableauRecette[[#This Row],[poids / unite]]</f>
        <v/>
      </c>
      <c r="T82" s="722">
        <f>_xlfn.XLOOKUP(TableauRecette[[#This Row],[ID]],TableauProduit[ID],TableauProduit[Total (kg) N9],0,0,1)*TableauRecette[[#This Row],[poids / unite]]</f>
        <v/>
      </c>
    </row>
    <row r="83">
      <c r="A83" s="65" t="inlineStr">
        <is>
          <t>Curry</t>
        </is>
      </c>
      <c r="B83" s="65">
        <f>TableauRecette[[#This Row],[Recette]]&amp;TableauRecette[[#This Row],[Conditionnement]]</f>
        <v/>
      </c>
      <c r="C83" s="65" t="inlineStr">
        <is>
          <t>Paprika Fummer</t>
        </is>
      </c>
      <c r="D83" s="189" t="n">
        <v>0.25</v>
      </c>
      <c r="E83" s="65" t="inlineStr">
        <is>
          <t>Epice 100ml</t>
        </is>
      </c>
      <c r="F83" s="18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83" s="189">
        <f>IFERROR(_xlfn.XLOOKUP(TableauRecette[[#This Row],[Ingredients]],TableauIngredients[Ingredients],TableauIngredients[Prix d''achat (kg)],0)*TableauRecette[[#This Row],[poids / unite]],0)</f>
        <v/>
      </c>
      <c r="H83" s="189">
        <f>IFERROR(SUMIFS(TableauRecette[Proportion],TableauRecette[Recette],TableauRecette[[#This Row],[Recette]],TableauRecette[Conditionnement],TableauRecette[[#This Row],[Conditionnement]]),0)</f>
        <v/>
      </c>
      <c r="I83" s="189">
        <f>IFERROR(TableauRecette[[#This Row],[Prix d''achat / kg]],0)</f>
        <v/>
      </c>
      <c r="J83" s="189" t="inlineStr">
        <is>
          <t>egypte</t>
        </is>
      </c>
      <c r="K83" s="720" t="inlineStr">
        <is>
          <t>SEC</t>
        </is>
      </c>
      <c r="L83" s="721">
        <f>_xlfn.XLOOKUP(TableauRecette[[#This Row],[ID]],TableauProduit[ID],TableauProduit[Total (kg) N1],0,0,1)*TableauRecette[[#This Row],[poids / unite]]</f>
        <v/>
      </c>
      <c r="M83" s="722">
        <f>_xlfn.XLOOKUP(TableauRecette[[#This Row],[ID]],TableauProduit[ID],TableauProduit[Total (kg) N2],0,0,1)*TableauRecette[[#This Row],[poids / unite]]</f>
        <v/>
      </c>
      <c r="N83" s="722">
        <f>_xlfn.XLOOKUP(TableauRecette[[#This Row],[ID]],TableauProduit[ID],TableauProduit[Total (kg) N3],0,0,1)*TableauRecette[[#This Row],[poids / unite]]</f>
        <v/>
      </c>
      <c r="O83" s="722">
        <f>_xlfn.XLOOKUP(TableauRecette[[#This Row],[ID]],TableauProduit[ID],TableauProduit[Total (kg) N4],0,0,1)*TableauRecette[[#This Row],[poids / unite]]</f>
        <v/>
      </c>
      <c r="P83" s="722">
        <f>_xlfn.XLOOKUP(TableauRecette[[#This Row],[ID]],TableauProduit[ID],TableauProduit[Total (kg) N5],0,0,1)*TableauRecette[[#This Row],[poids / unite]]</f>
        <v/>
      </c>
      <c r="Q83" s="722">
        <f>_xlfn.XLOOKUP(TableauRecette[[#This Row],[ID]],TableauProduit[ID],TableauProduit[Total (kg) N6],0,0,1)*TableauRecette[[#This Row],[poids / unite]]</f>
        <v/>
      </c>
      <c r="R83" s="722">
        <f>_xlfn.XLOOKUP(TableauRecette[[#This Row],[ID]],TableauProduit[ID],TableauProduit[Total (kg) N7],0,0,1)*TableauRecette[[#This Row],[poids / unite]]</f>
        <v/>
      </c>
      <c r="S83" s="722">
        <f>_xlfn.XLOOKUP(TableauRecette[[#This Row],[ID]],TableauProduit[ID],TableauProduit[Total (kg) N8],0,0,1)*TableauRecette[[#This Row],[poids / unite]]</f>
        <v/>
      </c>
      <c r="T83" s="722">
        <f>_xlfn.XLOOKUP(TableauRecette[[#This Row],[ID]],TableauProduit[ID],TableauProduit[Total (kg) N9],0,0,1)*TableauRecette[[#This Row],[poids / unite]]</f>
        <v/>
      </c>
    </row>
    <row r="84">
      <c r="A84" s="65" t="inlineStr">
        <is>
          <t>Curry</t>
        </is>
      </c>
      <c r="B84" s="65">
        <f>TableauRecette[[#This Row],[Recette]]&amp;TableauRecette[[#This Row],[Conditionnement]]</f>
        <v/>
      </c>
      <c r="C84" s="65" t="inlineStr">
        <is>
          <t>Piment Doux Rouge En Poudre</t>
        </is>
      </c>
      <c r="D84" s="189" t="n">
        <v>0.75</v>
      </c>
      <c r="E84" s="65" t="inlineStr">
        <is>
          <t>Epice 100ml</t>
        </is>
      </c>
      <c r="F84" s="18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84" s="189">
        <f>IFERROR(_xlfn.XLOOKUP(TableauRecette[[#This Row],[Ingredients]],TableauIngredients[Ingredients],TableauIngredients[Prix d''achat (kg)],0)*TableauRecette[[#This Row],[poids / unite]],0)</f>
        <v/>
      </c>
      <c r="H84" s="189">
        <f>IFERROR(SUMIFS(TableauRecette[Proportion],TableauRecette[Recette],TableauRecette[[#This Row],[Recette]],TableauRecette[Conditionnement],TableauRecette[[#This Row],[Conditionnement]]),0)</f>
        <v/>
      </c>
      <c r="I84" s="189">
        <f>IFERROR(TableauRecette[[#This Row],[Prix d''achat / kg]],0)</f>
        <v/>
      </c>
      <c r="J84" s="189" t="inlineStr">
        <is>
          <t>Irak</t>
        </is>
      </c>
      <c r="K84" s="720" t="inlineStr">
        <is>
          <t>SEC</t>
        </is>
      </c>
      <c r="L84" s="721">
        <f>_xlfn.XLOOKUP(TableauRecette[[#This Row],[ID]],TableauProduit[ID],TableauProduit[Total (kg) N1],0,0,1)*TableauRecette[[#This Row],[poids / unite]]</f>
        <v/>
      </c>
      <c r="M84" s="722">
        <f>_xlfn.XLOOKUP(TableauRecette[[#This Row],[ID]],TableauProduit[ID],TableauProduit[Total (kg) N2],0,0,1)*TableauRecette[[#This Row],[poids / unite]]</f>
        <v/>
      </c>
      <c r="N84" s="722">
        <f>_xlfn.XLOOKUP(TableauRecette[[#This Row],[ID]],TableauProduit[ID],TableauProduit[Total (kg) N3],0,0,1)*TableauRecette[[#This Row],[poids / unite]]</f>
        <v/>
      </c>
      <c r="O84" s="722">
        <f>_xlfn.XLOOKUP(TableauRecette[[#This Row],[ID]],TableauProduit[ID],TableauProduit[Total (kg) N4],0,0,1)*TableauRecette[[#This Row],[poids / unite]]</f>
        <v/>
      </c>
      <c r="P84" s="722">
        <f>_xlfn.XLOOKUP(TableauRecette[[#This Row],[ID]],TableauProduit[ID],TableauProduit[Total (kg) N5],0,0,1)*TableauRecette[[#This Row],[poids / unite]]</f>
        <v/>
      </c>
      <c r="Q84" s="722">
        <f>_xlfn.XLOOKUP(TableauRecette[[#This Row],[ID]],TableauProduit[ID],TableauProduit[Total (kg) N6],0,0,1)*TableauRecette[[#This Row],[poids / unite]]</f>
        <v/>
      </c>
      <c r="R84" s="722">
        <f>_xlfn.XLOOKUP(TableauRecette[[#This Row],[ID]],TableauProduit[ID],TableauProduit[Total (kg) N7],0,0,1)*TableauRecette[[#This Row],[poids / unite]]</f>
        <v/>
      </c>
      <c r="S84" s="722">
        <f>_xlfn.XLOOKUP(TableauRecette[[#This Row],[ID]],TableauProduit[ID],TableauProduit[Total (kg) N8],0,0,1)*TableauRecette[[#This Row],[poids / unite]]</f>
        <v/>
      </c>
      <c r="T84" s="722">
        <f>_xlfn.XLOOKUP(TableauRecette[[#This Row],[ID]],TableauProduit[ID],TableauProduit[Total (kg) N9],0,0,1)*TableauRecette[[#This Row],[poids / unite]]</f>
        <v/>
      </c>
    </row>
    <row r="85">
      <c r="A85" s="66" t="inlineStr">
        <is>
          <t>Curry japonais</t>
        </is>
      </c>
      <c r="B85" s="66">
        <f>TableauRecette[[#This Row],[Recette]]&amp;TableauRecette[[#This Row],[Conditionnement]]</f>
        <v/>
      </c>
      <c r="C85" s="66" t="inlineStr">
        <is>
          <t>Curcuma Moulu</t>
        </is>
      </c>
      <c r="D85" s="190" t="n">
        <v>10</v>
      </c>
      <c r="E85" s="66" t="inlineStr">
        <is>
          <t>Epice 100ml</t>
        </is>
      </c>
      <c r="F85" s="19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85" s="190">
        <f>IFERROR(_xlfn.XLOOKUP(TableauRecette[[#This Row],[Ingredients]],TableauIngredients[Ingredients],TableauIngredients[Prix d''achat (kg)],0)*TableauRecette[[#This Row],[poids / unite]],0)</f>
        <v/>
      </c>
      <c r="H85" s="190">
        <f>IFERROR(SUMIFS(TableauRecette[Proportion],TableauRecette[Recette],TableauRecette[[#This Row],[Recette]],TableauRecette[Conditionnement],TableauRecette[[#This Row],[Conditionnement]]),0)</f>
        <v/>
      </c>
      <c r="I85" s="190">
        <f>IFERROR(TableauRecette[[#This Row],[Prix d''achat / kg]],0)</f>
        <v/>
      </c>
      <c r="J85" s="190" t="n"/>
      <c r="K85" s="723" t="n"/>
      <c r="L85" s="724">
        <f>_xlfn.XLOOKUP(TableauRecette[[#This Row],[ID]],TableauProduit[ID],TableauProduit[Total (kg) N1],0,0,1)*TableauRecette[[#This Row],[poids / unite]]</f>
        <v/>
      </c>
      <c r="M85" s="725">
        <f>_xlfn.XLOOKUP(TableauRecette[[#This Row],[ID]],TableauProduit[ID],TableauProduit[Total (kg) N2],0,0,1)*TableauRecette[[#This Row],[poids / unite]]</f>
        <v/>
      </c>
      <c r="N85" s="725">
        <f>_xlfn.XLOOKUP(TableauRecette[[#This Row],[ID]],TableauProduit[ID],TableauProduit[Total (kg) N3],0,0,1)*TableauRecette[[#This Row],[poids / unite]]</f>
        <v/>
      </c>
      <c r="O85" s="725">
        <f>_xlfn.XLOOKUP(TableauRecette[[#This Row],[ID]],TableauProduit[ID],TableauProduit[Total (kg) N4],0,0,1)*TableauRecette[[#This Row],[poids / unite]]</f>
        <v/>
      </c>
      <c r="P85" s="725">
        <f>_xlfn.XLOOKUP(TableauRecette[[#This Row],[ID]],TableauProduit[ID],TableauProduit[Total (kg) N5],0,0,1)*TableauRecette[[#This Row],[poids / unite]]</f>
        <v/>
      </c>
      <c r="Q85" s="725">
        <f>_xlfn.XLOOKUP(TableauRecette[[#This Row],[ID]],TableauProduit[ID],TableauProduit[Total (kg) N6],0,0,1)*TableauRecette[[#This Row],[poids / unite]]</f>
        <v/>
      </c>
      <c r="R85" s="725">
        <f>_xlfn.XLOOKUP(TableauRecette[[#This Row],[ID]],TableauProduit[ID],TableauProduit[Total (kg) N7],0,0,1)*TableauRecette[[#This Row],[poids / unite]]</f>
        <v/>
      </c>
      <c r="S85" s="725">
        <f>_xlfn.XLOOKUP(TableauRecette[[#This Row],[ID]],TableauProduit[ID],TableauProduit[Total (kg) N8],0,0,1)*TableauRecette[[#This Row],[poids / unite]]</f>
        <v/>
      </c>
      <c r="T85" s="725">
        <f>_xlfn.XLOOKUP(TableauRecette[[#This Row],[ID]],TableauProduit[ID],TableauProduit[Total (kg) N9],0,0,1)*TableauRecette[[#This Row],[poids / unite]]</f>
        <v/>
      </c>
    </row>
    <row r="86">
      <c r="A86" s="66" t="inlineStr">
        <is>
          <t>Curry japonais</t>
        </is>
      </c>
      <c r="B86" s="66">
        <f>TableauRecette[[#This Row],[Recette]]&amp;TableauRecette[[#This Row],[Conditionnement]]</f>
        <v/>
      </c>
      <c r="C86" s="66" t="inlineStr">
        <is>
          <t>Cumin Moulu</t>
        </is>
      </c>
      <c r="D86" s="190" t="n">
        <v>7</v>
      </c>
      <c r="E86" s="66" t="inlineStr">
        <is>
          <t>Epice 100ml</t>
        </is>
      </c>
      <c r="F86" s="19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86" s="190">
        <f>IFERROR(_xlfn.XLOOKUP(TableauRecette[[#This Row],[Ingredients]],TableauIngredients[Ingredients],TableauIngredients[Prix d''achat (kg)],0)*TableauRecette[[#This Row],[poids / unite]],0)</f>
        <v/>
      </c>
      <c r="H86" s="190">
        <f>IFERROR(SUMIFS(TableauRecette[Proportion],TableauRecette[Recette],TableauRecette[[#This Row],[Recette]],TableauRecette[Conditionnement],TableauRecette[[#This Row],[Conditionnement]]),0)</f>
        <v/>
      </c>
      <c r="I86" s="190">
        <f>IFERROR(TableauRecette[[#This Row],[Prix d''achat / kg]],0)</f>
        <v/>
      </c>
      <c r="J86" s="190" t="n"/>
      <c r="K86" s="723" t="n"/>
      <c r="L86" s="724">
        <f>_xlfn.XLOOKUP(TableauRecette[[#This Row],[ID]],TableauProduit[ID],TableauProduit[Total (kg) N1],0,0,1)*TableauRecette[[#This Row],[poids / unite]]</f>
        <v/>
      </c>
      <c r="M86" s="725">
        <f>_xlfn.XLOOKUP(TableauRecette[[#This Row],[ID]],TableauProduit[ID],TableauProduit[Total (kg) N2],0,0,1)*TableauRecette[[#This Row],[poids / unite]]</f>
        <v/>
      </c>
      <c r="N86" s="725">
        <f>_xlfn.XLOOKUP(TableauRecette[[#This Row],[ID]],TableauProduit[ID],TableauProduit[Total (kg) N3],0,0,1)*TableauRecette[[#This Row],[poids / unite]]</f>
        <v/>
      </c>
      <c r="O86" s="725">
        <f>_xlfn.XLOOKUP(TableauRecette[[#This Row],[ID]],TableauProduit[ID],TableauProduit[Total (kg) N4],0,0,1)*TableauRecette[[#This Row],[poids / unite]]</f>
        <v/>
      </c>
      <c r="P86" s="725">
        <f>_xlfn.XLOOKUP(TableauRecette[[#This Row],[ID]],TableauProduit[ID],TableauProduit[Total (kg) N5],0,0,1)*TableauRecette[[#This Row],[poids / unite]]</f>
        <v/>
      </c>
      <c r="Q86" s="725">
        <f>_xlfn.XLOOKUP(TableauRecette[[#This Row],[ID]],TableauProduit[ID],TableauProduit[Total (kg) N6],0,0,1)*TableauRecette[[#This Row],[poids / unite]]</f>
        <v/>
      </c>
      <c r="R86" s="725">
        <f>_xlfn.XLOOKUP(TableauRecette[[#This Row],[ID]],TableauProduit[ID],TableauProduit[Total (kg) N7],0,0,1)*TableauRecette[[#This Row],[poids / unite]]</f>
        <v/>
      </c>
      <c r="S86" s="725">
        <f>_xlfn.XLOOKUP(TableauRecette[[#This Row],[ID]],TableauProduit[ID],TableauProduit[Total (kg) N8],0,0,1)*TableauRecette[[#This Row],[poids / unite]]</f>
        <v/>
      </c>
      <c r="T86" s="725">
        <f>_xlfn.XLOOKUP(TableauRecette[[#This Row],[ID]],TableauProduit[ID],TableauProduit[Total (kg) N9],0,0,1)*TableauRecette[[#This Row],[poids / unite]]</f>
        <v/>
      </c>
    </row>
    <row r="87">
      <c r="A87" s="66" t="inlineStr">
        <is>
          <t>Curry japonais</t>
        </is>
      </c>
      <c r="B87" s="66">
        <f>TableauRecette[[#This Row],[Recette]]&amp;TableauRecette[[#This Row],[Conditionnement]]</f>
        <v/>
      </c>
      <c r="C87" s="66" t="inlineStr">
        <is>
          <t>Coriandre Graine</t>
        </is>
      </c>
      <c r="D87" s="190" t="n">
        <v>6</v>
      </c>
      <c r="E87" s="66" t="inlineStr">
        <is>
          <t>Epice 100ml</t>
        </is>
      </c>
      <c r="F87" s="19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87" s="190">
        <f>IFERROR(_xlfn.XLOOKUP(TableauRecette[[#This Row],[Ingredients]],TableauIngredients[Ingredients],TableauIngredients[Prix d''achat (kg)],0)*TableauRecette[[#This Row],[poids / unite]],0)</f>
        <v/>
      </c>
      <c r="H87" s="190">
        <f>IFERROR(SUMIFS(TableauRecette[Proportion],TableauRecette[Recette],TableauRecette[[#This Row],[Recette]],TableauRecette[Conditionnement],TableauRecette[[#This Row],[Conditionnement]]),0)</f>
        <v/>
      </c>
      <c r="I87" s="190">
        <f>IFERROR(TableauRecette[[#This Row],[Prix d''achat / kg]],0)</f>
        <v/>
      </c>
      <c r="J87" s="190" t="n"/>
      <c r="K87" s="723" t="n"/>
      <c r="L87" s="724">
        <f>_xlfn.XLOOKUP(TableauRecette[[#This Row],[ID]],TableauProduit[ID],TableauProduit[Total (kg) N1],0,0,1)*TableauRecette[[#This Row],[poids / unite]]</f>
        <v/>
      </c>
      <c r="M87" s="725">
        <f>_xlfn.XLOOKUP(TableauRecette[[#This Row],[ID]],TableauProduit[ID],TableauProduit[Total (kg) N2],0,0,1)*TableauRecette[[#This Row],[poids / unite]]</f>
        <v/>
      </c>
      <c r="N87" s="725">
        <f>_xlfn.XLOOKUP(TableauRecette[[#This Row],[ID]],TableauProduit[ID],TableauProduit[Total (kg) N3],0,0,1)*TableauRecette[[#This Row],[poids / unite]]</f>
        <v/>
      </c>
      <c r="O87" s="725">
        <f>_xlfn.XLOOKUP(TableauRecette[[#This Row],[ID]],TableauProduit[ID],TableauProduit[Total (kg) N4],0,0,1)*TableauRecette[[#This Row],[poids / unite]]</f>
        <v/>
      </c>
      <c r="P87" s="725">
        <f>_xlfn.XLOOKUP(TableauRecette[[#This Row],[ID]],TableauProduit[ID],TableauProduit[Total (kg) N5],0,0,1)*TableauRecette[[#This Row],[poids / unite]]</f>
        <v/>
      </c>
      <c r="Q87" s="725">
        <f>_xlfn.XLOOKUP(TableauRecette[[#This Row],[ID]],TableauProduit[ID],TableauProduit[Total (kg) N6],0,0,1)*TableauRecette[[#This Row],[poids / unite]]</f>
        <v/>
      </c>
      <c r="R87" s="725">
        <f>_xlfn.XLOOKUP(TableauRecette[[#This Row],[ID]],TableauProduit[ID],TableauProduit[Total (kg) N7],0,0,1)*TableauRecette[[#This Row],[poids / unite]]</f>
        <v/>
      </c>
      <c r="S87" s="725">
        <f>_xlfn.XLOOKUP(TableauRecette[[#This Row],[ID]],TableauProduit[ID],TableauProduit[Total (kg) N8],0,0,1)*TableauRecette[[#This Row],[poids / unite]]</f>
        <v/>
      </c>
      <c r="T87" s="725">
        <f>_xlfn.XLOOKUP(TableauRecette[[#This Row],[ID]],TableauProduit[ID],TableauProduit[Total (kg) N9],0,0,1)*TableauRecette[[#This Row],[poids / unite]]</f>
        <v/>
      </c>
    </row>
    <row r="88">
      <c r="A88" s="66" t="inlineStr">
        <is>
          <t>Curry japonais</t>
        </is>
      </c>
      <c r="B88" s="66">
        <f>TableauRecette[[#This Row],[Recette]]&amp;TableauRecette[[#This Row],[Conditionnement]]</f>
        <v/>
      </c>
      <c r="C88" s="66" t="inlineStr">
        <is>
          <t>Chenpi (Peau De Mandarine Séchée)</t>
        </is>
      </c>
      <c r="D88" s="190" t="n">
        <v>5</v>
      </c>
      <c r="E88" s="66" t="inlineStr">
        <is>
          <t>Epice 100ml</t>
        </is>
      </c>
      <c r="F88" s="19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88" s="190">
        <f>IFERROR(_xlfn.XLOOKUP(TableauRecette[[#This Row],[Ingredients]],TableauIngredients[Ingredients],TableauIngredients[Prix d''achat (kg)],0)*TableauRecette[[#This Row],[poids / unite]],0)</f>
        <v/>
      </c>
      <c r="H88" s="190">
        <f>IFERROR(SUMIFS(TableauRecette[Proportion],TableauRecette[Recette],TableauRecette[[#This Row],[Recette]],TableauRecette[Conditionnement],TableauRecette[[#This Row],[Conditionnement]]),0)</f>
        <v/>
      </c>
      <c r="I88" s="190">
        <f>IFERROR(TableauRecette[[#This Row],[Prix d''achat / kg]],0)</f>
        <v/>
      </c>
      <c r="J88" s="190" t="n"/>
      <c r="K88" s="723" t="n"/>
      <c r="L88" s="724">
        <f>_xlfn.XLOOKUP(TableauRecette[[#This Row],[ID]],TableauProduit[ID],TableauProduit[Total (kg) N1],0,0,1)*TableauRecette[[#This Row],[poids / unite]]</f>
        <v/>
      </c>
      <c r="M88" s="725">
        <f>_xlfn.XLOOKUP(TableauRecette[[#This Row],[ID]],TableauProduit[ID],TableauProduit[Total (kg) N2],0,0,1)*TableauRecette[[#This Row],[poids / unite]]</f>
        <v/>
      </c>
      <c r="N88" s="725">
        <f>_xlfn.XLOOKUP(TableauRecette[[#This Row],[ID]],TableauProduit[ID],TableauProduit[Total (kg) N3],0,0,1)*TableauRecette[[#This Row],[poids / unite]]</f>
        <v/>
      </c>
      <c r="O88" s="725">
        <f>_xlfn.XLOOKUP(TableauRecette[[#This Row],[ID]],TableauProduit[ID],TableauProduit[Total (kg) N4],0,0,1)*TableauRecette[[#This Row],[poids / unite]]</f>
        <v/>
      </c>
      <c r="P88" s="725">
        <f>_xlfn.XLOOKUP(TableauRecette[[#This Row],[ID]],TableauProduit[ID],TableauProduit[Total (kg) N5],0,0,1)*TableauRecette[[#This Row],[poids / unite]]</f>
        <v/>
      </c>
      <c r="Q88" s="725">
        <f>_xlfn.XLOOKUP(TableauRecette[[#This Row],[ID]],TableauProduit[ID],TableauProduit[Total (kg) N6],0,0,1)*TableauRecette[[#This Row],[poids / unite]]</f>
        <v/>
      </c>
      <c r="R88" s="725">
        <f>_xlfn.XLOOKUP(TableauRecette[[#This Row],[ID]],TableauProduit[ID],TableauProduit[Total (kg) N7],0,0,1)*TableauRecette[[#This Row],[poids / unite]]</f>
        <v/>
      </c>
      <c r="S88" s="725">
        <f>_xlfn.XLOOKUP(TableauRecette[[#This Row],[ID]],TableauProduit[ID],TableauProduit[Total (kg) N8],0,0,1)*TableauRecette[[#This Row],[poids / unite]]</f>
        <v/>
      </c>
      <c r="T88" s="725">
        <f>_xlfn.XLOOKUP(TableauRecette[[#This Row],[ID]],TableauProduit[ID],TableauProduit[Total (kg) N9],0,0,1)*TableauRecette[[#This Row],[poids / unite]]</f>
        <v/>
      </c>
    </row>
    <row r="89">
      <c r="A89" s="66" t="inlineStr">
        <is>
          <t>Curry japonais</t>
        </is>
      </c>
      <c r="B89" s="66">
        <f>TableauRecette[[#This Row],[Recette]]&amp;TableauRecette[[#This Row],[Conditionnement]]</f>
        <v/>
      </c>
      <c r="C89" s="66" t="inlineStr">
        <is>
          <t>Fenugrec</t>
        </is>
      </c>
      <c r="D89" s="190" t="n">
        <v>2.5</v>
      </c>
      <c r="E89" s="66" t="inlineStr">
        <is>
          <t>Epice 100ml</t>
        </is>
      </c>
      <c r="F89" s="19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89" s="190">
        <f>IFERROR(_xlfn.XLOOKUP(TableauRecette[[#This Row],[Ingredients]],TableauIngredients[Ingredients],TableauIngredients[Prix d''achat (kg)],0)*TableauRecette[[#This Row],[poids / unite]],0)</f>
        <v/>
      </c>
      <c r="H89" s="190">
        <f>IFERROR(SUMIFS(TableauRecette[Proportion],TableauRecette[Recette],TableauRecette[[#This Row],[Recette]],TableauRecette[Conditionnement],TableauRecette[[#This Row],[Conditionnement]]),0)</f>
        <v/>
      </c>
      <c r="I89" s="190">
        <f>IFERROR(TableauRecette[[#This Row],[Prix d''achat / kg]],0)</f>
        <v/>
      </c>
      <c r="J89" s="190" t="n"/>
      <c r="K89" s="723" t="n"/>
      <c r="L89" s="724">
        <f>_xlfn.XLOOKUP(TableauRecette[[#This Row],[ID]],TableauProduit[ID],TableauProduit[Total (kg) N1],0,0,1)*TableauRecette[[#This Row],[poids / unite]]</f>
        <v/>
      </c>
      <c r="M89" s="725">
        <f>_xlfn.XLOOKUP(TableauRecette[[#This Row],[ID]],TableauProduit[ID],TableauProduit[Total (kg) N2],0,0,1)*TableauRecette[[#This Row],[poids / unite]]</f>
        <v/>
      </c>
      <c r="N89" s="725">
        <f>_xlfn.XLOOKUP(TableauRecette[[#This Row],[ID]],TableauProduit[ID],TableauProduit[Total (kg) N3],0,0,1)*TableauRecette[[#This Row],[poids / unite]]</f>
        <v/>
      </c>
      <c r="O89" s="725">
        <f>_xlfn.XLOOKUP(TableauRecette[[#This Row],[ID]],TableauProduit[ID],TableauProduit[Total (kg) N4],0,0,1)*TableauRecette[[#This Row],[poids / unite]]</f>
        <v/>
      </c>
      <c r="P89" s="725">
        <f>_xlfn.XLOOKUP(TableauRecette[[#This Row],[ID]],TableauProduit[ID],TableauProduit[Total (kg) N5],0,0,1)*TableauRecette[[#This Row],[poids / unite]]</f>
        <v/>
      </c>
      <c r="Q89" s="725">
        <f>_xlfn.XLOOKUP(TableauRecette[[#This Row],[ID]],TableauProduit[ID],TableauProduit[Total (kg) N6],0,0,1)*TableauRecette[[#This Row],[poids / unite]]</f>
        <v/>
      </c>
      <c r="R89" s="725">
        <f>_xlfn.XLOOKUP(TableauRecette[[#This Row],[ID]],TableauProduit[ID],TableauProduit[Total (kg) N7],0,0,1)*TableauRecette[[#This Row],[poids / unite]]</f>
        <v/>
      </c>
      <c r="S89" s="725">
        <f>_xlfn.XLOOKUP(TableauRecette[[#This Row],[ID]],TableauProduit[ID],TableauProduit[Total (kg) N8],0,0,1)*TableauRecette[[#This Row],[poids / unite]]</f>
        <v/>
      </c>
      <c r="T89" s="725">
        <f>_xlfn.XLOOKUP(TableauRecette[[#This Row],[ID]],TableauProduit[ID],TableauProduit[Total (kg) N9],0,0,1)*TableauRecette[[#This Row],[poids / unite]]</f>
        <v/>
      </c>
    </row>
    <row r="90">
      <c r="A90" s="66" t="inlineStr">
        <is>
          <t>Curry japonais</t>
        </is>
      </c>
      <c r="B90" s="66">
        <f>TableauRecette[[#This Row],[Recette]]&amp;TableauRecette[[#This Row],[Conditionnement]]</f>
        <v/>
      </c>
      <c r="C90" s="66" t="inlineStr">
        <is>
          <t>Graine De Fenouil</t>
        </is>
      </c>
      <c r="D90" s="190" t="n">
        <v>2.5</v>
      </c>
      <c r="E90" s="66" t="inlineStr">
        <is>
          <t>Epice 100ml</t>
        </is>
      </c>
      <c r="F90" s="19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90" s="190">
        <f>IFERROR(_xlfn.XLOOKUP(TableauRecette[[#This Row],[Ingredients]],TableauIngredients[Ingredients],TableauIngredients[Prix d''achat (kg)],0)*TableauRecette[[#This Row],[poids / unite]],0)</f>
        <v/>
      </c>
      <c r="H90" s="190">
        <f>IFERROR(SUMIFS(TableauRecette[Proportion],TableauRecette[Recette],TableauRecette[[#This Row],[Recette]],TableauRecette[Conditionnement],TableauRecette[[#This Row],[Conditionnement]]),0)</f>
        <v/>
      </c>
      <c r="I90" s="190">
        <f>IFERROR(TableauRecette[[#This Row],[Prix d''achat / kg]],0)</f>
        <v/>
      </c>
      <c r="J90" s="190" t="n"/>
      <c r="K90" s="723" t="n"/>
      <c r="L90" s="724">
        <f>_xlfn.XLOOKUP(TableauRecette[[#This Row],[ID]],TableauProduit[ID],TableauProduit[Total (kg) N1],0,0,1)*TableauRecette[[#This Row],[poids / unite]]</f>
        <v/>
      </c>
      <c r="M90" s="725">
        <f>_xlfn.XLOOKUP(TableauRecette[[#This Row],[ID]],TableauProduit[ID],TableauProduit[Total (kg) N2],0,0,1)*TableauRecette[[#This Row],[poids / unite]]</f>
        <v/>
      </c>
      <c r="N90" s="725">
        <f>_xlfn.XLOOKUP(TableauRecette[[#This Row],[ID]],TableauProduit[ID],TableauProduit[Total (kg) N3],0,0,1)*TableauRecette[[#This Row],[poids / unite]]</f>
        <v/>
      </c>
      <c r="O90" s="725">
        <f>_xlfn.XLOOKUP(TableauRecette[[#This Row],[ID]],TableauProduit[ID],TableauProduit[Total (kg) N4],0,0,1)*TableauRecette[[#This Row],[poids / unite]]</f>
        <v/>
      </c>
      <c r="P90" s="725">
        <f>_xlfn.XLOOKUP(TableauRecette[[#This Row],[ID]],TableauProduit[ID],TableauProduit[Total (kg) N5],0,0,1)*TableauRecette[[#This Row],[poids / unite]]</f>
        <v/>
      </c>
      <c r="Q90" s="725">
        <f>_xlfn.XLOOKUP(TableauRecette[[#This Row],[ID]],TableauProduit[ID],TableauProduit[Total (kg) N6],0,0,1)*TableauRecette[[#This Row],[poids / unite]]</f>
        <v/>
      </c>
      <c r="R90" s="725">
        <f>_xlfn.XLOOKUP(TableauRecette[[#This Row],[ID]],TableauProduit[ID],TableauProduit[Total (kg) N7],0,0,1)*TableauRecette[[#This Row],[poids / unite]]</f>
        <v/>
      </c>
      <c r="S90" s="725">
        <f>_xlfn.XLOOKUP(TableauRecette[[#This Row],[ID]],TableauProduit[ID],TableauProduit[Total (kg) N8],0,0,1)*TableauRecette[[#This Row],[poids / unite]]</f>
        <v/>
      </c>
      <c r="T90" s="725">
        <f>_xlfn.XLOOKUP(TableauRecette[[#This Row],[ID]],TableauProduit[ID],TableauProduit[Total (kg) N9],0,0,1)*TableauRecette[[#This Row],[poids / unite]]</f>
        <v/>
      </c>
    </row>
    <row r="91">
      <c r="A91" s="66" t="inlineStr">
        <is>
          <t>Curry japonais</t>
        </is>
      </c>
      <c r="B91" s="66">
        <f>TableauRecette[[#This Row],[Recette]]&amp;TableauRecette[[#This Row],[Conditionnement]]</f>
        <v/>
      </c>
      <c r="C91" s="66" t="inlineStr">
        <is>
          <t>Cannelle</t>
        </is>
      </c>
      <c r="D91" s="190" t="n">
        <v>2</v>
      </c>
      <c r="E91" s="66" t="inlineStr">
        <is>
          <t>Epice 100ml</t>
        </is>
      </c>
      <c r="F91" s="19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91" s="190">
        <f>IFERROR(_xlfn.XLOOKUP(TableauRecette[[#This Row],[Ingredients]],TableauIngredients[Ingredients],TableauIngredients[Prix d''achat (kg)],0)*TableauRecette[[#This Row],[poids / unite]],0)</f>
        <v/>
      </c>
      <c r="H91" s="190">
        <f>IFERROR(SUMIFS(TableauRecette[Proportion],TableauRecette[Recette],TableauRecette[[#This Row],[Recette]],TableauRecette[Conditionnement],TableauRecette[[#This Row],[Conditionnement]]),0)</f>
        <v/>
      </c>
      <c r="I91" s="190">
        <f>IFERROR(TableauRecette[[#This Row],[Prix d''achat / kg]],0)</f>
        <v/>
      </c>
      <c r="J91" s="190" t="n"/>
      <c r="K91" s="723" t="n"/>
      <c r="L91" s="724">
        <f>_xlfn.XLOOKUP(TableauRecette[[#This Row],[ID]],TableauProduit[ID],TableauProduit[Total (kg) N1],0,0,1)*TableauRecette[[#This Row],[poids / unite]]</f>
        <v/>
      </c>
      <c r="M91" s="725">
        <f>_xlfn.XLOOKUP(TableauRecette[[#This Row],[ID]],TableauProduit[ID],TableauProduit[Total (kg) N2],0,0,1)*TableauRecette[[#This Row],[poids / unite]]</f>
        <v/>
      </c>
      <c r="N91" s="725">
        <f>_xlfn.XLOOKUP(TableauRecette[[#This Row],[ID]],TableauProduit[ID],TableauProduit[Total (kg) N3],0,0,1)*TableauRecette[[#This Row],[poids / unite]]</f>
        <v/>
      </c>
      <c r="O91" s="725">
        <f>_xlfn.XLOOKUP(TableauRecette[[#This Row],[ID]],TableauProduit[ID],TableauProduit[Total (kg) N4],0,0,1)*TableauRecette[[#This Row],[poids / unite]]</f>
        <v/>
      </c>
      <c r="P91" s="725">
        <f>_xlfn.XLOOKUP(TableauRecette[[#This Row],[ID]],TableauProduit[ID],TableauProduit[Total (kg) N5],0,0,1)*TableauRecette[[#This Row],[poids / unite]]</f>
        <v/>
      </c>
      <c r="Q91" s="725">
        <f>_xlfn.XLOOKUP(TableauRecette[[#This Row],[ID]],TableauProduit[ID],TableauProduit[Total (kg) N6],0,0,1)*TableauRecette[[#This Row],[poids / unite]]</f>
        <v/>
      </c>
      <c r="R91" s="725">
        <f>_xlfn.XLOOKUP(TableauRecette[[#This Row],[ID]],TableauProduit[ID],TableauProduit[Total (kg) N7],0,0,1)*TableauRecette[[#This Row],[poids / unite]]</f>
        <v/>
      </c>
      <c r="S91" s="725">
        <f>_xlfn.XLOOKUP(TableauRecette[[#This Row],[ID]],TableauProduit[ID],TableauProduit[Total (kg) N8],0,0,1)*TableauRecette[[#This Row],[poids / unite]]</f>
        <v/>
      </c>
      <c r="T91" s="725">
        <f>_xlfn.XLOOKUP(TableauRecette[[#This Row],[ID]],TableauProduit[ID],TableauProduit[Total (kg) N9],0,0,1)*TableauRecette[[#This Row],[poids / unite]]</f>
        <v/>
      </c>
    </row>
    <row r="92">
      <c r="A92" s="66" t="inlineStr">
        <is>
          <t>Curry japonais</t>
        </is>
      </c>
      <c r="B92" s="66">
        <f>TableauRecette[[#This Row],[Recette]]&amp;TableauRecette[[#This Row],[Conditionnement]]</f>
        <v/>
      </c>
      <c r="C92" s="66" t="inlineStr">
        <is>
          <t>Piment De Cayenne Rouge SEC</t>
        </is>
      </c>
      <c r="D92" s="190" t="n">
        <v>1.5</v>
      </c>
      <c r="E92" s="66" t="inlineStr">
        <is>
          <t>Epice 100ml</t>
        </is>
      </c>
      <c r="F92" s="19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92" s="190">
        <f>IFERROR(_xlfn.XLOOKUP(TableauRecette[[#This Row],[Ingredients]],TableauIngredients[Ingredients],TableauIngredients[Prix d''achat (kg)],0)*TableauRecette[[#This Row],[poids / unite]],0)</f>
        <v/>
      </c>
      <c r="H92" s="190">
        <f>IFERROR(SUMIFS(TableauRecette[Proportion],TableauRecette[Recette],TableauRecette[[#This Row],[Recette]],TableauRecette[Conditionnement],TableauRecette[[#This Row],[Conditionnement]]),0)</f>
        <v/>
      </c>
      <c r="I92" s="190">
        <f>IFERROR(TableauRecette[[#This Row],[Prix d''achat / kg]],0)</f>
        <v/>
      </c>
      <c r="J92" s="190" t="n"/>
      <c r="K92" s="723" t="n"/>
      <c r="L92" s="724">
        <f>_xlfn.XLOOKUP(TableauRecette[[#This Row],[ID]],TableauProduit[ID],TableauProduit[Total (kg) N1],0,0,1)*TableauRecette[[#This Row],[poids / unite]]</f>
        <v/>
      </c>
      <c r="M92" s="725">
        <f>_xlfn.XLOOKUP(TableauRecette[[#This Row],[ID]],TableauProduit[ID],TableauProduit[Total (kg) N2],0,0,1)*TableauRecette[[#This Row],[poids / unite]]</f>
        <v/>
      </c>
      <c r="N92" s="725">
        <f>_xlfn.XLOOKUP(TableauRecette[[#This Row],[ID]],TableauProduit[ID],TableauProduit[Total (kg) N3],0,0,1)*TableauRecette[[#This Row],[poids / unite]]</f>
        <v/>
      </c>
      <c r="O92" s="725">
        <f>_xlfn.XLOOKUP(TableauRecette[[#This Row],[ID]],TableauProduit[ID],TableauProduit[Total (kg) N4],0,0,1)*TableauRecette[[#This Row],[poids / unite]]</f>
        <v/>
      </c>
      <c r="P92" s="725">
        <f>_xlfn.XLOOKUP(TableauRecette[[#This Row],[ID]],TableauProduit[ID],TableauProduit[Total (kg) N5],0,0,1)*TableauRecette[[#This Row],[poids / unite]]</f>
        <v/>
      </c>
      <c r="Q92" s="725">
        <f>_xlfn.XLOOKUP(TableauRecette[[#This Row],[ID]],TableauProduit[ID],TableauProduit[Total (kg) N6],0,0,1)*TableauRecette[[#This Row],[poids / unite]]</f>
        <v/>
      </c>
      <c r="R92" s="725">
        <f>_xlfn.XLOOKUP(TableauRecette[[#This Row],[ID]],TableauProduit[ID],TableauProduit[Total (kg) N7],0,0,1)*TableauRecette[[#This Row],[poids / unite]]</f>
        <v/>
      </c>
      <c r="S92" s="725">
        <f>_xlfn.XLOOKUP(TableauRecette[[#This Row],[ID]],TableauProduit[ID],TableauProduit[Total (kg) N8],0,0,1)*TableauRecette[[#This Row],[poids / unite]]</f>
        <v/>
      </c>
      <c r="T92" s="725">
        <f>_xlfn.XLOOKUP(TableauRecette[[#This Row],[ID]],TableauProduit[ID],TableauProduit[Total (kg) N9],0,0,1)*TableauRecette[[#This Row],[poids / unite]]</f>
        <v/>
      </c>
    </row>
    <row r="93">
      <c r="A93" s="66" t="inlineStr">
        <is>
          <t>Curry japonais</t>
        </is>
      </c>
      <c r="B93" s="66">
        <f>TableauRecette[[#This Row],[Recette]]&amp;TableauRecette[[#This Row],[Conditionnement]]</f>
        <v/>
      </c>
      <c r="C93" s="66" t="inlineStr">
        <is>
          <t>Gingembre Sec</t>
        </is>
      </c>
      <c r="D93" s="190" t="n">
        <v>1.5</v>
      </c>
      <c r="E93" s="66" t="inlineStr">
        <is>
          <t>Epice 100ml</t>
        </is>
      </c>
      <c r="F93" s="19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93" s="190">
        <f>IFERROR(_xlfn.XLOOKUP(TableauRecette[[#This Row],[Ingredients]],TableauIngredients[Ingredients],TableauIngredients[Prix d''achat (kg)],0)*TableauRecette[[#This Row],[poids / unite]],0)</f>
        <v/>
      </c>
      <c r="H93" s="190">
        <f>IFERROR(SUMIFS(TableauRecette[Proportion],TableauRecette[Recette],TableauRecette[[#This Row],[Recette]],TableauRecette[Conditionnement],TableauRecette[[#This Row],[Conditionnement]]),0)</f>
        <v/>
      </c>
      <c r="I93" s="190">
        <f>IFERROR(TableauRecette[[#This Row],[Prix d''achat / kg]],0)</f>
        <v/>
      </c>
      <c r="J93" s="190" t="n"/>
      <c r="K93" s="723" t="n"/>
      <c r="L93" s="724">
        <f>_xlfn.XLOOKUP(TableauRecette[[#This Row],[ID]],TableauProduit[ID],TableauProduit[Total (kg) N1],0,0,1)*TableauRecette[[#This Row],[poids / unite]]</f>
        <v/>
      </c>
      <c r="M93" s="725">
        <f>_xlfn.XLOOKUP(TableauRecette[[#This Row],[ID]],TableauProduit[ID],TableauProduit[Total (kg) N2],0,0,1)*TableauRecette[[#This Row],[poids / unite]]</f>
        <v/>
      </c>
      <c r="N93" s="725">
        <f>_xlfn.XLOOKUP(TableauRecette[[#This Row],[ID]],TableauProduit[ID],TableauProduit[Total (kg) N3],0,0,1)*TableauRecette[[#This Row],[poids / unite]]</f>
        <v/>
      </c>
      <c r="O93" s="725">
        <f>_xlfn.XLOOKUP(TableauRecette[[#This Row],[ID]],TableauProduit[ID],TableauProduit[Total (kg) N4],0,0,1)*TableauRecette[[#This Row],[poids / unite]]</f>
        <v/>
      </c>
      <c r="P93" s="725">
        <f>_xlfn.XLOOKUP(TableauRecette[[#This Row],[ID]],TableauProduit[ID],TableauProduit[Total (kg) N5],0,0,1)*TableauRecette[[#This Row],[poids / unite]]</f>
        <v/>
      </c>
      <c r="Q93" s="725">
        <f>_xlfn.XLOOKUP(TableauRecette[[#This Row],[ID]],TableauProduit[ID],TableauProduit[Total (kg) N6],0,0,1)*TableauRecette[[#This Row],[poids / unite]]</f>
        <v/>
      </c>
      <c r="R93" s="725">
        <f>_xlfn.XLOOKUP(TableauRecette[[#This Row],[ID]],TableauProduit[ID],TableauProduit[Total (kg) N7],0,0,1)*TableauRecette[[#This Row],[poids / unite]]</f>
        <v/>
      </c>
      <c r="S93" s="725">
        <f>_xlfn.XLOOKUP(TableauRecette[[#This Row],[ID]],TableauProduit[ID],TableauProduit[Total (kg) N8],0,0,1)*TableauRecette[[#This Row],[poids / unite]]</f>
        <v/>
      </c>
      <c r="T93" s="725">
        <f>_xlfn.XLOOKUP(TableauRecette[[#This Row],[ID]],TableauProduit[ID],TableauProduit[Total (kg) N9],0,0,1)*TableauRecette[[#This Row],[poids / unite]]</f>
        <v/>
      </c>
    </row>
    <row r="94">
      <c r="A94" s="66" t="inlineStr">
        <is>
          <t>Curry japonais</t>
        </is>
      </c>
      <c r="B94" s="66">
        <f>TableauRecette[[#This Row],[Recette]]&amp;TableauRecette[[#This Row],[Conditionnement]]</f>
        <v/>
      </c>
      <c r="C94" s="66" t="inlineStr">
        <is>
          <t>Graine De Cardamone</t>
        </is>
      </c>
      <c r="D94" s="190" t="n">
        <v>1</v>
      </c>
      <c r="E94" s="66" t="inlineStr">
        <is>
          <t>Epice 100ml</t>
        </is>
      </c>
      <c r="F94" s="19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94" s="190">
        <f>IFERROR(_xlfn.XLOOKUP(TableauRecette[[#This Row],[Ingredients]],TableauIngredients[Ingredients],TableauIngredients[Prix d''achat (kg)],0)*TableauRecette[[#This Row],[poids / unite]],0)</f>
        <v/>
      </c>
      <c r="H94" s="190">
        <f>IFERROR(SUMIFS(TableauRecette[Proportion],TableauRecette[Recette],TableauRecette[[#This Row],[Recette]],TableauRecette[Conditionnement],TableauRecette[[#This Row],[Conditionnement]]),0)</f>
        <v/>
      </c>
      <c r="I94" s="190">
        <f>IFERROR(TableauRecette[[#This Row],[Prix d''achat / kg]],0)</f>
        <v/>
      </c>
      <c r="J94" s="190" t="n"/>
      <c r="K94" s="723" t="n"/>
      <c r="L94" s="724">
        <f>_xlfn.XLOOKUP(TableauRecette[[#This Row],[ID]],TableauProduit[ID],TableauProduit[Total (kg) N1],0,0,1)*TableauRecette[[#This Row],[poids / unite]]</f>
        <v/>
      </c>
      <c r="M94" s="725">
        <f>_xlfn.XLOOKUP(TableauRecette[[#This Row],[ID]],TableauProduit[ID],TableauProduit[Total (kg) N2],0,0,1)*TableauRecette[[#This Row],[poids / unite]]</f>
        <v/>
      </c>
      <c r="N94" s="725">
        <f>_xlfn.XLOOKUP(TableauRecette[[#This Row],[ID]],TableauProduit[ID],TableauProduit[Total (kg) N3],0,0,1)*TableauRecette[[#This Row],[poids / unite]]</f>
        <v/>
      </c>
      <c r="O94" s="725">
        <f>_xlfn.XLOOKUP(TableauRecette[[#This Row],[ID]],TableauProduit[ID],TableauProduit[Total (kg) N4],0,0,1)*TableauRecette[[#This Row],[poids / unite]]</f>
        <v/>
      </c>
      <c r="P94" s="725">
        <f>_xlfn.XLOOKUP(TableauRecette[[#This Row],[ID]],TableauProduit[ID],TableauProduit[Total (kg) N5],0,0,1)*TableauRecette[[#This Row],[poids / unite]]</f>
        <v/>
      </c>
      <c r="Q94" s="725">
        <f>_xlfn.XLOOKUP(TableauRecette[[#This Row],[ID]],TableauProduit[ID],TableauProduit[Total (kg) N6],0,0,1)*TableauRecette[[#This Row],[poids / unite]]</f>
        <v/>
      </c>
      <c r="R94" s="725">
        <f>_xlfn.XLOOKUP(TableauRecette[[#This Row],[ID]],TableauProduit[ID],TableauProduit[Total (kg) N7],0,0,1)*TableauRecette[[#This Row],[poids / unite]]</f>
        <v/>
      </c>
      <c r="S94" s="725">
        <f>_xlfn.XLOOKUP(TableauRecette[[#This Row],[ID]],TableauProduit[ID],TableauProduit[Total (kg) N8],0,0,1)*TableauRecette[[#This Row],[poids / unite]]</f>
        <v/>
      </c>
      <c r="T94" s="725">
        <f>_xlfn.XLOOKUP(TableauRecette[[#This Row],[ID]],TableauProduit[ID],TableauProduit[Total (kg) N9],0,0,1)*TableauRecette[[#This Row],[poids / unite]]</f>
        <v/>
      </c>
    </row>
    <row r="95">
      <c r="A95" s="66" t="inlineStr">
        <is>
          <t>Curry japonais</t>
        </is>
      </c>
      <c r="B95" s="66">
        <f>TableauRecette[[#This Row],[Recette]]&amp;TableauRecette[[#This Row],[Conditionnement]]</f>
        <v/>
      </c>
      <c r="C95" s="66" t="inlineStr">
        <is>
          <t>Clous De Girofle</t>
        </is>
      </c>
      <c r="D95" s="190" t="n">
        <v>1</v>
      </c>
      <c r="E95" s="66" t="inlineStr">
        <is>
          <t>Epice 100ml</t>
        </is>
      </c>
      <c r="F95" s="19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95" s="190">
        <f>IFERROR(_xlfn.XLOOKUP(TableauRecette[[#This Row],[Ingredients]],TableauIngredients[Ingredients],TableauIngredients[Prix d''achat (kg)],0)*TableauRecette[[#This Row],[poids / unite]],0)</f>
        <v/>
      </c>
      <c r="H95" s="190">
        <f>IFERROR(SUMIFS(TableauRecette[Proportion],TableauRecette[Recette],TableauRecette[[#This Row],[Recette]],TableauRecette[Conditionnement],TableauRecette[[#This Row],[Conditionnement]]),0)</f>
        <v/>
      </c>
      <c r="I95" s="190">
        <f>IFERROR(TableauRecette[[#This Row],[Prix d''achat / kg]],0)</f>
        <v/>
      </c>
      <c r="J95" s="190" t="n"/>
      <c r="K95" s="723" t="n"/>
      <c r="L95" s="724">
        <f>_xlfn.XLOOKUP(TableauRecette[[#This Row],[ID]],TableauProduit[ID],TableauProduit[Total (kg) N1],0,0,1)*TableauRecette[[#This Row],[poids / unite]]</f>
        <v/>
      </c>
      <c r="M95" s="725">
        <f>_xlfn.XLOOKUP(TableauRecette[[#This Row],[ID]],TableauProduit[ID],TableauProduit[Total (kg) N2],0,0,1)*TableauRecette[[#This Row],[poids / unite]]</f>
        <v/>
      </c>
      <c r="N95" s="725">
        <f>_xlfn.XLOOKUP(TableauRecette[[#This Row],[ID]],TableauProduit[ID],TableauProduit[Total (kg) N3],0,0,1)*TableauRecette[[#This Row],[poids / unite]]</f>
        <v/>
      </c>
      <c r="O95" s="725">
        <f>_xlfn.XLOOKUP(TableauRecette[[#This Row],[ID]],TableauProduit[ID],TableauProduit[Total (kg) N4],0,0,1)*TableauRecette[[#This Row],[poids / unite]]</f>
        <v/>
      </c>
      <c r="P95" s="725">
        <f>_xlfn.XLOOKUP(TableauRecette[[#This Row],[ID]],TableauProduit[ID],TableauProduit[Total (kg) N5],0,0,1)*TableauRecette[[#This Row],[poids / unite]]</f>
        <v/>
      </c>
      <c r="Q95" s="725">
        <f>_xlfn.XLOOKUP(TableauRecette[[#This Row],[ID]],TableauProduit[ID],TableauProduit[Total (kg) N6],0,0,1)*TableauRecette[[#This Row],[poids / unite]]</f>
        <v/>
      </c>
      <c r="R95" s="725">
        <f>_xlfn.XLOOKUP(TableauRecette[[#This Row],[ID]],TableauProduit[ID],TableauProduit[Total (kg) N7],0,0,1)*TableauRecette[[#This Row],[poids / unite]]</f>
        <v/>
      </c>
      <c r="S95" s="725">
        <f>_xlfn.XLOOKUP(TableauRecette[[#This Row],[ID]],TableauProduit[ID],TableauProduit[Total (kg) N8],0,0,1)*TableauRecette[[#This Row],[poids / unite]]</f>
        <v/>
      </c>
      <c r="T95" s="725">
        <f>_xlfn.XLOOKUP(TableauRecette[[#This Row],[ID]],TableauProduit[ID],TableauProduit[Total (kg) N9],0,0,1)*TableauRecette[[#This Row],[poids / unite]]</f>
        <v/>
      </c>
    </row>
    <row r="96">
      <c r="A96" s="66" t="inlineStr">
        <is>
          <t>Curry japonais</t>
        </is>
      </c>
      <c r="B96" s="66">
        <f>TableauRecette[[#This Row],[Recette]]&amp;TableauRecette[[#This Row],[Conditionnement]]</f>
        <v/>
      </c>
      <c r="C96" s="66" t="inlineStr">
        <is>
          <t>Anis Étoilé</t>
        </is>
      </c>
      <c r="D96" s="190" t="n">
        <v>1</v>
      </c>
      <c r="E96" s="66" t="inlineStr">
        <is>
          <t>Epice 100ml</t>
        </is>
      </c>
      <c r="F96" s="19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96" s="190">
        <f>IFERROR(_xlfn.XLOOKUP(TableauRecette[[#This Row],[Ingredients]],TableauIngredients[Ingredients],TableauIngredients[Prix d''achat (kg)],0)*TableauRecette[[#This Row],[poids / unite]],0)</f>
        <v/>
      </c>
      <c r="H96" s="190">
        <f>IFERROR(SUMIFS(TableauRecette[Proportion],TableauRecette[Recette],TableauRecette[[#This Row],[Recette]],TableauRecette[Conditionnement],TableauRecette[[#This Row],[Conditionnement]]),0)</f>
        <v/>
      </c>
      <c r="I96" s="190">
        <f>IFERROR(TableauRecette[[#This Row],[Prix d''achat / kg]],0)</f>
        <v/>
      </c>
      <c r="J96" s="190" t="n"/>
      <c r="K96" s="723" t="n"/>
      <c r="L96" s="724">
        <f>_xlfn.XLOOKUP(TableauRecette[[#This Row],[ID]],TableauProduit[ID],TableauProduit[Total (kg) N1],0,0,1)*TableauRecette[[#This Row],[poids / unite]]</f>
        <v/>
      </c>
      <c r="M96" s="725">
        <f>_xlfn.XLOOKUP(TableauRecette[[#This Row],[ID]],TableauProduit[ID],TableauProduit[Total (kg) N2],0,0,1)*TableauRecette[[#This Row],[poids / unite]]</f>
        <v/>
      </c>
      <c r="N96" s="725">
        <f>_xlfn.XLOOKUP(TableauRecette[[#This Row],[ID]],TableauProduit[ID],TableauProduit[Total (kg) N3],0,0,1)*TableauRecette[[#This Row],[poids / unite]]</f>
        <v/>
      </c>
      <c r="O96" s="725">
        <f>_xlfn.XLOOKUP(TableauRecette[[#This Row],[ID]],TableauProduit[ID],TableauProduit[Total (kg) N4],0,0,1)*TableauRecette[[#This Row],[poids / unite]]</f>
        <v/>
      </c>
      <c r="P96" s="725">
        <f>_xlfn.XLOOKUP(TableauRecette[[#This Row],[ID]],TableauProduit[ID],TableauProduit[Total (kg) N5],0,0,1)*TableauRecette[[#This Row],[poids / unite]]</f>
        <v/>
      </c>
      <c r="Q96" s="725">
        <f>_xlfn.XLOOKUP(TableauRecette[[#This Row],[ID]],TableauProduit[ID],TableauProduit[Total (kg) N6],0,0,1)*TableauRecette[[#This Row],[poids / unite]]</f>
        <v/>
      </c>
      <c r="R96" s="725">
        <f>_xlfn.XLOOKUP(TableauRecette[[#This Row],[ID]],TableauProduit[ID],TableauProduit[Total (kg) N7],0,0,1)*TableauRecette[[#This Row],[poids / unite]]</f>
        <v/>
      </c>
      <c r="S96" s="725">
        <f>_xlfn.XLOOKUP(TableauRecette[[#This Row],[ID]],TableauProduit[ID],TableauProduit[Total (kg) N8],0,0,1)*TableauRecette[[#This Row],[poids / unite]]</f>
        <v/>
      </c>
      <c r="T96" s="725">
        <f>_xlfn.XLOOKUP(TableauRecette[[#This Row],[ID]],TableauProduit[ID],TableauProduit[Total (kg) N9],0,0,1)*TableauRecette[[#This Row],[poids / unite]]</f>
        <v/>
      </c>
    </row>
    <row r="97">
      <c r="A97" s="66" t="inlineStr">
        <is>
          <t>Curry japonais</t>
        </is>
      </c>
      <c r="B97" s="66">
        <f>TableauRecette[[#This Row],[Recette]]&amp;TableauRecette[[#This Row],[Conditionnement]]</f>
        <v/>
      </c>
      <c r="C97" s="66" t="inlineStr">
        <is>
          <t>Sauge</t>
        </is>
      </c>
      <c r="D97" s="190" t="n">
        <v>1</v>
      </c>
      <c r="E97" s="66" t="inlineStr">
        <is>
          <t>Epice 100ml</t>
        </is>
      </c>
      <c r="F97" s="19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97" s="190">
        <f>IFERROR(_xlfn.XLOOKUP(TableauRecette[[#This Row],[Ingredients]],TableauIngredients[Ingredients],TableauIngredients[Prix d''achat (kg)],0)*TableauRecette[[#This Row],[poids / unite]],0)</f>
        <v/>
      </c>
      <c r="H97" s="190">
        <f>IFERROR(SUMIFS(TableauRecette[Proportion],TableauRecette[Recette],TableauRecette[[#This Row],[Recette]],TableauRecette[Conditionnement],TableauRecette[[#This Row],[Conditionnement]]),0)</f>
        <v/>
      </c>
      <c r="I97" s="190">
        <f>IFERROR(TableauRecette[[#This Row],[Prix d''achat / kg]],0)</f>
        <v/>
      </c>
      <c r="J97" s="190" t="n"/>
      <c r="K97" s="723" t="n"/>
      <c r="L97" s="724">
        <f>_xlfn.XLOOKUP(TableauRecette[[#This Row],[ID]],TableauProduit[ID],TableauProduit[Total (kg) N1],0,0,1)*TableauRecette[[#This Row],[poids / unite]]</f>
        <v/>
      </c>
      <c r="M97" s="725">
        <f>_xlfn.XLOOKUP(TableauRecette[[#This Row],[ID]],TableauProduit[ID],TableauProduit[Total (kg) N2],0,0,1)*TableauRecette[[#This Row],[poids / unite]]</f>
        <v/>
      </c>
      <c r="N97" s="725">
        <f>_xlfn.XLOOKUP(TableauRecette[[#This Row],[ID]],TableauProduit[ID],TableauProduit[Total (kg) N3],0,0,1)*TableauRecette[[#This Row],[poids / unite]]</f>
        <v/>
      </c>
      <c r="O97" s="725">
        <f>_xlfn.XLOOKUP(TableauRecette[[#This Row],[ID]],TableauProduit[ID],TableauProduit[Total (kg) N4],0,0,1)*TableauRecette[[#This Row],[poids / unite]]</f>
        <v/>
      </c>
      <c r="P97" s="725">
        <f>_xlfn.XLOOKUP(TableauRecette[[#This Row],[ID]],TableauProduit[ID],TableauProduit[Total (kg) N5],0,0,1)*TableauRecette[[#This Row],[poids / unite]]</f>
        <v/>
      </c>
      <c r="Q97" s="725">
        <f>_xlfn.XLOOKUP(TableauRecette[[#This Row],[ID]],TableauProduit[ID],TableauProduit[Total (kg) N6],0,0,1)*TableauRecette[[#This Row],[poids / unite]]</f>
        <v/>
      </c>
      <c r="R97" s="725">
        <f>_xlfn.XLOOKUP(TableauRecette[[#This Row],[ID]],TableauProduit[ID],TableauProduit[Total (kg) N7],0,0,1)*TableauRecette[[#This Row],[poids / unite]]</f>
        <v/>
      </c>
      <c r="S97" s="725">
        <f>_xlfn.XLOOKUP(TableauRecette[[#This Row],[ID]],TableauProduit[ID],TableauProduit[Total (kg) N8],0,0,1)*TableauRecette[[#This Row],[poids / unite]]</f>
        <v/>
      </c>
      <c r="T97" s="725">
        <f>_xlfn.XLOOKUP(TableauRecette[[#This Row],[ID]],TableauProduit[ID],TableauProduit[Total (kg) N9],0,0,1)*TableauRecette[[#This Row],[poids / unite]]</f>
        <v/>
      </c>
    </row>
    <row r="98">
      <c r="A98" s="66" t="inlineStr">
        <is>
          <t>Curry japonais</t>
        </is>
      </c>
      <c r="B98" s="66">
        <f>TableauRecette[[#This Row],[Recette]]&amp;TableauRecette[[#This Row],[Conditionnement]]</f>
        <v/>
      </c>
      <c r="C98" s="66" t="inlineStr">
        <is>
          <t>Thym</t>
        </is>
      </c>
      <c r="D98" s="190" t="n">
        <v>1</v>
      </c>
      <c r="E98" s="66" t="inlineStr">
        <is>
          <t>Epice 100ml</t>
        </is>
      </c>
      <c r="F98" s="19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98" s="190">
        <f>IFERROR(_xlfn.XLOOKUP(TableauRecette[[#This Row],[Ingredients]],TableauIngredients[Ingredients],TableauIngredients[Prix d''achat (kg)],0)*TableauRecette[[#This Row],[poids / unite]],0)</f>
        <v/>
      </c>
      <c r="H98" s="190">
        <f>IFERROR(SUMIFS(TableauRecette[Proportion],TableauRecette[Recette],TableauRecette[[#This Row],[Recette]],TableauRecette[Conditionnement],TableauRecette[[#This Row],[Conditionnement]]),0)</f>
        <v/>
      </c>
      <c r="I98" s="190">
        <f>IFERROR(TableauRecette[[#This Row],[Prix d''achat / kg]],0)</f>
        <v/>
      </c>
      <c r="J98" s="190" t="n"/>
      <c r="K98" s="723" t="n"/>
      <c r="L98" s="724">
        <f>_xlfn.XLOOKUP(TableauRecette[[#This Row],[ID]],TableauProduit[ID],TableauProduit[Total (kg) N1],0,0,1)*TableauRecette[[#This Row],[poids / unite]]</f>
        <v/>
      </c>
      <c r="M98" s="725">
        <f>_xlfn.XLOOKUP(TableauRecette[[#This Row],[ID]],TableauProduit[ID],TableauProduit[Total (kg) N2],0,0,1)*TableauRecette[[#This Row],[poids / unite]]</f>
        <v/>
      </c>
      <c r="N98" s="725">
        <f>_xlfn.XLOOKUP(TableauRecette[[#This Row],[ID]],TableauProduit[ID],TableauProduit[Total (kg) N3],0,0,1)*TableauRecette[[#This Row],[poids / unite]]</f>
        <v/>
      </c>
      <c r="O98" s="725">
        <f>_xlfn.XLOOKUP(TableauRecette[[#This Row],[ID]],TableauProduit[ID],TableauProduit[Total (kg) N4],0,0,1)*TableauRecette[[#This Row],[poids / unite]]</f>
        <v/>
      </c>
      <c r="P98" s="725">
        <f>_xlfn.XLOOKUP(TableauRecette[[#This Row],[ID]],TableauProduit[ID],TableauProduit[Total (kg) N5],0,0,1)*TableauRecette[[#This Row],[poids / unite]]</f>
        <v/>
      </c>
      <c r="Q98" s="725">
        <f>_xlfn.XLOOKUP(TableauRecette[[#This Row],[ID]],TableauProduit[ID],TableauProduit[Total (kg) N6],0,0,1)*TableauRecette[[#This Row],[poids / unite]]</f>
        <v/>
      </c>
      <c r="R98" s="725">
        <f>_xlfn.XLOOKUP(TableauRecette[[#This Row],[ID]],TableauProduit[ID],TableauProduit[Total (kg) N7],0,0,1)*TableauRecette[[#This Row],[poids / unite]]</f>
        <v/>
      </c>
      <c r="S98" s="725">
        <f>_xlfn.XLOOKUP(TableauRecette[[#This Row],[ID]],TableauProduit[ID],TableauProduit[Total (kg) N8],0,0,1)*TableauRecette[[#This Row],[poids / unite]]</f>
        <v/>
      </c>
      <c r="T98" s="725">
        <f>_xlfn.XLOOKUP(TableauRecette[[#This Row],[ID]],TableauProduit[ID],TableauProduit[Total (kg) N9],0,0,1)*TableauRecette[[#This Row],[poids / unite]]</f>
        <v/>
      </c>
    </row>
    <row r="99">
      <c r="A99" s="66" t="inlineStr">
        <is>
          <t>Curry japonais</t>
        </is>
      </c>
      <c r="B99" s="66">
        <f>TableauRecette[[#This Row],[Recette]]&amp;TableauRecette[[#This Row],[Conditionnement]]</f>
        <v/>
      </c>
      <c r="C99" s="66" t="inlineStr">
        <is>
          <t>Muscade</t>
        </is>
      </c>
      <c r="D99" s="190" t="n">
        <v>1</v>
      </c>
      <c r="E99" s="66" t="inlineStr">
        <is>
          <t>Epice 100ml</t>
        </is>
      </c>
      <c r="F99" s="19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99" s="190">
        <f>IFERROR(_xlfn.XLOOKUP(TableauRecette[[#This Row],[Ingredients]],TableauIngredients[Ingredients],TableauIngredients[Prix d''achat (kg)],0)*TableauRecette[[#This Row],[poids / unite]],0)</f>
        <v/>
      </c>
      <c r="H99" s="190">
        <f>IFERROR(SUMIFS(TableauRecette[Proportion],TableauRecette[Recette],TableauRecette[[#This Row],[Recette]],TableauRecette[Conditionnement],TableauRecette[[#This Row],[Conditionnement]]),0)</f>
        <v/>
      </c>
      <c r="I99" s="190">
        <f>IFERROR(TableauRecette[[#This Row],[Prix d''achat / kg]],0)</f>
        <v/>
      </c>
      <c r="J99" s="190" t="n"/>
      <c r="K99" s="723" t="n"/>
      <c r="L99" s="724">
        <f>_xlfn.XLOOKUP(TableauRecette[[#This Row],[ID]],TableauProduit[ID],TableauProduit[Total (kg) N1],0,0,1)*TableauRecette[[#This Row],[poids / unite]]</f>
        <v/>
      </c>
      <c r="M99" s="725">
        <f>_xlfn.XLOOKUP(TableauRecette[[#This Row],[ID]],TableauProduit[ID],TableauProduit[Total (kg) N2],0,0,1)*TableauRecette[[#This Row],[poids / unite]]</f>
        <v/>
      </c>
      <c r="N99" s="725">
        <f>_xlfn.XLOOKUP(TableauRecette[[#This Row],[ID]],TableauProduit[ID],TableauProduit[Total (kg) N3],0,0,1)*TableauRecette[[#This Row],[poids / unite]]</f>
        <v/>
      </c>
      <c r="O99" s="725">
        <f>_xlfn.XLOOKUP(TableauRecette[[#This Row],[ID]],TableauProduit[ID],TableauProduit[Total (kg) N4],0,0,1)*TableauRecette[[#This Row],[poids / unite]]</f>
        <v/>
      </c>
      <c r="P99" s="725">
        <f>_xlfn.XLOOKUP(TableauRecette[[#This Row],[ID]],TableauProduit[ID],TableauProduit[Total (kg) N5],0,0,1)*TableauRecette[[#This Row],[poids / unite]]</f>
        <v/>
      </c>
      <c r="Q99" s="725">
        <f>_xlfn.XLOOKUP(TableauRecette[[#This Row],[ID]],TableauProduit[ID],TableauProduit[Total (kg) N6],0,0,1)*TableauRecette[[#This Row],[poids / unite]]</f>
        <v/>
      </c>
      <c r="R99" s="725">
        <f>_xlfn.XLOOKUP(TableauRecette[[#This Row],[ID]],TableauProduit[ID],TableauProduit[Total (kg) N7],0,0,1)*TableauRecette[[#This Row],[poids / unite]]</f>
        <v/>
      </c>
      <c r="S99" s="725">
        <f>_xlfn.XLOOKUP(TableauRecette[[#This Row],[ID]],TableauProduit[ID],TableauProduit[Total (kg) N8],0,0,1)*TableauRecette[[#This Row],[poids / unite]]</f>
        <v/>
      </c>
      <c r="T99" s="725">
        <f>_xlfn.XLOOKUP(TableauRecette[[#This Row],[ID]],TableauProduit[ID],TableauProduit[Total (kg) N9],0,0,1)*TableauRecette[[#This Row],[poids / unite]]</f>
        <v/>
      </c>
    </row>
    <row r="100">
      <c r="A100" s="66" t="inlineStr">
        <is>
          <t>Curry japonais</t>
        </is>
      </c>
      <c r="B100" s="66">
        <f>TableauRecette[[#This Row],[Recette]]&amp;TableauRecette[[#This Row],[Conditionnement]]</f>
        <v/>
      </c>
      <c r="C100" s="66" t="inlineStr">
        <is>
          <t>Poivre Noir</t>
        </is>
      </c>
      <c r="D100" s="190" t="n">
        <v>1</v>
      </c>
      <c r="E100" s="66" t="inlineStr">
        <is>
          <t>Epice 100ml</t>
        </is>
      </c>
      <c r="F100" s="19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00" s="190">
        <f>IFERROR(_xlfn.XLOOKUP(TableauRecette[[#This Row],[Ingredients]],TableauIngredients[Ingredients],TableauIngredients[Prix d''achat (kg)],0)*TableauRecette[[#This Row],[poids / unite]],0)</f>
        <v/>
      </c>
      <c r="H100" s="190">
        <f>IFERROR(SUMIFS(TableauRecette[Proportion],TableauRecette[Recette],TableauRecette[[#This Row],[Recette]],TableauRecette[Conditionnement],TableauRecette[[#This Row],[Conditionnement]]),0)</f>
        <v/>
      </c>
      <c r="I100" s="190">
        <f>IFERROR(TableauRecette[[#This Row],[Prix d''achat / kg]],0)</f>
        <v/>
      </c>
      <c r="J100" s="190" t="n"/>
      <c r="K100" s="723" t="n"/>
      <c r="L100" s="724">
        <f>_xlfn.XLOOKUP(TableauRecette[[#This Row],[ID]],TableauProduit[ID],TableauProduit[Total (kg) N1],0,0,1)*TableauRecette[[#This Row],[poids / unite]]</f>
        <v/>
      </c>
      <c r="M100" s="725">
        <f>_xlfn.XLOOKUP(TableauRecette[[#This Row],[ID]],TableauProduit[ID],TableauProduit[Total (kg) N2],0,0,1)*TableauRecette[[#This Row],[poids / unite]]</f>
        <v/>
      </c>
      <c r="N100" s="725">
        <f>_xlfn.XLOOKUP(TableauRecette[[#This Row],[ID]],TableauProduit[ID],TableauProduit[Total (kg) N3],0,0,1)*TableauRecette[[#This Row],[poids / unite]]</f>
        <v/>
      </c>
      <c r="O100" s="725">
        <f>_xlfn.XLOOKUP(TableauRecette[[#This Row],[ID]],TableauProduit[ID],TableauProduit[Total (kg) N4],0,0,1)*TableauRecette[[#This Row],[poids / unite]]</f>
        <v/>
      </c>
      <c r="P100" s="725">
        <f>_xlfn.XLOOKUP(TableauRecette[[#This Row],[ID]],TableauProduit[ID],TableauProduit[Total (kg) N5],0,0,1)*TableauRecette[[#This Row],[poids / unite]]</f>
        <v/>
      </c>
      <c r="Q100" s="725">
        <f>_xlfn.XLOOKUP(TableauRecette[[#This Row],[ID]],TableauProduit[ID],TableauProduit[Total (kg) N6],0,0,1)*TableauRecette[[#This Row],[poids / unite]]</f>
        <v/>
      </c>
      <c r="R100" s="725">
        <f>_xlfn.XLOOKUP(TableauRecette[[#This Row],[ID]],TableauProduit[ID],TableauProduit[Total (kg) N7],0,0,1)*TableauRecette[[#This Row],[poids / unite]]</f>
        <v/>
      </c>
      <c r="S100" s="725">
        <f>_xlfn.XLOOKUP(TableauRecette[[#This Row],[ID]],TableauProduit[ID],TableauProduit[Total (kg) N8],0,0,1)*TableauRecette[[#This Row],[poids / unite]]</f>
        <v/>
      </c>
      <c r="T100" s="725">
        <f>_xlfn.XLOOKUP(TableauRecette[[#This Row],[ID]],TableauProduit[ID],TableauProduit[Total (kg) N9],0,0,1)*TableauRecette[[#This Row],[poids / unite]]</f>
        <v/>
      </c>
    </row>
    <row r="101">
      <c r="A101" s="66" t="inlineStr">
        <is>
          <t>Curry japonais</t>
        </is>
      </c>
      <c r="B101" s="66">
        <f>TableauRecette[[#This Row],[Recette]]&amp;TableauRecette[[#This Row],[Conditionnement]]</f>
        <v/>
      </c>
      <c r="C101" s="66" t="inlineStr">
        <is>
          <t>Feuilles De Laurier</t>
        </is>
      </c>
      <c r="D101" s="190" t="n">
        <v>1</v>
      </c>
      <c r="E101" s="66" t="inlineStr">
        <is>
          <t>Epice 100ml</t>
        </is>
      </c>
      <c r="F101" s="19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01" s="190">
        <f>IFERROR(_xlfn.XLOOKUP(TableauRecette[[#This Row],[Ingredients]],TableauIngredients[Ingredients],TableauIngredients[Prix d''achat (kg)],0)*TableauRecette[[#This Row],[poids / unite]],0)</f>
        <v/>
      </c>
      <c r="H101" s="190">
        <f>IFERROR(SUMIFS(TableauRecette[Proportion],TableauRecette[Recette],TableauRecette[[#This Row],[Recette]],TableauRecette[Conditionnement],TableauRecette[[#This Row],[Conditionnement]]),0)</f>
        <v/>
      </c>
      <c r="I101" s="190">
        <f>IFERROR(TableauRecette[[#This Row],[Prix d''achat / kg]],0)</f>
        <v/>
      </c>
      <c r="J101" s="190" t="n"/>
      <c r="K101" s="723" t="n"/>
      <c r="L101" s="724">
        <f>_xlfn.XLOOKUP(TableauRecette[[#This Row],[ID]],TableauProduit[ID],TableauProduit[Total (kg) N1],0,0,1)*TableauRecette[[#This Row],[poids / unite]]</f>
        <v/>
      </c>
      <c r="M101" s="725">
        <f>_xlfn.XLOOKUP(TableauRecette[[#This Row],[ID]],TableauProduit[ID],TableauProduit[Total (kg) N2],0,0,1)*TableauRecette[[#This Row],[poids / unite]]</f>
        <v/>
      </c>
      <c r="N101" s="725">
        <f>_xlfn.XLOOKUP(TableauRecette[[#This Row],[ID]],TableauProduit[ID],TableauProduit[Total (kg) N3],0,0,1)*TableauRecette[[#This Row],[poids / unite]]</f>
        <v/>
      </c>
      <c r="O101" s="725">
        <f>_xlfn.XLOOKUP(TableauRecette[[#This Row],[ID]],TableauProduit[ID],TableauProduit[Total (kg) N4],0,0,1)*TableauRecette[[#This Row],[poids / unite]]</f>
        <v/>
      </c>
      <c r="P101" s="725">
        <f>_xlfn.XLOOKUP(TableauRecette[[#This Row],[ID]],TableauProduit[ID],TableauProduit[Total (kg) N5],0,0,1)*TableauRecette[[#This Row],[poids / unite]]</f>
        <v/>
      </c>
      <c r="Q101" s="725">
        <f>_xlfn.XLOOKUP(TableauRecette[[#This Row],[ID]],TableauProduit[ID],TableauProduit[Total (kg) N6],0,0,1)*TableauRecette[[#This Row],[poids / unite]]</f>
        <v/>
      </c>
      <c r="R101" s="725">
        <f>_xlfn.XLOOKUP(TableauRecette[[#This Row],[ID]],TableauProduit[ID],TableauProduit[Total (kg) N7],0,0,1)*TableauRecette[[#This Row],[poids / unite]]</f>
        <v/>
      </c>
      <c r="S101" s="725">
        <f>_xlfn.XLOOKUP(TableauRecette[[#This Row],[ID]],TableauProduit[ID],TableauProduit[Total (kg) N8],0,0,1)*TableauRecette[[#This Row],[poids / unite]]</f>
        <v/>
      </c>
      <c r="T101" s="725">
        <f>_xlfn.XLOOKUP(TableauRecette[[#This Row],[ID]],TableauProduit[ID],TableauProduit[Total (kg) N9],0,0,1)*TableauRecette[[#This Row],[poids / unite]]</f>
        <v/>
      </c>
    </row>
    <row r="102">
      <c r="A102" s="66" t="inlineStr">
        <is>
          <t>Curry japonais</t>
        </is>
      </c>
      <c r="B102" s="66">
        <f>TableauRecette[[#This Row],[Recette]]&amp;TableauRecette[[#This Row],[Conditionnement]]</f>
        <v/>
      </c>
      <c r="C102" s="66" t="inlineStr">
        <is>
          <t>Ail Sec</t>
        </is>
      </c>
      <c r="D102" s="190" t="n">
        <v>1.5</v>
      </c>
      <c r="E102" s="66" t="inlineStr">
        <is>
          <t>Epice 100ml</t>
        </is>
      </c>
      <c r="F102" s="19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02" s="190">
        <f>IFERROR(_xlfn.XLOOKUP(TableauRecette[[#This Row],[Ingredients]],TableauIngredients[Ingredients],TableauIngredients[Prix d''achat (kg)],0)*TableauRecette[[#This Row],[poids / unite]],0)</f>
        <v/>
      </c>
      <c r="H102" s="190">
        <f>IFERROR(SUMIFS(TableauRecette[Proportion],TableauRecette[Recette],TableauRecette[[#This Row],[Recette]],TableauRecette[Conditionnement],TableauRecette[[#This Row],[Conditionnement]]),0)</f>
        <v/>
      </c>
      <c r="I102" s="190">
        <f>IFERROR(TableauRecette[[#This Row],[Prix d''achat / kg]],0)</f>
        <v/>
      </c>
      <c r="J102" s="190" t="n"/>
      <c r="K102" s="723" t="n"/>
      <c r="L102" s="724">
        <f>_xlfn.XLOOKUP(TableauRecette[[#This Row],[ID]],TableauProduit[ID],TableauProduit[Total (kg) N1],0,0,1)*TableauRecette[[#This Row],[poids / unite]]</f>
        <v/>
      </c>
      <c r="M102" s="725">
        <f>_xlfn.XLOOKUP(TableauRecette[[#This Row],[ID]],TableauProduit[ID],TableauProduit[Total (kg) N2],0,0,1)*TableauRecette[[#This Row],[poids / unite]]</f>
        <v/>
      </c>
      <c r="N102" s="725">
        <f>_xlfn.XLOOKUP(TableauRecette[[#This Row],[ID]],TableauProduit[ID],TableauProduit[Total (kg) N3],0,0,1)*TableauRecette[[#This Row],[poids / unite]]</f>
        <v/>
      </c>
      <c r="O102" s="725">
        <f>_xlfn.XLOOKUP(TableauRecette[[#This Row],[ID]],TableauProduit[ID],TableauProduit[Total (kg) N4],0,0,1)*TableauRecette[[#This Row],[poids / unite]]</f>
        <v/>
      </c>
      <c r="P102" s="725">
        <f>_xlfn.XLOOKUP(TableauRecette[[#This Row],[ID]],TableauProduit[ID],TableauProduit[Total (kg) N5],0,0,1)*TableauRecette[[#This Row],[poids / unite]]</f>
        <v/>
      </c>
      <c r="Q102" s="725">
        <f>_xlfn.XLOOKUP(TableauRecette[[#This Row],[ID]],TableauProduit[ID],TableauProduit[Total (kg) N6],0,0,1)*TableauRecette[[#This Row],[poids / unite]]</f>
        <v/>
      </c>
      <c r="R102" s="725">
        <f>_xlfn.XLOOKUP(TableauRecette[[#This Row],[ID]],TableauProduit[ID],TableauProduit[Total (kg) N7],0,0,1)*TableauRecette[[#This Row],[poids / unite]]</f>
        <v/>
      </c>
      <c r="S102" s="725">
        <f>_xlfn.XLOOKUP(TableauRecette[[#This Row],[ID]],TableauProduit[ID],TableauProduit[Total (kg) N8],0,0,1)*TableauRecette[[#This Row],[poids / unite]]</f>
        <v/>
      </c>
      <c r="T102" s="725">
        <f>_xlfn.XLOOKUP(TableauRecette[[#This Row],[ID]],TableauProduit[ID],TableauProduit[Total (kg) N9],0,0,1)*TableauRecette[[#This Row],[poids / unite]]</f>
        <v/>
      </c>
    </row>
    <row r="103">
      <c r="A103" s="67" t="inlineStr">
        <is>
          <t>Curry Madra</t>
        </is>
      </c>
      <c r="B103" s="67">
        <f>TableauRecette[[#This Row],[Recette]]&amp;TableauRecette[[#This Row],[Conditionnement]]</f>
        <v/>
      </c>
      <c r="C103" s="67" t="inlineStr">
        <is>
          <t>Coriandre Graine</t>
        </is>
      </c>
      <c r="D103" s="191" t="n">
        <v>0.75</v>
      </c>
      <c r="E103" s="67" t="inlineStr">
        <is>
          <t>Epice 100ml</t>
        </is>
      </c>
      <c r="F103" s="19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03" s="191">
        <f>IFERROR(_xlfn.XLOOKUP(TableauRecette[[#This Row],[Ingredients]],TableauIngredients[Ingredients],TableauIngredients[Prix d''achat (kg)],0)*TableauRecette[[#This Row],[poids / unite]],0)</f>
        <v/>
      </c>
      <c r="H103" s="191">
        <f>IFERROR(SUMIFS(TableauRecette[Proportion],TableauRecette[Recette],TableauRecette[[#This Row],[Recette]],TableauRecette[Conditionnement],TableauRecette[[#This Row],[Conditionnement]]),0)</f>
        <v/>
      </c>
      <c r="I103" s="191">
        <f>IFERROR(TableauRecette[[#This Row],[Prix d''achat / kg]],0)</f>
        <v/>
      </c>
      <c r="J103" s="191" t="inlineStr">
        <is>
          <t>egypte</t>
        </is>
      </c>
      <c r="K103" s="726" t="inlineStr">
        <is>
          <t>SEC</t>
        </is>
      </c>
      <c r="L103" s="727">
        <f>_xlfn.XLOOKUP(TableauRecette[[#This Row],[ID]],TableauProduit[ID],TableauProduit[Total (kg) N1],0,0,1)*TableauRecette[[#This Row],[poids / unite]]</f>
        <v/>
      </c>
      <c r="M103" s="728">
        <f>_xlfn.XLOOKUP(TableauRecette[[#This Row],[ID]],TableauProduit[ID],TableauProduit[Total (kg) N2],0,0,1)*TableauRecette[[#This Row],[poids / unite]]</f>
        <v/>
      </c>
      <c r="N103" s="728">
        <f>_xlfn.XLOOKUP(TableauRecette[[#This Row],[ID]],TableauProduit[ID],TableauProduit[Total (kg) N3],0,0,1)*TableauRecette[[#This Row],[poids / unite]]</f>
        <v/>
      </c>
      <c r="O103" s="728">
        <f>_xlfn.XLOOKUP(TableauRecette[[#This Row],[ID]],TableauProduit[ID],TableauProduit[Total (kg) N4],0,0,1)*TableauRecette[[#This Row],[poids / unite]]</f>
        <v/>
      </c>
      <c r="P103" s="728">
        <f>_xlfn.XLOOKUP(TableauRecette[[#This Row],[ID]],TableauProduit[ID],TableauProduit[Total (kg) N5],0,0,1)*TableauRecette[[#This Row],[poids / unite]]</f>
        <v/>
      </c>
      <c r="Q103" s="728">
        <f>_xlfn.XLOOKUP(TableauRecette[[#This Row],[ID]],TableauProduit[ID],TableauProduit[Total (kg) N6],0,0,1)*TableauRecette[[#This Row],[poids / unite]]</f>
        <v/>
      </c>
      <c r="R103" s="728">
        <f>_xlfn.XLOOKUP(TableauRecette[[#This Row],[ID]],TableauProduit[ID],TableauProduit[Total (kg) N7],0,0,1)*TableauRecette[[#This Row],[poids / unite]]</f>
        <v/>
      </c>
      <c r="S103" s="728">
        <f>_xlfn.XLOOKUP(TableauRecette[[#This Row],[ID]],TableauProduit[ID],TableauProduit[Total (kg) N8],0,0,1)*TableauRecette[[#This Row],[poids / unite]]</f>
        <v/>
      </c>
      <c r="T103" s="728">
        <f>_xlfn.XLOOKUP(TableauRecette[[#This Row],[ID]],TableauProduit[ID],TableauProduit[Total (kg) N9],0,0,1)*TableauRecette[[#This Row],[poids / unite]]</f>
        <v/>
      </c>
    </row>
    <row r="104">
      <c r="A104" s="67" t="inlineStr">
        <is>
          <t>Curry Madra</t>
        </is>
      </c>
      <c r="B104" s="67">
        <f>TableauRecette[[#This Row],[Recette]]&amp;TableauRecette[[#This Row],[Conditionnement]]</f>
        <v/>
      </c>
      <c r="C104" s="67" t="inlineStr">
        <is>
          <t>Curcuma Moulu</t>
        </is>
      </c>
      <c r="D104" s="191" t="n">
        <v>1</v>
      </c>
      <c r="E104" s="67" t="inlineStr">
        <is>
          <t>Epice 100ml</t>
        </is>
      </c>
      <c r="F104" s="19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04" s="191">
        <f>IFERROR(_xlfn.XLOOKUP(TableauRecette[[#This Row],[Ingredients]],TableauIngredients[Ingredients],TableauIngredients[Prix d''achat (kg)],0)*TableauRecette[[#This Row],[poids / unite]],0)</f>
        <v/>
      </c>
      <c r="H104" s="191">
        <f>IFERROR(SUMIFS(TableauRecette[Proportion],TableauRecette[Recette],TableauRecette[[#This Row],[Recette]],TableauRecette[Conditionnement],TableauRecette[[#This Row],[Conditionnement]]),0)</f>
        <v/>
      </c>
      <c r="I104" s="191">
        <f>IFERROR(TableauRecette[[#This Row],[Prix d''achat / kg]],0)</f>
        <v/>
      </c>
      <c r="J104" s="191" t="inlineStr">
        <is>
          <t>egypte</t>
        </is>
      </c>
      <c r="K104" s="726" t="inlineStr">
        <is>
          <t>SEC</t>
        </is>
      </c>
      <c r="L104" s="727">
        <f>_xlfn.XLOOKUP(TableauRecette[[#This Row],[ID]],TableauProduit[ID],TableauProduit[Total (kg) N1],0,0,1)*TableauRecette[[#This Row],[poids / unite]]</f>
        <v/>
      </c>
      <c r="M104" s="728">
        <f>_xlfn.XLOOKUP(TableauRecette[[#This Row],[ID]],TableauProduit[ID],TableauProduit[Total (kg) N2],0,0,1)*TableauRecette[[#This Row],[poids / unite]]</f>
        <v/>
      </c>
      <c r="N104" s="728">
        <f>_xlfn.XLOOKUP(TableauRecette[[#This Row],[ID]],TableauProduit[ID],TableauProduit[Total (kg) N3],0,0,1)*TableauRecette[[#This Row],[poids / unite]]</f>
        <v/>
      </c>
      <c r="O104" s="728">
        <f>_xlfn.XLOOKUP(TableauRecette[[#This Row],[ID]],TableauProduit[ID],TableauProduit[Total (kg) N4],0,0,1)*TableauRecette[[#This Row],[poids / unite]]</f>
        <v/>
      </c>
      <c r="P104" s="728">
        <f>_xlfn.XLOOKUP(TableauRecette[[#This Row],[ID]],TableauProduit[ID],TableauProduit[Total (kg) N5],0,0,1)*TableauRecette[[#This Row],[poids / unite]]</f>
        <v/>
      </c>
      <c r="Q104" s="728">
        <f>_xlfn.XLOOKUP(TableauRecette[[#This Row],[ID]],TableauProduit[ID],TableauProduit[Total (kg) N6],0,0,1)*TableauRecette[[#This Row],[poids / unite]]</f>
        <v/>
      </c>
      <c r="R104" s="728">
        <f>_xlfn.XLOOKUP(TableauRecette[[#This Row],[ID]],TableauProduit[ID],TableauProduit[Total (kg) N7],0,0,1)*TableauRecette[[#This Row],[poids / unite]]</f>
        <v/>
      </c>
      <c r="S104" s="728">
        <f>_xlfn.XLOOKUP(TableauRecette[[#This Row],[ID]],TableauProduit[ID],TableauProduit[Total (kg) N8],0,0,1)*TableauRecette[[#This Row],[poids / unite]]</f>
        <v/>
      </c>
      <c r="T104" s="728">
        <f>_xlfn.XLOOKUP(TableauRecette[[#This Row],[ID]],TableauProduit[ID],TableauProduit[Total (kg) N9],0,0,1)*TableauRecette[[#This Row],[poids / unite]]</f>
        <v/>
      </c>
    </row>
    <row r="105">
      <c r="A105" s="67" t="inlineStr">
        <is>
          <t>Curry Madra</t>
        </is>
      </c>
      <c r="B105" s="67">
        <f>TableauRecette[[#This Row],[Recette]]&amp;TableauRecette[[#This Row],[Conditionnement]]</f>
        <v/>
      </c>
      <c r="C105" s="67" t="inlineStr">
        <is>
          <t>Graine De Moutarde</t>
        </is>
      </c>
      <c r="D105" s="191" t="n">
        <v>0.5</v>
      </c>
      <c r="E105" s="67" t="inlineStr">
        <is>
          <t>Epice 100ml</t>
        </is>
      </c>
      <c r="F105" s="19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05" s="191">
        <f>IFERROR(_xlfn.XLOOKUP(TableauRecette[[#This Row],[Ingredients]],TableauIngredients[Ingredients],TableauIngredients[Prix d''achat (kg)],0)*TableauRecette[[#This Row],[poids / unite]],0)</f>
        <v/>
      </c>
      <c r="H105" s="191">
        <f>IFERROR(SUMIFS(TableauRecette[Proportion],TableauRecette[Recette],TableauRecette[[#This Row],[Recette]],TableauRecette[Conditionnement],TableauRecette[[#This Row],[Conditionnement]]),0)</f>
        <v/>
      </c>
      <c r="I105" s="191">
        <f>IFERROR(TableauRecette[[#This Row],[Prix d''achat / kg]],0)</f>
        <v/>
      </c>
      <c r="J105" s="191" t="inlineStr">
        <is>
          <t>Peninsule Arabique</t>
        </is>
      </c>
      <c r="K105" s="726" t="inlineStr">
        <is>
          <t>SEC</t>
        </is>
      </c>
      <c r="L105" s="727">
        <f>_xlfn.XLOOKUP(TableauRecette[[#This Row],[ID]],TableauProduit[ID],TableauProduit[Total (kg) N1],0,0,1)*TableauRecette[[#This Row],[poids / unite]]</f>
        <v/>
      </c>
      <c r="M105" s="728">
        <f>_xlfn.XLOOKUP(TableauRecette[[#This Row],[ID]],TableauProduit[ID],TableauProduit[Total (kg) N2],0,0,1)*TableauRecette[[#This Row],[poids / unite]]</f>
        <v/>
      </c>
      <c r="N105" s="728">
        <f>_xlfn.XLOOKUP(TableauRecette[[#This Row],[ID]],TableauProduit[ID],TableauProduit[Total (kg) N3],0,0,1)*TableauRecette[[#This Row],[poids / unite]]</f>
        <v/>
      </c>
      <c r="O105" s="728">
        <f>_xlfn.XLOOKUP(TableauRecette[[#This Row],[ID]],TableauProduit[ID],TableauProduit[Total (kg) N4],0,0,1)*TableauRecette[[#This Row],[poids / unite]]</f>
        <v/>
      </c>
      <c r="P105" s="728">
        <f>_xlfn.XLOOKUP(TableauRecette[[#This Row],[ID]],TableauProduit[ID],TableauProduit[Total (kg) N5],0,0,1)*TableauRecette[[#This Row],[poids / unite]]</f>
        <v/>
      </c>
      <c r="Q105" s="728">
        <f>_xlfn.XLOOKUP(TableauRecette[[#This Row],[ID]],TableauProduit[ID],TableauProduit[Total (kg) N6],0,0,1)*TableauRecette[[#This Row],[poids / unite]]</f>
        <v/>
      </c>
      <c r="R105" s="728">
        <f>_xlfn.XLOOKUP(TableauRecette[[#This Row],[ID]],TableauProduit[ID],TableauProduit[Total (kg) N7],0,0,1)*TableauRecette[[#This Row],[poids / unite]]</f>
        <v/>
      </c>
      <c r="S105" s="728">
        <f>_xlfn.XLOOKUP(TableauRecette[[#This Row],[ID]],TableauProduit[ID],TableauProduit[Total (kg) N8],0,0,1)*TableauRecette[[#This Row],[poids / unite]]</f>
        <v/>
      </c>
      <c r="T105" s="728">
        <f>_xlfn.XLOOKUP(TableauRecette[[#This Row],[ID]],TableauProduit[ID],TableauProduit[Total (kg) N9],0,0,1)*TableauRecette[[#This Row],[poids / unite]]</f>
        <v/>
      </c>
    </row>
    <row r="106">
      <c r="A106" s="67" t="inlineStr">
        <is>
          <t>Curry Madra</t>
        </is>
      </c>
      <c r="B106" s="67">
        <f>TableauRecette[[#This Row],[Recette]]&amp;TableauRecette[[#This Row],[Conditionnement]]</f>
        <v/>
      </c>
      <c r="C106" s="67" t="inlineStr">
        <is>
          <t>Cumin Moulu</t>
        </is>
      </c>
      <c r="D106" s="191" t="n">
        <v>0.5</v>
      </c>
      <c r="E106" s="67" t="inlineStr">
        <is>
          <t>Epice 100ml</t>
        </is>
      </c>
      <c r="F106" s="19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06" s="191">
        <f>IFERROR(_xlfn.XLOOKUP(TableauRecette[[#This Row],[Ingredients]],TableauIngredients[Ingredients],TableauIngredients[Prix d''achat (kg)],0)*TableauRecette[[#This Row],[poids / unite]],0)</f>
        <v/>
      </c>
      <c r="H106" s="191">
        <f>IFERROR(SUMIFS(TableauRecette[Proportion],TableauRecette[Recette],TableauRecette[[#This Row],[Recette]],TableauRecette[Conditionnement],TableauRecette[[#This Row],[Conditionnement]]),0)</f>
        <v/>
      </c>
      <c r="I106" s="191">
        <f>IFERROR(TableauRecette[[#This Row],[Prix d''achat / kg]],0)</f>
        <v/>
      </c>
      <c r="J106" s="191" t="inlineStr">
        <is>
          <t>Peninsule Arabique</t>
        </is>
      </c>
      <c r="K106" s="726" t="inlineStr">
        <is>
          <t>SEC</t>
        </is>
      </c>
      <c r="L106" s="727">
        <f>_xlfn.XLOOKUP(TableauRecette[[#This Row],[ID]],TableauProduit[ID],TableauProduit[Total (kg) N1],0,0,1)*TableauRecette[[#This Row],[poids / unite]]</f>
        <v/>
      </c>
      <c r="M106" s="728">
        <f>_xlfn.XLOOKUP(TableauRecette[[#This Row],[ID]],TableauProduit[ID],TableauProduit[Total (kg) N2],0,0,1)*TableauRecette[[#This Row],[poids / unite]]</f>
        <v/>
      </c>
      <c r="N106" s="728">
        <f>_xlfn.XLOOKUP(TableauRecette[[#This Row],[ID]],TableauProduit[ID],TableauProduit[Total (kg) N3],0,0,1)*TableauRecette[[#This Row],[poids / unite]]</f>
        <v/>
      </c>
      <c r="O106" s="728">
        <f>_xlfn.XLOOKUP(TableauRecette[[#This Row],[ID]],TableauProduit[ID],TableauProduit[Total (kg) N4],0,0,1)*TableauRecette[[#This Row],[poids / unite]]</f>
        <v/>
      </c>
      <c r="P106" s="728">
        <f>_xlfn.XLOOKUP(TableauRecette[[#This Row],[ID]],TableauProduit[ID],TableauProduit[Total (kg) N5],0,0,1)*TableauRecette[[#This Row],[poids / unite]]</f>
        <v/>
      </c>
      <c r="Q106" s="728">
        <f>_xlfn.XLOOKUP(TableauRecette[[#This Row],[ID]],TableauProduit[ID],TableauProduit[Total (kg) N6],0,0,1)*TableauRecette[[#This Row],[poids / unite]]</f>
        <v/>
      </c>
      <c r="R106" s="728">
        <f>_xlfn.XLOOKUP(TableauRecette[[#This Row],[ID]],TableauProduit[ID],TableauProduit[Total (kg) N7],0,0,1)*TableauRecette[[#This Row],[poids / unite]]</f>
        <v/>
      </c>
      <c r="S106" s="728">
        <f>_xlfn.XLOOKUP(TableauRecette[[#This Row],[ID]],TableauProduit[ID],TableauProduit[Total (kg) N8],0,0,1)*TableauRecette[[#This Row],[poids / unite]]</f>
        <v/>
      </c>
      <c r="T106" s="728">
        <f>_xlfn.XLOOKUP(TableauRecette[[#This Row],[ID]],TableauProduit[ID],TableauProduit[Total (kg) N9],0,0,1)*TableauRecette[[#This Row],[poids / unite]]</f>
        <v/>
      </c>
    </row>
    <row r="107">
      <c r="A107" s="67" t="inlineStr">
        <is>
          <t>Curry Madra</t>
        </is>
      </c>
      <c r="B107" s="67">
        <f>TableauRecette[[#This Row],[Recette]]&amp;TableauRecette[[#This Row],[Conditionnement]]</f>
        <v/>
      </c>
      <c r="C107" s="669" t="inlineStr">
        <is>
          <t>Sel</t>
        </is>
      </c>
      <c r="D107" s="191" t="n">
        <v>1</v>
      </c>
      <c r="E107" s="67" t="inlineStr">
        <is>
          <t>Epice 100ml</t>
        </is>
      </c>
      <c r="F107" s="19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07" s="191">
        <f>IFERROR(_xlfn.XLOOKUP(TableauRecette[[#This Row],[Ingredients]],TableauIngredients[Ingredients],TableauIngredients[Prix d''achat (kg)],0)*TableauRecette[[#This Row],[poids / unite]],0)</f>
        <v/>
      </c>
      <c r="H107" s="191">
        <f>IFERROR(SUMIFS(TableauRecette[Proportion],TableauRecette[Recette],TableauRecette[[#This Row],[Recette]],TableauRecette[Conditionnement],TableauRecette[[#This Row],[Conditionnement]]),0)</f>
        <v/>
      </c>
      <c r="I107" s="191">
        <f>IFERROR(TableauRecette[[#This Row],[Prix d''achat / kg]],0)</f>
        <v/>
      </c>
      <c r="J107" s="191" t="inlineStr">
        <is>
          <t>Peninsule Arabique</t>
        </is>
      </c>
      <c r="K107" s="726" t="inlineStr">
        <is>
          <t>SEC</t>
        </is>
      </c>
      <c r="L107" s="727">
        <f>_xlfn.XLOOKUP(TableauRecette[[#This Row],[ID]],TableauProduit[ID],TableauProduit[Total (kg) N1],0,0,1)*TableauRecette[[#This Row],[poids / unite]]</f>
        <v/>
      </c>
      <c r="M107" s="728">
        <f>_xlfn.XLOOKUP(TableauRecette[[#This Row],[ID]],TableauProduit[ID],TableauProduit[Total (kg) N2],0,0,1)*TableauRecette[[#This Row],[poids / unite]]</f>
        <v/>
      </c>
      <c r="N107" s="728">
        <f>_xlfn.XLOOKUP(TableauRecette[[#This Row],[ID]],TableauProduit[ID],TableauProduit[Total (kg) N3],0,0,1)*TableauRecette[[#This Row],[poids / unite]]</f>
        <v/>
      </c>
      <c r="O107" s="728">
        <f>_xlfn.XLOOKUP(TableauRecette[[#This Row],[ID]],TableauProduit[ID],TableauProduit[Total (kg) N4],0,0,1)*TableauRecette[[#This Row],[poids / unite]]</f>
        <v/>
      </c>
      <c r="P107" s="728">
        <f>_xlfn.XLOOKUP(TableauRecette[[#This Row],[ID]],TableauProduit[ID],TableauProduit[Total (kg) N5],0,0,1)*TableauRecette[[#This Row],[poids / unite]]</f>
        <v/>
      </c>
      <c r="Q107" s="728">
        <f>_xlfn.XLOOKUP(TableauRecette[[#This Row],[ID]],TableauProduit[ID],TableauProduit[Total (kg) N6],0,0,1)*TableauRecette[[#This Row],[poids / unite]]</f>
        <v/>
      </c>
      <c r="R107" s="728">
        <f>_xlfn.XLOOKUP(TableauRecette[[#This Row],[ID]],TableauProduit[ID],TableauProduit[Total (kg) N7],0,0,1)*TableauRecette[[#This Row],[poids / unite]]</f>
        <v/>
      </c>
      <c r="S107" s="728">
        <f>_xlfn.XLOOKUP(TableauRecette[[#This Row],[ID]],TableauProduit[ID],TableauProduit[Total (kg) N8],0,0,1)*TableauRecette[[#This Row],[poids / unite]]</f>
        <v/>
      </c>
      <c r="T107" s="728">
        <f>_xlfn.XLOOKUP(TableauRecette[[#This Row],[ID]],TableauProduit[ID],TableauProduit[Total (kg) N9],0,0,1)*TableauRecette[[#This Row],[poids / unite]]</f>
        <v/>
      </c>
    </row>
    <row r="108">
      <c r="A108" s="67" t="inlineStr">
        <is>
          <t>Curry Madra</t>
        </is>
      </c>
      <c r="B108" s="67">
        <f>TableauRecette[[#This Row],[Recette]]&amp;TableauRecette[[#This Row],[Conditionnement]]</f>
        <v/>
      </c>
      <c r="C108" s="67" t="inlineStr">
        <is>
          <t>Poivre Noir</t>
        </is>
      </c>
      <c r="D108" s="191" t="n">
        <v>0.75</v>
      </c>
      <c r="E108" s="67" t="inlineStr">
        <is>
          <t>Epice 100ml</t>
        </is>
      </c>
      <c r="F108" s="19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08" s="191">
        <f>IFERROR(_xlfn.XLOOKUP(TableauRecette[[#This Row],[Ingredients]],TableauIngredients[Ingredients],TableauIngredients[Prix d''achat (kg)],0)*TableauRecette[[#This Row],[poids / unite]],0)</f>
        <v/>
      </c>
      <c r="H108" s="191">
        <f>IFERROR(SUMIFS(TableauRecette[Proportion],TableauRecette[Recette],TableauRecette[[#This Row],[Recette]],TableauRecette[Conditionnement],TableauRecette[[#This Row],[Conditionnement]]),0)</f>
        <v/>
      </c>
      <c r="I108" s="191">
        <f>IFERROR(TableauRecette[[#This Row],[Prix d''achat / kg]],0)</f>
        <v/>
      </c>
      <c r="J108" s="191" t="inlineStr">
        <is>
          <t>Peninsule Arabique</t>
        </is>
      </c>
      <c r="K108" s="726" t="inlineStr">
        <is>
          <t>SEC</t>
        </is>
      </c>
      <c r="L108" s="727">
        <f>_xlfn.XLOOKUP(TableauRecette[[#This Row],[ID]],TableauProduit[ID],TableauProduit[Total (kg) N1],0,0,1)*TableauRecette[[#This Row],[poids / unite]]</f>
        <v/>
      </c>
      <c r="M108" s="728">
        <f>_xlfn.XLOOKUP(TableauRecette[[#This Row],[ID]],TableauProduit[ID],TableauProduit[Total (kg) N2],0,0,1)*TableauRecette[[#This Row],[poids / unite]]</f>
        <v/>
      </c>
      <c r="N108" s="728">
        <f>_xlfn.XLOOKUP(TableauRecette[[#This Row],[ID]],TableauProduit[ID],TableauProduit[Total (kg) N3],0,0,1)*TableauRecette[[#This Row],[poids / unite]]</f>
        <v/>
      </c>
      <c r="O108" s="728">
        <f>_xlfn.XLOOKUP(TableauRecette[[#This Row],[ID]],TableauProduit[ID],TableauProduit[Total (kg) N4],0,0,1)*TableauRecette[[#This Row],[poids / unite]]</f>
        <v/>
      </c>
      <c r="P108" s="728">
        <f>_xlfn.XLOOKUP(TableauRecette[[#This Row],[ID]],TableauProduit[ID],TableauProduit[Total (kg) N5],0,0,1)*TableauRecette[[#This Row],[poids / unite]]</f>
        <v/>
      </c>
      <c r="Q108" s="728">
        <f>_xlfn.XLOOKUP(TableauRecette[[#This Row],[ID]],TableauProduit[ID],TableauProduit[Total (kg) N6],0,0,1)*TableauRecette[[#This Row],[poids / unite]]</f>
        <v/>
      </c>
      <c r="R108" s="728">
        <f>_xlfn.XLOOKUP(TableauRecette[[#This Row],[ID]],TableauProduit[ID],TableauProduit[Total (kg) N7],0,0,1)*TableauRecette[[#This Row],[poids / unite]]</f>
        <v/>
      </c>
      <c r="S108" s="728">
        <f>_xlfn.XLOOKUP(TableauRecette[[#This Row],[ID]],TableauProduit[ID],TableauProduit[Total (kg) N8],0,0,1)*TableauRecette[[#This Row],[poids / unite]]</f>
        <v/>
      </c>
      <c r="T108" s="728">
        <f>_xlfn.XLOOKUP(TableauRecette[[#This Row],[ID]],TableauProduit[ID],TableauProduit[Total (kg) N9],0,0,1)*TableauRecette[[#This Row],[poids / unite]]</f>
        <v/>
      </c>
    </row>
    <row r="109">
      <c r="A109" s="67" t="inlineStr">
        <is>
          <t>Curry Madra</t>
        </is>
      </c>
      <c r="B109" s="67">
        <f>TableauRecette[[#This Row],[Recette]]&amp;TableauRecette[[#This Row],[Conditionnement]]</f>
        <v/>
      </c>
      <c r="C109" s="67" t="inlineStr">
        <is>
          <t>Gingembre Sec</t>
        </is>
      </c>
      <c r="D109" s="191" t="n">
        <v>0.5</v>
      </c>
      <c r="E109" s="67" t="inlineStr">
        <is>
          <t>Epice 100ml</t>
        </is>
      </c>
      <c r="F109" s="19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09" s="191">
        <f>IFERROR(_xlfn.XLOOKUP(TableauRecette[[#This Row],[Ingredients]],TableauIngredients[Ingredients],TableauIngredients[Prix d''achat (kg)],0)*TableauRecette[[#This Row],[poids / unite]],0)</f>
        <v/>
      </c>
      <c r="H109" s="191">
        <f>IFERROR(SUMIFS(TableauRecette[Proportion],TableauRecette[Recette],TableauRecette[[#This Row],[Recette]],TableauRecette[Conditionnement],TableauRecette[[#This Row],[Conditionnement]]),0)</f>
        <v/>
      </c>
      <c r="I109" s="191">
        <f>IFERROR(TableauRecette[[#This Row],[Prix d''achat / kg]],0)</f>
        <v/>
      </c>
      <c r="J109" s="191" t="inlineStr">
        <is>
          <t>Maghreb</t>
        </is>
      </c>
      <c r="K109" s="726" t="inlineStr">
        <is>
          <t>en huile</t>
        </is>
      </c>
      <c r="L109" s="727">
        <f>_xlfn.XLOOKUP(TableauRecette[[#This Row],[ID]],TableauProduit[ID],TableauProduit[Total (kg) N1],0,0,1)*TableauRecette[[#This Row],[poids / unite]]</f>
        <v/>
      </c>
      <c r="M109" s="728">
        <f>_xlfn.XLOOKUP(TableauRecette[[#This Row],[ID]],TableauProduit[ID],TableauProduit[Total (kg) N2],0,0,1)*TableauRecette[[#This Row],[poids / unite]]</f>
        <v/>
      </c>
      <c r="N109" s="728">
        <f>_xlfn.XLOOKUP(TableauRecette[[#This Row],[ID]],TableauProduit[ID],TableauProduit[Total (kg) N3],0,0,1)*TableauRecette[[#This Row],[poids / unite]]</f>
        <v/>
      </c>
      <c r="O109" s="728">
        <f>_xlfn.XLOOKUP(TableauRecette[[#This Row],[ID]],TableauProduit[ID],TableauProduit[Total (kg) N4],0,0,1)*TableauRecette[[#This Row],[poids / unite]]</f>
        <v/>
      </c>
      <c r="P109" s="728">
        <f>_xlfn.XLOOKUP(TableauRecette[[#This Row],[ID]],TableauProduit[ID],TableauProduit[Total (kg) N5],0,0,1)*TableauRecette[[#This Row],[poids / unite]]</f>
        <v/>
      </c>
      <c r="Q109" s="728">
        <f>_xlfn.XLOOKUP(TableauRecette[[#This Row],[ID]],TableauProduit[ID],TableauProduit[Total (kg) N6],0,0,1)*TableauRecette[[#This Row],[poids / unite]]</f>
        <v/>
      </c>
      <c r="R109" s="728">
        <f>_xlfn.XLOOKUP(TableauRecette[[#This Row],[ID]],TableauProduit[ID],TableauProduit[Total (kg) N7],0,0,1)*TableauRecette[[#This Row],[poids / unite]]</f>
        <v/>
      </c>
      <c r="S109" s="728">
        <f>_xlfn.XLOOKUP(TableauRecette[[#This Row],[ID]],TableauProduit[ID],TableauProduit[Total (kg) N8],0,0,1)*TableauRecette[[#This Row],[poids / unite]]</f>
        <v/>
      </c>
      <c r="T109" s="728">
        <f>_xlfn.XLOOKUP(TableauRecette[[#This Row],[ID]],TableauProduit[ID],TableauProduit[Total (kg) N9],0,0,1)*TableauRecette[[#This Row],[poids / unite]]</f>
        <v/>
      </c>
    </row>
    <row r="110">
      <c r="A110" s="67" t="inlineStr">
        <is>
          <t>Curry Madra</t>
        </is>
      </c>
      <c r="B110" s="67">
        <f>TableauRecette[[#This Row],[Recette]]&amp;TableauRecette[[#This Row],[Conditionnement]]</f>
        <v/>
      </c>
      <c r="C110" s="67" t="inlineStr">
        <is>
          <t>Oignon Séché</t>
        </is>
      </c>
      <c r="D110" s="191" t="n">
        <v>0.25</v>
      </c>
      <c r="E110" s="67" t="inlineStr">
        <is>
          <t>Epice 100ml</t>
        </is>
      </c>
      <c r="F110" s="19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10" s="191">
        <f>IFERROR(_xlfn.XLOOKUP(TableauRecette[[#This Row],[Ingredients]],TableauIngredients[Ingredients],TableauIngredients[Prix d''achat (kg)],0)*TableauRecette[[#This Row],[poids / unite]],0)</f>
        <v/>
      </c>
      <c r="H110" s="191">
        <f>IFERROR(SUMIFS(TableauRecette[Proportion],TableauRecette[Recette],TableauRecette[[#This Row],[Recette]],TableauRecette[Conditionnement],TableauRecette[[#This Row],[Conditionnement]]),0)</f>
        <v/>
      </c>
      <c r="I110" s="191">
        <f>IFERROR(TableauRecette[[#This Row],[Prix d''achat / kg]],0)</f>
        <v/>
      </c>
      <c r="J110" s="191" t="inlineStr">
        <is>
          <t>Maghreb</t>
        </is>
      </c>
      <c r="K110" s="726" t="inlineStr">
        <is>
          <t>en huile</t>
        </is>
      </c>
      <c r="L110" s="727">
        <f>_xlfn.XLOOKUP(TableauRecette[[#This Row],[ID]],TableauProduit[ID],TableauProduit[Total (kg) N1],0,0,1)*TableauRecette[[#This Row],[poids / unite]]</f>
        <v/>
      </c>
      <c r="M110" s="728">
        <f>_xlfn.XLOOKUP(TableauRecette[[#This Row],[ID]],TableauProduit[ID],TableauProduit[Total (kg) N2],0,0,1)*TableauRecette[[#This Row],[poids / unite]]</f>
        <v/>
      </c>
      <c r="N110" s="728">
        <f>_xlfn.XLOOKUP(TableauRecette[[#This Row],[ID]],TableauProduit[ID],TableauProduit[Total (kg) N3],0,0,1)*TableauRecette[[#This Row],[poids / unite]]</f>
        <v/>
      </c>
      <c r="O110" s="728">
        <f>_xlfn.XLOOKUP(TableauRecette[[#This Row],[ID]],TableauProduit[ID],TableauProduit[Total (kg) N4],0,0,1)*TableauRecette[[#This Row],[poids / unite]]</f>
        <v/>
      </c>
      <c r="P110" s="728">
        <f>_xlfn.XLOOKUP(TableauRecette[[#This Row],[ID]],TableauProduit[ID],TableauProduit[Total (kg) N5],0,0,1)*TableauRecette[[#This Row],[poids / unite]]</f>
        <v/>
      </c>
      <c r="Q110" s="728">
        <f>_xlfn.XLOOKUP(TableauRecette[[#This Row],[ID]],TableauProduit[ID],TableauProduit[Total (kg) N6],0,0,1)*TableauRecette[[#This Row],[poids / unite]]</f>
        <v/>
      </c>
      <c r="R110" s="728">
        <f>_xlfn.XLOOKUP(TableauRecette[[#This Row],[ID]],TableauProduit[ID],TableauProduit[Total (kg) N7],0,0,1)*TableauRecette[[#This Row],[poids / unite]]</f>
        <v/>
      </c>
      <c r="S110" s="728">
        <f>_xlfn.XLOOKUP(TableauRecette[[#This Row],[ID]],TableauProduit[ID],TableauProduit[Total (kg) N8],0,0,1)*TableauRecette[[#This Row],[poids / unite]]</f>
        <v/>
      </c>
      <c r="T110" s="728">
        <f>_xlfn.XLOOKUP(TableauRecette[[#This Row],[ID]],TableauProduit[ID],TableauProduit[Total (kg) N9],0,0,1)*TableauRecette[[#This Row],[poids / unite]]</f>
        <v/>
      </c>
    </row>
    <row r="111">
      <c r="A111" s="67" t="inlineStr">
        <is>
          <t>Curry Madra</t>
        </is>
      </c>
      <c r="B111" s="67">
        <f>TableauRecette[[#This Row],[Recette]]&amp;TableauRecette[[#This Row],[Conditionnement]]</f>
        <v/>
      </c>
      <c r="C111" s="67" t="inlineStr">
        <is>
          <t>Fenugrec</t>
        </is>
      </c>
      <c r="D111" s="191" t="n">
        <v>0.25</v>
      </c>
      <c r="E111" s="67" t="inlineStr">
        <is>
          <t>Epice 100ml</t>
        </is>
      </c>
      <c r="F111" s="19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11" s="191">
        <f>IFERROR(_xlfn.XLOOKUP(TableauRecette[[#This Row],[Ingredients]],TableauIngredients[Ingredients],TableauIngredients[Prix d''achat (kg)],0)*TableauRecette[[#This Row],[poids / unite]],0)</f>
        <v/>
      </c>
      <c r="H111" s="191">
        <f>IFERROR(SUMIFS(TableauRecette[Proportion],TableauRecette[Recette],TableauRecette[[#This Row],[Recette]],TableauRecette[Conditionnement],TableauRecette[[#This Row],[Conditionnement]]),0)</f>
        <v/>
      </c>
      <c r="I111" s="191">
        <f>IFERROR(TableauRecette[[#This Row],[Prix d''achat / kg]],0)</f>
        <v/>
      </c>
      <c r="J111" s="191" t="inlineStr">
        <is>
          <t>Maghreb</t>
        </is>
      </c>
      <c r="K111" s="726" t="inlineStr">
        <is>
          <t>en huile</t>
        </is>
      </c>
      <c r="L111" s="727">
        <f>_xlfn.XLOOKUP(TableauRecette[[#This Row],[ID]],TableauProduit[ID],TableauProduit[Total (kg) N1],0,0,1)*TableauRecette[[#This Row],[poids / unite]]</f>
        <v/>
      </c>
      <c r="M111" s="728">
        <f>_xlfn.XLOOKUP(TableauRecette[[#This Row],[ID]],TableauProduit[ID],TableauProduit[Total (kg) N2],0,0,1)*TableauRecette[[#This Row],[poids / unite]]</f>
        <v/>
      </c>
      <c r="N111" s="728">
        <f>_xlfn.XLOOKUP(TableauRecette[[#This Row],[ID]],TableauProduit[ID],TableauProduit[Total (kg) N3],0,0,1)*TableauRecette[[#This Row],[poids / unite]]</f>
        <v/>
      </c>
      <c r="O111" s="728">
        <f>_xlfn.XLOOKUP(TableauRecette[[#This Row],[ID]],TableauProduit[ID],TableauProduit[Total (kg) N4],0,0,1)*TableauRecette[[#This Row],[poids / unite]]</f>
        <v/>
      </c>
      <c r="P111" s="728">
        <f>_xlfn.XLOOKUP(TableauRecette[[#This Row],[ID]],TableauProduit[ID],TableauProduit[Total (kg) N5],0,0,1)*TableauRecette[[#This Row],[poids / unite]]</f>
        <v/>
      </c>
      <c r="Q111" s="728">
        <f>_xlfn.XLOOKUP(TableauRecette[[#This Row],[ID]],TableauProduit[ID],TableauProduit[Total (kg) N6],0,0,1)*TableauRecette[[#This Row],[poids / unite]]</f>
        <v/>
      </c>
      <c r="R111" s="728">
        <f>_xlfn.XLOOKUP(TableauRecette[[#This Row],[ID]],TableauProduit[ID],TableauProduit[Total (kg) N7],0,0,1)*TableauRecette[[#This Row],[poids / unite]]</f>
        <v/>
      </c>
      <c r="S111" s="728">
        <f>_xlfn.XLOOKUP(TableauRecette[[#This Row],[ID]],TableauProduit[ID],TableauProduit[Total (kg) N8],0,0,1)*TableauRecette[[#This Row],[poids / unite]]</f>
        <v/>
      </c>
      <c r="T111" s="728">
        <f>_xlfn.XLOOKUP(TableauRecette[[#This Row],[ID]],TableauProduit[ID],TableauProduit[Total (kg) N9],0,0,1)*TableauRecette[[#This Row],[poids / unite]]</f>
        <v/>
      </c>
    </row>
    <row r="112">
      <c r="A112" s="67" t="inlineStr">
        <is>
          <t>Curry Madra</t>
        </is>
      </c>
      <c r="B112" s="67">
        <f>TableauRecette[[#This Row],[Recette]]&amp;TableauRecette[[#This Row],[Conditionnement]]</f>
        <v/>
      </c>
      <c r="C112" s="67" t="inlineStr">
        <is>
          <t>Piment Œil D'Oiseau</t>
        </is>
      </c>
      <c r="D112" s="191" t="n">
        <v>0.25</v>
      </c>
      <c r="E112" s="67" t="inlineStr">
        <is>
          <t>Epice 100ml</t>
        </is>
      </c>
      <c r="F112" s="19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12" s="191">
        <f>IFERROR(_xlfn.XLOOKUP(TableauRecette[[#This Row],[Ingredients]],TableauIngredients[Ingredients],TableauIngredients[Prix d''achat (kg)],0)*TableauRecette[[#This Row],[poids / unite]],0)</f>
        <v/>
      </c>
      <c r="H112" s="191">
        <f>IFERROR(SUMIFS(TableauRecette[Proportion],TableauRecette[Recette],TableauRecette[[#This Row],[Recette]],TableauRecette[Conditionnement],TableauRecette[[#This Row],[Conditionnement]]),0)</f>
        <v/>
      </c>
      <c r="I112" s="191">
        <f>IFERROR(TableauRecette[[#This Row],[Prix d''achat / kg]],0)</f>
        <v/>
      </c>
      <c r="J112" s="191" t="inlineStr">
        <is>
          <t>Maghreb</t>
        </is>
      </c>
      <c r="K112" s="726" t="inlineStr">
        <is>
          <t>en huile</t>
        </is>
      </c>
      <c r="L112" s="727">
        <f>_xlfn.XLOOKUP(TableauRecette[[#This Row],[ID]],TableauProduit[ID],TableauProduit[Total (kg) N1],0,0,1)*TableauRecette[[#This Row],[poids / unite]]</f>
        <v/>
      </c>
      <c r="M112" s="728">
        <f>_xlfn.XLOOKUP(TableauRecette[[#This Row],[ID]],TableauProduit[ID],TableauProduit[Total (kg) N2],0,0,1)*TableauRecette[[#This Row],[poids / unite]]</f>
        <v/>
      </c>
      <c r="N112" s="728">
        <f>_xlfn.XLOOKUP(TableauRecette[[#This Row],[ID]],TableauProduit[ID],TableauProduit[Total (kg) N3],0,0,1)*TableauRecette[[#This Row],[poids / unite]]</f>
        <v/>
      </c>
      <c r="O112" s="728">
        <f>_xlfn.XLOOKUP(TableauRecette[[#This Row],[ID]],TableauProduit[ID],TableauProduit[Total (kg) N4],0,0,1)*TableauRecette[[#This Row],[poids / unite]]</f>
        <v/>
      </c>
      <c r="P112" s="728">
        <f>_xlfn.XLOOKUP(TableauRecette[[#This Row],[ID]],TableauProduit[ID],TableauProduit[Total (kg) N5],0,0,1)*TableauRecette[[#This Row],[poids / unite]]</f>
        <v/>
      </c>
      <c r="Q112" s="728">
        <f>_xlfn.XLOOKUP(TableauRecette[[#This Row],[ID]],TableauProduit[ID],TableauProduit[Total (kg) N6],0,0,1)*TableauRecette[[#This Row],[poids / unite]]</f>
        <v/>
      </c>
      <c r="R112" s="728">
        <f>_xlfn.XLOOKUP(TableauRecette[[#This Row],[ID]],TableauProduit[ID],TableauProduit[Total (kg) N7],0,0,1)*TableauRecette[[#This Row],[poids / unite]]</f>
        <v/>
      </c>
      <c r="S112" s="728">
        <f>_xlfn.XLOOKUP(TableauRecette[[#This Row],[ID]],TableauProduit[ID],TableauProduit[Total (kg) N8],0,0,1)*TableauRecette[[#This Row],[poids / unite]]</f>
        <v/>
      </c>
      <c r="T112" s="728">
        <f>_xlfn.XLOOKUP(TableauRecette[[#This Row],[ID]],TableauProduit[ID],TableauProduit[Total (kg) N9],0,0,1)*TableauRecette[[#This Row],[poids / unite]]</f>
        <v/>
      </c>
    </row>
    <row r="113">
      <c r="A113" s="67" t="inlineStr">
        <is>
          <t>Curry Madra</t>
        </is>
      </c>
      <c r="B113" s="67">
        <f>TableauRecette[[#This Row],[Recette]]&amp;TableauRecette[[#This Row],[Conditionnement]]</f>
        <v/>
      </c>
      <c r="C113" s="67" t="inlineStr">
        <is>
          <t>Paprika Fummer</t>
        </is>
      </c>
      <c r="D113" s="191" t="n">
        <v>0.25</v>
      </c>
      <c r="E113" s="67" t="inlineStr">
        <is>
          <t>Epice 100ml</t>
        </is>
      </c>
      <c r="F113" s="19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13" s="191">
        <f>IFERROR(_xlfn.XLOOKUP(TableauRecette[[#This Row],[Ingredients]],TableauIngredients[Ingredients],TableauIngredients[Prix d''achat (kg)],0)*TableauRecette[[#This Row],[poids / unite]],0)</f>
        <v/>
      </c>
      <c r="H113" s="191">
        <f>IFERROR(SUMIFS(TableauRecette[Proportion],TableauRecette[Recette],TableauRecette[[#This Row],[Recette]],TableauRecette[Conditionnement],TableauRecette[[#This Row],[Conditionnement]]),0)</f>
        <v/>
      </c>
      <c r="I113" s="191">
        <f>IFERROR(TableauRecette[[#This Row],[Prix d''achat / kg]],0)</f>
        <v/>
      </c>
      <c r="J113" s="191" t="inlineStr">
        <is>
          <t>Maghreb</t>
        </is>
      </c>
      <c r="K113" s="726" t="inlineStr">
        <is>
          <t>en huile</t>
        </is>
      </c>
      <c r="L113" s="727">
        <f>_xlfn.XLOOKUP(TableauRecette[[#This Row],[ID]],TableauProduit[ID],TableauProduit[Total (kg) N1],0,0,1)*TableauRecette[[#This Row],[poids / unite]]</f>
        <v/>
      </c>
      <c r="M113" s="728">
        <f>_xlfn.XLOOKUP(TableauRecette[[#This Row],[ID]],TableauProduit[ID],TableauProduit[Total (kg) N2],0,0,1)*TableauRecette[[#This Row],[poids / unite]]</f>
        <v/>
      </c>
      <c r="N113" s="728">
        <f>_xlfn.XLOOKUP(TableauRecette[[#This Row],[ID]],TableauProduit[ID],TableauProduit[Total (kg) N3],0,0,1)*TableauRecette[[#This Row],[poids / unite]]</f>
        <v/>
      </c>
      <c r="O113" s="728">
        <f>_xlfn.XLOOKUP(TableauRecette[[#This Row],[ID]],TableauProduit[ID],TableauProduit[Total (kg) N4],0,0,1)*TableauRecette[[#This Row],[poids / unite]]</f>
        <v/>
      </c>
      <c r="P113" s="728">
        <f>_xlfn.XLOOKUP(TableauRecette[[#This Row],[ID]],TableauProduit[ID],TableauProduit[Total (kg) N5],0,0,1)*TableauRecette[[#This Row],[poids / unite]]</f>
        <v/>
      </c>
      <c r="Q113" s="728">
        <f>_xlfn.XLOOKUP(TableauRecette[[#This Row],[ID]],TableauProduit[ID],TableauProduit[Total (kg) N6],0,0,1)*TableauRecette[[#This Row],[poids / unite]]</f>
        <v/>
      </c>
      <c r="R113" s="728">
        <f>_xlfn.XLOOKUP(TableauRecette[[#This Row],[ID]],TableauProduit[ID],TableauProduit[Total (kg) N7],0,0,1)*TableauRecette[[#This Row],[poids / unite]]</f>
        <v/>
      </c>
      <c r="S113" s="728">
        <f>_xlfn.XLOOKUP(TableauRecette[[#This Row],[ID]],TableauProduit[ID],TableauProduit[Total (kg) N8],0,0,1)*TableauRecette[[#This Row],[poids / unite]]</f>
        <v/>
      </c>
      <c r="T113" s="728">
        <f>_xlfn.XLOOKUP(TableauRecette[[#This Row],[ID]],TableauProduit[ID],TableauProduit[Total (kg) N9],0,0,1)*TableauRecette[[#This Row],[poids / unite]]</f>
        <v/>
      </c>
    </row>
    <row r="114">
      <c r="A114" s="67" t="inlineStr">
        <is>
          <t>Curry Madra</t>
        </is>
      </c>
      <c r="B114" s="67">
        <f>TableauRecette[[#This Row],[Recette]]&amp;TableauRecette[[#This Row],[Conditionnement]]</f>
        <v/>
      </c>
      <c r="C114" s="67" t="inlineStr">
        <is>
          <t>Piment Doux Rouge En Poudre</t>
        </is>
      </c>
      <c r="D114" s="191" t="n">
        <v>0.75</v>
      </c>
      <c r="E114" s="67" t="inlineStr">
        <is>
          <t>Epice 100ml</t>
        </is>
      </c>
      <c r="F114" s="19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14" s="191">
        <f>IFERROR(_xlfn.XLOOKUP(TableauRecette[[#This Row],[Ingredients]],TableauIngredients[Ingredients],TableauIngredients[Prix d''achat (kg)],0)*TableauRecette[[#This Row],[poids / unite]],0)</f>
        <v/>
      </c>
      <c r="H114" s="191">
        <f>IFERROR(SUMIFS(TableauRecette[Proportion],TableauRecette[Recette],TableauRecette[[#This Row],[Recette]],TableauRecette[Conditionnement],TableauRecette[[#This Row],[Conditionnement]]),0)</f>
        <v/>
      </c>
      <c r="I114" s="191">
        <f>IFERROR(TableauRecette[[#This Row],[Prix d''achat / kg]],0)</f>
        <v/>
      </c>
      <c r="J114" s="191" t="inlineStr">
        <is>
          <t>Peninsule Arabique</t>
        </is>
      </c>
      <c r="K114" s="726" t="inlineStr">
        <is>
          <t>SEC</t>
        </is>
      </c>
      <c r="L114" s="727">
        <f>_xlfn.XLOOKUP(TableauRecette[[#This Row],[ID]],TableauProduit[ID],TableauProduit[Total (kg) N1],0,0,1)*TableauRecette[[#This Row],[poids / unite]]</f>
        <v/>
      </c>
      <c r="M114" s="728">
        <f>_xlfn.XLOOKUP(TableauRecette[[#This Row],[ID]],TableauProduit[ID],TableauProduit[Total (kg) N2],0,0,1)*TableauRecette[[#This Row],[poids / unite]]</f>
        <v/>
      </c>
      <c r="N114" s="728">
        <f>_xlfn.XLOOKUP(TableauRecette[[#This Row],[ID]],TableauProduit[ID],TableauProduit[Total (kg) N3],0,0,1)*TableauRecette[[#This Row],[poids / unite]]</f>
        <v/>
      </c>
      <c r="O114" s="728">
        <f>_xlfn.XLOOKUP(TableauRecette[[#This Row],[ID]],TableauProduit[ID],TableauProduit[Total (kg) N4],0,0,1)*TableauRecette[[#This Row],[poids / unite]]</f>
        <v/>
      </c>
      <c r="P114" s="728">
        <f>_xlfn.XLOOKUP(TableauRecette[[#This Row],[ID]],TableauProduit[ID],TableauProduit[Total (kg) N5],0,0,1)*TableauRecette[[#This Row],[poids / unite]]</f>
        <v/>
      </c>
      <c r="Q114" s="728">
        <f>_xlfn.XLOOKUP(TableauRecette[[#This Row],[ID]],TableauProduit[ID],TableauProduit[Total (kg) N6],0,0,1)*TableauRecette[[#This Row],[poids / unite]]</f>
        <v/>
      </c>
      <c r="R114" s="728">
        <f>_xlfn.XLOOKUP(TableauRecette[[#This Row],[ID]],TableauProduit[ID],TableauProduit[Total (kg) N7],0,0,1)*TableauRecette[[#This Row],[poids / unite]]</f>
        <v/>
      </c>
      <c r="S114" s="728">
        <f>_xlfn.XLOOKUP(TableauRecette[[#This Row],[ID]],TableauProduit[ID],TableauProduit[Total (kg) N8],0,0,1)*TableauRecette[[#This Row],[poids / unite]]</f>
        <v/>
      </c>
      <c r="T114" s="728">
        <f>_xlfn.XLOOKUP(TableauRecette[[#This Row],[ID]],TableauProduit[ID],TableauProduit[Total (kg) N9],0,0,1)*TableauRecette[[#This Row],[poids / unite]]</f>
        <v/>
      </c>
    </row>
    <row r="115">
      <c r="A115" s="67" t="inlineStr">
        <is>
          <t>Curry Madra</t>
        </is>
      </c>
      <c r="B115" s="67">
        <f>TableauRecette[[#This Row],[Recette]]&amp;TableauRecette[[#This Row],[Conditionnement]]</f>
        <v/>
      </c>
      <c r="C115" s="67" t="inlineStr">
        <is>
          <t>Ail Sec</t>
        </is>
      </c>
      <c r="D115" s="191" t="n">
        <v>0.25</v>
      </c>
      <c r="E115" s="67" t="inlineStr">
        <is>
          <t>Epice 100ml</t>
        </is>
      </c>
      <c r="F115" s="19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15" s="191">
        <f>IFERROR(_xlfn.XLOOKUP(TableauRecette[[#This Row],[Ingredients]],TableauIngredients[Ingredients],TableauIngredients[Prix d''achat (kg)],0)*TableauRecette[[#This Row],[poids / unite]],0)</f>
        <v/>
      </c>
      <c r="H115" s="191">
        <f>IFERROR(SUMIFS(TableauRecette[Proportion],TableauRecette[Recette],TableauRecette[[#This Row],[Recette]],TableauRecette[Conditionnement],TableauRecette[[#This Row],[Conditionnement]]),0)</f>
        <v/>
      </c>
      <c r="I115" s="191">
        <f>IFERROR(TableauRecette[[#This Row],[Prix d''achat / kg]],0)</f>
        <v/>
      </c>
      <c r="J115" s="191" t="inlineStr">
        <is>
          <t>Maghreb</t>
        </is>
      </c>
      <c r="K115" s="726" t="inlineStr">
        <is>
          <t>en huile</t>
        </is>
      </c>
      <c r="L115" s="727">
        <f>_xlfn.XLOOKUP(TableauRecette[[#This Row],[ID]],TableauProduit[ID],TableauProduit[Total (kg) N1],0,0,1)*TableauRecette[[#This Row],[poids / unite]]</f>
        <v/>
      </c>
      <c r="M115" s="728">
        <f>_xlfn.XLOOKUP(TableauRecette[[#This Row],[ID]],TableauProduit[ID],TableauProduit[Total (kg) N2],0,0,1)*TableauRecette[[#This Row],[poids / unite]]</f>
        <v/>
      </c>
      <c r="N115" s="728">
        <f>_xlfn.XLOOKUP(TableauRecette[[#This Row],[ID]],TableauProduit[ID],TableauProduit[Total (kg) N3],0,0,1)*TableauRecette[[#This Row],[poids / unite]]</f>
        <v/>
      </c>
      <c r="O115" s="728">
        <f>_xlfn.XLOOKUP(TableauRecette[[#This Row],[ID]],TableauProduit[ID],TableauProduit[Total (kg) N4],0,0,1)*TableauRecette[[#This Row],[poids / unite]]</f>
        <v/>
      </c>
      <c r="P115" s="728">
        <f>_xlfn.XLOOKUP(TableauRecette[[#This Row],[ID]],TableauProduit[ID],TableauProduit[Total (kg) N5],0,0,1)*TableauRecette[[#This Row],[poids / unite]]</f>
        <v/>
      </c>
      <c r="Q115" s="728">
        <f>_xlfn.XLOOKUP(TableauRecette[[#This Row],[ID]],TableauProduit[ID],TableauProduit[Total (kg) N6],0,0,1)*TableauRecette[[#This Row],[poids / unite]]</f>
        <v/>
      </c>
      <c r="R115" s="728">
        <f>_xlfn.XLOOKUP(TableauRecette[[#This Row],[ID]],TableauProduit[ID],TableauProduit[Total (kg) N7],0,0,1)*TableauRecette[[#This Row],[poids / unite]]</f>
        <v/>
      </c>
      <c r="S115" s="728">
        <f>_xlfn.XLOOKUP(TableauRecette[[#This Row],[ID]],TableauProduit[ID],TableauProduit[Total (kg) N8],0,0,1)*TableauRecette[[#This Row],[poids / unite]]</f>
        <v/>
      </c>
      <c r="T115" s="728">
        <f>_xlfn.XLOOKUP(TableauRecette[[#This Row],[ID]],TableauProduit[ID],TableauProduit[Total (kg) N9],0,0,1)*TableauRecette[[#This Row],[poids / unite]]</f>
        <v/>
      </c>
    </row>
    <row r="116">
      <c r="A116" s="68" t="inlineStr">
        <is>
          <t>Dukkah</t>
        </is>
      </c>
      <c r="B116" s="68">
        <f>TableauRecette[[#This Row],[Recette]]&amp;TableauRecette[[#This Row],[Conditionnement]]</f>
        <v/>
      </c>
      <c r="C116" s="68" t="inlineStr">
        <is>
          <t>Noisette Entière</t>
        </is>
      </c>
      <c r="D116" s="192" t="n">
        <v>150</v>
      </c>
      <c r="E116" s="68" t="inlineStr">
        <is>
          <t>Epice 100ml</t>
        </is>
      </c>
      <c r="F116" s="19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16" s="192">
        <f>IFERROR(_xlfn.XLOOKUP(TableauRecette[[#This Row],[Ingredients]],TableauIngredients[Ingredients],TableauIngredients[Prix d''achat (kg)],0)*TableauRecette[[#This Row],[poids / unite]],0)</f>
        <v/>
      </c>
      <c r="H116" s="192">
        <f>IFERROR(SUMIFS(TableauRecette[Proportion],TableauRecette[Recette],TableauRecette[[#This Row],[Recette]],TableauRecette[Conditionnement],TableauRecette[[#This Row],[Conditionnement]]),0)</f>
        <v/>
      </c>
      <c r="I116" s="192">
        <f>IFERROR(TableauRecette[[#This Row],[Prix d''achat / kg]],0)</f>
        <v/>
      </c>
      <c r="J116" s="192" t="inlineStr">
        <is>
          <t>Maghreb</t>
        </is>
      </c>
      <c r="K116" s="729" t="inlineStr">
        <is>
          <t>en huile</t>
        </is>
      </c>
      <c r="L116" s="730">
        <f>_xlfn.XLOOKUP(TableauRecette[[#This Row],[ID]],TableauProduit[ID],TableauProduit[Total (kg) N1],0,0,1)*TableauRecette[[#This Row],[poids / unite]]</f>
        <v/>
      </c>
      <c r="M116" s="731">
        <f>_xlfn.XLOOKUP(TableauRecette[[#This Row],[ID]],TableauProduit[ID],TableauProduit[Total (kg) N2],0,0,1)*TableauRecette[[#This Row],[poids / unite]]</f>
        <v/>
      </c>
      <c r="N116" s="731">
        <f>_xlfn.XLOOKUP(TableauRecette[[#This Row],[ID]],TableauProduit[ID],TableauProduit[Total (kg) N3],0,0,1)*TableauRecette[[#This Row],[poids / unite]]</f>
        <v/>
      </c>
      <c r="O116" s="731">
        <f>_xlfn.XLOOKUP(TableauRecette[[#This Row],[ID]],TableauProduit[ID],TableauProduit[Total (kg) N4],0,0,1)*TableauRecette[[#This Row],[poids / unite]]</f>
        <v/>
      </c>
      <c r="P116" s="731">
        <f>_xlfn.XLOOKUP(TableauRecette[[#This Row],[ID]],TableauProduit[ID],TableauProduit[Total (kg) N5],0,0,1)*TableauRecette[[#This Row],[poids / unite]]</f>
        <v/>
      </c>
      <c r="Q116" s="731">
        <f>_xlfn.XLOOKUP(TableauRecette[[#This Row],[ID]],TableauProduit[ID],TableauProduit[Total (kg) N6],0,0,1)*TableauRecette[[#This Row],[poids / unite]]</f>
        <v/>
      </c>
      <c r="R116" s="731">
        <f>_xlfn.XLOOKUP(TableauRecette[[#This Row],[ID]],TableauProduit[ID],TableauProduit[Total (kg) N7],0,0,1)*TableauRecette[[#This Row],[poids / unite]]</f>
        <v/>
      </c>
      <c r="S116" s="731">
        <f>_xlfn.XLOOKUP(TableauRecette[[#This Row],[ID]],TableauProduit[ID],TableauProduit[Total (kg) N8],0,0,1)*TableauRecette[[#This Row],[poids / unite]]</f>
        <v/>
      </c>
      <c r="T116" s="731">
        <f>_xlfn.XLOOKUP(TableauRecette[[#This Row],[ID]],TableauProduit[ID],TableauProduit[Total (kg) N9],0,0,1)*TableauRecette[[#This Row],[poids / unite]]</f>
        <v/>
      </c>
    </row>
    <row r="117">
      <c r="A117" s="68" t="inlineStr">
        <is>
          <t>Dukkah</t>
        </is>
      </c>
      <c r="B117" s="68">
        <f>TableauRecette[[#This Row],[Recette]]&amp;TableauRecette[[#This Row],[Conditionnement]]</f>
        <v/>
      </c>
      <c r="C117" s="68" t="inlineStr">
        <is>
          <t>Amande Douce</t>
        </is>
      </c>
      <c r="D117" s="192" t="n">
        <v>150</v>
      </c>
      <c r="E117" s="68" t="inlineStr">
        <is>
          <t>Epice 100ml</t>
        </is>
      </c>
      <c r="F117" s="19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17" s="192">
        <f>IFERROR(_xlfn.XLOOKUP(TableauRecette[[#This Row],[Ingredients]],TableauIngredients[Ingredients],TableauIngredients[Prix d''achat (kg)],0)*TableauRecette[[#This Row],[poids / unite]],0)</f>
        <v/>
      </c>
      <c r="H117" s="192">
        <f>IFERROR(SUMIFS(TableauRecette[Proportion],TableauRecette[Recette],TableauRecette[[#This Row],[Recette]],TableauRecette[Conditionnement],TableauRecette[[#This Row],[Conditionnement]]),0)</f>
        <v/>
      </c>
      <c r="I117" s="192">
        <f>IFERROR(TableauRecette[[#This Row],[Prix d''achat / kg]],0)</f>
        <v/>
      </c>
      <c r="J117" s="192" t="inlineStr">
        <is>
          <t>Maghreb</t>
        </is>
      </c>
      <c r="K117" s="729" t="inlineStr">
        <is>
          <t>en huile</t>
        </is>
      </c>
      <c r="L117" s="730">
        <f>_xlfn.XLOOKUP(TableauRecette[[#This Row],[ID]],TableauProduit[ID],TableauProduit[Total (kg) N1],0,0,1)*TableauRecette[[#This Row],[poids / unite]]</f>
        <v/>
      </c>
      <c r="M117" s="731">
        <f>_xlfn.XLOOKUP(TableauRecette[[#This Row],[ID]],TableauProduit[ID],TableauProduit[Total (kg) N2],0,0,1)*TableauRecette[[#This Row],[poids / unite]]</f>
        <v/>
      </c>
      <c r="N117" s="731">
        <f>_xlfn.XLOOKUP(TableauRecette[[#This Row],[ID]],TableauProduit[ID],TableauProduit[Total (kg) N3],0,0,1)*TableauRecette[[#This Row],[poids / unite]]</f>
        <v/>
      </c>
      <c r="O117" s="731">
        <f>_xlfn.XLOOKUP(TableauRecette[[#This Row],[ID]],TableauProduit[ID],TableauProduit[Total (kg) N4],0,0,1)*TableauRecette[[#This Row],[poids / unite]]</f>
        <v/>
      </c>
      <c r="P117" s="731">
        <f>_xlfn.XLOOKUP(TableauRecette[[#This Row],[ID]],TableauProduit[ID],TableauProduit[Total (kg) N5],0,0,1)*TableauRecette[[#This Row],[poids / unite]]</f>
        <v/>
      </c>
      <c r="Q117" s="731">
        <f>_xlfn.XLOOKUP(TableauRecette[[#This Row],[ID]],TableauProduit[ID],TableauProduit[Total (kg) N6],0,0,1)*TableauRecette[[#This Row],[poids / unite]]</f>
        <v/>
      </c>
      <c r="R117" s="731">
        <f>_xlfn.XLOOKUP(TableauRecette[[#This Row],[ID]],TableauProduit[ID],TableauProduit[Total (kg) N7],0,0,1)*TableauRecette[[#This Row],[poids / unite]]</f>
        <v/>
      </c>
      <c r="S117" s="731">
        <f>_xlfn.XLOOKUP(TableauRecette[[#This Row],[ID]],TableauProduit[ID],TableauProduit[Total (kg) N8],0,0,1)*TableauRecette[[#This Row],[poids / unite]]</f>
        <v/>
      </c>
      <c r="T117" s="731">
        <f>_xlfn.XLOOKUP(TableauRecette[[#This Row],[ID]],TableauProduit[ID],TableauProduit[Total (kg) N9],0,0,1)*TableauRecette[[#This Row],[poids / unite]]</f>
        <v/>
      </c>
    </row>
    <row r="118">
      <c r="A118" s="68" t="inlineStr">
        <is>
          <t>Dukkah</t>
        </is>
      </c>
      <c r="B118" s="68">
        <f>TableauRecette[[#This Row],[Recette]]&amp;TableauRecette[[#This Row],[Conditionnement]]</f>
        <v/>
      </c>
      <c r="C118" s="68" t="inlineStr">
        <is>
          <t>Coriandre Graine</t>
        </is>
      </c>
      <c r="D118" s="192" t="n">
        <v>4</v>
      </c>
      <c r="E118" s="68" t="inlineStr">
        <is>
          <t>Epice 100ml</t>
        </is>
      </c>
      <c r="F118" s="19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18" s="192">
        <f>IFERROR(_xlfn.XLOOKUP(TableauRecette[[#This Row],[Ingredients]],TableauIngredients[Ingredients],TableauIngredients[Prix d''achat (kg)],0)*TableauRecette[[#This Row],[poids / unite]],0)</f>
        <v/>
      </c>
      <c r="H118" s="192">
        <f>IFERROR(SUMIFS(TableauRecette[Proportion],TableauRecette[Recette],TableauRecette[[#This Row],[Recette]],TableauRecette[Conditionnement],TableauRecette[[#This Row],[Conditionnement]]),0)</f>
        <v/>
      </c>
      <c r="I118" s="192">
        <f>IFERROR(TableauRecette[[#This Row],[Prix d''achat / kg]],0)</f>
        <v/>
      </c>
      <c r="J118" s="192" t="inlineStr">
        <is>
          <t>Afrique australe</t>
        </is>
      </c>
      <c r="K118" s="729" t="inlineStr">
        <is>
          <t>SEC</t>
        </is>
      </c>
      <c r="L118" s="730">
        <f>_xlfn.XLOOKUP(TableauRecette[[#This Row],[ID]],TableauProduit[ID],TableauProduit[Total (kg) N1],0,0,1)*TableauRecette[[#This Row],[poids / unite]]</f>
        <v/>
      </c>
      <c r="M118" s="731">
        <f>_xlfn.XLOOKUP(TableauRecette[[#This Row],[ID]],TableauProduit[ID],TableauProduit[Total (kg) N2],0,0,1)*TableauRecette[[#This Row],[poids / unite]]</f>
        <v/>
      </c>
      <c r="N118" s="731">
        <f>_xlfn.XLOOKUP(TableauRecette[[#This Row],[ID]],TableauProduit[ID],TableauProduit[Total (kg) N3],0,0,1)*TableauRecette[[#This Row],[poids / unite]]</f>
        <v/>
      </c>
      <c r="O118" s="731">
        <f>_xlfn.XLOOKUP(TableauRecette[[#This Row],[ID]],TableauProduit[ID],TableauProduit[Total (kg) N4],0,0,1)*TableauRecette[[#This Row],[poids / unite]]</f>
        <v/>
      </c>
      <c r="P118" s="731">
        <f>_xlfn.XLOOKUP(TableauRecette[[#This Row],[ID]],TableauProduit[ID],TableauProduit[Total (kg) N5],0,0,1)*TableauRecette[[#This Row],[poids / unite]]</f>
        <v/>
      </c>
      <c r="Q118" s="731">
        <f>_xlfn.XLOOKUP(TableauRecette[[#This Row],[ID]],TableauProduit[ID],TableauProduit[Total (kg) N6],0,0,1)*TableauRecette[[#This Row],[poids / unite]]</f>
        <v/>
      </c>
      <c r="R118" s="731">
        <f>_xlfn.XLOOKUP(TableauRecette[[#This Row],[ID]],TableauProduit[ID],TableauProduit[Total (kg) N7],0,0,1)*TableauRecette[[#This Row],[poids / unite]]</f>
        <v/>
      </c>
      <c r="S118" s="731">
        <f>_xlfn.XLOOKUP(TableauRecette[[#This Row],[ID]],TableauProduit[ID],TableauProduit[Total (kg) N8],0,0,1)*TableauRecette[[#This Row],[poids / unite]]</f>
        <v/>
      </c>
      <c r="T118" s="731">
        <f>_xlfn.XLOOKUP(TableauRecette[[#This Row],[ID]],TableauProduit[ID],TableauProduit[Total (kg) N9],0,0,1)*TableauRecette[[#This Row],[poids / unite]]</f>
        <v/>
      </c>
    </row>
    <row r="119">
      <c r="A119" s="68" t="inlineStr">
        <is>
          <t>Dukkah</t>
        </is>
      </c>
      <c r="B119" s="68">
        <f>TableauRecette[[#This Row],[Recette]]&amp;TableauRecette[[#This Row],[Conditionnement]]</f>
        <v/>
      </c>
      <c r="C119" s="68" t="inlineStr">
        <is>
          <t>Graine De Cumin</t>
        </is>
      </c>
      <c r="D119" s="192" t="n">
        <v>6</v>
      </c>
      <c r="E119" s="68" t="inlineStr">
        <is>
          <t>Epice 100ml</t>
        </is>
      </c>
      <c r="F119" s="19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19" s="192">
        <f>IFERROR(_xlfn.XLOOKUP(TableauRecette[[#This Row],[Ingredients]],TableauIngredients[Ingredients],TableauIngredients[Prix d''achat (kg)],0)*TableauRecette[[#This Row],[poids / unite]],0)</f>
        <v/>
      </c>
      <c r="H119" s="192">
        <f>IFERROR(SUMIFS(TableauRecette[Proportion],TableauRecette[Recette],TableauRecette[[#This Row],[Recette]],TableauRecette[Conditionnement],TableauRecette[[#This Row],[Conditionnement]]),0)</f>
        <v/>
      </c>
      <c r="I119" s="192">
        <f>IFERROR(TableauRecette[[#This Row],[Prix d''achat / kg]],0)</f>
        <v/>
      </c>
      <c r="J119" s="192" t="inlineStr">
        <is>
          <t>Afrique australe</t>
        </is>
      </c>
      <c r="K119" s="729" t="inlineStr">
        <is>
          <t>SEC</t>
        </is>
      </c>
      <c r="L119" s="730">
        <f>_xlfn.XLOOKUP(TableauRecette[[#This Row],[ID]],TableauProduit[ID],TableauProduit[Total (kg) N1],0,0,1)*TableauRecette[[#This Row],[poids / unite]]</f>
        <v/>
      </c>
      <c r="M119" s="731">
        <f>_xlfn.XLOOKUP(TableauRecette[[#This Row],[ID]],TableauProduit[ID],TableauProduit[Total (kg) N2],0,0,1)*TableauRecette[[#This Row],[poids / unite]]</f>
        <v/>
      </c>
      <c r="N119" s="731">
        <f>_xlfn.XLOOKUP(TableauRecette[[#This Row],[ID]],TableauProduit[ID],TableauProduit[Total (kg) N3],0,0,1)*TableauRecette[[#This Row],[poids / unite]]</f>
        <v/>
      </c>
      <c r="O119" s="731">
        <f>_xlfn.XLOOKUP(TableauRecette[[#This Row],[ID]],TableauProduit[ID],TableauProduit[Total (kg) N4],0,0,1)*TableauRecette[[#This Row],[poids / unite]]</f>
        <v/>
      </c>
      <c r="P119" s="731">
        <f>_xlfn.XLOOKUP(TableauRecette[[#This Row],[ID]],TableauProduit[ID],TableauProduit[Total (kg) N5],0,0,1)*TableauRecette[[#This Row],[poids / unite]]</f>
        <v/>
      </c>
      <c r="Q119" s="731">
        <f>_xlfn.XLOOKUP(TableauRecette[[#This Row],[ID]],TableauProduit[ID],TableauProduit[Total (kg) N6],0,0,1)*TableauRecette[[#This Row],[poids / unite]]</f>
        <v/>
      </c>
      <c r="R119" s="731">
        <f>_xlfn.XLOOKUP(TableauRecette[[#This Row],[ID]],TableauProduit[ID],TableauProduit[Total (kg) N7],0,0,1)*TableauRecette[[#This Row],[poids / unite]]</f>
        <v/>
      </c>
      <c r="S119" s="731">
        <f>_xlfn.XLOOKUP(TableauRecette[[#This Row],[ID]],TableauProduit[ID],TableauProduit[Total (kg) N8],0,0,1)*TableauRecette[[#This Row],[poids / unite]]</f>
        <v/>
      </c>
      <c r="T119" s="731">
        <f>_xlfn.XLOOKUP(TableauRecette[[#This Row],[ID]],TableauProduit[ID],TableauProduit[Total (kg) N9],0,0,1)*TableauRecette[[#This Row],[poids / unite]]</f>
        <v/>
      </c>
    </row>
    <row r="120">
      <c r="A120" s="68" t="inlineStr">
        <is>
          <t>Dukkah</t>
        </is>
      </c>
      <c r="B120" s="68">
        <f>TableauRecette[[#This Row],[Recette]]&amp;TableauRecette[[#This Row],[Conditionnement]]</f>
        <v/>
      </c>
      <c r="C120" s="68" t="inlineStr">
        <is>
          <t>Ail Sec</t>
        </is>
      </c>
      <c r="D120" s="192" t="n">
        <v>12</v>
      </c>
      <c r="E120" s="68" t="inlineStr">
        <is>
          <t>Epice 100ml</t>
        </is>
      </c>
      <c r="F120" s="19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20" s="192">
        <f>IFERROR(_xlfn.XLOOKUP(TableauRecette[[#This Row],[Ingredients]],TableauIngredients[Ingredients],TableauIngredients[Prix d''achat (kg)],0)*TableauRecette[[#This Row],[poids / unite]],0)</f>
        <v/>
      </c>
      <c r="H120" s="192">
        <f>IFERROR(SUMIFS(TableauRecette[Proportion],TableauRecette[Recette],TableauRecette[[#This Row],[Recette]],TableauRecette[Conditionnement],TableauRecette[[#This Row],[Conditionnement]]),0)</f>
        <v/>
      </c>
      <c r="I120" s="192">
        <f>IFERROR(TableauRecette[[#This Row],[Prix d''achat / kg]],0)</f>
        <v/>
      </c>
      <c r="J120" s="192" t="inlineStr">
        <is>
          <t>Afrique australe</t>
        </is>
      </c>
      <c r="K120" s="729" t="inlineStr">
        <is>
          <t>SEC</t>
        </is>
      </c>
      <c r="L120" s="730">
        <f>_xlfn.XLOOKUP(TableauRecette[[#This Row],[ID]],TableauProduit[ID],TableauProduit[Total (kg) N1],0,0,1)*TableauRecette[[#This Row],[poids / unite]]</f>
        <v/>
      </c>
      <c r="M120" s="731">
        <f>_xlfn.XLOOKUP(TableauRecette[[#This Row],[ID]],TableauProduit[ID],TableauProduit[Total (kg) N2],0,0,1)*TableauRecette[[#This Row],[poids / unite]]</f>
        <v/>
      </c>
      <c r="N120" s="731">
        <f>_xlfn.XLOOKUP(TableauRecette[[#This Row],[ID]],TableauProduit[ID],TableauProduit[Total (kg) N3],0,0,1)*TableauRecette[[#This Row],[poids / unite]]</f>
        <v/>
      </c>
      <c r="O120" s="731">
        <f>_xlfn.XLOOKUP(TableauRecette[[#This Row],[ID]],TableauProduit[ID],TableauProduit[Total (kg) N4],0,0,1)*TableauRecette[[#This Row],[poids / unite]]</f>
        <v/>
      </c>
      <c r="P120" s="731">
        <f>_xlfn.XLOOKUP(TableauRecette[[#This Row],[ID]],TableauProduit[ID],TableauProduit[Total (kg) N5],0,0,1)*TableauRecette[[#This Row],[poids / unite]]</f>
        <v/>
      </c>
      <c r="Q120" s="731">
        <f>_xlfn.XLOOKUP(TableauRecette[[#This Row],[ID]],TableauProduit[ID],TableauProduit[Total (kg) N6],0,0,1)*TableauRecette[[#This Row],[poids / unite]]</f>
        <v/>
      </c>
      <c r="R120" s="731">
        <f>_xlfn.XLOOKUP(TableauRecette[[#This Row],[ID]],TableauProduit[ID],TableauProduit[Total (kg) N7],0,0,1)*TableauRecette[[#This Row],[poids / unite]]</f>
        <v/>
      </c>
      <c r="S120" s="731">
        <f>_xlfn.XLOOKUP(TableauRecette[[#This Row],[ID]],TableauProduit[ID],TableauProduit[Total (kg) N8],0,0,1)*TableauRecette[[#This Row],[poids / unite]]</f>
        <v/>
      </c>
      <c r="T120" s="731">
        <f>_xlfn.XLOOKUP(TableauRecette[[#This Row],[ID]],TableauProduit[ID],TableauProduit[Total (kg) N9],0,0,1)*TableauRecette[[#This Row],[poids / unite]]</f>
        <v/>
      </c>
    </row>
    <row r="121">
      <c r="A121" s="68" t="inlineStr">
        <is>
          <t>Dukkah</t>
        </is>
      </c>
      <c r="B121" s="68">
        <f>TableauRecette[[#This Row],[Recette]]&amp;TableauRecette[[#This Row],[Conditionnement]]</f>
        <v/>
      </c>
      <c r="C121" s="68" t="inlineStr">
        <is>
          <t>Sel</t>
        </is>
      </c>
      <c r="D121" s="192" t="n">
        <v>1</v>
      </c>
      <c r="E121" s="68" t="inlineStr">
        <is>
          <t>Epice 100ml</t>
        </is>
      </c>
      <c r="F121" s="19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21" s="192">
        <f>IFERROR(_xlfn.XLOOKUP(TableauRecette[[#This Row],[Ingredients]],TableauIngredients[Ingredients],TableauIngredients[Prix d''achat (kg)],0)*TableauRecette[[#This Row],[poids / unite]],0)</f>
        <v/>
      </c>
      <c r="H121" s="192">
        <f>IFERROR(SUMIFS(TableauRecette[Proportion],TableauRecette[Recette],TableauRecette[[#This Row],[Recette]],TableauRecette[Conditionnement],TableauRecette[[#This Row],[Conditionnement]]),0)</f>
        <v/>
      </c>
      <c r="I121" s="192">
        <f>IFERROR(TableauRecette[[#This Row],[Prix d''achat / kg]],0)</f>
        <v/>
      </c>
      <c r="J121" s="192" t="inlineStr">
        <is>
          <t>Afrique australe</t>
        </is>
      </c>
      <c r="K121" s="729" t="inlineStr">
        <is>
          <t>SEC</t>
        </is>
      </c>
      <c r="L121" s="730">
        <f>_xlfn.XLOOKUP(TableauRecette[[#This Row],[ID]],TableauProduit[ID],TableauProduit[Total (kg) N1],0,0,1)*TableauRecette[[#This Row],[poids / unite]]</f>
        <v/>
      </c>
      <c r="M121" s="731">
        <f>_xlfn.XLOOKUP(TableauRecette[[#This Row],[ID]],TableauProduit[ID],TableauProduit[Total (kg) N2],0,0,1)*TableauRecette[[#This Row],[poids / unite]]</f>
        <v/>
      </c>
      <c r="N121" s="731">
        <f>_xlfn.XLOOKUP(TableauRecette[[#This Row],[ID]],TableauProduit[ID],TableauProduit[Total (kg) N3],0,0,1)*TableauRecette[[#This Row],[poids / unite]]</f>
        <v/>
      </c>
      <c r="O121" s="731">
        <f>_xlfn.XLOOKUP(TableauRecette[[#This Row],[ID]],TableauProduit[ID],TableauProduit[Total (kg) N4],0,0,1)*TableauRecette[[#This Row],[poids / unite]]</f>
        <v/>
      </c>
      <c r="P121" s="731">
        <f>_xlfn.XLOOKUP(TableauRecette[[#This Row],[ID]],TableauProduit[ID],TableauProduit[Total (kg) N5],0,0,1)*TableauRecette[[#This Row],[poids / unite]]</f>
        <v/>
      </c>
      <c r="Q121" s="731">
        <f>_xlfn.XLOOKUP(TableauRecette[[#This Row],[ID]],TableauProduit[ID],TableauProduit[Total (kg) N6],0,0,1)*TableauRecette[[#This Row],[poids / unite]]</f>
        <v/>
      </c>
      <c r="R121" s="731">
        <f>_xlfn.XLOOKUP(TableauRecette[[#This Row],[ID]],TableauProduit[ID],TableauProduit[Total (kg) N7],0,0,1)*TableauRecette[[#This Row],[poids / unite]]</f>
        <v/>
      </c>
      <c r="S121" s="731">
        <f>_xlfn.XLOOKUP(TableauRecette[[#This Row],[ID]],TableauProduit[ID],TableauProduit[Total (kg) N8],0,0,1)*TableauRecette[[#This Row],[poids / unite]]</f>
        <v/>
      </c>
      <c r="T121" s="731">
        <f>_xlfn.XLOOKUP(TableauRecette[[#This Row],[ID]],TableauProduit[ID],TableauProduit[Total (kg) N9],0,0,1)*TableauRecette[[#This Row],[poids / unite]]</f>
        <v/>
      </c>
    </row>
    <row r="122">
      <c r="A122" s="69" t="inlineStr">
        <is>
          <t>Durban masala</t>
        </is>
      </c>
      <c r="B122" s="69">
        <f>TableauRecette[[#This Row],[Recette]]&amp;TableauRecette[[#This Row],[Conditionnement]]</f>
        <v/>
      </c>
      <c r="C122" s="69" t="inlineStr">
        <is>
          <t>Coriandre Graine</t>
        </is>
      </c>
      <c r="D122" s="193" t="n">
        <v>2</v>
      </c>
      <c r="E122" s="69" t="inlineStr">
        <is>
          <t>Epice 100ml</t>
        </is>
      </c>
      <c r="F122" s="19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22" s="193">
        <f>IFERROR(_xlfn.XLOOKUP(TableauRecette[[#This Row],[Ingredients]],TableauIngredients[Ingredients],TableauIngredients[Prix d''achat (kg)],0)*TableauRecette[[#This Row],[poids / unite]],0)</f>
        <v/>
      </c>
      <c r="H122" s="193">
        <f>IFERROR(SUMIFS(TableauRecette[Proportion],TableauRecette[Recette],TableauRecette[[#This Row],[Recette]],TableauRecette[Conditionnement],TableauRecette[[#This Row],[Conditionnement]]),0)</f>
        <v/>
      </c>
      <c r="I122" s="193">
        <f>IFERROR(TableauRecette[[#This Row],[Prix d''achat / kg]],0)</f>
        <v/>
      </c>
      <c r="J122" s="193" t="inlineStr">
        <is>
          <t>Afrique australe</t>
        </is>
      </c>
      <c r="K122" s="732" t="inlineStr">
        <is>
          <t>SEC</t>
        </is>
      </c>
      <c r="L122" s="733">
        <f>_xlfn.XLOOKUP(TableauRecette[[#This Row],[ID]],TableauProduit[ID],TableauProduit[Total (kg) N1],0,0,1)*TableauRecette[[#This Row],[poids / unite]]</f>
        <v/>
      </c>
      <c r="M122" s="734">
        <f>_xlfn.XLOOKUP(TableauRecette[[#This Row],[ID]],TableauProduit[ID],TableauProduit[Total (kg) N2],0,0,1)*TableauRecette[[#This Row],[poids / unite]]</f>
        <v/>
      </c>
      <c r="N122" s="734">
        <f>_xlfn.XLOOKUP(TableauRecette[[#This Row],[ID]],TableauProduit[ID],TableauProduit[Total (kg) N3],0,0,1)*TableauRecette[[#This Row],[poids / unite]]</f>
        <v/>
      </c>
      <c r="O122" s="734">
        <f>_xlfn.XLOOKUP(TableauRecette[[#This Row],[ID]],TableauProduit[ID],TableauProduit[Total (kg) N4],0,0,1)*TableauRecette[[#This Row],[poids / unite]]</f>
        <v/>
      </c>
      <c r="P122" s="734">
        <f>_xlfn.XLOOKUP(TableauRecette[[#This Row],[ID]],TableauProduit[ID],TableauProduit[Total (kg) N5],0,0,1)*TableauRecette[[#This Row],[poids / unite]]</f>
        <v/>
      </c>
      <c r="Q122" s="734">
        <f>_xlfn.XLOOKUP(TableauRecette[[#This Row],[ID]],TableauProduit[ID],TableauProduit[Total (kg) N6],0,0,1)*TableauRecette[[#This Row],[poids / unite]]</f>
        <v/>
      </c>
      <c r="R122" s="734">
        <f>_xlfn.XLOOKUP(TableauRecette[[#This Row],[ID]],TableauProduit[ID],TableauProduit[Total (kg) N7],0,0,1)*TableauRecette[[#This Row],[poids / unite]]</f>
        <v/>
      </c>
      <c r="S122" s="734">
        <f>_xlfn.XLOOKUP(TableauRecette[[#This Row],[ID]],TableauProduit[ID],TableauProduit[Total (kg) N8],0,0,1)*TableauRecette[[#This Row],[poids / unite]]</f>
        <v/>
      </c>
      <c r="T122" s="734">
        <f>_xlfn.XLOOKUP(TableauRecette[[#This Row],[ID]],TableauProduit[ID],TableauProduit[Total (kg) N9],0,0,1)*TableauRecette[[#This Row],[poids / unite]]</f>
        <v/>
      </c>
    </row>
    <row r="123">
      <c r="A123" s="69" t="inlineStr">
        <is>
          <t>Durban masala</t>
        </is>
      </c>
      <c r="B123" s="69">
        <f>TableauRecette[[#This Row],[Recette]]&amp;TableauRecette[[#This Row],[Conditionnement]]</f>
        <v/>
      </c>
      <c r="C123" s="69" t="inlineStr">
        <is>
          <t>Graine De Cumin</t>
        </is>
      </c>
      <c r="D123" s="193" t="n">
        <v>2</v>
      </c>
      <c r="E123" s="69" t="inlineStr">
        <is>
          <t>Epice 100ml</t>
        </is>
      </c>
      <c r="F123" s="19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23" s="193">
        <f>IFERROR(_xlfn.XLOOKUP(TableauRecette[[#This Row],[Ingredients]],TableauIngredients[Ingredients],TableauIngredients[Prix d''achat (kg)],0)*TableauRecette[[#This Row],[poids / unite]],0)</f>
        <v/>
      </c>
      <c r="H123" s="193">
        <f>IFERROR(SUMIFS(TableauRecette[Proportion],TableauRecette[Recette],TableauRecette[[#This Row],[Recette]],TableauRecette[Conditionnement],TableauRecette[[#This Row],[Conditionnement]]),0)</f>
        <v/>
      </c>
      <c r="I123" s="193">
        <f>IFERROR(TableauRecette[[#This Row],[Prix d''achat / kg]],0)</f>
        <v/>
      </c>
      <c r="J123" s="193" t="inlineStr">
        <is>
          <t>Afrique australe</t>
        </is>
      </c>
      <c r="K123" s="732" t="inlineStr">
        <is>
          <t>SEC</t>
        </is>
      </c>
      <c r="L123" s="733">
        <f>_xlfn.XLOOKUP(TableauRecette[[#This Row],[ID]],TableauProduit[ID],TableauProduit[Total (kg) N1],0,0,1)*TableauRecette[[#This Row],[poids / unite]]</f>
        <v/>
      </c>
      <c r="M123" s="734">
        <f>_xlfn.XLOOKUP(TableauRecette[[#This Row],[ID]],TableauProduit[ID],TableauProduit[Total (kg) N2],0,0,1)*TableauRecette[[#This Row],[poids / unite]]</f>
        <v/>
      </c>
      <c r="N123" s="734">
        <f>_xlfn.XLOOKUP(TableauRecette[[#This Row],[ID]],TableauProduit[ID],TableauProduit[Total (kg) N3],0,0,1)*TableauRecette[[#This Row],[poids / unite]]</f>
        <v/>
      </c>
      <c r="O123" s="734">
        <f>_xlfn.XLOOKUP(TableauRecette[[#This Row],[ID]],TableauProduit[ID],TableauProduit[Total (kg) N4],0,0,1)*TableauRecette[[#This Row],[poids / unite]]</f>
        <v/>
      </c>
      <c r="P123" s="734">
        <f>_xlfn.XLOOKUP(TableauRecette[[#This Row],[ID]],TableauProduit[ID],TableauProduit[Total (kg) N5],0,0,1)*TableauRecette[[#This Row],[poids / unite]]</f>
        <v/>
      </c>
      <c r="Q123" s="734">
        <f>_xlfn.XLOOKUP(TableauRecette[[#This Row],[ID]],TableauProduit[ID],TableauProduit[Total (kg) N6],0,0,1)*TableauRecette[[#This Row],[poids / unite]]</f>
        <v/>
      </c>
      <c r="R123" s="734">
        <f>_xlfn.XLOOKUP(TableauRecette[[#This Row],[ID]],TableauProduit[ID],TableauProduit[Total (kg) N7],0,0,1)*TableauRecette[[#This Row],[poids / unite]]</f>
        <v/>
      </c>
      <c r="S123" s="734">
        <f>_xlfn.XLOOKUP(TableauRecette[[#This Row],[ID]],TableauProduit[ID],TableauProduit[Total (kg) N8],0,0,1)*TableauRecette[[#This Row],[poids / unite]]</f>
        <v/>
      </c>
      <c r="T123" s="734">
        <f>_xlfn.XLOOKUP(TableauRecette[[#This Row],[ID]],TableauProduit[ID],TableauProduit[Total (kg) N9],0,0,1)*TableauRecette[[#This Row],[poids / unite]]</f>
        <v/>
      </c>
    </row>
    <row r="124">
      <c r="A124" s="69" t="inlineStr">
        <is>
          <t>Durban masala</t>
        </is>
      </c>
      <c r="B124" s="69">
        <f>TableauRecette[[#This Row],[Recette]]&amp;TableauRecette[[#This Row],[Conditionnement]]</f>
        <v/>
      </c>
      <c r="C124" s="69" t="inlineStr">
        <is>
          <t>Graine De Cardamone</t>
        </is>
      </c>
      <c r="D124" s="193" t="n">
        <v>1</v>
      </c>
      <c r="E124" s="69" t="inlineStr">
        <is>
          <t>Epice 100ml</t>
        </is>
      </c>
      <c r="F124" s="19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24" s="193">
        <f>IFERROR(_xlfn.XLOOKUP(TableauRecette[[#This Row],[Ingredients]],TableauIngredients[Ingredients],TableauIngredients[Prix d''achat (kg)],0)*TableauRecette[[#This Row],[poids / unite]],0)</f>
        <v/>
      </c>
      <c r="H124" s="193">
        <f>IFERROR(SUMIFS(TableauRecette[Proportion],TableauRecette[Recette],TableauRecette[[#This Row],[Recette]],TableauRecette[Conditionnement],TableauRecette[[#This Row],[Conditionnement]]),0)</f>
        <v/>
      </c>
      <c r="I124" s="193">
        <f>IFERROR(TableauRecette[[#This Row],[Prix d''achat / kg]],0)</f>
        <v/>
      </c>
      <c r="J124" s="193" t="inlineStr">
        <is>
          <t>Afrique australe</t>
        </is>
      </c>
      <c r="K124" s="732" t="inlineStr">
        <is>
          <t>SEC</t>
        </is>
      </c>
      <c r="L124" s="733">
        <f>_xlfn.XLOOKUP(TableauRecette[[#This Row],[ID]],TableauProduit[ID],TableauProduit[Total (kg) N1],0,0,1)*TableauRecette[[#This Row],[poids / unite]]</f>
        <v/>
      </c>
      <c r="M124" s="734">
        <f>_xlfn.XLOOKUP(TableauRecette[[#This Row],[ID]],TableauProduit[ID],TableauProduit[Total (kg) N2],0,0,1)*TableauRecette[[#This Row],[poids / unite]]</f>
        <v/>
      </c>
      <c r="N124" s="734">
        <f>_xlfn.XLOOKUP(TableauRecette[[#This Row],[ID]],TableauProduit[ID],TableauProduit[Total (kg) N3],0,0,1)*TableauRecette[[#This Row],[poids / unite]]</f>
        <v/>
      </c>
      <c r="O124" s="734">
        <f>_xlfn.XLOOKUP(TableauRecette[[#This Row],[ID]],TableauProduit[ID],TableauProduit[Total (kg) N4],0,0,1)*TableauRecette[[#This Row],[poids / unite]]</f>
        <v/>
      </c>
      <c r="P124" s="734">
        <f>_xlfn.XLOOKUP(TableauRecette[[#This Row],[ID]],TableauProduit[ID],TableauProduit[Total (kg) N5],0,0,1)*TableauRecette[[#This Row],[poids / unite]]</f>
        <v/>
      </c>
      <c r="Q124" s="734">
        <f>_xlfn.XLOOKUP(TableauRecette[[#This Row],[ID]],TableauProduit[ID],TableauProduit[Total (kg) N6],0,0,1)*TableauRecette[[#This Row],[poids / unite]]</f>
        <v/>
      </c>
      <c r="R124" s="734">
        <f>_xlfn.XLOOKUP(TableauRecette[[#This Row],[ID]],TableauProduit[ID],TableauProduit[Total (kg) N7],0,0,1)*TableauRecette[[#This Row],[poids / unite]]</f>
        <v/>
      </c>
      <c r="S124" s="734">
        <f>_xlfn.XLOOKUP(TableauRecette[[#This Row],[ID]],TableauProduit[ID],TableauProduit[Total (kg) N8],0,0,1)*TableauRecette[[#This Row],[poids / unite]]</f>
        <v/>
      </c>
      <c r="T124" s="734">
        <f>_xlfn.XLOOKUP(TableauRecette[[#This Row],[ID]],TableauProduit[ID],TableauProduit[Total (kg) N9],0,0,1)*TableauRecette[[#This Row],[poids / unite]]</f>
        <v/>
      </c>
    </row>
    <row r="125">
      <c r="A125" s="69" t="inlineStr">
        <is>
          <t>Durban masala</t>
        </is>
      </c>
      <c r="B125" s="69">
        <f>TableauRecette[[#This Row],[Recette]]&amp;TableauRecette[[#This Row],[Conditionnement]]</f>
        <v/>
      </c>
      <c r="C125" s="69" t="inlineStr">
        <is>
          <t>Graine De Fenugrec</t>
        </is>
      </c>
      <c r="D125" s="193" t="n">
        <v>0.5</v>
      </c>
      <c r="E125" s="69" t="inlineStr">
        <is>
          <t>Epice 100ml</t>
        </is>
      </c>
      <c r="F125" s="19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25" s="193">
        <f>IFERROR(_xlfn.XLOOKUP(TableauRecette[[#This Row],[Ingredients]],TableauIngredients[Ingredients],TableauIngredients[Prix d''achat (kg)],0)*TableauRecette[[#This Row],[poids / unite]],0)</f>
        <v/>
      </c>
      <c r="H125" s="193">
        <f>IFERROR(SUMIFS(TableauRecette[Proportion],TableauRecette[Recette],TableauRecette[[#This Row],[Recette]],TableauRecette[Conditionnement],TableauRecette[[#This Row],[Conditionnement]]),0)</f>
        <v/>
      </c>
      <c r="I125" s="193">
        <f>IFERROR(TableauRecette[[#This Row],[Prix d''achat / kg]],0)</f>
        <v/>
      </c>
      <c r="J125" s="193" t="inlineStr">
        <is>
          <t>Afrique australe</t>
        </is>
      </c>
      <c r="K125" s="732" t="inlineStr">
        <is>
          <t>SEC</t>
        </is>
      </c>
      <c r="L125" s="733">
        <f>_xlfn.XLOOKUP(TableauRecette[[#This Row],[ID]],TableauProduit[ID],TableauProduit[Total (kg) N1],0,0,1)*TableauRecette[[#This Row],[poids / unite]]</f>
        <v/>
      </c>
      <c r="M125" s="734">
        <f>_xlfn.XLOOKUP(TableauRecette[[#This Row],[ID]],TableauProduit[ID],TableauProduit[Total (kg) N2],0,0,1)*TableauRecette[[#This Row],[poids / unite]]</f>
        <v/>
      </c>
      <c r="N125" s="734">
        <f>_xlfn.XLOOKUP(TableauRecette[[#This Row],[ID]],TableauProduit[ID],TableauProduit[Total (kg) N3],0,0,1)*TableauRecette[[#This Row],[poids / unite]]</f>
        <v/>
      </c>
      <c r="O125" s="734">
        <f>_xlfn.XLOOKUP(TableauRecette[[#This Row],[ID]],TableauProduit[ID],TableauProduit[Total (kg) N4],0,0,1)*TableauRecette[[#This Row],[poids / unite]]</f>
        <v/>
      </c>
      <c r="P125" s="734">
        <f>_xlfn.XLOOKUP(TableauRecette[[#This Row],[ID]],TableauProduit[ID],TableauProduit[Total (kg) N5],0,0,1)*TableauRecette[[#This Row],[poids / unite]]</f>
        <v/>
      </c>
      <c r="Q125" s="734">
        <f>_xlfn.XLOOKUP(TableauRecette[[#This Row],[ID]],TableauProduit[ID],TableauProduit[Total (kg) N6],0,0,1)*TableauRecette[[#This Row],[poids / unite]]</f>
        <v/>
      </c>
      <c r="R125" s="734">
        <f>_xlfn.XLOOKUP(TableauRecette[[#This Row],[ID]],TableauProduit[ID],TableauProduit[Total (kg) N7],0,0,1)*TableauRecette[[#This Row],[poids / unite]]</f>
        <v/>
      </c>
      <c r="S125" s="734">
        <f>_xlfn.XLOOKUP(TableauRecette[[#This Row],[ID]],TableauProduit[ID],TableauProduit[Total (kg) N8],0,0,1)*TableauRecette[[#This Row],[poids / unite]]</f>
        <v/>
      </c>
      <c r="T125" s="734">
        <f>_xlfn.XLOOKUP(TableauRecette[[#This Row],[ID]],TableauProduit[ID],TableauProduit[Total (kg) N9],0,0,1)*TableauRecette[[#This Row],[poids / unite]]</f>
        <v/>
      </c>
    </row>
    <row r="126">
      <c r="A126" s="69" t="inlineStr">
        <is>
          <t>Durban masala</t>
        </is>
      </c>
      <c r="B126" s="69">
        <f>TableauRecette[[#This Row],[Recette]]&amp;TableauRecette[[#This Row],[Conditionnement]]</f>
        <v/>
      </c>
      <c r="C126" s="69" t="inlineStr">
        <is>
          <t>Clous De Girofle</t>
        </is>
      </c>
      <c r="D126" s="193" t="n">
        <v>0.1</v>
      </c>
      <c r="E126" s="69" t="inlineStr">
        <is>
          <t>Epice 100ml</t>
        </is>
      </c>
      <c r="F126" s="19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26" s="193">
        <f>IFERROR(_xlfn.XLOOKUP(TableauRecette[[#This Row],[Ingredients]],TableauIngredients[Ingredients],TableauIngredients[Prix d''achat (kg)],0)*TableauRecette[[#This Row],[poids / unite]],0)</f>
        <v/>
      </c>
      <c r="H126" s="193">
        <f>IFERROR(SUMIFS(TableauRecette[Proportion],TableauRecette[Recette],TableauRecette[[#This Row],[Recette]],TableauRecette[Conditionnement],TableauRecette[[#This Row],[Conditionnement]]),0)</f>
        <v/>
      </c>
      <c r="I126" s="193">
        <f>IFERROR(TableauRecette[[#This Row],[Prix d''achat / kg]],0)</f>
        <v/>
      </c>
      <c r="J126" s="193" t="inlineStr">
        <is>
          <t>Afrique australe</t>
        </is>
      </c>
      <c r="K126" s="732" t="inlineStr">
        <is>
          <t>SEC</t>
        </is>
      </c>
      <c r="L126" s="733">
        <f>_xlfn.XLOOKUP(TableauRecette[[#This Row],[ID]],TableauProduit[ID],TableauProduit[Total (kg) N1],0,0,1)*TableauRecette[[#This Row],[poids / unite]]</f>
        <v/>
      </c>
      <c r="M126" s="734">
        <f>_xlfn.XLOOKUP(TableauRecette[[#This Row],[ID]],TableauProduit[ID],TableauProduit[Total (kg) N2],0,0,1)*TableauRecette[[#This Row],[poids / unite]]</f>
        <v/>
      </c>
      <c r="N126" s="734">
        <f>_xlfn.XLOOKUP(TableauRecette[[#This Row],[ID]],TableauProduit[ID],TableauProduit[Total (kg) N3],0,0,1)*TableauRecette[[#This Row],[poids / unite]]</f>
        <v/>
      </c>
      <c r="O126" s="734">
        <f>_xlfn.XLOOKUP(TableauRecette[[#This Row],[ID]],TableauProduit[ID],TableauProduit[Total (kg) N4],0,0,1)*TableauRecette[[#This Row],[poids / unite]]</f>
        <v/>
      </c>
      <c r="P126" s="734">
        <f>_xlfn.XLOOKUP(TableauRecette[[#This Row],[ID]],TableauProduit[ID],TableauProduit[Total (kg) N5],0,0,1)*TableauRecette[[#This Row],[poids / unite]]</f>
        <v/>
      </c>
      <c r="Q126" s="734">
        <f>_xlfn.XLOOKUP(TableauRecette[[#This Row],[ID]],TableauProduit[ID],TableauProduit[Total (kg) N6],0,0,1)*TableauRecette[[#This Row],[poids / unite]]</f>
        <v/>
      </c>
      <c r="R126" s="734">
        <f>_xlfn.XLOOKUP(TableauRecette[[#This Row],[ID]],TableauProduit[ID],TableauProduit[Total (kg) N7],0,0,1)*TableauRecette[[#This Row],[poids / unite]]</f>
        <v/>
      </c>
      <c r="S126" s="734">
        <f>_xlfn.XLOOKUP(TableauRecette[[#This Row],[ID]],TableauProduit[ID],TableauProduit[Total (kg) N8],0,0,1)*TableauRecette[[#This Row],[poids / unite]]</f>
        <v/>
      </c>
      <c r="T126" s="734">
        <f>_xlfn.XLOOKUP(TableauRecette[[#This Row],[ID]],TableauProduit[ID],TableauProduit[Total (kg) N9],0,0,1)*TableauRecette[[#This Row],[poids / unite]]</f>
        <v/>
      </c>
    </row>
    <row r="127">
      <c r="A127" s="69" t="inlineStr">
        <is>
          <t>Durban masala</t>
        </is>
      </c>
      <c r="B127" s="69">
        <f>TableauRecette[[#This Row],[Recette]]&amp;TableauRecette[[#This Row],[Conditionnement]]</f>
        <v/>
      </c>
      <c r="C127" s="69" t="inlineStr">
        <is>
          <t>Cannelle Moulue</t>
        </is>
      </c>
      <c r="D127" s="193" t="n">
        <v>3</v>
      </c>
      <c r="E127" s="69" t="inlineStr">
        <is>
          <t>Epice 100ml</t>
        </is>
      </c>
      <c r="F127" s="19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27" s="193">
        <f>IFERROR(_xlfn.XLOOKUP(TableauRecette[[#This Row],[Ingredients]],TableauIngredients[Ingredients],TableauIngredients[Prix d''achat (kg)],0)*TableauRecette[[#This Row],[poids / unite]],0)</f>
        <v/>
      </c>
      <c r="H127" s="193">
        <f>IFERROR(SUMIFS(TableauRecette[Proportion],TableauRecette[Recette],TableauRecette[[#This Row],[Recette]],TableauRecette[Conditionnement],TableauRecette[[#This Row],[Conditionnement]]),0)</f>
        <v/>
      </c>
      <c r="I127" s="193">
        <f>IFERROR(TableauRecette[[#This Row],[Prix d''achat / kg]],0)</f>
        <v/>
      </c>
      <c r="J127" s="193" t="inlineStr">
        <is>
          <t>Inde du nord</t>
        </is>
      </c>
      <c r="K127" s="732" t="inlineStr">
        <is>
          <t>SEC</t>
        </is>
      </c>
      <c r="L127" s="733">
        <f>_xlfn.XLOOKUP(TableauRecette[[#This Row],[ID]],TableauProduit[ID],TableauProduit[Total (kg) N1],0,0,1)*TableauRecette[[#This Row],[poids / unite]]</f>
        <v/>
      </c>
      <c r="M127" s="734">
        <f>_xlfn.XLOOKUP(TableauRecette[[#This Row],[ID]],TableauProduit[ID],TableauProduit[Total (kg) N2],0,0,1)*TableauRecette[[#This Row],[poids / unite]]</f>
        <v/>
      </c>
      <c r="N127" s="734">
        <f>_xlfn.XLOOKUP(TableauRecette[[#This Row],[ID]],TableauProduit[ID],TableauProduit[Total (kg) N3],0,0,1)*TableauRecette[[#This Row],[poids / unite]]</f>
        <v/>
      </c>
      <c r="O127" s="734">
        <f>_xlfn.XLOOKUP(TableauRecette[[#This Row],[ID]],TableauProduit[ID],TableauProduit[Total (kg) N4],0,0,1)*TableauRecette[[#This Row],[poids / unite]]</f>
        <v/>
      </c>
      <c r="P127" s="734">
        <f>_xlfn.XLOOKUP(TableauRecette[[#This Row],[ID]],TableauProduit[ID],TableauProduit[Total (kg) N5],0,0,1)*TableauRecette[[#This Row],[poids / unite]]</f>
        <v/>
      </c>
      <c r="Q127" s="734">
        <f>_xlfn.XLOOKUP(TableauRecette[[#This Row],[ID]],TableauProduit[ID],TableauProduit[Total (kg) N6],0,0,1)*TableauRecette[[#This Row],[poids / unite]]</f>
        <v/>
      </c>
      <c r="R127" s="734">
        <f>_xlfn.XLOOKUP(TableauRecette[[#This Row],[ID]],TableauProduit[ID],TableauProduit[Total (kg) N7],0,0,1)*TableauRecette[[#This Row],[poids / unite]]</f>
        <v/>
      </c>
      <c r="S127" s="734">
        <f>_xlfn.XLOOKUP(TableauRecette[[#This Row],[ID]],TableauProduit[ID],TableauProduit[Total (kg) N8],0,0,1)*TableauRecette[[#This Row],[poids / unite]]</f>
        <v/>
      </c>
      <c r="T127" s="734">
        <f>_xlfn.XLOOKUP(TableauRecette[[#This Row],[ID]],TableauProduit[ID],TableauProduit[Total (kg) N9],0,0,1)*TableauRecette[[#This Row],[poids / unite]]</f>
        <v/>
      </c>
    </row>
    <row r="128">
      <c r="A128" s="69" t="inlineStr">
        <is>
          <t>Durban masala</t>
        </is>
      </c>
      <c r="B128" s="69">
        <f>TableauRecette[[#This Row],[Recette]]&amp;TableauRecette[[#This Row],[Conditionnement]]</f>
        <v/>
      </c>
      <c r="C128" s="69" t="inlineStr">
        <is>
          <t>Piment De Cayenne Jaune</t>
        </is>
      </c>
      <c r="D128" s="193" t="n">
        <v>1</v>
      </c>
      <c r="E128" s="69" t="inlineStr">
        <is>
          <t>Epice 100ml</t>
        </is>
      </c>
      <c r="F128" s="19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28" s="193">
        <f>IFERROR(_xlfn.XLOOKUP(TableauRecette[[#This Row],[Ingredients]],TableauIngredients[Ingredients],TableauIngredients[Prix d''achat (kg)],0)*TableauRecette[[#This Row],[poids / unite]],0)</f>
        <v/>
      </c>
      <c r="H128" s="193">
        <f>IFERROR(SUMIFS(TableauRecette[Proportion],TableauRecette[Recette],TableauRecette[[#This Row],[Recette]],TableauRecette[Conditionnement],TableauRecette[[#This Row],[Conditionnement]]),0)</f>
        <v/>
      </c>
      <c r="I128" s="193">
        <f>IFERROR(TableauRecette[[#This Row],[Prix d''achat / kg]],0)</f>
        <v/>
      </c>
      <c r="J128" s="193" t="inlineStr">
        <is>
          <t>Inde du nord</t>
        </is>
      </c>
      <c r="K128" s="732" t="inlineStr">
        <is>
          <t>SEC</t>
        </is>
      </c>
      <c r="L128" s="733">
        <f>_xlfn.XLOOKUP(TableauRecette[[#This Row],[ID]],TableauProduit[ID],TableauProduit[Total (kg) N1],0,0,1)*TableauRecette[[#This Row],[poids / unite]]</f>
        <v/>
      </c>
      <c r="M128" s="734">
        <f>_xlfn.XLOOKUP(TableauRecette[[#This Row],[ID]],TableauProduit[ID],TableauProduit[Total (kg) N2],0,0,1)*TableauRecette[[#This Row],[poids / unite]]</f>
        <v/>
      </c>
      <c r="N128" s="734">
        <f>_xlfn.XLOOKUP(TableauRecette[[#This Row],[ID]],TableauProduit[ID],TableauProduit[Total (kg) N3],0,0,1)*TableauRecette[[#This Row],[poids / unite]]</f>
        <v/>
      </c>
      <c r="O128" s="734">
        <f>_xlfn.XLOOKUP(TableauRecette[[#This Row],[ID]],TableauProduit[ID],TableauProduit[Total (kg) N4],0,0,1)*TableauRecette[[#This Row],[poids / unite]]</f>
        <v/>
      </c>
      <c r="P128" s="734">
        <f>_xlfn.XLOOKUP(TableauRecette[[#This Row],[ID]],TableauProduit[ID],TableauProduit[Total (kg) N5],0,0,1)*TableauRecette[[#This Row],[poids / unite]]</f>
        <v/>
      </c>
      <c r="Q128" s="734">
        <f>_xlfn.XLOOKUP(TableauRecette[[#This Row],[ID]],TableauProduit[ID],TableauProduit[Total (kg) N6],0,0,1)*TableauRecette[[#This Row],[poids / unite]]</f>
        <v/>
      </c>
      <c r="R128" s="734">
        <f>_xlfn.XLOOKUP(TableauRecette[[#This Row],[ID]],TableauProduit[ID],TableauProduit[Total (kg) N7],0,0,1)*TableauRecette[[#This Row],[poids / unite]]</f>
        <v/>
      </c>
      <c r="S128" s="734">
        <f>_xlfn.XLOOKUP(TableauRecette[[#This Row],[ID]],TableauProduit[ID],TableauProduit[Total (kg) N8],0,0,1)*TableauRecette[[#This Row],[poids / unite]]</f>
        <v/>
      </c>
      <c r="T128" s="734">
        <f>_xlfn.XLOOKUP(TableauRecette[[#This Row],[ID]],TableauProduit[ID],TableauProduit[Total (kg) N9],0,0,1)*TableauRecette[[#This Row],[poids / unite]]</f>
        <v/>
      </c>
    </row>
    <row r="129">
      <c r="A129" s="69" t="inlineStr">
        <is>
          <t>Durban masala</t>
        </is>
      </c>
      <c r="B129" s="69">
        <f>TableauRecette[[#This Row],[Recette]]&amp;TableauRecette[[#This Row],[Conditionnement]]</f>
        <v/>
      </c>
      <c r="C129" s="559" t="inlineStr">
        <is>
          <t>Gingembre Sec</t>
        </is>
      </c>
      <c r="D129" s="193" t="n">
        <v>0.5</v>
      </c>
      <c r="E129" s="69" t="inlineStr">
        <is>
          <t>Epice 100ml</t>
        </is>
      </c>
      <c r="F129" s="19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29" s="193">
        <f>IFERROR(_xlfn.XLOOKUP(TableauRecette[[#This Row],[Ingredients]],TableauIngredients[Ingredients],TableauIngredients[Prix d''achat (kg)],0)*TableauRecette[[#This Row],[poids / unite]],0)</f>
        <v/>
      </c>
      <c r="H129" s="193">
        <f>IFERROR(SUMIFS(TableauRecette[Proportion],TableauRecette[Recette],TableauRecette[[#This Row],[Recette]],TableauRecette[Conditionnement],TableauRecette[[#This Row],[Conditionnement]]),0)</f>
        <v/>
      </c>
      <c r="I129" s="193">
        <f>IFERROR(TableauRecette[[#This Row],[Prix d''achat / kg]],0)</f>
        <v/>
      </c>
      <c r="J129" s="193" t="inlineStr">
        <is>
          <t>Inde du nord</t>
        </is>
      </c>
      <c r="K129" s="732" t="inlineStr">
        <is>
          <t>SEC</t>
        </is>
      </c>
      <c r="L129" s="733">
        <f>_xlfn.XLOOKUP(TableauRecette[[#This Row],[ID]],TableauProduit[ID],TableauProduit[Total (kg) N1],0,0,1)*TableauRecette[[#This Row],[poids / unite]]</f>
        <v/>
      </c>
      <c r="M129" s="734">
        <f>_xlfn.XLOOKUP(TableauRecette[[#This Row],[ID]],TableauProduit[ID],TableauProduit[Total (kg) N2],0,0,1)*TableauRecette[[#This Row],[poids / unite]]</f>
        <v/>
      </c>
      <c r="N129" s="734">
        <f>_xlfn.XLOOKUP(TableauRecette[[#This Row],[ID]],TableauProduit[ID],TableauProduit[Total (kg) N3],0,0,1)*TableauRecette[[#This Row],[poids / unite]]</f>
        <v/>
      </c>
      <c r="O129" s="734">
        <f>_xlfn.XLOOKUP(TableauRecette[[#This Row],[ID]],TableauProduit[ID],TableauProduit[Total (kg) N4],0,0,1)*TableauRecette[[#This Row],[poids / unite]]</f>
        <v/>
      </c>
      <c r="P129" s="734">
        <f>_xlfn.XLOOKUP(TableauRecette[[#This Row],[ID]],TableauProduit[ID],TableauProduit[Total (kg) N5],0,0,1)*TableauRecette[[#This Row],[poids / unite]]</f>
        <v/>
      </c>
      <c r="Q129" s="734">
        <f>_xlfn.XLOOKUP(TableauRecette[[#This Row],[ID]],TableauProduit[ID],TableauProduit[Total (kg) N6],0,0,1)*TableauRecette[[#This Row],[poids / unite]]</f>
        <v/>
      </c>
      <c r="R129" s="734">
        <f>_xlfn.XLOOKUP(TableauRecette[[#This Row],[ID]],TableauProduit[ID],TableauProduit[Total (kg) N7],0,0,1)*TableauRecette[[#This Row],[poids / unite]]</f>
        <v/>
      </c>
      <c r="S129" s="734">
        <f>_xlfn.XLOOKUP(TableauRecette[[#This Row],[ID]],TableauProduit[ID],TableauProduit[Total (kg) N8],0,0,1)*TableauRecette[[#This Row],[poids / unite]]</f>
        <v/>
      </c>
      <c r="T129" s="734">
        <f>_xlfn.XLOOKUP(TableauRecette[[#This Row],[ID]],TableauProduit[ID],TableauProduit[Total (kg) N9],0,0,1)*TableauRecette[[#This Row],[poids / unite]]</f>
        <v/>
      </c>
    </row>
    <row r="130">
      <c r="A130" s="69" t="inlineStr">
        <is>
          <t>Durban masala</t>
        </is>
      </c>
      <c r="B130" s="69">
        <f>TableauRecette[[#This Row],[Recette]]&amp;TableauRecette[[#This Row],[Conditionnement]]</f>
        <v/>
      </c>
      <c r="C130" s="560" t="inlineStr">
        <is>
          <t>Piment Doux Rouge En Poudre</t>
        </is>
      </c>
      <c r="D130" s="193" t="n">
        <v>6</v>
      </c>
      <c r="E130" s="69" t="inlineStr">
        <is>
          <t>Epice 100ml</t>
        </is>
      </c>
      <c r="F130" s="19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30" s="193">
        <f>IFERROR(_xlfn.XLOOKUP(TableauRecette[[#This Row],[Ingredients]],TableauIngredients[Ingredients],TableauIngredients[Prix d''achat (kg)],0)*TableauRecette[[#This Row],[poids / unite]],0)</f>
        <v/>
      </c>
      <c r="H130" s="193">
        <f>IFERROR(SUMIFS(TableauRecette[Proportion],TableauRecette[Recette],TableauRecette[[#This Row],[Recette]],TableauRecette[Conditionnement],TableauRecette[[#This Row],[Conditionnement]]),0)</f>
        <v/>
      </c>
      <c r="I130" s="193">
        <f>IFERROR(TableauRecette[[#This Row],[Prix d''achat / kg]],0)</f>
        <v/>
      </c>
      <c r="J130" s="193" t="inlineStr">
        <is>
          <t>Inde du nord</t>
        </is>
      </c>
      <c r="K130" s="732" t="inlineStr">
        <is>
          <t>SEC</t>
        </is>
      </c>
      <c r="L130" s="733">
        <f>_xlfn.XLOOKUP(TableauRecette[[#This Row],[ID]],TableauProduit[ID],TableauProduit[Total (kg) N1],0,0,1)*TableauRecette[[#This Row],[poids / unite]]</f>
        <v/>
      </c>
      <c r="M130" s="734">
        <f>_xlfn.XLOOKUP(TableauRecette[[#This Row],[ID]],TableauProduit[ID],TableauProduit[Total (kg) N2],0,0,1)*TableauRecette[[#This Row],[poids / unite]]</f>
        <v/>
      </c>
      <c r="N130" s="734">
        <f>_xlfn.XLOOKUP(TableauRecette[[#This Row],[ID]],TableauProduit[ID],TableauProduit[Total (kg) N3],0,0,1)*TableauRecette[[#This Row],[poids / unite]]</f>
        <v/>
      </c>
      <c r="O130" s="734">
        <f>_xlfn.XLOOKUP(TableauRecette[[#This Row],[ID]],TableauProduit[ID],TableauProduit[Total (kg) N4],0,0,1)*TableauRecette[[#This Row],[poids / unite]]</f>
        <v/>
      </c>
      <c r="P130" s="734">
        <f>_xlfn.XLOOKUP(TableauRecette[[#This Row],[ID]],TableauProduit[ID],TableauProduit[Total (kg) N5],0,0,1)*TableauRecette[[#This Row],[poids / unite]]</f>
        <v/>
      </c>
      <c r="Q130" s="734">
        <f>_xlfn.XLOOKUP(TableauRecette[[#This Row],[ID]],TableauProduit[ID],TableauProduit[Total (kg) N6],0,0,1)*TableauRecette[[#This Row],[poids / unite]]</f>
        <v/>
      </c>
      <c r="R130" s="734">
        <f>_xlfn.XLOOKUP(TableauRecette[[#This Row],[ID]],TableauProduit[ID],TableauProduit[Total (kg) N7],0,0,1)*TableauRecette[[#This Row],[poids / unite]]</f>
        <v/>
      </c>
      <c r="S130" s="734">
        <f>_xlfn.XLOOKUP(TableauRecette[[#This Row],[ID]],TableauProduit[ID],TableauProduit[Total (kg) N8],0,0,1)*TableauRecette[[#This Row],[poids / unite]]</f>
        <v/>
      </c>
      <c r="T130" s="734">
        <f>_xlfn.XLOOKUP(TableauRecette[[#This Row],[ID]],TableauProduit[ID],TableauProduit[Total (kg) N9],0,0,1)*TableauRecette[[#This Row],[poids / unite]]</f>
        <v/>
      </c>
    </row>
    <row r="131">
      <c r="A131" s="70" t="inlineStr">
        <is>
          <t>epices cajun</t>
        </is>
      </c>
      <c r="B131" s="70">
        <f>TableauRecette[[#This Row],[Recette]]&amp;TableauRecette[[#This Row],[Conditionnement]]</f>
        <v/>
      </c>
      <c r="C131" s="70" t="inlineStr">
        <is>
          <t>Paprika</t>
        </is>
      </c>
      <c r="D131" s="194" t="n">
        <v>3</v>
      </c>
      <c r="E131" s="70" t="inlineStr">
        <is>
          <t>Epice 100ml</t>
        </is>
      </c>
      <c r="F131" s="19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31" s="194">
        <f>IFERROR(_xlfn.XLOOKUP(TableauRecette[[#This Row],[Ingredients]],TableauIngredients[Ingredients],TableauIngredients[Prix d''achat (kg)],0)*TableauRecette[[#This Row],[poids / unite]],0)</f>
        <v/>
      </c>
      <c r="H131" s="194">
        <f>IFERROR(SUMIFS(TableauRecette[Proportion],TableauRecette[Recette],TableauRecette[[#This Row],[Recette]],TableauRecette[Conditionnement],TableauRecette[[#This Row],[Conditionnement]]),0)</f>
        <v/>
      </c>
      <c r="I131" s="194">
        <f>IFERROR(TableauRecette[[#This Row],[Prix d''achat / kg]],0)</f>
        <v/>
      </c>
      <c r="J131" s="194" t="n"/>
      <c r="K131" s="735" t="n"/>
      <c r="L131" s="736">
        <f>_xlfn.XLOOKUP(TableauRecette[[#This Row],[ID]],TableauProduit[ID],TableauProduit[Total (kg) N1],0,0,1)*TableauRecette[[#This Row],[poids / unite]]</f>
        <v/>
      </c>
      <c r="M131" s="737">
        <f>_xlfn.XLOOKUP(TableauRecette[[#This Row],[ID]],TableauProduit[ID],TableauProduit[Total (kg) N2],0,0,1)*TableauRecette[[#This Row],[poids / unite]]</f>
        <v/>
      </c>
      <c r="N131" s="737">
        <f>_xlfn.XLOOKUP(TableauRecette[[#This Row],[ID]],TableauProduit[ID],TableauProduit[Total (kg) N3],0,0,1)*TableauRecette[[#This Row],[poids / unite]]</f>
        <v/>
      </c>
      <c r="O131" s="737">
        <f>_xlfn.XLOOKUP(TableauRecette[[#This Row],[ID]],TableauProduit[ID],TableauProduit[Total (kg) N4],0,0,1)*TableauRecette[[#This Row],[poids / unite]]</f>
        <v/>
      </c>
      <c r="P131" s="737">
        <f>_xlfn.XLOOKUP(TableauRecette[[#This Row],[ID]],TableauProduit[ID],TableauProduit[Total (kg) N5],0,0,1)*TableauRecette[[#This Row],[poids / unite]]</f>
        <v/>
      </c>
      <c r="Q131" s="737">
        <f>_xlfn.XLOOKUP(TableauRecette[[#This Row],[ID]],TableauProduit[ID],TableauProduit[Total (kg) N6],0,0,1)*TableauRecette[[#This Row],[poids / unite]]</f>
        <v/>
      </c>
      <c r="R131" s="737">
        <f>_xlfn.XLOOKUP(TableauRecette[[#This Row],[ID]],TableauProduit[ID],TableauProduit[Total (kg) N7],0,0,1)*TableauRecette[[#This Row],[poids / unite]]</f>
        <v/>
      </c>
      <c r="S131" s="737">
        <f>_xlfn.XLOOKUP(TableauRecette[[#This Row],[ID]],TableauProduit[ID],TableauProduit[Total (kg) N8],0,0,1)*TableauRecette[[#This Row],[poids / unite]]</f>
        <v/>
      </c>
      <c r="T131" s="737">
        <f>_xlfn.XLOOKUP(TableauRecette[[#This Row],[ID]],TableauProduit[ID],TableauProduit[Total (kg) N9],0,0,1)*TableauRecette[[#This Row],[poids / unite]]</f>
        <v/>
      </c>
    </row>
    <row r="132">
      <c r="A132" s="70" t="inlineStr">
        <is>
          <t>epices cajun</t>
        </is>
      </c>
      <c r="B132" s="70">
        <f>TableauRecette[[#This Row],[Recette]]&amp;TableauRecette[[#This Row],[Conditionnement]]</f>
        <v/>
      </c>
      <c r="C132" s="70" t="inlineStr">
        <is>
          <t>Origan</t>
        </is>
      </c>
      <c r="D132" s="194" t="n">
        <v>3</v>
      </c>
      <c r="E132" s="70" t="inlineStr">
        <is>
          <t>Epice 100ml</t>
        </is>
      </c>
      <c r="F132" s="19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32" s="194">
        <f>IFERROR(_xlfn.XLOOKUP(TableauRecette[[#This Row],[Ingredients]],TableauIngredients[Ingredients],TableauIngredients[Prix d''achat (kg)],0)*TableauRecette[[#This Row],[poids / unite]],0)</f>
        <v/>
      </c>
      <c r="H132" s="194">
        <f>IFERROR(SUMIFS(TableauRecette[Proportion],TableauRecette[Recette],TableauRecette[[#This Row],[Recette]],TableauRecette[Conditionnement],TableauRecette[[#This Row],[Conditionnement]]),0)</f>
        <v/>
      </c>
      <c r="I132" s="194">
        <f>IFERROR(TableauRecette[[#This Row],[Prix d''achat / kg]],0)</f>
        <v/>
      </c>
      <c r="J132" s="194" t="n"/>
      <c r="K132" s="735" t="n"/>
      <c r="L132" s="736">
        <f>_xlfn.XLOOKUP(TableauRecette[[#This Row],[ID]],TableauProduit[ID],TableauProduit[Total (kg) N1],0,0,1)*TableauRecette[[#This Row],[poids / unite]]</f>
        <v/>
      </c>
      <c r="M132" s="737">
        <f>_xlfn.XLOOKUP(TableauRecette[[#This Row],[ID]],TableauProduit[ID],TableauProduit[Total (kg) N2],0,0,1)*TableauRecette[[#This Row],[poids / unite]]</f>
        <v/>
      </c>
      <c r="N132" s="737">
        <f>_xlfn.XLOOKUP(TableauRecette[[#This Row],[ID]],TableauProduit[ID],TableauProduit[Total (kg) N3],0,0,1)*TableauRecette[[#This Row],[poids / unite]]</f>
        <v/>
      </c>
      <c r="O132" s="737">
        <f>_xlfn.XLOOKUP(TableauRecette[[#This Row],[ID]],TableauProduit[ID],TableauProduit[Total (kg) N4],0,0,1)*TableauRecette[[#This Row],[poids / unite]]</f>
        <v/>
      </c>
      <c r="P132" s="737">
        <f>_xlfn.XLOOKUP(TableauRecette[[#This Row],[ID]],TableauProduit[ID],TableauProduit[Total (kg) N5],0,0,1)*TableauRecette[[#This Row],[poids / unite]]</f>
        <v/>
      </c>
      <c r="Q132" s="737">
        <f>_xlfn.XLOOKUP(TableauRecette[[#This Row],[ID]],TableauProduit[ID],TableauProduit[Total (kg) N6],0,0,1)*TableauRecette[[#This Row],[poids / unite]]</f>
        <v/>
      </c>
      <c r="R132" s="737">
        <f>_xlfn.XLOOKUP(TableauRecette[[#This Row],[ID]],TableauProduit[ID],TableauProduit[Total (kg) N7],0,0,1)*TableauRecette[[#This Row],[poids / unite]]</f>
        <v/>
      </c>
      <c r="S132" s="737">
        <f>_xlfn.XLOOKUP(TableauRecette[[#This Row],[ID]],TableauProduit[ID],TableauProduit[Total (kg) N8],0,0,1)*TableauRecette[[#This Row],[poids / unite]]</f>
        <v/>
      </c>
      <c r="T132" s="737">
        <f>_xlfn.XLOOKUP(TableauRecette[[#This Row],[ID]],TableauProduit[ID],TableauProduit[Total (kg) N9],0,0,1)*TableauRecette[[#This Row],[poids / unite]]</f>
        <v/>
      </c>
    </row>
    <row r="133">
      <c r="A133" s="70" t="inlineStr">
        <is>
          <t>epices cajun</t>
        </is>
      </c>
      <c r="B133" s="70">
        <f>TableauRecette[[#This Row],[Recette]]&amp;TableauRecette[[#This Row],[Conditionnement]]</f>
        <v/>
      </c>
      <c r="C133" s="70" t="inlineStr">
        <is>
          <t>Thym</t>
        </is>
      </c>
      <c r="D133" s="194" t="n">
        <v>3</v>
      </c>
      <c r="E133" s="70" t="inlineStr">
        <is>
          <t>Epice 100ml</t>
        </is>
      </c>
      <c r="F133" s="19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33" s="194">
        <f>IFERROR(_xlfn.XLOOKUP(TableauRecette[[#This Row],[Ingredients]],TableauIngredients[Ingredients],TableauIngredients[Prix d''achat (kg)],0)*TableauRecette[[#This Row],[poids / unite]],0)</f>
        <v/>
      </c>
      <c r="H133" s="194">
        <f>IFERROR(SUMIFS(TableauRecette[Proportion],TableauRecette[Recette],TableauRecette[[#This Row],[Recette]],TableauRecette[Conditionnement],TableauRecette[[#This Row],[Conditionnement]]),0)</f>
        <v/>
      </c>
      <c r="I133" s="194">
        <f>IFERROR(TableauRecette[[#This Row],[Prix d''achat / kg]],0)</f>
        <v/>
      </c>
      <c r="J133" s="194" t="n"/>
      <c r="K133" s="735" t="n"/>
      <c r="L133" s="736">
        <f>_xlfn.XLOOKUP(TableauRecette[[#This Row],[ID]],TableauProduit[ID],TableauProduit[Total (kg) N1],0,0,1)*TableauRecette[[#This Row],[poids / unite]]</f>
        <v/>
      </c>
      <c r="M133" s="737">
        <f>_xlfn.XLOOKUP(TableauRecette[[#This Row],[ID]],TableauProduit[ID],TableauProduit[Total (kg) N2],0,0,1)*TableauRecette[[#This Row],[poids / unite]]</f>
        <v/>
      </c>
      <c r="N133" s="737">
        <f>_xlfn.XLOOKUP(TableauRecette[[#This Row],[ID]],TableauProduit[ID],TableauProduit[Total (kg) N3],0,0,1)*TableauRecette[[#This Row],[poids / unite]]</f>
        <v/>
      </c>
      <c r="O133" s="737">
        <f>_xlfn.XLOOKUP(TableauRecette[[#This Row],[ID]],TableauProduit[ID],TableauProduit[Total (kg) N4],0,0,1)*TableauRecette[[#This Row],[poids / unite]]</f>
        <v/>
      </c>
      <c r="P133" s="737">
        <f>_xlfn.XLOOKUP(TableauRecette[[#This Row],[ID]],TableauProduit[ID],TableauProduit[Total (kg) N5],0,0,1)*TableauRecette[[#This Row],[poids / unite]]</f>
        <v/>
      </c>
      <c r="Q133" s="737">
        <f>_xlfn.XLOOKUP(TableauRecette[[#This Row],[ID]],TableauProduit[ID],TableauProduit[Total (kg) N6],0,0,1)*TableauRecette[[#This Row],[poids / unite]]</f>
        <v/>
      </c>
      <c r="R133" s="737">
        <f>_xlfn.XLOOKUP(TableauRecette[[#This Row],[ID]],TableauProduit[ID],TableauProduit[Total (kg) N7],0,0,1)*TableauRecette[[#This Row],[poids / unite]]</f>
        <v/>
      </c>
      <c r="S133" s="737">
        <f>_xlfn.XLOOKUP(TableauRecette[[#This Row],[ID]],TableauProduit[ID],TableauProduit[Total (kg) N8],0,0,1)*TableauRecette[[#This Row],[poids / unite]]</f>
        <v/>
      </c>
      <c r="T133" s="737">
        <f>_xlfn.XLOOKUP(TableauRecette[[#This Row],[ID]],TableauProduit[ID],TableauProduit[Total (kg) N9],0,0,1)*TableauRecette[[#This Row],[poids / unite]]</f>
        <v/>
      </c>
    </row>
    <row r="134">
      <c r="A134" s="70" t="inlineStr">
        <is>
          <t>epices cajun</t>
        </is>
      </c>
      <c r="B134" s="70">
        <f>TableauRecette[[#This Row],[Recette]]&amp;TableauRecette[[#This Row],[Conditionnement]]</f>
        <v/>
      </c>
      <c r="C134" s="70" t="inlineStr">
        <is>
          <t>Oignon Séché</t>
        </is>
      </c>
      <c r="D134" s="194" t="n">
        <v>3</v>
      </c>
      <c r="E134" s="70" t="inlineStr">
        <is>
          <t>Epice 100ml</t>
        </is>
      </c>
      <c r="F134" s="19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34" s="194">
        <f>IFERROR(_xlfn.XLOOKUP(TableauRecette[[#This Row],[Ingredients]],TableauIngredients[Ingredients],TableauIngredients[Prix d''achat (kg)],0)*TableauRecette[[#This Row],[poids / unite]],0)</f>
        <v/>
      </c>
      <c r="H134" s="194">
        <f>IFERROR(SUMIFS(TableauRecette[Proportion],TableauRecette[Recette],TableauRecette[[#This Row],[Recette]],TableauRecette[Conditionnement],TableauRecette[[#This Row],[Conditionnement]]),0)</f>
        <v/>
      </c>
      <c r="I134" s="194">
        <f>IFERROR(TableauRecette[[#This Row],[Prix d''achat / kg]],0)</f>
        <v/>
      </c>
      <c r="J134" s="194" t="n"/>
      <c r="K134" s="735" t="n"/>
      <c r="L134" s="736">
        <f>_xlfn.XLOOKUP(TableauRecette[[#This Row],[ID]],TableauProduit[ID],TableauProduit[Total (kg) N1],0,0,1)*TableauRecette[[#This Row],[poids / unite]]</f>
        <v/>
      </c>
      <c r="M134" s="737">
        <f>_xlfn.XLOOKUP(TableauRecette[[#This Row],[ID]],TableauProduit[ID],TableauProduit[Total (kg) N2],0,0,1)*TableauRecette[[#This Row],[poids / unite]]</f>
        <v/>
      </c>
      <c r="N134" s="737">
        <f>_xlfn.XLOOKUP(TableauRecette[[#This Row],[ID]],TableauProduit[ID],TableauProduit[Total (kg) N3],0,0,1)*TableauRecette[[#This Row],[poids / unite]]</f>
        <v/>
      </c>
      <c r="O134" s="737">
        <f>_xlfn.XLOOKUP(TableauRecette[[#This Row],[ID]],TableauProduit[ID],TableauProduit[Total (kg) N4],0,0,1)*TableauRecette[[#This Row],[poids / unite]]</f>
        <v/>
      </c>
      <c r="P134" s="737">
        <f>_xlfn.XLOOKUP(TableauRecette[[#This Row],[ID]],TableauProduit[ID],TableauProduit[Total (kg) N5],0,0,1)*TableauRecette[[#This Row],[poids / unite]]</f>
        <v/>
      </c>
      <c r="Q134" s="737">
        <f>_xlfn.XLOOKUP(TableauRecette[[#This Row],[ID]],TableauProduit[ID],TableauProduit[Total (kg) N6],0,0,1)*TableauRecette[[#This Row],[poids / unite]]</f>
        <v/>
      </c>
      <c r="R134" s="737">
        <f>_xlfn.XLOOKUP(TableauRecette[[#This Row],[ID]],TableauProduit[ID],TableauProduit[Total (kg) N7],0,0,1)*TableauRecette[[#This Row],[poids / unite]]</f>
        <v/>
      </c>
      <c r="S134" s="737">
        <f>_xlfn.XLOOKUP(TableauRecette[[#This Row],[ID]],TableauProduit[ID],TableauProduit[Total (kg) N8],0,0,1)*TableauRecette[[#This Row],[poids / unite]]</f>
        <v/>
      </c>
      <c r="T134" s="737">
        <f>_xlfn.XLOOKUP(TableauRecette[[#This Row],[ID]],TableauProduit[ID],TableauProduit[Total (kg) N9],0,0,1)*TableauRecette[[#This Row],[poids / unite]]</f>
        <v/>
      </c>
    </row>
    <row r="135">
      <c r="A135" s="70" t="inlineStr">
        <is>
          <t>epices cajun</t>
        </is>
      </c>
      <c r="B135" s="70">
        <f>TableauRecette[[#This Row],[Recette]]&amp;TableauRecette[[#This Row],[Conditionnement]]</f>
        <v/>
      </c>
      <c r="C135" s="70" t="inlineStr">
        <is>
          <t>Piment Œil D'Oiseau</t>
        </is>
      </c>
      <c r="D135" s="194" t="n">
        <v>1</v>
      </c>
      <c r="E135" s="70" t="inlineStr">
        <is>
          <t>Epice 100ml</t>
        </is>
      </c>
      <c r="F135" s="19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35" s="194">
        <f>IFERROR(_xlfn.XLOOKUP(TableauRecette[[#This Row],[Ingredients]],TableauIngredients[Ingredients],TableauIngredients[Prix d''achat (kg)],0)*TableauRecette[[#This Row],[poids / unite]],0)</f>
        <v/>
      </c>
      <c r="H135" s="194">
        <f>IFERROR(SUMIFS(TableauRecette[Proportion],TableauRecette[Recette],TableauRecette[[#This Row],[Recette]],TableauRecette[Conditionnement],TableauRecette[[#This Row],[Conditionnement]]),0)</f>
        <v/>
      </c>
      <c r="I135" s="194">
        <f>IFERROR(TableauRecette[[#This Row],[Prix d''achat / kg]],0)</f>
        <v/>
      </c>
      <c r="J135" s="194" t="n"/>
      <c r="K135" s="735" t="n"/>
      <c r="L135" s="736">
        <f>_xlfn.XLOOKUP(TableauRecette[[#This Row],[ID]],TableauProduit[ID],TableauProduit[Total (kg) N1],0,0,1)*TableauRecette[[#This Row],[poids / unite]]</f>
        <v/>
      </c>
      <c r="M135" s="737">
        <f>_xlfn.XLOOKUP(TableauRecette[[#This Row],[ID]],TableauProduit[ID],TableauProduit[Total (kg) N2],0,0,1)*TableauRecette[[#This Row],[poids / unite]]</f>
        <v/>
      </c>
      <c r="N135" s="737">
        <f>_xlfn.XLOOKUP(TableauRecette[[#This Row],[ID]],TableauProduit[ID],TableauProduit[Total (kg) N3],0,0,1)*TableauRecette[[#This Row],[poids / unite]]</f>
        <v/>
      </c>
      <c r="O135" s="737">
        <f>_xlfn.XLOOKUP(TableauRecette[[#This Row],[ID]],TableauProduit[ID],TableauProduit[Total (kg) N4],0,0,1)*TableauRecette[[#This Row],[poids / unite]]</f>
        <v/>
      </c>
      <c r="P135" s="737">
        <f>_xlfn.XLOOKUP(TableauRecette[[#This Row],[ID]],TableauProduit[ID],TableauProduit[Total (kg) N5],0,0,1)*TableauRecette[[#This Row],[poids / unite]]</f>
        <v/>
      </c>
      <c r="Q135" s="737">
        <f>_xlfn.XLOOKUP(TableauRecette[[#This Row],[ID]],TableauProduit[ID],TableauProduit[Total (kg) N6],0,0,1)*TableauRecette[[#This Row],[poids / unite]]</f>
        <v/>
      </c>
      <c r="R135" s="737">
        <f>_xlfn.XLOOKUP(TableauRecette[[#This Row],[ID]],TableauProduit[ID],TableauProduit[Total (kg) N7],0,0,1)*TableauRecette[[#This Row],[poids / unite]]</f>
        <v/>
      </c>
      <c r="S135" s="737">
        <f>_xlfn.XLOOKUP(TableauRecette[[#This Row],[ID]],TableauProduit[ID],TableauProduit[Total (kg) N8],0,0,1)*TableauRecette[[#This Row],[poids / unite]]</f>
        <v/>
      </c>
      <c r="T135" s="737">
        <f>_xlfn.XLOOKUP(TableauRecette[[#This Row],[ID]],TableauProduit[ID],TableauProduit[Total (kg) N9],0,0,1)*TableauRecette[[#This Row],[poids / unite]]</f>
        <v/>
      </c>
    </row>
    <row r="136">
      <c r="A136" s="70" t="inlineStr">
        <is>
          <t>epices cajun</t>
        </is>
      </c>
      <c r="B136" s="70">
        <f>TableauRecette[[#This Row],[Recette]]&amp;TableauRecette[[#This Row],[Conditionnement]]</f>
        <v/>
      </c>
      <c r="C136" s="70" t="inlineStr">
        <is>
          <t>Poivre Noir</t>
        </is>
      </c>
      <c r="D136" s="194" t="n">
        <v>1</v>
      </c>
      <c r="E136" s="70" t="inlineStr">
        <is>
          <t>Epice 100ml</t>
        </is>
      </c>
      <c r="F136" s="19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36" s="194">
        <f>IFERROR(_xlfn.XLOOKUP(TableauRecette[[#This Row],[Ingredients]],TableauIngredients[Ingredients],TableauIngredients[Prix d''achat (kg)],0)*TableauRecette[[#This Row],[poids / unite]],0)</f>
        <v/>
      </c>
      <c r="H136" s="194">
        <f>IFERROR(SUMIFS(TableauRecette[Proportion],TableauRecette[Recette],TableauRecette[[#This Row],[Recette]],TableauRecette[Conditionnement],TableauRecette[[#This Row],[Conditionnement]]),0)</f>
        <v/>
      </c>
      <c r="I136" s="194">
        <f>IFERROR(TableauRecette[[#This Row],[Prix d''achat / kg]],0)</f>
        <v/>
      </c>
      <c r="J136" s="194" t="n"/>
      <c r="K136" s="735" t="n"/>
      <c r="L136" s="736">
        <f>_xlfn.XLOOKUP(TableauRecette[[#This Row],[ID]],TableauProduit[ID],TableauProduit[Total (kg) N1],0,0,1)*TableauRecette[[#This Row],[poids / unite]]</f>
        <v/>
      </c>
      <c r="M136" s="737">
        <f>_xlfn.XLOOKUP(TableauRecette[[#This Row],[ID]],TableauProduit[ID],TableauProduit[Total (kg) N2],0,0,1)*TableauRecette[[#This Row],[poids / unite]]</f>
        <v/>
      </c>
      <c r="N136" s="737">
        <f>_xlfn.XLOOKUP(TableauRecette[[#This Row],[ID]],TableauProduit[ID],TableauProduit[Total (kg) N3],0,0,1)*TableauRecette[[#This Row],[poids / unite]]</f>
        <v/>
      </c>
      <c r="O136" s="737">
        <f>_xlfn.XLOOKUP(TableauRecette[[#This Row],[ID]],TableauProduit[ID],TableauProduit[Total (kg) N4],0,0,1)*TableauRecette[[#This Row],[poids / unite]]</f>
        <v/>
      </c>
      <c r="P136" s="737">
        <f>_xlfn.XLOOKUP(TableauRecette[[#This Row],[ID]],TableauProduit[ID],TableauProduit[Total (kg) N5],0,0,1)*TableauRecette[[#This Row],[poids / unite]]</f>
        <v/>
      </c>
      <c r="Q136" s="737">
        <f>_xlfn.XLOOKUP(TableauRecette[[#This Row],[ID]],TableauProduit[ID],TableauProduit[Total (kg) N6],0,0,1)*TableauRecette[[#This Row],[poids / unite]]</f>
        <v/>
      </c>
      <c r="R136" s="737">
        <f>_xlfn.XLOOKUP(TableauRecette[[#This Row],[ID]],TableauProduit[ID],TableauProduit[Total (kg) N7],0,0,1)*TableauRecette[[#This Row],[poids / unite]]</f>
        <v/>
      </c>
      <c r="S136" s="737">
        <f>_xlfn.XLOOKUP(TableauRecette[[#This Row],[ID]],TableauProduit[ID],TableauProduit[Total (kg) N8],0,0,1)*TableauRecette[[#This Row],[poids / unite]]</f>
        <v/>
      </c>
      <c r="T136" s="737">
        <f>_xlfn.XLOOKUP(TableauRecette[[#This Row],[ID]],TableauProduit[ID],TableauProduit[Total (kg) N9],0,0,1)*TableauRecette[[#This Row],[poids / unite]]</f>
        <v/>
      </c>
    </row>
    <row r="137">
      <c r="A137" s="70" t="inlineStr">
        <is>
          <t>epices cajun</t>
        </is>
      </c>
      <c r="B137" s="70">
        <f>TableauRecette[[#This Row],[Recette]]&amp;TableauRecette[[#This Row],[Conditionnement]]</f>
        <v/>
      </c>
      <c r="C137" s="70" t="inlineStr">
        <is>
          <t>Graine De Moutarde</t>
        </is>
      </c>
      <c r="D137" s="194" t="n">
        <v>1</v>
      </c>
      <c r="E137" s="70" t="inlineStr">
        <is>
          <t>Epice 100ml</t>
        </is>
      </c>
      <c r="F137" s="19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37" s="194">
        <f>IFERROR(_xlfn.XLOOKUP(TableauRecette[[#This Row],[Ingredients]],TableauIngredients[Ingredients],TableauIngredients[Prix d''achat (kg)],0)*TableauRecette[[#This Row],[poids / unite]],0)</f>
        <v/>
      </c>
      <c r="H137" s="194">
        <f>IFERROR(SUMIFS(TableauRecette[Proportion],TableauRecette[Recette],TableauRecette[[#This Row],[Recette]],TableauRecette[Conditionnement],TableauRecette[[#This Row],[Conditionnement]]),0)</f>
        <v/>
      </c>
      <c r="I137" s="194">
        <f>IFERROR(TableauRecette[[#This Row],[Prix d''achat / kg]],0)</f>
        <v/>
      </c>
      <c r="J137" s="194" t="n"/>
      <c r="K137" s="735" t="n"/>
      <c r="L137" s="736">
        <f>_xlfn.XLOOKUP(TableauRecette[[#This Row],[ID]],TableauProduit[ID],TableauProduit[Total (kg) N1],0,0,1)*TableauRecette[[#This Row],[poids / unite]]</f>
        <v/>
      </c>
      <c r="M137" s="737">
        <f>_xlfn.XLOOKUP(TableauRecette[[#This Row],[ID]],TableauProduit[ID],TableauProduit[Total (kg) N2],0,0,1)*TableauRecette[[#This Row],[poids / unite]]</f>
        <v/>
      </c>
      <c r="N137" s="737">
        <f>_xlfn.XLOOKUP(TableauRecette[[#This Row],[ID]],TableauProduit[ID],TableauProduit[Total (kg) N3],0,0,1)*TableauRecette[[#This Row],[poids / unite]]</f>
        <v/>
      </c>
      <c r="O137" s="737">
        <f>_xlfn.XLOOKUP(TableauRecette[[#This Row],[ID]],TableauProduit[ID],TableauProduit[Total (kg) N4],0,0,1)*TableauRecette[[#This Row],[poids / unite]]</f>
        <v/>
      </c>
      <c r="P137" s="737">
        <f>_xlfn.XLOOKUP(TableauRecette[[#This Row],[ID]],TableauProduit[ID],TableauProduit[Total (kg) N5],0,0,1)*TableauRecette[[#This Row],[poids / unite]]</f>
        <v/>
      </c>
      <c r="Q137" s="737">
        <f>_xlfn.XLOOKUP(TableauRecette[[#This Row],[ID]],TableauProduit[ID],TableauProduit[Total (kg) N6],0,0,1)*TableauRecette[[#This Row],[poids / unite]]</f>
        <v/>
      </c>
      <c r="R137" s="737">
        <f>_xlfn.XLOOKUP(TableauRecette[[#This Row],[ID]],TableauProduit[ID],TableauProduit[Total (kg) N7],0,0,1)*TableauRecette[[#This Row],[poids / unite]]</f>
        <v/>
      </c>
      <c r="S137" s="737">
        <f>_xlfn.XLOOKUP(TableauRecette[[#This Row],[ID]],TableauProduit[ID],TableauProduit[Total (kg) N8],0,0,1)*TableauRecette[[#This Row],[poids / unite]]</f>
        <v/>
      </c>
      <c r="T137" s="737">
        <f>_xlfn.XLOOKUP(TableauRecette[[#This Row],[ID]],TableauProduit[ID],TableauProduit[Total (kg) N9],0,0,1)*TableauRecette[[#This Row],[poids / unite]]</f>
        <v/>
      </c>
    </row>
    <row r="138">
      <c r="A138" s="70" t="inlineStr">
        <is>
          <t>epices cajun</t>
        </is>
      </c>
      <c r="B138" s="70">
        <f>TableauRecette[[#This Row],[Recette]]&amp;TableauRecette[[#This Row],[Conditionnement]]</f>
        <v/>
      </c>
      <c r="C138" s="660" t="inlineStr">
        <is>
          <t>Sel</t>
        </is>
      </c>
      <c r="D138" s="194" t="n">
        <v>1</v>
      </c>
      <c r="E138" s="70" t="inlineStr">
        <is>
          <t>Epice 100ml</t>
        </is>
      </c>
      <c r="F138" s="19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38" s="194">
        <f>IFERROR(_xlfn.XLOOKUP(TableauRecette[[#This Row],[Ingredients]],TableauIngredients[Ingredients],TableauIngredients[Prix d''achat (kg)],0)*TableauRecette[[#This Row],[poids / unite]],0)</f>
        <v/>
      </c>
      <c r="H138" s="194">
        <f>IFERROR(SUMIFS(TableauRecette[Proportion],TableauRecette[Recette],TableauRecette[[#This Row],[Recette]],TableauRecette[Conditionnement],TableauRecette[[#This Row],[Conditionnement]]),0)</f>
        <v/>
      </c>
      <c r="I138" s="194">
        <f>IFERROR(TableauRecette[[#This Row],[Prix d''achat / kg]],0)</f>
        <v/>
      </c>
      <c r="J138" s="194" t="n"/>
      <c r="K138" s="735" t="n"/>
      <c r="L138" s="736">
        <f>_xlfn.XLOOKUP(TableauRecette[[#This Row],[ID]],TableauProduit[ID],TableauProduit[Total (kg) N1],0,0,1)*TableauRecette[[#This Row],[poids / unite]]</f>
        <v/>
      </c>
      <c r="M138" s="737">
        <f>_xlfn.XLOOKUP(TableauRecette[[#This Row],[ID]],TableauProduit[ID],TableauProduit[Total (kg) N2],0,0,1)*TableauRecette[[#This Row],[poids / unite]]</f>
        <v/>
      </c>
      <c r="N138" s="737">
        <f>_xlfn.XLOOKUP(TableauRecette[[#This Row],[ID]],TableauProduit[ID],TableauProduit[Total (kg) N3],0,0,1)*TableauRecette[[#This Row],[poids / unite]]</f>
        <v/>
      </c>
      <c r="O138" s="737">
        <f>_xlfn.XLOOKUP(TableauRecette[[#This Row],[ID]],TableauProduit[ID],TableauProduit[Total (kg) N4],0,0,1)*TableauRecette[[#This Row],[poids / unite]]</f>
        <v/>
      </c>
      <c r="P138" s="737">
        <f>_xlfn.XLOOKUP(TableauRecette[[#This Row],[ID]],TableauProduit[ID],TableauProduit[Total (kg) N5],0,0,1)*TableauRecette[[#This Row],[poids / unite]]</f>
        <v/>
      </c>
      <c r="Q138" s="737">
        <f>_xlfn.XLOOKUP(TableauRecette[[#This Row],[ID]],TableauProduit[ID],TableauProduit[Total (kg) N6],0,0,1)*TableauRecette[[#This Row],[poids / unite]]</f>
        <v/>
      </c>
      <c r="R138" s="737">
        <f>_xlfn.XLOOKUP(TableauRecette[[#This Row],[ID]],TableauProduit[ID],TableauProduit[Total (kg) N7],0,0,1)*TableauRecette[[#This Row],[poids / unite]]</f>
        <v/>
      </c>
      <c r="S138" s="737">
        <f>_xlfn.XLOOKUP(TableauRecette[[#This Row],[ID]],TableauProduit[ID],TableauProduit[Total (kg) N8],0,0,1)*TableauRecette[[#This Row],[poids / unite]]</f>
        <v/>
      </c>
      <c r="T138" s="737">
        <f>_xlfn.XLOOKUP(TableauRecette[[#This Row],[ID]],TableauProduit[ID],TableauProduit[Total (kg) N9],0,0,1)*TableauRecette[[#This Row],[poids / unite]]</f>
        <v/>
      </c>
    </row>
    <row r="139">
      <c r="A139" s="70" t="inlineStr">
        <is>
          <t>epices cajun</t>
        </is>
      </c>
      <c r="B139" s="70">
        <f>TableauRecette[[#This Row],[Recette]]&amp;TableauRecette[[#This Row],[Conditionnement]]</f>
        <v/>
      </c>
      <c r="C139" s="70" t="inlineStr">
        <is>
          <t>Ail Sec</t>
        </is>
      </c>
      <c r="D139" s="194" t="n">
        <v>1</v>
      </c>
      <c r="E139" s="70" t="inlineStr">
        <is>
          <t>Epice 100ml</t>
        </is>
      </c>
      <c r="F139" s="19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39" s="194">
        <f>IFERROR(_xlfn.XLOOKUP(TableauRecette[[#This Row],[Ingredients]],TableauIngredients[Ingredients],TableauIngredients[Prix d''achat (kg)],0)*TableauRecette[[#This Row],[poids / unite]],0)</f>
        <v/>
      </c>
      <c r="H139" s="194">
        <f>IFERROR(SUMIFS(TableauRecette[Proportion],TableauRecette[Recette],TableauRecette[[#This Row],[Recette]],TableauRecette[Conditionnement],TableauRecette[[#This Row],[Conditionnement]]),0)</f>
        <v/>
      </c>
      <c r="I139" s="194">
        <f>IFERROR(TableauRecette[[#This Row],[Prix d''achat / kg]],0)</f>
        <v/>
      </c>
      <c r="J139" s="194" t="n"/>
      <c r="K139" s="735" t="n"/>
      <c r="L139" s="736">
        <f>_xlfn.XLOOKUP(TableauRecette[[#This Row],[ID]],TableauProduit[ID],TableauProduit[Total (kg) N1],0,0,1)*TableauRecette[[#This Row],[poids / unite]]</f>
        <v/>
      </c>
      <c r="M139" s="737">
        <f>_xlfn.XLOOKUP(TableauRecette[[#This Row],[ID]],TableauProduit[ID],TableauProduit[Total (kg) N2],0,0,1)*TableauRecette[[#This Row],[poids / unite]]</f>
        <v/>
      </c>
      <c r="N139" s="737">
        <f>_xlfn.XLOOKUP(TableauRecette[[#This Row],[ID]],TableauProduit[ID],TableauProduit[Total (kg) N3],0,0,1)*TableauRecette[[#This Row],[poids / unite]]</f>
        <v/>
      </c>
      <c r="O139" s="737">
        <f>_xlfn.XLOOKUP(TableauRecette[[#This Row],[ID]],TableauProduit[ID],TableauProduit[Total (kg) N4],0,0,1)*TableauRecette[[#This Row],[poids / unite]]</f>
        <v/>
      </c>
      <c r="P139" s="737">
        <f>_xlfn.XLOOKUP(TableauRecette[[#This Row],[ID]],TableauProduit[ID],TableauProduit[Total (kg) N5],0,0,1)*TableauRecette[[#This Row],[poids / unite]]</f>
        <v/>
      </c>
      <c r="Q139" s="737">
        <f>_xlfn.XLOOKUP(TableauRecette[[#This Row],[ID]],TableauProduit[ID],TableauProduit[Total (kg) N6],0,0,1)*TableauRecette[[#This Row],[poids / unite]]</f>
        <v/>
      </c>
      <c r="R139" s="737">
        <f>_xlfn.XLOOKUP(TableauRecette[[#This Row],[ID]],TableauProduit[ID],TableauProduit[Total (kg) N7],0,0,1)*TableauRecette[[#This Row],[poids / unite]]</f>
        <v/>
      </c>
      <c r="S139" s="737">
        <f>_xlfn.XLOOKUP(TableauRecette[[#This Row],[ID]],TableauProduit[ID],TableauProduit[Total (kg) N8],0,0,1)*TableauRecette[[#This Row],[poids / unite]]</f>
        <v/>
      </c>
      <c r="T139" s="737">
        <f>_xlfn.XLOOKUP(TableauRecette[[#This Row],[ID]],TableauProduit[ID],TableauProduit[Total (kg) N9],0,0,1)*TableauRecette[[#This Row],[poids / unite]]</f>
        <v/>
      </c>
    </row>
    <row r="140">
      <c r="A140" s="71" t="inlineStr">
        <is>
          <t>epices guacamole</t>
        </is>
      </c>
      <c r="B140" s="71">
        <f>TableauRecette[[#This Row],[Recette]]&amp;TableauRecette[[#This Row],[Conditionnement]]</f>
        <v/>
      </c>
      <c r="C140" s="71" t="inlineStr">
        <is>
          <t>Piment De Cayenne Rouge SEC</t>
        </is>
      </c>
      <c r="D140" s="195" t="n">
        <v>1</v>
      </c>
      <c r="E140" s="71" t="inlineStr">
        <is>
          <t>Epice 100ml</t>
        </is>
      </c>
      <c r="F140" s="19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40" s="195">
        <f>IFERROR(_xlfn.XLOOKUP(TableauRecette[[#This Row],[Ingredients]],TableauIngredients[Ingredients],TableauIngredients[Prix d''achat (kg)],0)*TableauRecette[[#This Row],[poids / unite]],0)</f>
        <v/>
      </c>
      <c r="H140" s="195">
        <f>IFERROR(SUMIFS(TableauRecette[Proportion],TableauRecette[Recette],TableauRecette[[#This Row],[Recette]],TableauRecette[Conditionnement],TableauRecette[[#This Row],[Conditionnement]]),0)</f>
        <v/>
      </c>
      <c r="I140" s="195">
        <f>IFERROR(TableauRecette[[#This Row],[Prix d''achat / kg]],0)</f>
        <v/>
      </c>
      <c r="J140" s="195" t="n"/>
      <c r="K140" s="738" t="n"/>
      <c r="L140" s="739">
        <f>_xlfn.XLOOKUP(TableauRecette[[#This Row],[ID]],TableauProduit[ID],TableauProduit[Total (kg) N1],0,0,1)*TableauRecette[[#This Row],[poids / unite]]</f>
        <v/>
      </c>
      <c r="M140" s="740">
        <f>_xlfn.XLOOKUP(TableauRecette[[#This Row],[ID]],TableauProduit[ID],TableauProduit[Total (kg) N2],0,0,1)*TableauRecette[[#This Row],[poids / unite]]</f>
        <v/>
      </c>
      <c r="N140" s="740">
        <f>_xlfn.XLOOKUP(TableauRecette[[#This Row],[ID]],TableauProduit[ID],TableauProduit[Total (kg) N3],0,0,1)*TableauRecette[[#This Row],[poids / unite]]</f>
        <v/>
      </c>
      <c r="O140" s="740">
        <f>_xlfn.XLOOKUP(TableauRecette[[#This Row],[ID]],TableauProduit[ID],TableauProduit[Total (kg) N4],0,0,1)*TableauRecette[[#This Row],[poids / unite]]</f>
        <v/>
      </c>
      <c r="P140" s="740">
        <f>_xlfn.XLOOKUP(TableauRecette[[#This Row],[ID]],TableauProduit[ID],TableauProduit[Total (kg) N5],0,0,1)*TableauRecette[[#This Row],[poids / unite]]</f>
        <v/>
      </c>
      <c r="Q140" s="740">
        <f>_xlfn.XLOOKUP(TableauRecette[[#This Row],[ID]],TableauProduit[ID],TableauProduit[Total (kg) N6],0,0,1)*TableauRecette[[#This Row],[poids / unite]]</f>
        <v/>
      </c>
      <c r="R140" s="740">
        <f>_xlfn.XLOOKUP(TableauRecette[[#This Row],[ID]],TableauProduit[ID],TableauProduit[Total (kg) N7],0,0,1)*TableauRecette[[#This Row],[poids / unite]]</f>
        <v/>
      </c>
      <c r="S140" s="740">
        <f>_xlfn.XLOOKUP(TableauRecette[[#This Row],[ID]],TableauProduit[ID],TableauProduit[Total (kg) N8],0,0,1)*TableauRecette[[#This Row],[poids / unite]]</f>
        <v/>
      </c>
      <c r="T140" s="740">
        <f>_xlfn.XLOOKUP(TableauRecette[[#This Row],[ID]],TableauProduit[ID],TableauProduit[Total (kg) N9],0,0,1)*TableauRecette[[#This Row],[poids / unite]]</f>
        <v/>
      </c>
    </row>
    <row r="141">
      <c r="A141" s="71" t="inlineStr">
        <is>
          <t>epices guacamole</t>
        </is>
      </c>
      <c r="B141" s="71">
        <f>TableauRecette[[#This Row],[Recette]]&amp;TableauRecette[[#This Row],[Conditionnement]]</f>
        <v/>
      </c>
      <c r="C141" s="71" t="inlineStr">
        <is>
          <t>Coriandre Moulue</t>
        </is>
      </c>
      <c r="D141" s="195" t="n">
        <v>1</v>
      </c>
      <c r="E141" s="71" t="inlineStr">
        <is>
          <t>Epice 100ml</t>
        </is>
      </c>
      <c r="F141" s="19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41" s="195">
        <f>IFERROR(_xlfn.XLOOKUP(TableauRecette[[#This Row],[Ingredients]],TableauIngredients[Ingredients],TableauIngredients[Prix d''achat (kg)],0)*TableauRecette[[#This Row],[poids / unite]],0)</f>
        <v/>
      </c>
      <c r="H141" s="195">
        <f>IFERROR(SUMIFS(TableauRecette[Proportion],TableauRecette[Recette],TableauRecette[[#This Row],[Recette]],TableauRecette[Conditionnement],TableauRecette[[#This Row],[Conditionnement]]),0)</f>
        <v/>
      </c>
      <c r="I141" s="195">
        <f>IFERROR(TableauRecette[[#This Row],[Prix d''achat / kg]],0)</f>
        <v/>
      </c>
      <c r="J141" s="195" t="n"/>
      <c r="K141" s="738" t="n"/>
      <c r="L141" s="739">
        <f>_xlfn.XLOOKUP(TableauRecette[[#This Row],[ID]],TableauProduit[ID],TableauProduit[Total (kg) N1],0,0,1)*TableauRecette[[#This Row],[poids / unite]]</f>
        <v/>
      </c>
      <c r="M141" s="740">
        <f>_xlfn.XLOOKUP(TableauRecette[[#This Row],[ID]],TableauProduit[ID],TableauProduit[Total (kg) N2],0,0,1)*TableauRecette[[#This Row],[poids / unite]]</f>
        <v/>
      </c>
      <c r="N141" s="740">
        <f>_xlfn.XLOOKUP(TableauRecette[[#This Row],[ID]],TableauProduit[ID],TableauProduit[Total (kg) N3],0,0,1)*TableauRecette[[#This Row],[poids / unite]]</f>
        <v/>
      </c>
      <c r="O141" s="740">
        <f>_xlfn.XLOOKUP(TableauRecette[[#This Row],[ID]],TableauProduit[ID],TableauProduit[Total (kg) N4],0,0,1)*TableauRecette[[#This Row],[poids / unite]]</f>
        <v/>
      </c>
      <c r="P141" s="740">
        <f>_xlfn.XLOOKUP(TableauRecette[[#This Row],[ID]],TableauProduit[ID],TableauProduit[Total (kg) N5],0,0,1)*TableauRecette[[#This Row],[poids / unite]]</f>
        <v/>
      </c>
      <c r="Q141" s="740">
        <f>_xlfn.XLOOKUP(TableauRecette[[#This Row],[ID]],TableauProduit[ID],TableauProduit[Total (kg) N6],0,0,1)*TableauRecette[[#This Row],[poids / unite]]</f>
        <v/>
      </c>
      <c r="R141" s="740">
        <f>_xlfn.XLOOKUP(TableauRecette[[#This Row],[ID]],TableauProduit[ID],TableauProduit[Total (kg) N7],0,0,1)*TableauRecette[[#This Row],[poids / unite]]</f>
        <v/>
      </c>
      <c r="S141" s="740">
        <f>_xlfn.XLOOKUP(TableauRecette[[#This Row],[ID]],TableauProduit[ID],TableauProduit[Total (kg) N8],0,0,1)*TableauRecette[[#This Row],[poids / unite]]</f>
        <v/>
      </c>
      <c r="T141" s="740">
        <f>_xlfn.XLOOKUP(TableauRecette[[#This Row],[ID]],TableauProduit[ID],TableauProduit[Total (kg) N9],0,0,1)*TableauRecette[[#This Row],[poids / unite]]</f>
        <v/>
      </c>
    </row>
    <row r="142">
      <c r="A142" s="71" t="inlineStr">
        <is>
          <t>epices guacamole</t>
        </is>
      </c>
      <c r="B142" s="71">
        <f>TableauRecette[[#This Row],[Recette]]&amp;TableauRecette[[#This Row],[Conditionnement]]</f>
        <v/>
      </c>
      <c r="C142" s="71" t="inlineStr">
        <is>
          <t>Persil</t>
        </is>
      </c>
      <c r="D142" s="195" t="n">
        <v>1</v>
      </c>
      <c r="E142" s="71" t="inlineStr">
        <is>
          <t>Epice 100ml</t>
        </is>
      </c>
      <c r="F142" s="19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42" s="195">
        <f>IFERROR(_xlfn.XLOOKUP(TableauRecette[[#This Row],[Ingredients]],TableauIngredients[Ingredients],TableauIngredients[Prix d''achat (kg)],0)*TableauRecette[[#This Row],[poids / unite]],0)</f>
        <v/>
      </c>
      <c r="H142" s="195">
        <f>IFERROR(SUMIFS(TableauRecette[Proportion],TableauRecette[Recette],TableauRecette[[#This Row],[Recette]],TableauRecette[Conditionnement],TableauRecette[[#This Row],[Conditionnement]]),0)</f>
        <v/>
      </c>
      <c r="I142" s="195">
        <f>IFERROR(TableauRecette[[#This Row],[Prix d''achat / kg]],0)</f>
        <v/>
      </c>
      <c r="J142" s="195" t="n"/>
      <c r="K142" s="738" t="n"/>
      <c r="L142" s="739">
        <f>_xlfn.XLOOKUP(TableauRecette[[#This Row],[ID]],TableauProduit[ID],TableauProduit[Total (kg) N1],0,0,1)*TableauRecette[[#This Row],[poids / unite]]</f>
        <v/>
      </c>
      <c r="M142" s="740">
        <f>_xlfn.XLOOKUP(TableauRecette[[#This Row],[ID]],TableauProduit[ID],TableauProduit[Total (kg) N2],0,0,1)*TableauRecette[[#This Row],[poids / unite]]</f>
        <v/>
      </c>
      <c r="N142" s="740">
        <f>_xlfn.XLOOKUP(TableauRecette[[#This Row],[ID]],TableauProduit[ID],TableauProduit[Total (kg) N3],0,0,1)*TableauRecette[[#This Row],[poids / unite]]</f>
        <v/>
      </c>
      <c r="O142" s="740">
        <f>_xlfn.XLOOKUP(TableauRecette[[#This Row],[ID]],TableauProduit[ID],TableauProduit[Total (kg) N4],0,0,1)*TableauRecette[[#This Row],[poids / unite]]</f>
        <v/>
      </c>
      <c r="P142" s="740">
        <f>_xlfn.XLOOKUP(TableauRecette[[#This Row],[ID]],TableauProduit[ID],TableauProduit[Total (kg) N5],0,0,1)*TableauRecette[[#This Row],[poids / unite]]</f>
        <v/>
      </c>
      <c r="Q142" s="740">
        <f>_xlfn.XLOOKUP(TableauRecette[[#This Row],[ID]],TableauProduit[ID],TableauProduit[Total (kg) N6],0,0,1)*TableauRecette[[#This Row],[poids / unite]]</f>
        <v/>
      </c>
      <c r="R142" s="740">
        <f>_xlfn.XLOOKUP(TableauRecette[[#This Row],[ID]],TableauProduit[ID],TableauProduit[Total (kg) N7],0,0,1)*TableauRecette[[#This Row],[poids / unite]]</f>
        <v/>
      </c>
      <c r="S142" s="740">
        <f>_xlfn.XLOOKUP(TableauRecette[[#This Row],[ID]],TableauProduit[ID],TableauProduit[Total (kg) N8],0,0,1)*TableauRecette[[#This Row],[poids / unite]]</f>
        <v/>
      </c>
      <c r="T142" s="740">
        <f>_xlfn.XLOOKUP(TableauRecette[[#This Row],[ID]],TableauProduit[ID],TableauProduit[Total (kg) N9],0,0,1)*TableauRecette[[#This Row],[poids / unite]]</f>
        <v/>
      </c>
    </row>
    <row r="143">
      <c r="A143" s="71" t="inlineStr">
        <is>
          <t>epices guacamole</t>
        </is>
      </c>
      <c r="B143" s="71">
        <f>TableauRecette[[#This Row],[Recette]]&amp;TableauRecette[[#This Row],[Conditionnement]]</f>
        <v/>
      </c>
      <c r="C143" s="670" t="inlineStr">
        <is>
          <t>Muscade</t>
        </is>
      </c>
      <c r="D143" s="195" t="n">
        <v>1</v>
      </c>
      <c r="E143" s="71" t="inlineStr">
        <is>
          <t>Epice 100ml</t>
        </is>
      </c>
      <c r="F143" s="19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43" s="195">
        <f>IFERROR(_xlfn.XLOOKUP(TableauRecette[[#This Row],[Ingredients]],TableauIngredients[Ingredients],TableauIngredients[Prix d''achat (kg)],0)*TableauRecette[[#This Row],[poids / unite]],0)</f>
        <v/>
      </c>
      <c r="H143" s="195">
        <f>IFERROR(SUMIFS(TableauRecette[Proportion],TableauRecette[Recette],TableauRecette[[#This Row],[Recette]],TableauRecette[Conditionnement],TableauRecette[[#This Row],[Conditionnement]]),0)</f>
        <v/>
      </c>
      <c r="I143" s="195">
        <f>IFERROR(TableauRecette[[#This Row],[Prix d''achat / kg]],0)</f>
        <v/>
      </c>
      <c r="J143" s="195" t="n"/>
      <c r="K143" s="738" t="n"/>
      <c r="L143" s="739">
        <f>_xlfn.XLOOKUP(TableauRecette[[#This Row],[ID]],TableauProduit[ID],TableauProduit[Total (kg) N1],0,0,1)*TableauRecette[[#This Row],[poids / unite]]</f>
        <v/>
      </c>
      <c r="M143" s="740">
        <f>_xlfn.XLOOKUP(TableauRecette[[#This Row],[ID]],TableauProduit[ID],TableauProduit[Total (kg) N2],0,0,1)*TableauRecette[[#This Row],[poids / unite]]</f>
        <v/>
      </c>
      <c r="N143" s="740">
        <f>_xlfn.XLOOKUP(TableauRecette[[#This Row],[ID]],TableauProduit[ID],TableauProduit[Total (kg) N3],0,0,1)*TableauRecette[[#This Row],[poids / unite]]</f>
        <v/>
      </c>
      <c r="O143" s="740">
        <f>_xlfn.XLOOKUP(TableauRecette[[#This Row],[ID]],TableauProduit[ID],TableauProduit[Total (kg) N4],0,0,1)*TableauRecette[[#This Row],[poids / unite]]</f>
        <v/>
      </c>
      <c r="P143" s="740">
        <f>_xlfn.XLOOKUP(TableauRecette[[#This Row],[ID]],TableauProduit[ID],TableauProduit[Total (kg) N5],0,0,1)*TableauRecette[[#This Row],[poids / unite]]</f>
        <v/>
      </c>
      <c r="Q143" s="740">
        <f>_xlfn.XLOOKUP(TableauRecette[[#This Row],[ID]],TableauProduit[ID],TableauProduit[Total (kg) N6],0,0,1)*TableauRecette[[#This Row],[poids / unite]]</f>
        <v/>
      </c>
      <c r="R143" s="740">
        <f>_xlfn.XLOOKUP(TableauRecette[[#This Row],[ID]],TableauProduit[ID],TableauProduit[Total (kg) N7],0,0,1)*TableauRecette[[#This Row],[poids / unite]]</f>
        <v/>
      </c>
      <c r="S143" s="740">
        <f>_xlfn.XLOOKUP(TableauRecette[[#This Row],[ID]],TableauProduit[ID],TableauProduit[Total (kg) N8],0,0,1)*TableauRecette[[#This Row],[poids / unite]]</f>
        <v/>
      </c>
      <c r="T143" s="740">
        <f>_xlfn.XLOOKUP(TableauRecette[[#This Row],[ID]],TableauProduit[ID],TableauProduit[Total (kg) N9],0,0,1)*TableauRecette[[#This Row],[poids / unite]]</f>
        <v/>
      </c>
    </row>
    <row r="144">
      <c r="A144" s="71" t="inlineStr">
        <is>
          <t>epices guacamole</t>
        </is>
      </c>
      <c r="B144" s="71">
        <f>TableauRecette[[#This Row],[Recette]]&amp;TableauRecette[[#This Row],[Conditionnement]]</f>
        <v/>
      </c>
      <c r="C144" s="71" t="inlineStr">
        <is>
          <t>Cumin Moulu</t>
        </is>
      </c>
      <c r="D144" s="195" t="n">
        <v>1</v>
      </c>
      <c r="E144" s="71" t="inlineStr">
        <is>
          <t>Epice 100ml</t>
        </is>
      </c>
      <c r="F144" s="19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44" s="195">
        <f>IFERROR(_xlfn.XLOOKUP(TableauRecette[[#This Row],[Ingredients]],TableauIngredients[Ingredients],TableauIngredients[Prix d''achat (kg)],0)*TableauRecette[[#This Row],[poids / unite]],0)</f>
        <v/>
      </c>
      <c r="H144" s="195">
        <f>IFERROR(SUMIFS(TableauRecette[Proportion],TableauRecette[Recette],TableauRecette[[#This Row],[Recette]],TableauRecette[Conditionnement],TableauRecette[[#This Row],[Conditionnement]]),0)</f>
        <v/>
      </c>
      <c r="I144" s="195">
        <f>IFERROR(TableauRecette[[#This Row],[Prix d''achat / kg]],0)</f>
        <v/>
      </c>
      <c r="J144" s="195" t="n"/>
      <c r="K144" s="738" t="n"/>
      <c r="L144" s="739">
        <f>_xlfn.XLOOKUP(TableauRecette[[#This Row],[ID]],TableauProduit[ID],TableauProduit[Total (kg) N1],0,0,1)*TableauRecette[[#This Row],[poids / unite]]</f>
        <v/>
      </c>
      <c r="M144" s="740">
        <f>_xlfn.XLOOKUP(TableauRecette[[#This Row],[ID]],TableauProduit[ID],TableauProduit[Total (kg) N2],0,0,1)*TableauRecette[[#This Row],[poids / unite]]</f>
        <v/>
      </c>
      <c r="N144" s="740">
        <f>_xlfn.XLOOKUP(TableauRecette[[#This Row],[ID]],TableauProduit[ID],TableauProduit[Total (kg) N3],0,0,1)*TableauRecette[[#This Row],[poids / unite]]</f>
        <v/>
      </c>
      <c r="O144" s="740">
        <f>_xlfn.XLOOKUP(TableauRecette[[#This Row],[ID]],TableauProduit[ID],TableauProduit[Total (kg) N4],0,0,1)*TableauRecette[[#This Row],[poids / unite]]</f>
        <v/>
      </c>
      <c r="P144" s="740">
        <f>_xlfn.XLOOKUP(TableauRecette[[#This Row],[ID]],TableauProduit[ID],TableauProduit[Total (kg) N5],0,0,1)*TableauRecette[[#This Row],[poids / unite]]</f>
        <v/>
      </c>
      <c r="Q144" s="740">
        <f>_xlfn.XLOOKUP(TableauRecette[[#This Row],[ID]],TableauProduit[ID],TableauProduit[Total (kg) N6],0,0,1)*TableauRecette[[#This Row],[poids / unite]]</f>
        <v/>
      </c>
      <c r="R144" s="740">
        <f>_xlfn.XLOOKUP(TableauRecette[[#This Row],[ID]],TableauProduit[ID],TableauProduit[Total (kg) N7],0,0,1)*TableauRecette[[#This Row],[poids / unite]]</f>
        <v/>
      </c>
      <c r="S144" s="740">
        <f>_xlfn.XLOOKUP(TableauRecette[[#This Row],[ID]],TableauProduit[ID],TableauProduit[Total (kg) N8],0,0,1)*TableauRecette[[#This Row],[poids / unite]]</f>
        <v/>
      </c>
      <c r="T144" s="740">
        <f>_xlfn.XLOOKUP(TableauRecette[[#This Row],[ID]],TableauProduit[ID],TableauProduit[Total (kg) N9],0,0,1)*TableauRecette[[#This Row],[poids / unite]]</f>
        <v/>
      </c>
    </row>
    <row r="145">
      <c r="A145" s="71" t="inlineStr">
        <is>
          <t>epices guacamole</t>
        </is>
      </c>
      <c r="B145" s="71">
        <f>TableauRecette[[#This Row],[Recette]]&amp;TableauRecette[[#This Row],[Conditionnement]]</f>
        <v/>
      </c>
      <c r="C145" s="71" t="inlineStr">
        <is>
          <t>Sel</t>
        </is>
      </c>
      <c r="D145" s="195" t="n">
        <v>0.5</v>
      </c>
      <c r="E145" s="71" t="inlineStr">
        <is>
          <t>Epice 100ml</t>
        </is>
      </c>
      <c r="F145" s="19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45" s="195">
        <f>IFERROR(_xlfn.XLOOKUP(TableauRecette[[#This Row],[Ingredients]],TableauIngredients[Ingredients],TableauIngredients[Prix d''achat (kg)],0)*TableauRecette[[#This Row],[poids / unite]],0)</f>
        <v/>
      </c>
      <c r="H145" s="195">
        <f>IFERROR(SUMIFS(TableauRecette[Proportion],TableauRecette[Recette],TableauRecette[[#This Row],[Recette]],TableauRecette[Conditionnement],TableauRecette[[#This Row],[Conditionnement]]),0)</f>
        <v/>
      </c>
      <c r="I145" s="195">
        <f>IFERROR(TableauRecette[[#This Row],[Prix d''achat / kg]],0)</f>
        <v/>
      </c>
      <c r="J145" s="195" t="n"/>
      <c r="K145" s="738" t="n"/>
      <c r="L145" s="739">
        <f>_xlfn.XLOOKUP(TableauRecette[[#This Row],[ID]],TableauProduit[ID],TableauProduit[Total (kg) N1],0,0,1)*TableauRecette[[#This Row],[poids / unite]]</f>
        <v/>
      </c>
      <c r="M145" s="740">
        <f>_xlfn.XLOOKUP(TableauRecette[[#This Row],[ID]],TableauProduit[ID],TableauProduit[Total (kg) N2],0,0,1)*TableauRecette[[#This Row],[poids / unite]]</f>
        <v/>
      </c>
      <c r="N145" s="740">
        <f>_xlfn.XLOOKUP(TableauRecette[[#This Row],[ID]],TableauProduit[ID],TableauProduit[Total (kg) N3],0,0,1)*TableauRecette[[#This Row],[poids / unite]]</f>
        <v/>
      </c>
      <c r="O145" s="740">
        <f>_xlfn.XLOOKUP(TableauRecette[[#This Row],[ID]],TableauProduit[ID],TableauProduit[Total (kg) N4],0,0,1)*TableauRecette[[#This Row],[poids / unite]]</f>
        <v/>
      </c>
      <c r="P145" s="740">
        <f>_xlfn.XLOOKUP(TableauRecette[[#This Row],[ID]],TableauProduit[ID],TableauProduit[Total (kg) N5],0,0,1)*TableauRecette[[#This Row],[poids / unite]]</f>
        <v/>
      </c>
      <c r="Q145" s="740">
        <f>_xlfn.XLOOKUP(TableauRecette[[#This Row],[ID]],TableauProduit[ID],TableauProduit[Total (kg) N6],0,0,1)*TableauRecette[[#This Row],[poids / unite]]</f>
        <v/>
      </c>
      <c r="R145" s="740">
        <f>_xlfn.XLOOKUP(TableauRecette[[#This Row],[ID]],TableauProduit[ID],TableauProduit[Total (kg) N7],0,0,1)*TableauRecette[[#This Row],[poids / unite]]</f>
        <v/>
      </c>
      <c r="S145" s="740">
        <f>_xlfn.XLOOKUP(TableauRecette[[#This Row],[ID]],TableauProduit[ID],TableauProduit[Total (kg) N8],0,0,1)*TableauRecette[[#This Row],[poids / unite]]</f>
        <v/>
      </c>
      <c r="T145" s="740">
        <f>_xlfn.XLOOKUP(TableauRecette[[#This Row],[ID]],TableauProduit[ID],TableauProduit[Total (kg) N9],0,0,1)*TableauRecette[[#This Row],[poids / unite]]</f>
        <v/>
      </c>
    </row>
    <row r="146">
      <c r="A146" s="71" t="inlineStr">
        <is>
          <t>epices guacamole</t>
        </is>
      </c>
      <c r="B146" s="71">
        <f>TableauRecette[[#This Row],[Recette]]&amp;TableauRecette[[#This Row],[Conditionnement]]</f>
        <v/>
      </c>
      <c r="C146" s="71" t="inlineStr">
        <is>
          <t>Ail Sec</t>
        </is>
      </c>
      <c r="D146" s="195" t="n">
        <v>1</v>
      </c>
      <c r="E146" s="71" t="inlineStr">
        <is>
          <t>Epice 100ml</t>
        </is>
      </c>
      <c r="F146" s="19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46" s="195">
        <f>IFERROR(_xlfn.XLOOKUP(TableauRecette[[#This Row],[Ingredients]],TableauIngredients[Ingredients],TableauIngredients[Prix d''achat (kg)],0)*TableauRecette[[#This Row],[poids / unite]],0)</f>
        <v/>
      </c>
      <c r="H146" s="195">
        <f>IFERROR(SUMIFS(TableauRecette[Proportion],TableauRecette[Recette],TableauRecette[[#This Row],[Recette]],TableauRecette[Conditionnement],TableauRecette[[#This Row],[Conditionnement]]),0)</f>
        <v/>
      </c>
      <c r="I146" s="195">
        <f>IFERROR(TableauRecette[[#This Row],[Prix d''achat / kg]],0)</f>
        <v/>
      </c>
      <c r="J146" s="195" t="n"/>
      <c r="K146" s="738" t="n"/>
      <c r="L146" s="739">
        <f>_xlfn.XLOOKUP(TableauRecette[[#This Row],[ID]],TableauProduit[ID],TableauProduit[Total (kg) N1],0,0,1)*TableauRecette[[#This Row],[poids / unite]]</f>
        <v/>
      </c>
      <c r="M146" s="740">
        <f>_xlfn.XLOOKUP(TableauRecette[[#This Row],[ID]],TableauProduit[ID],TableauProduit[Total (kg) N2],0,0,1)*TableauRecette[[#This Row],[poids / unite]]</f>
        <v/>
      </c>
      <c r="N146" s="740">
        <f>_xlfn.XLOOKUP(TableauRecette[[#This Row],[ID]],TableauProduit[ID],TableauProduit[Total (kg) N3],0,0,1)*TableauRecette[[#This Row],[poids / unite]]</f>
        <v/>
      </c>
      <c r="O146" s="740">
        <f>_xlfn.XLOOKUP(TableauRecette[[#This Row],[ID]],TableauProduit[ID],TableauProduit[Total (kg) N4],0,0,1)*TableauRecette[[#This Row],[poids / unite]]</f>
        <v/>
      </c>
      <c r="P146" s="740">
        <f>_xlfn.XLOOKUP(TableauRecette[[#This Row],[ID]],TableauProduit[ID],TableauProduit[Total (kg) N5],0,0,1)*TableauRecette[[#This Row],[poids / unite]]</f>
        <v/>
      </c>
      <c r="Q146" s="740">
        <f>_xlfn.XLOOKUP(TableauRecette[[#This Row],[ID]],TableauProduit[ID],TableauProduit[Total (kg) N6],0,0,1)*TableauRecette[[#This Row],[poids / unite]]</f>
        <v/>
      </c>
      <c r="R146" s="740">
        <f>_xlfn.XLOOKUP(TableauRecette[[#This Row],[ID]],TableauProduit[ID],TableauProduit[Total (kg) N7],0,0,1)*TableauRecette[[#This Row],[poids / unite]]</f>
        <v/>
      </c>
      <c r="S146" s="740">
        <f>_xlfn.XLOOKUP(TableauRecette[[#This Row],[ID]],TableauProduit[ID],TableauProduit[Total (kg) N8],0,0,1)*TableauRecette[[#This Row],[poids / unite]]</f>
        <v/>
      </c>
      <c r="T146" s="740">
        <f>_xlfn.XLOOKUP(TableauRecette[[#This Row],[ID]],TableauProduit[ID],TableauProduit[Total (kg) N9],0,0,1)*TableauRecette[[#This Row],[poids / unite]]</f>
        <v/>
      </c>
    </row>
    <row r="147">
      <c r="A147" s="72" t="inlineStr">
        <is>
          <t>epices poissons et fruits de mer</t>
        </is>
      </c>
      <c r="B147" s="72">
        <f>TableauRecette[[#This Row],[Recette]]&amp;TableauRecette[[#This Row],[Conditionnement]]</f>
        <v/>
      </c>
      <c r="C147" s="72" t="inlineStr">
        <is>
          <t>Paprika Fummer</t>
        </is>
      </c>
      <c r="D147" s="196" t="n">
        <v>2</v>
      </c>
      <c r="E147" s="72" t="inlineStr">
        <is>
          <t>Epice 100ml</t>
        </is>
      </c>
      <c r="F147" s="19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47" s="196">
        <f>IFERROR(_xlfn.XLOOKUP(TableauRecette[[#This Row],[Ingredients]],TableauIngredients[Ingredients],TableauIngredients[Prix d''achat (kg)],0)*TableauRecette[[#This Row],[poids / unite]],0)</f>
        <v/>
      </c>
      <c r="H147" s="196">
        <f>IFERROR(SUMIFS(TableauRecette[Proportion],TableauRecette[Recette],TableauRecette[[#This Row],[Recette]],TableauRecette[Conditionnement],TableauRecette[[#This Row],[Conditionnement]]),0)</f>
        <v/>
      </c>
      <c r="I147" s="196">
        <f>IFERROR(TableauRecette[[#This Row],[Prix d''achat / kg]],0)</f>
        <v/>
      </c>
      <c r="J147" s="196" t="n"/>
      <c r="K147" s="741" t="n"/>
      <c r="L147" s="742">
        <f>_xlfn.XLOOKUP(TableauRecette[[#This Row],[ID]],TableauProduit[ID],TableauProduit[Total (kg) N1],0,0,1)*TableauRecette[[#This Row],[poids / unite]]</f>
        <v/>
      </c>
      <c r="M147" s="743">
        <f>_xlfn.XLOOKUP(TableauRecette[[#This Row],[ID]],TableauProduit[ID],TableauProduit[Total (kg) N2],0,0,1)*TableauRecette[[#This Row],[poids / unite]]</f>
        <v/>
      </c>
      <c r="N147" s="743">
        <f>_xlfn.XLOOKUP(TableauRecette[[#This Row],[ID]],TableauProduit[ID],TableauProduit[Total (kg) N3],0,0,1)*TableauRecette[[#This Row],[poids / unite]]</f>
        <v/>
      </c>
      <c r="O147" s="743">
        <f>_xlfn.XLOOKUP(TableauRecette[[#This Row],[ID]],TableauProduit[ID],TableauProduit[Total (kg) N4],0,0,1)*TableauRecette[[#This Row],[poids / unite]]</f>
        <v/>
      </c>
      <c r="P147" s="743">
        <f>_xlfn.XLOOKUP(TableauRecette[[#This Row],[ID]],TableauProduit[ID],TableauProduit[Total (kg) N5],0,0,1)*TableauRecette[[#This Row],[poids / unite]]</f>
        <v/>
      </c>
      <c r="Q147" s="743">
        <f>_xlfn.XLOOKUP(TableauRecette[[#This Row],[ID]],TableauProduit[ID],TableauProduit[Total (kg) N6],0,0,1)*TableauRecette[[#This Row],[poids / unite]]</f>
        <v/>
      </c>
      <c r="R147" s="743">
        <f>_xlfn.XLOOKUP(TableauRecette[[#This Row],[ID]],TableauProduit[ID],TableauProduit[Total (kg) N7],0,0,1)*TableauRecette[[#This Row],[poids / unite]]</f>
        <v/>
      </c>
      <c r="S147" s="743">
        <f>_xlfn.XLOOKUP(TableauRecette[[#This Row],[ID]],TableauProduit[ID],TableauProduit[Total (kg) N8],0,0,1)*TableauRecette[[#This Row],[poids / unite]]</f>
        <v/>
      </c>
      <c r="T147" s="743">
        <f>_xlfn.XLOOKUP(TableauRecette[[#This Row],[ID]],TableauProduit[ID],TableauProduit[Total (kg) N9],0,0,1)*TableauRecette[[#This Row],[poids / unite]]</f>
        <v/>
      </c>
    </row>
    <row r="148">
      <c r="A148" s="72" t="inlineStr">
        <is>
          <t>epices poissons et fruits de mer</t>
        </is>
      </c>
      <c r="B148" s="72">
        <f>TableauRecette[[#This Row],[Recette]]&amp;TableauRecette[[#This Row],[Conditionnement]]</f>
        <v/>
      </c>
      <c r="C148" s="72" t="inlineStr">
        <is>
          <t>Sel</t>
        </is>
      </c>
      <c r="D148" s="196" t="n">
        <v>15</v>
      </c>
      <c r="E148" s="72" t="inlineStr">
        <is>
          <t>Epice 100ml</t>
        </is>
      </c>
      <c r="F148" s="19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48" s="196">
        <f>IFERROR(_xlfn.XLOOKUP(TableauRecette[[#This Row],[Ingredients]],TableauIngredients[Ingredients],TableauIngredients[Prix d''achat (kg)],0)*TableauRecette[[#This Row],[poids / unite]],0)</f>
        <v/>
      </c>
      <c r="H148" s="196">
        <f>IFERROR(SUMIFS(TableauRecette[Proportion],TableauRecette[Recette],TableauRecette[[#This Row],[Recette]],TableauRecette[Conditionnement],TableauRecette[[#This Row],[Conditionnement]]),0)</f>
        <v/>
      </c>
      <c r="I148" s="196">
        <f>IFERROR(TableauRecette[[#This Row],[Prix d''achat / kg]],0)</f>
        <v/>
      </c>
      <c r="J148" s="196" t="n"/>
      <c r="K148" s="741" t="n"/>
      <c r="L148" s="742">
        <f>_xlfn.XLOOKUP(TableauRecette[[#This Row],[ID]],TableauProduit[ID],TableauProduit[Total (kg) N1],0,0,1)*TableauRecette[[#This Row],[poids / unite]]</f>
        <v/>
      </c>
      <c r="M148" s="743">
        <f>_xlfn.XLOOKUP(TableauRecette[[#This Row],[ID]],TableauProduit[ID],TableauProduit[Total (kg) N2],0,0,1)*TableauRecette[[#This Row],[poids / unite]]</f>
        <v/>
      </c>
      <c r="N148" s="743">
        <f>_xlfn.XLOOKUP(TableauRecette[[#This Row],[ID]],TableauProduit[ID],TableauProduit[Total (kg) N3],0,0,1)*TableauRecette[[#This Row],[poids / unite]]</f>
        <v/>
      </c>
      <c r="O148" s="743">
        <f>_xlfn.XLOOKUP(TableauRecette[[#This Row],[ID]],TableauProduit[ID],TableauProduit[Total (kg) N4],0,0,1)*TableauRecette[[#This Row],[poids / unite]]</f>
        <v/>
      </c>
      <c r="P148" s="743">
        <f>_xlfn.XLOOKUP(TableauRecette[[#This Row],[ID]],TableauProduit[ID],TableauProduit[Total (kg) N5],0,0,1)*TableauRecette[[#This Row],[poids / unite]]</f>
        <v/>
      </c>
      <c r="Q148" s="743">
        <f>_xlfn.XLOOKUP(TableauRecette[[#This Row],[ID]],TableauProduit[ID],TableauProduit[Total (kg) N6],0,0,1)*TableauRecette[[#This Row],[poids / unite]]</f>
        <v/>
      </c>
      <c r="R148" s="743">
        <f>_xlfn.XLOOKUP(TableauRecette[[#This Row],[ID]],TableauProduit[ID],TableauProduit[Total (kg) N7],0,0,1)*TableauRecette[[#This Row],[poids / unite]]</f>
        <v/>
      </c>
      <c r="S148" s="743">
        <f>_xlfn.XLOOKUP(TableauRecette[[#This Row],[ID]],TableauProduit[ID],TableauProduit[Total (kg) N8],0,0,1)*TableauRecette[[#This Row],[poids / unite]]</f>
        <v/>
      </c>
      <c r="T148" s="743">
        <f>_xlfn.XLOOKUP(TableauRecette[[#This Row],[ID]],TableauProduit[ID],TableauProduit[Total (kg) N9],0,0,1)*TableauRecette[[#This Row],[poids / unite]]</f>
        <v/>
      </c>
    </row>
    <row r="149">
      <c r="A149" s="72" t="inlineStr">
        <is>
          <t>epices poissons et fruits de mer</t>
        </is>
      </c>
      <c r="B149" s="72">
        <f>TableauRecette[[#This Row],[Recette]]&amp;TableauRecette[[#This Row],[Conditionnement]]</f>
        <v/>
      </c>
      <c r="C149" s="72" t="inlineStr">
        <is>
          <t>Céleri En Poudre</t>
        </is>
      </c>
      <c r="D149" s="196" t="n">
        <v>6</v>
      </c>
      <c r="E149" s="72" t="inlineStr">
        <is>
          <t>Epice 100ml</t>
        </is>
      </c>
      <c r="F149" s="19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49" s="196">
        <f>IFERROR(_xlfn.XLOOKUP(TableauRecette[[#This Row],[Ingredients]],TableauIngredients[Ingredients],TableauIngredients[Prix d''achat (kg)],0)*TableauRecette[[#This Row],[poids / unite]],0)</f>
        <v/>
      </c>
      <c r="H149" s="196">
        <f>IFERROR(SUMIFS(TableauRecette[Proportion],TableauRecette[Recette],TableauRecette[[#This Row],[Recette]],TableauRecette[Conditionnement],TableauRecette[[#This Row],[Conditionnement]]),0)</f>
        <v/>
      </c>
      <c r="I149" s="196">
        <f>IFERROR(TableauRecette[[#This Row],[Prix d''achat / kg]],0)</f>
        <v/>
      </c>
      <c r="J149" s="196" t="n"/>
      <c r="K149" s="741" t="n"/>
      <c r="L149" s="742">
        <f>_xlfn.XLOOKUP(TableauRecette[[#This Row],[ID]],TableauProduit[ID],TableauProduit[Total (kg) N1],0,0,1)*TableauRecette[[#This Row],[poids / unite]]</f>
        <v/>
      </c>
      <c r="M149" s="743">
        <f>_xlfn.XLOOKUP(TableauRecette[[#This Row],[ID]],TableauProduit[ID],TableauProduit[Total (kg) N2],0,0,1)*TableauRecette[[#This Row],[poids / unite]]</f>
        <v/>
      </c>
      <c r="N149" s="743">
        <f>_xlfn.XLOOKUP(TableauRecette[[#This Row],[ID]],TableauProduit[ID],TableauProduit[Total (kg) N3],0,0,1)*TableauRecette[[#This Row],[poids / unite]]</f>
        <v/>
      </c>
      <c r="O149" s="743">
        <f>_xlfn.XLOOKUP(TableauRecette[[#This Row],[ID]],TableauProduit[ID],TableauProduit[Total (kg) N4],0,0,1)*TableauRecette[[#This Row],[poids / unite]]</f>
        <v/>
      </c>
      <c r="P149" s="743">
        <f>_xlfn.XLOOKUP(TableauRecette[[#This Row],[ID]],TableauProduit[ID],TableauProduit[Total (kg) N5],0,0,1)*TableauRecette[[#This Row],[poids / unite]]</f>
        <v/>
      </c>
      <c r="Q149" s="743">
        <f>_xlfn.XLOOKUP(TableauRecette[[#This Row],[ID]],TableauProduit[ID],TableauProduit[Total (kg) N6],0,0,1)*TableauRecette[[#This Row],[poids / unite]]</f>
        <v/>
      </c>
      <c r="R149" s="743">
        <f>_xlfn.XLOOKUP(TableauRecette[[#This Row],[ID]],TableauProduit[ID],TableauProduit[Total (kg) N7],0,0,1)*TableauRecette[[#This Row],[poids / unite]]</f>
        <v/>
      </c>
      <c r="S149" s="743">
        <f>_xlfn.XLOOKUP(TableauRecette[[#This Row],[ID]],TableauProduit[ID],TableauProduit[Total (kg) N8],0,0,1)*TableauRecette[[#This Row],[poids / unite]]</f>
        <v/>
      </c>
      <c r="T149" s="743">
        <f>_xlfn.XLOOKUP(TableauRecette[[#This Row],[ID]],TableauProduit[ID],TableauProduit[Total (kg) N9],0,0,1)*TableauRecette[[#This Row],[poids / unite]]</f>
        <v/>
      </c>
    </row>
    <row r="150">
      <c r="A150" s="72" t="inlineStr">
        <is>
          <t>epices poissons et fruits de mer</t>
        </is>
      </c>
      <c r="B150" s="72">
        <f>TableauRecette[[#This Row],[Recette]]&amp;TableauRecette[[#This Row],[Conditionnement]]</f>
        <v/>
      </c>
      <c r="C150" s="72" t="inlineStr">
        <is>
          <t>Graine De Moutarde</t>
        </is>
      </c>
      <c r="D150" s="196" t="n">
        <v>2</v>
      </c>
      <c r="E150" s="72" t="inlineStr">
        <is>
          <t>Epice 100ml</t>
        </is>
      </c>
      <c r="F150" s="19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50" s="196">
        <f>IFERROR(_xlfn.XLOOKUP(TableauRecette[[#This Row],[Ingredients]],TableauIngredients[Ingredients],TableauIngredients[Prix d''achat (kg)],0)*TableauRecette[[#This Row],[poids / unite]],0)</f>
        <v/>
      </c>
      <c r="H150" s="196">
        <f>IFERROR(SUMIFS(TableauRecette[Proportion],TableauRecette[Recette],TableauRecette[[#This Row],[Recette]],TableauRecette[Conditionnement],TableauRecette[[#This Row],[Conditionnement]]),0)</f>
        <v/>
      </c>
      <c r="I150" s="196">
        <f>IFERROR(TableauRecette[[#This Row],[Prix d''achat / kg]],0)</f>
        <v/>
      </c>
      <c r="J150" s="196" t="n"/>
      <c r="K150" s="741" t="n"/>
      <c r="L150" s="742">
        <f>_xlfn.XLOOKUP(TableauRecette[[#This Row],[ID]],TableauProduit[ID],TableauProduit[Total (kg) N1],0,0,1)*TableauRecette[[#This Row],[poids / unite]]</f>
        <v/>
      </c>
      <c r="M150" s="743">
        <f>_xlfn.XLOOKUP(TableauRecette[[#This Row],[ID]],TableauProduit[ID],TableauProduit[Total (kg) N2],0,0,1)*TableauRecette[[#This Row],[poids / unite]]</f>
        <v/>
      </c>
      <c r="N150" s="743">
        <f>_xlfn.XLOOKUP(TableauRecette[[#This Row],[ID]],TableauProduit[ID],TableauProduit[Total (kg) N3],0,0,1)*TableauRecette[[#This Row],[poids / unite]]</f>
        <v/>
      </c>
      <c r="O150" s="743">
        <f>_xlfn.XLOOKUP(TableauRecette[[#This Row],[ID]],TableauProduit[ID],TableauProduit[Total (kg) N4],0,0,1)*TableauRecette[[#This Row],[poids / unite]]</f>
        <v/>
      </c>
      <c r="P150" s="743">
        <f>_xlfn.XLOOKUP(TableauRecette[[#This Row],[ID]],TableauProduit[ID],TableauProduit[Total (kg) N5],0,0,1)*TableauRecette[[#This Row],[poids / unite]]</f>
        <v/>
      </c>
      <c r="Q150" s="743">
        <f>_xlfn.XLOOKUP(TableauRecette[[#This Row],[ID]],TableauProduit[ID],TableauProduit[Total (kg) N6],0,0,1)*TableauRecette[[#This Row],[poids / unite]]</f>
        <v/>
      </c>
      <c r="R150" s="743">
        <f>_xlfn.XLOOKUP(TableauRecette[[#This Row],[ID]],TableauProduit[ID],TableauProduit[Total (kg) N7],0,0,1)*TableauRecette[[#This Row],[poids / unite]]</f>
        <v/>
      </c>
      <c r="S150" s="743">
        <f>_xlfn.XLOOKUP(TableauRecette[[#This Row],[ID]],TableauProduit[ID],TableauProduit[Total (kg) N8],0,0,1)*TableauRecette[[#This Row],[poids / unite]]</f>
        <v/>
      </c>
      <c r="T150" s="743">
        <f>_xlfn.XLOOKUP(TableauRecette[[#This Row],[ID]],TableauProduit[ID],TableauProduit[Total (kg) N9],0,0,1)*TableauRecette[[#This Row],[poids / unite]]</f>
        <v/>
      </c>
    </row>
    <row r="151">
      <c r="A151" s="72" t="inlineStr">
        <is>
          <t>epices poissons et fruits de mer</t>
        </is>
      </c>
      <c r="B151" s="72">
        <f>TableauRecette[[#This Row],[Recette]]&amp;TableauRecette[[#This Row],[Conditionnement]]</f>
        <v/>
      </c>
      <c r="C151" s="72" t="inlineStr">
        <is>
          <t>Poivre Noir</t>
        </is>
      </c>
      <c r="D151" s="196" t="n">
        <v>1</v>
      </c>
      <c r="E151" s="72" t="inlineStr">
        <is>
          <t>Epice 100ml</t>
        </is>
      </c>
      <c r="F151" s="19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51" s="196">
        <f>IFERROR(_xlfn.XLOOKUP(TableauRecette[[#This Row],[Ingredients]],TableauIngredients[Ingredients],TableauIngredients[Prix d''achat (kg)],0)*TableauRecette[[#This Row],[poids / unite]],0)</f>
        <v/>
      </c>
      <c r="H151" s="196">
        <f>IFERROR(SUMIFS(TableauRecette[Proportion],TableauRecette[Recette],TableauRecette[[#This Row],[Recette]],TableauRecette[Conditionnement],TableauRecette[[#This Row],[Conditionnement]]),0)</f>
        <v/>
      </c>
      <c r="I151" s="196">
        <f>IFERROR(TableauRecette[[#This Row],[Prix d''achat / kg]],0)</f>
        <v/>
      </c>
      <c r="J151" s="196" t="n"/>
      <c r="K151" s="741" t="n"/>
      <c r="L151" s="742">
        <f>_xlfn.XLOOKUP(TableauRecette[[#This Row],[ID]],TableauProduit[ID],TableauProduit[Total (kg) N1],0,0,1)*TableauRecette[[#This Row],[poids / unite]]</f>
        <v/>
      </c>
      <c r="M151" s="743">
        <f>_xlfn.XLOOKUP(TableauRecette[[#This Row],[ID]],TableauProduit[ID],TableauProduit[Total (kg) N2],0,0,1)*TableauRecette[[#This Row],[poids / unite]]</f>
        <v/>
      </c>
      <c r="N151" s="743">
        <f>_xlfn.XLOOKUP(TableauRecette[[#This Row],[ID]],TableauProduit[ID],TableauProduit[Total (kg) N3],0,0,1)*TableauRecette[[#This Row],[poids / unite]]</f>
        <v/>
      </c>
      <c r="O151" s="743">
        <f>_xlfn.XLOOKUP(TableauRecette[[#This Row],[ID]],TableauProduit[ID],TableauProduit[Total (kg) N4],0,0,1)*TableauRecette[[#This Row],[poids / unite]]</f>
        <v/>
      </c>
      <c r="P151" s="743">
        <f>_xlfn.XLOOKUP(TableauRecette[[#This Row],[ID]],TableauProduit[ID],TableauProduit[Total (kg) N5],0,0,1)*TableauRecette[[#This Row],[poids / unite]]</f>
        <v/>
      </c>
      <c r="Q151" s="743">
        <f>_xlfn.XLOOKUP(TableauRecette[[#This Row],[ID]],TableauProduit[ID],TableauProduit[Total (kg) N6],0,0,1)*TableauRecette[[#This Row],[poids / unite]]</f>
        <v/>
      </c>
      <c r="R151" s="743">
        <f>_xlfn.XLOOKUP(TableauRecette[[#This Row],[ID]],TableauProduit[ID],TableauProduit[Total (kg) N7],0,0,1)*TableauRecette[[#This Row],[poids / unite]]</f>
        <v/>
      </c>
      <c r="S151" s="743">
        <f>_xlfn.XLOOKUP(TableauRecette[[#This Row],[ID]],TableauProduit[ID],TableauProduit[Total (kg) N8],0,0,1)*TableauRecette[[#This Row],[poids / unite]]</f>
        <v/>
      </c>
      <c r="T151" s="743">
        <f>_xlfn.XLOOKUP(TableauRecette[[#This Row],[ID]],TableauProduit[ID],TableauProduit[Total (kg) N9],0,0,1)*TableauRecette[[#This Row],[poids / unite]]</f>
        <v/>
      </c>
    </row>
    <row r="152">
      <c r="A152" s="72" t="inlineStr">
        <is>
          <t>epices poissons et fruits de mer</t>
        </is>
      </c>
      <c r="B152" s="72">
        <f>TableauRecette[[#This Row],[Recette]]&amp;TableauRecette[[#This Row],[Conditionnement]]</f>
        <v/>
      </c>
      <c r="C152" s="72" t="inlineStr">
        <is>
          <t>Feuille De 4 Épices</t>
        </is>
      </c>
      <c r="D152" s="196" t="n">
        <v>1</v>
      </c>
      <c r="E152" s="72" t="inlineStr">
        <is>
          <t>Epice 100ml</t>
        </is>
      </c>
      <c r="F152" s="19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52" s="196">
        <f>IFERROR(_xlfn.XLOOKUP(TableauRecette[[#This Row],[Ingredients]],TableauIngredients[Ingredients],TableauIngredients[Prix d''achat (kg)],0)*TableauRecette[[#This Row],[poids / unite]],0)</f>
        <v/>
      </c>
      <c r="H152" s="196">
        <f>IFERROR(SUMIFS(TableauRecette[Proportion],TableauRecette[Recette],TableauRecette[[#This Row],[Recette]],TableauRecette[Conditionnement],TableauRecette[[#This Row],[Conditionnement]]),0)</f>
        <v/>
      </c>
      <c r="I152" s="196">
        <f>IFERROR(TableauRecette[[#This Row],[Prix d''achat / kg]],0)</f>
        <v/>
      </c>
      <c r="J152" s="196" t="n"/>
      <c r="K152" s="741" t="n"/>
      <c r="L152" s="742">
        <f>_xlfn.XLOOKUP(TableauRecette[[#This Row],[ID]],TableauProduit[ID],TableauProduit[Total (kg) N1],0,0,1)*TableauRecette[[#This Row],[poids / unite]]</f>
        <v/>
      </c>
      <c r="M152" s="743">
        <f>_xlfn.XLOOKUP(TableauRecette[[#This Row],[ID]],TableauProduit[ID],TableauProduit[Total (kg) N2],0,0,1)*TableauRecette[[#This Row],[poids / unite]]</f>
        <v/>
      </c>
      <c r="N152" s="743">
        <f>_xlfn.XLOOKUP(TableauRecette[[#This Row],[ID]],TableauProduit[ID],TableauProduit[Total (kg) N3],0,0,1)*TableauRecette[[#This Row],[poids / unite]]</f>
        <v/>
      </c>
      <c r="O152" s="743">
        <f>_xlfn.XLOOKUP(TableauRecette[[#This Row],[ID]],TableauProduit[ID],TableauProduit[Total (kg) N4],0,0,1)*TableauRecette[[#This Row],[poids / unite]]</f>
        <v/>
      </c>
      <c r="P152" s="743">
        <f>_xlfn.XLOOKUP(TableauRecette[[#This Row],[ID]],TableauProduit[ID],TableauProduit[Total (kg) N5],0,0,1)*TableauRecette[[#This Row],[poids / unite]]</f>
        <v/>
      </c>
      <c r="Q152" s="743">
        <f>_xlfn.XLOOKUP(TableauRecette[[#This Row],[ID]],TableauProduit[ID],TableauProduit[Total (kg) N6],0,0,1)*TableauRecette[[#This Row],[poids / unite]]</f>
        <v/>
      </c>
      <c r="R152" s="743">
        <f>_xlfn.XLOOKUP(TableauRecette[[#This Row],[ID]],TableauProduit[ID],TableauProduit[Total (kg) N7],0,0,1)*TableauRecette[[#This Row],[poids / unite]]</f>
        <v/>
      </c>
      <c r="S152" s="743">
        <f>_xlfn.XLOOKUP(TableauRecette[[#This Row],[ID]],TableauProduit[ID],TableauProduit[Total (kg) N8],0,0,1)*TableauRecette[[#This Row],[poids / unite]]</f>
        <v/>
      </c>
      <c r="T152" s="743">
        <f>_xlfn.XLOOKUP(TableauRecette[[#This Row],[ID]],TableauProduit[ID],TableauProduit[Total (kg) N9],0,0,1)*TableauRecette[[#This Row],[poids / unite]]</f>
        <v/>
      </c>
    </row>
    <row r="153">
      <c r="A153" s="72" t="inlineStr">
        <is>
          <t>epices poissons et fruits de mer</t>
        </is>
      </c>
      <c r="B153" s="72">
        <f>TableauRecette[[#This Row],[Recette]]&amp;TableauRecette[[#This Row],[Conditionnement]]</f>
        <v/>
      </c>
      <c r="C153" s="668" t="inlineStr">
        <is>
          <t>Gingembre Sec</t>
        </is>
      </c>
      <c r="D153" s="196" t="n">
        <v>1</v>
      </c>
      <c r="E153" s="72" t="inlineStr">
        <is>
          <t>Epice 100ml</t>
        </is>
      </c>
      <c r="F153" s="19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53" s="196">
        <f>IFERROR(_xlfn.XLOOKUP(TableauRecette[[#This Row],[Ingredients]],TableauIngredients[Ingredients],TableauIngredients[Prix d''achat (kg)],0)*TableauRecette[[#This Row],[poids / unite]],0)</f>
        <v/>
      </c>
      <c r="H153" s="196">
        <f>IFERROR(SUMIFS(TableauRecette[Proportion],TableauRecette[Recette],TableauRecette[[#This Row],[Recette]],TableauRecette[Conditionnement],TableauRecette[[#This Row],[Conditionnement]]),0)</f>
        <v/>
      </c>
      <c r="I153" s="196">
        <f>IFERROR(TableauRecette[[#This Row],[Prix d''achat / kg]],0)</f>
        <v/>
      </c>
      <c r="J153" s="196" t="n"/>
      <c r="K153" s="741" t="n"/>
      <c r="L153" s="742">
        <f>_xlfn.XLOOKUP(TableauRecette[[#This Row],[ID]],TableauProduit[ID],TableauProduit[Total (kg) N1],0,0,1)*TableauRecette[[#This Row],[poids / unite]]</f>
        <v/>
      </c>
      <c r="M153" s="743">
        <f>_xlfn.XLOOKUP(TableauRecette[[#This Row],[ID]],TableauProduit[ID],TableauProduit[Total (kg) N2],0,0,1)*TableauRecette[[#This Row],[poids / unite]]</f>
        <v/>
      </c>
      <c r="N153" s="743">
        <f>_xlfn.XLOOKUP(TableauRecette[[#This Row],[ID]],TableauProduit[ID],TableauProduit[Total (kg) N3],0,0,1)*TableauRecette[[#This Row],[poids / unite]]</f>
        <v/>
      </c>
      <c r="O153" s="743">
        <f>_xlfn.XLOOKUP(TableauRecette[[#This Row],[ID]],TableauProduit[ID],TableauProduit[Total (kg) N4],0,0,1)*TableauRecette[[#This Row],[poids / unite]]</f>
        <v/>
      </c>
      <c r="P153" s="743">
        <f>_xlfn.XLOOKUP(TableauRecette[[#This Row],[ID]],TableauProduit[ID],TableauProduit[Total (kg) N5],0,0,1)*TableauRecette[[#This Row],[poids / unite]]</f>
        <v/>
      </c>
      <c r="Q153" s="743">
        <f>_xlfn.XLOOKUP(TableauRecette[[#This Row],[ID]],TableauProduit[ID],TableauProduit[Total (kg) N6],0,0,1)*TableauRecette[[#This Row],[poids / unite]]</f>
        <v/>
      </c>
      <c r="R153" s="743">
        <f>_xlfn.XLOOKUP(TableauRecette[[#This Row],[ID]],TableauProduit[ID],TableauProduit[Total (kg) N7],0,0,1)*TableauRecette[[#This Row],[poids / unite]]</f>
        <v/>
      </c>
      <c r="S153" s="743">
        <f>_xlfn.XLOOKUP(TableauRecette[[#This Row],[ID]],TableauProduit[ID],TableauProduit[Total (kg) N8],0,0,1)*TableauRecette[[#This Row],[poids / unite]]</f>
        <v/>
      </c>
      <c r="T153" s="743">
        <f>_xlfn.XLOOKUP(TableauRecette[[#This Row],[ID]],TableauProduit[ID],TableauProduit[Total (kg) N9],0,0,1)*TableauRecette[[#This Row],[poids / unite]]</f>
        <v/>
      </c>
    </row>
    <row r="154">
      <c r="A154" s="72" t="inlineStr">
        <is>
          <t>epices poissons et fruits de mer</t>
        </is>
      </c>
      <c r="B154" s="72">
        <f>TableauRecette[[#This Row],[Recette]]&amp;TableauRecette[[#This Row],[Conditionnement]]</f>
        <v/>
      </c>
      <c r="C154" s="72" t="inlineStr">
        <is>
          <t>Cannelle Moulue</t>
        </is>
      </c>
      <c r="D154" s="196" t="n">
        <v>1</v>
      </c>
      <c r="E154" s="72" t="inlineStr">
        <is>
          <t>Epice 100ml</t>
        </is>
      </c>
      <c r="F154" s="19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54" s="196">
        <f>IFERROR(_xlfn.XLOOKUP(TableauRecette[[#This Row],[Ingredients]],TableauIngredients[Ingredients],TableauIngredients[Prix d''achat (kg)],0)*TableauRecette[[#This Row],[poids / unite]],0)</f>
        <v/>
      </c>
      <c r="H154" s="196">
        <f>IFERROR(SUMIFS(TableauRecette[Proportion],TableauRecette[Recette],TableauRecette[[#This Row],[Recette]],TableauRecette[Conditionnement],TableauRecette[[#This Row],[Conditionnement]]),0)</f>
        <v/>
      </c>
      <c r="I154" s="196">
        <f>IFERROR(TableauRecette[[#This Row],[Prix d''achat / kg]],0)</f>
        <v/>
      </c>
      <c r="J154" s="196" t="n"/>
      <c r="K154" s="741" t="n"/>
      <c r="L154" s="742">
        <f>_xlfn.XLOOKUP(TableauRecette[[#This Row],[ID]],TableauProduit[ID],TableauProduit[Total (kg) N1],0,0,1)*TableauRecette[[#This Row],[poids / unite]]</f>
        <v/>
      </c>
      <c r="M154" s="743">
        <f>_xlfn.XLOOKUP(TableauRecette[[#This Row],[ID]],TableauProduit[ID],TableauProduit[Total (kg) N2],0,0,1)*TableauRecette[[#This Row],[poids / unite]]</f>
        <v/>
      </c>
      <c r="N154" s="743">
        <f>_xlfn.XLOOKUP(TableauRecette[[#This Row],[ID]],TableauProduit[ID],TableauProduit[Total (kg) N3],0,0,1)*TableauRecette[[#This Row],[poids / unite]]</f>
        <v/>
      </c>
      <c r="O154" s="743">
        <f>_xlfn.XLOOKUP(TableauRecette[[#This Row],[ID]],TableauProduit[ID],TableauProduit[Total (kg) N4],0,0,1)*TableauRecette[[#This Row],[poids / unite]]</f>
        <v/>
      </c>
      <c r="P154" s="743">
        <f>_xlfn.XLOOKUP(TableauRecette[[#This Row],[ID]],TableauProduit[ID],TableauProduit[Total (kg) N5],0,0,1)*TableauRecette[[#This Row],[poids / unite]]</f>
        <v/>
      </c>
      <c r="Q154" s="743">
        <f>_xlfn.XLOOKUP(TableauRecette[[#This Row],[ID]],TableauProduit[ID],TableauProduit[Total (kg) N6],0,0,1)*TableauRecette[[#This Row],[poids / unite]]</f>
        <v/>
      </c>
      <c r="R154" s="743">
        <f>_xlfn.XLOOKUP(TableauRecette[[#This Row],[ID]],TableauProduit[ID],TableauProduit[Total (kg) N7],0,0,1)*TableauRecette[[#This Row],[poids / unite]]</f>
        <v/>
      </c>
      <c r="S154" s="743">
        <f>_xlfn.XLOOKUP(TableauRecette[[#This Row],[ID]],TableauProduit[ID],TableauProduit[Total (kg) N8],0,0,1)*TableauRecette[[#This Row],[poids / unite]]</f>
        <v/>
      </c>
      <c r="T154" s="743">
        <f>_xlfn.XLOOKUP(TableauRecette[[#This Row],[ID]],TableauProduit[ID],TableauProduit[Total (kg) N9],0,0,1)*TableauRecette[[#This Row],[poids / unite]]</f>
        <v/>
      </c>
    </row>
    <row r="155">
      <c r="A155" s="72" t="inlineStr">
        <is>
          <t>epices poissons et fruits de mer</t>
        </is>
      </c>
      <c r="B155" s="72">
        <f>TableauRecette[[#This Row],[Recette]]&amp;TableauRecette[[#This Row],[Conditionnement]]</f>
        <v/>
      </c>
      <c r="C155" s="72" t="inlineStr">
        <is>
          <t>Clous De Girofle</t>
        </is>
      </c>
      <c r="D155" s="196" t="n">
        <v>0.5</v>
      </c>
      <c r="E155" s="72" t="inlineStr">
        <is>
          <t>Epice 100ml</t>
        </is>
      </c>
      <c r="F155" s="19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55" s="196">
        <f>IFERROR(_xlfn.XLOOKUP(TableauRecette[[#This Row],[Ingredients]],TableauIngredients[Ingredients],TableauIngredients[Prix d''achat (kg)],0)*TableauRecette[[#This Row],[poids / unite]],0)</f>
        <v/>
      </c>
      <c r="H155" s="196">
        <f>IFERROR(SUMIFS(TableauRecette[Proportion],TableauRecette[Recette],TableauRecette[[#This Row],[Recette]],TableauRecette[Conditionnement],TableauRecette[[#This Row],[Conditionnement]]),0)</f>
        <v/>
      </c>
      <c r="I155" s="196">
        <f>IFERROR(TableauRecette[[#This Row],[Prix d''achat / kg]],0)</f>
        <v/>
      </c>
      <c r="J155" s="196" t="n"/>
      <c r="K155" s="741" t="n"/>
      <c r="L155" s="742">
        <f>_xlfn.XLOOKUP(TableauRecette[[#This Row],[ID]],TableauProduit[ID],TableauProduit[Total (kg) N1],0,0,1)*TableauRecette[[#This Row],[poids / unite]]</f>
        <v/>
      </c>
      <c r="M155" s="743">
        <f>_xlfn.XLOOKUP(TableauRecette[[#This Row],[ID]],TableauProduit[ID],TableauProduit[Total (kg) N2],0,0,1)*TableauRecette[[#This Row],[poids / unite]]</f>
        <v/>
      </c>
      <c r="N155" s="743">
        <f>_xlfn.XLOOKUP(TableauRecette[[#This Row],[ID]],TableauProduit[ID],TableauProduit[Total (kg) N3],0,0,1)*TableauRecette[[#This Row],[poids / unite]]</f>
        <v/>
      </c>
      <c r="O155" s="743">
        <f>_xlfn.XLOOKUP(TableauRecette[[#This Row],[ID]],TableauProduit[ID],TableauProduit[Total (kg) N4],0,0,1)*TableauRecette[[#This Row],[poids / unite]]</f>
        <v/>
      </c>
      <c r="P155" s="743">
        <f>_xlfn.XLOOKUP(TableauRecette[[#This Row],[ID]],TableauProduit[ID],TableauProduit[Total (kg) N5],0,0,1)*TableauRecette[[#This Row],[poids / unite]]</f>
        <v/>
      </c>
      <c r="Q155" s="743">
        <f>_xlfn.XLOOKUP(TableauRecette[[#This Row],[ID]],TableauProduit[ID],TableauProduit[Total (kg) N6],0,0,1)*TableauRecette[[#This Row],[poids / unite]]</f>
        <v/>
      </c>
      <c r="R155" s="743">
        <f>_xlfn.XLOOKUP(TableauRecette[[#This Row],[ID]],TableauProduit[ID],TableauProduit[Total (kg) N7],0,0,1)*TableauRecette[[#This Row],[poids / unite]]</f>
        <v/>
      </c>
      <c r="S155" s="743">
        <f>_xlfn.XLOOKUP(TableauRecette[[#This Row],[ID]],TableauProduit[ID],TableauProduit[Total (kg) N8],0,0,1)*TableauRecette[[#This Row],[poids / unite]]</f>
        <v/>
      </c>
      <c r="T155" s="743">
        <f>_xlfn.XLOOKUP(TableauRecette[[#This Row],[ID]],TableauProduit[ID],TableauProduit[Total (kg) N9],0,0,1)*TableauRecette[[#This Row],[poids / unite]]</f>
        <v/>
      </c>
    </row>
    <row r="156">
      <c r="A156" s="72" t="inlineStr">
        <is>
          <t>epices poissons et fruits de mer</t>
        </is>
      </c>
      <c r="B156" s="72">
        <f>TableauRecette[[#This Row],[Recette]]&amp;TableauRecette[[#This Row],[Conditionnement]]</f>
        <v/>
      </c>
      <c r="C156" s="72" t="inlineStr">
        <is>
          <t>Graine De Cardamone</t>
        </is>
      </c>
      <c r="D156" s="196" t="n">
        <v>0.5</v>
      </c>
      <c r="E156" s="72" t="inlineStr">
        <is>
          <t>Epice 100ml</t>
        </is>
      </c>
      <c r="F156" s="19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56" s="196">
        <f>IFERROR(_xlfn.XLOOKUP(TableauRecette[[#This Row],[Ingredients]],TableauIngredients[Ingredients],TableauIngredients[Prix d''achat (kg)],0)*TableauRecette[[#This Row],[poids / unite]],0)</f>
        <v/>
      </c>
      <c r="H156" s="196">
        <f>IFERROR(SUMIFS(TableauRecette[Proportion],TableauRecette[Recette],TableauRecette[[#This Row],[Recette]],TableauRecette[Conditionnement],TableauRecette[[#This Row],[Conditionnement]]),0)</f>
        <v/>
      </c>
      <c r="I156" s="196">
        <f>IFERROR(TableauRecette[[#This Row],[Prix d''achat / kg]],0)</f>
        <v/>
      </c>
      <c r="J156" s="196" t="n"/>
      <c r="K156" s="741" t="n"/>
      <c r="L156" s="742">
        <f>_xlfn.XLOOKUP(TableauRecette[[#This Row],[ID]],TableauProduit[ID],TableauProduit[Total (kg) N1],0,0,1)*TableauRecette[[#This Row],[poids / unite]]</f>
        <v/>
      </c>
      <c r="M156" s="743">
        <f>_xlfn.XLOOKUP(TableauRecette[[#This Row],[ID]],TableauProduit[ID],TableauProduit[Total (kg) N2],0,0,1)*TableauRecette[[#This Row],[poids / unite]]</f>
        <v/>
      </c>
      <c r="N156" s="743">
        <f>_xlfn.XLOOKUP(TableauRecette[[#This Row],[ID]],TableauProduit[ID],TableauProduit[Total (kg) N3],0,0,1)*TableauRecette[[#This Row],[poids / unite]]</f>
        <v/>
      </c>
      <c r="O156" s="743">
        <f>_xlfn.XLOOKUP(TableauRecette[[#This Row],[ID]],TableauProduit[ID],TableauProduit[Total (kg) N4],0,0,1)*TableauRecette[[#This Row],[poids / unite]]</f>
        <v/>
      </c>
      <c r="P156" s="743">
        <f>_xlfn.XLOOKUP(TableauRecette[[#This Row],[ID]],TableauProduit[ID],TableauProduit[Total (kg) N5],0,0,1)*TableauRecette[[#This Row],[poids / unite]]</f>
        <v/>
      </c>
      <c r="Q156" s="743">
        <f>_xlfn.XLOOKUP(TableauRecette[[#This Row],[ID]],TableauProduit[ID],TableauProduit[Total (kg) N6],0,0,1)*TableauRecette[[#This Row],[poids / unite]]</f>
        <v/>
      </c>
      <c r="R156" s="743">
        <f>_xlfn.XLOOKUP(TableauRecette[[#This Row],[ID]],TableauProduit[ID],TableauProduit[Total (kg) N7],0,0,1)*TableauRecette[[#This Row],[poids / unite]]</f>
        <v/>
      </c>
      <c r="S156" s="743">
        <f>_xlfn.XLOOKUP(TableauRecette[[#This Row],[ID]],TableauProduit[ID],TableauProduit[Total (kg) N8],0,0,1)*TableauRecette[[#This Row],[poids / unite]]</f>
        <v/>
      </c>
      <c r="T156" s="743">
        <f>_xlfn.XLOOKUP(TableauRecette[[#This Row],[ID]],TableauProduit[ID],TableauProduit[Total (kg) N9],0,0,1)*TableauRecette[[#This Row],[poids / unite]]</f>
        <v/>
      </c>
    </row>
    <row r="157">
      <c r="A157" s="73" t="inlineStr">
        <is>
          <t>epices pour marinade</t>
        </is>
      </c>
      <c r="B157" s="73">
        <f>TableauRecette[[#This Row],[Recette]]&amp;TableauRecette[[#This Row],[Conditionnement]]</f>
        <v/>
      </c>
      <c r="C157" s="73" t="inlineStr">
        <is>
          <t>Graine De Moutarde</t>
        </is>
      </c>
      <c r="D157" s="197" t="n">
        <v>6</v>
      </c>
      <c r="E157" s="73" t="inlineStr">
        <is>
          <t>Epice 100ml</t>
        </is>
      </c>
      <c r="F157" s="19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57" s="197">
        <f>IFERROR(_xlfn.XLOOKUP(TableauRecette[[#This Row],[Ingredients]],TableauIngredients[Ingredients],TableauIngredients[Prix d''achat (kg)],0)*TableauRecette[[#This Row],[poids / unite]],0)</f>
        <v/>
      </c>
      <c r="H157" s="197">
        <f>IFERROR(SUMIFS(TableauRecette[Proportion],TableauRecette[Recette],TableauRecette[[#This Row],[Recette]],TableauRecette[Conditionnement],TableauRecette[[#This Row],[Conditionnement]]),0)</f>
        <v/>
      </c>
      <c r="I157" s="197">
        <f>IFERROR(TableauRecette[[#This Row],[Prix d''achat / kg]],0)</f>
        <v/>
      </c>
      <c r="J157" s="197" t="n"/>
      <c r="K157" s="744" t="n"/>
      <c r="L157" s="745">
        <f>_xlfn.XLOOKUP(TableauRecette[[#This Row],[ID]],TableauProduit[ID],TableauProduit[Total (kg) N1],0,0,1)*TableauRecette[[#This Row],[poids / unite]]</f>
        <v/>
      </c>
      <c r="M157" s="746">
        <f>_xlfn.XLOOKUP(TableauRecette[[#This Row],[ID]],TableauProduit[ID],TableauProduit[Total (kg) N2],0,0,1)*TableauRecette[[#This Row],[poids / unite]]</f>
        <v/>
      </c>
      <c r="N157" s="746">
        <f>_xlfn.XLOOKUP(TableauRecette[[#This Row],[ID]],TableauProduit[ID],TableauProduit[Total (kg) N3],0,0,1)*TableauRecette[[#This Row],[poids / unite]]</f>
        <v/>
      </c>
      <c r="O157" s="746">
        <f>_xlfn.XLOOKUP(TableauRecette[[#This Row],[ID]],TableauProduit[ID],TableauProduit[Total (kg) N4],0,0,1)*TableauRecette[[#This Row],[poids / unite]]</f>
        <v/>
      </c>
      <c r="P157" s="746">
        <f>_xlfn.XLOOKUP(TableauRecette[[#This Row],[ID]],TableauProduit[ID],TableauProduit[Total (kg) N5],0,0,1)*TableauRecette[[#This Row],[poids / unite]]</f>
        <v/>
      </c>
      <c r="Q157" s="746">
        <f>_xlfn.XLOOKUP(TableauRecette[[#This Row],[ID]],TableauProduit[ID],TableauProduit[Total (kg) N6],0,0,1)*TableauRecette[[#This Row],[poids / unite]]</f>
        <v/>
      </c>
      <c r="R157" s="746">
        <f>_xlfn.XLOOKUP(TableauRecette[[#This Row],[ID]],TableauProduit[ID],TableauProduit[Total (kg) N7],0,0,1)*TableauRecette[[#This Row],[poids / unite]]</f>
        <v/>
      </c>
      <c r="S157" s="746">
        <f>_xlfn.XLOOKUP(TableauRecette[[#This Row],[ID]],TableauProduit[ID],TableauProduit[Total (kg) N8],0,0,1)*TableauRecette[[#This Row],[poids / unite]]</f>
        <v/>
      </c>
      <c r="T157" s="746">
        <f>_xlfn.XLOOKUP(TableauRecette[[#This Row],[ID]],TableauProduit[ID],TableauProduit[Total (kg) N9],0,0,1)*TableauRecette[[#This Row],[poids / unite]]</f>
        <v/>
      </c>
    </row>
    <row r="158">
      <c r="A158" s="73" t="inlineStr">
        <is>
          <t>epices pour marinade</t>
        </is>
      </c>
      <c r="B158" s="73">
        <f>TableauRecette[[#This Row],[Recette]]&amp;TableauRecette[[#This Row],[Conditionnement]]</f>
        <v/>
      </c>
      <c r="C158" s="73" t="inlineStr">
        <is>
          <t>Poivre De Jamaïque</t>
        </is>
      </c>
      <c r="D158" s="197" t="n">
        <v>3</v>
      </c>
      <c r="E158" s="73" t="inlineStr">
        <is>
          <t>Epice 100ml</t>
        </is>
      </c>
      <c r="F158" s="19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58" s="197">
        <f>IFERROR(_xlfn.XLOOKUP(TableauRecette[[#This Row],[Ingredients]],TableauIngredients[Ingredients],TableauIngredients[Prix d''achat (kg)],0)*TableauRecette[[#This Row],[poids / unite]],0)</f>
        <v/>
      </c>
      <c r="H158" s="197">
        <f>IFERROR(SUMIFS(TableauRecette[Proportion],TableauRecette[Recette],TableauRecette[[#This Row],[Recette]],TableauRecette[Conditionnement],TableauRecette[[#This Row],[Conditionnement]]),0)</f>
        <v/>
      </c>
      <c r="I158" s="197">
        <f>IFERROR(TableauRecette[[#This Row],[Prix d''achat / kg]],0)</f>
        <v/>
      </c>
      <c r="J158" s="197" t="n"/>
      <c r="K158" s="744" t="n"/>
      <c r="L158" s="745">
        <f>_xlfn.XLOOKUP(TableauRecette[[#This Row],[ID]],TableauProduit[ID],TableauProduit[Total (kg) N1],0,0,1)*TableauRecette[[#This Row],[poids / unite]]</f>
        <v/>
      </c>
      <c r="M158" s="746">
        <f>_xlfn.XLOOKUP(TableauRecette[[#This Row],[ID]],TableauProduit[ID],TableauProduit[Total (kg) N2],0,0,1)*TableauRecette[[#This Row],[poids / unite]]</f>
        <v/>
      </c>
      <c r="N158" s="746">
        <f>_xlfn.XLOOKUP(TableauRecette[[#This Row],[ID]],TableauProduit[ID],TableauProduit[Total (kg) N3],0,0,1)*TableauRecette[[#This Row],[poids / unite]]</f>
        <v/>
      </c>
      <c r="O158" s="746">
        <f>_xlfn.XLOOKUP(TableauRecette[[#This Row],[ID]],TableauProduit[ID],TableauProduit[Total (kg) N4],0,0,1)*TableauRecette[[#This Row],[poids / unite]]</f>
        <v/>
      </c>
      <c r="P158" s="746">
        <f>_xlfn.XLOOKUP(TableauRecette[[#This Row],[ID]],TableauProduit[ID],TableauProduit[Total (kg) N5],0,0,1)*TableauRecette[[#This Row],[poids / unite]]</f>
        <v/>
      </c>
      <c r="Q158" s="746">
        <f>_xlfn.XLOOKUP(TableauRecette[[#This Row],[ID]],TableauProduit[ID],TableauProduit[Total (kg) N6],0,0,1)*TableauRecette[[#This Row],[poids / unite]]</f>
        <v/>
      </c>
      <c r="R158" s="746">
        <f>_xlfn.XLOOKUP(TableauRecette[[#This Row],[ID]],TableauProduit[ID],TableauProduit[Total (kg) N7],0,0,1)*TableauRecette[[#This Row],[poids / unite]]</f>
        <v/>
      </c>
      <c r="S158" s="746">
        <f>_xlfn.XLOOKUP(TableauRecette[[#This Row],[ID]],TableauProduit[ID],TableauProduit[Total (kg) N8],0,0,1)*TableauRecette[[#This Row],[poids / unite]]</f>
        <v/>
      </c>
      <c r="T158" s="746">
        <f>_xlfn.XLOOKUP(TableauRecette[[#This Row],[ID]],TableauProduit[ID],TableauProduit[Total (kg) N9],0,0,1)*TableauRecette[[#This Row],[poids / unite]]</f>
        <v/>
      </c>
    </row>
    <row r="159">
      <c r="A159" s="73" t="inlineStr">
        <is>
          <t>epices pour marinade</t>
        </is>
      </c>
      <c r="B159" s="73">
        <f>TableauRecette[[#This Row],[Recette]]&amp;TableauRecette[[#This Row],[Conditionnement]]</f>
        <v/>
      </c>
      <c r="C159" s="73" t="inlineStr">
        <is>
          <t>Coriandre Graine</t>
        </is>
      </c>
      <c r="D159" s="197" t="n">
        <v>2</v>
      </c>
      <c r="E159" s="73" t="inlineStr">
        <is>
          <t>Epice 100ml</t>
        </is>
      </c>
      <c r="F159" s="19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59" s="197">
        <f>IFERROR(_xlfn.XLOOKUP(TableauRecette[[#This Row],[Ingredients]],TableauIngredients[Ingredients],TableauIngredients[Prix d''achat (kg)],0)*TableauRecette[[#This Row],[poids / unite]],0)</f>
        <v/>
      </c>
      <c r="H159" s="197">
        <f>IFERROR(SUMIFS(TableauRecette[Proportion],TableauRecette[Recette],TableauRecette[[#This Row],[Recette]],TableauRecette[Conditionnement],TableauRecette[[#This Row],[Conditionnement]]),0)</f>
        <v/>
      </c>
      <c r="I159" s="197">
        <f>IFERROR(TableauRecette[[#This Row],[Prix d''achat / kg]],0)</f>
        <v/>
      </c>
      <c r="J159" s="197" t="n"/>
      <c r="K159" s="744" t="n"/>
      <c r="L159" s="745">
        <f>_xlfn.XLOOKUP(TableauRecette[[#This Row],[ID]],TableauProduit[ID],TableauProduit[Total (kg) N1],0,0,1)*TableauRecette[[#This Row],[poids / unite]]</f>
        <v/>
      </c>
      <c r="M159" s="746">
        <f>_xlfn.XLOOKUP(TableauRecette[[#This Row],[ID]],TableauProduit[ID],TableauProduit[Total (kg) N2],0,0,1)*TableauRecette[[#This Row],[poids / unite]]</f>
        <v/>
      </c>
      <c r="N159" s="746">
        <f>_xlfn.XLOOKUP(TableauRecette[[#This Row],[ID]],TableauProduit[ID],TableauProduit[Total (kg) N3],0,0,1)*TableauRecette[[#This Row],[poids / unite]]</f>
        <v/>
      </c>
      <c r="O159" s="746">
        <f>_xlfn.XLOOKUP(TableauRecette[[#This Row],[ID]],TableauProduit[ID],TableauProduit[Total (kg) N4],0,0,1)*TableauRecette[[#This Row],[poids / unite]]</f>
        <v/>
      </c>
      <c r="P159" s="746">
        <f>_xlfn.XLOOKUP(TableauRecette[[#This Row],[ID]],TableauProduit[ID],TableauProduit[Total (kg) N5],0,0,1)*TableauRecette[[#This Row],[poids / unite]]</f>
        <v/>
      </c>
      <c r="Q159" s="746">
        <f>_xlfn.XLOOKUP(TableauRecette[[#This Row],[ID]],TableauProduit[ID],TableauProduit[Total (kg) N6],0,0,1)*TableauRecette[[#This Row],[poids / unite]]</f>
        <v/>
      </c>
      <c r="R159" s="746">
        <f>_xlfn.XLOOKUP(TableauRecette[[#This Row],[ID]],TableauProduit[ID],TableauProduit[Total (kg) N7],0,0,1)*TableauRecette[[#This Row],[poids / unite]]</f>
        <v/>
      </c>
      <c r="S159" s="746">
        <f>_xlfn.XLOOKUP(TableauRecette[[#This Row],[ID]],TableauProduit[ID],TableauProduit[Total (kg) N8],0,0,1)*TableauRecette[[#This Row],[poids / unite]]</f>
        <v/>
      </c>
      <c r="T159" s="746">
        <f>_xlfn.XLOOKUP(TableauRecette[[#This Row],[ID]],TableauProduit[ID],TableauProduit[Total (kg) N9],0,0,1)*TableauRecette[[#This Row],[poids / unite]]</f>
        <v/>
      </c>
    </row>
    <row r="160">
      <c r="A160" s="73" t="inlineStr">
        <is>
          <t>epices pour marinade</t>
        </is>
      </c>
      <c r="B160" s="73">
        <f>TableauRecette[[#This Row],[Recette]]&amp;TableauRecette[[#This Row],[Conditionnement]]</f>
        <v/>
      </c>
      <c r="C160" s="73" t="inlineStr">
        <is>
          <t>Piment Œil D'Oiseau</t>
        </is>
      </c>
      <c r="D160" s="197" t="n">
        <v>1</v>
      </c>
      <c r="E160" s="73" t="inlineStr">
        <is>
          <t>Epice 100ml</t>
        </is>
      </c>
      <c r="F160" s="19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60" s="197">
        <f>IFERROR(_xlfn.XLOOKUP(TableauRecette[[#This Row],[Ingredients]],TableauIngredients[Ingredients],TableauIngredients[Prix d''achat (kg)],0)*TableauRecette[[#This Row],[poids / unite]],0)</f>
        <v/>
      </c>
      <c r="H160" s="197">
        <f>IFERROR(SUMIFS(TableauRecette[Proportion],TableauRecette[Recette],TableauRecette[[#This Row],[Recette]],TableauRecette[Conditionnement],TableauRecette[[#This Row],[Conditionnement]]),0)</f>
        <v/>
      </c>
      <c r="I160" s="197">
        <f>IFERROR(TableauRecette[[#This Row],[Prix d''achat / kg]],0)</f>
        <v/>
      </c>
      <c r="J160" s="197" t="n"/>
      <c r="K160" s="744" t="n"/>
      <c r="L160" s="745">
        <f>_xlfn.XLOOKUP(TableauRecette[[#This Row],[ID]],TableauProduit[ID],TableauProduit[Total (kg) N1],0,0,1)*TableauRecette[[#This Row],[poids / unite]]</f>
        <v/>
      </c>
      <c r="M160" s="746">
        <f>_xlfn.XLOOKUP(TableauRecette[[#This Row],[ID]],TableauProduit[ID],TableauProduit[Total (kg) N2],0,0,1)*TableauRecette[[#This Row],[poids / unite]]</f>
        <v/>
      </c>
      <c r="N160" s="746">
        <f>_xlfn.XLOOKUP(TableauRecette[[#This Row],[ID]],TableauProduit[ID],TableauProduit[Total (kg) N3],0,0,1)*TableauRecette[[#This Row],[poids / unite]]</f>
        <v/>
      </c>
      <c r="O160" s="746">
        <f>_xlfn.XLOOKUP(TableauRecette[[#This Row],[ID]],TableauProduit[ID],TableauProduit[Total (kg) N4],0,0,1)*TableauRecette[[#This Row],[poids / unite]]</f>
        <v/>
      </c>
      <c r="P160" s="746">
        <f>_xlfn.XLOOKUP(TableauRecette[[#This Row],[ID]],TableauProduit[ID],TableauProduit[Total (kg) N5],0,0,1)*TableauRecette[[#This Row],[poids / unite]]</f>
        <v/>
      </c>
      <c r="Q160" s="746">
        <f>_xlfn.XLOOKUP(TableauRecette[[#This Row],[ID]],TableauProduit[ID],TableauProduit[Total (kg) N6],0,0,1)*TableauRecette[[#This Row],[poids / unite]]</f>
        <v/>
      </c>
      <c r="R160" s="746">
        <f>_xlfn.XLOOKUP(TableauRecette[[#This Row],[ID]],TableauProduit[ID],TableauProduit[Total (kg) N7],0,0,1)*TableauRecette[[#This Row],[poids / unite]]</f>
        <v/>
      </c>
      <c r="S160" s="746">
        <f>_xlfn.XLOOKUP(TableauRecette[[#This Row],[ID]],TableauProduit[ID],TableauProduit[Total (kg) N8],0,0,1)*TableauRecette[[#This Row],[poids / unite]]</f>
        <v/>
      </c>
      <c r="T160" s="746">
        <f>_xlfn.XLOOKUP(TableauRecette[[#This Row],[ID]],TableauProduit[ID],TableauProduit[Total (kg) N9],0,0,1)*TableauRecette[[#This Row],[poids / unite]]</f>
        <v/>
      </c>
    </row>
    <row r="161">
      <c r="A161" s="73" t="inlineStr">
        <is>
          <t>epices pour marinade</t>
        </is>
      </c>
      <c r="B161" s="73">
        <f>TableauRecette[[#This Row],[Recette]]&amp;TableauRecette[[#This Row],[Conditionnement]]</f>
        <v/>
      </c>
      <c r="C161" s="659" t="inlineStr">
        <is>
          <t>Gingembre Sec</t>
        </is>
      </c>
      <c r="D161" s="197" t="n">
        <v>0.5</v>
      </c>
      <c r="E161" s="73" t="inlineStr">
        <is>
          <t>Epice 100ml</t>
        </is>
      </c>
      <c r="F161" s="19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61" s="197">
        <f>IFERROR(_xlfn.XLOOKUP(TableauRecette[[#This Row],[Ingredients]],TableauIngredients[Ingredients],TableauIngredients[Prix d''achat (kg)],0)*TableauRecette[[#This Row],[poids / unite]],0)</f>
        <v/>
      </c>
      <c r="H161" s="197">
        <f>IFERROR(SUMIFS(TableauRecette[Proportion],TableauRecette[Recette],TableauRecette[[#This Row],[Recette]],TableauRecette[Conditionnement],TableauRecette[[#This Row],[Conditionnement]]),0)</f>
        <v/>
      </c>
      <c r="I161" s="197">
        <f>IFERROR(TableauRecette[[#This Row],[Prix d''achat / kg]],0)</f>
        <v/>
      </c>
      <c r="J161" s="197" t="n"/>
      <c r="K161" s="744" t="n"/>
      <c r="L161" s="745">
        <f>_xlfn.XLOOKUP(TableauRecette[[#This Row],[ID]],TableauProduit[ID],TableauProduit[Total (kg) N1],0,0,1)*TableauRecette[[#This Row],[poids / unite]]</f>
        <v/>
      </c>
      <c r="M161" s="746">
        <f>_xlfn.XLOOKUP(TableauRecette[[#This Row],[ID]],TableauProduit[ID],TableauProduit[Total (kg) N2],0,0,1)*TableauRecette[[#This Row],[poids / unite]]</f>
        <v/>
      </c>
      <c r="N161" s="746">
        <f>_xlfn.XLOOKUP(TableauRecette[[#This Row],[ID]],TableauProduit[ID],TableauProduit[Total (kg) N3],0,0,1)*TableauRecette[[#This Row],[poids / unite]]</f>
        <v/>
      </c>
      <c r="O161" s="746">
        <f>_xlfn.XLOOKUP(TableauRecette[[#This Row],[ID]],TableauProduit[ID],TableauProduit[Total (kg) N4],0,0,1)*TableauRecette[[#This Row],[poids / unite]]</f>
        <v/>
      </c>
      <c r="P161" s="746">
        <f>_xlfn.XLOOKUP(TableauRecette[[#This Row],[ID]],TableauProduit[ID],TableauProduit[Total (kg) N5],0,0,1)*TableauRecette[[#This Row],[poids / unite]]</f>
        <v/>
      </c>
      <c r="Q161" s="746">
        <f>_xlfn.XLOOKUP(TableauRecette[[#This Row],[ID]],TableauProduit[ID],TableauProduit[Total (kg) N6],0,0,1)*TableauRecette[[#This Row],[poids / unite]]</f>
        <v/>
      </c>
      <c r="R161" s="746">
        <f>_xlfn.XLOOKUP(TableauRecette[[#This Row],[ID]],TableauProduit[ID],TableauProduit[Total (kg) N7],0,0,1)*TableauRecette[[#This Row],[poids / unite]]</f>
        <v/>
      </c>
      <c r="S161" s="746">
        <f>_xlfn.XLOOKUP(TableauRecette[[#This Row],[ID]],TableauProduit[ID],TableauProduit[Total (kg) N8],0,0,1)*TableauRecette[[#This Row],[poids / unite]]</f>
        <v/>
      </c>
      <c r="T161" s="746">
        <f>_xlfn.XLOOKUP(TableauRecette[[#This Row],[ID]],TableauProduit[ID],TableauProduit[Total (kg) N9],0,0,1)*TableauRecette[[#This Row],[poids / unite]]</f>
        <v/>
      </c>
    </row>
    <row r="162">
      <c r="A162" s="73" t="inlineStr">
        <is>
          <t>epices pour marinade</t>
        </is>
      </c>
      <c r="B162" s="73">
        <f>TableauRecette[[#This Row],[Recette]]&amp;TableauRecette[[#This Row],[Conditionnement]]</f>
        <v/>
      </c>
      <c r="C162" s="73" t="inlineStr">
        <is>
          <t>Feuilles De Laurier</t>
        </is>
      </c>
      <c r="D162" s="197" t="n">
        <v>0.2</v>
      </c>
      <c r="E162" s="73" t="inlineStr">
        <is>
          <t>Epice 100ml</t>
        </is>
      </c>
      <c r="F162" s="19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62" s="197">
        <f>IFERROR(_xlfn.XLOOKUP(TableauRecette[[#This Row],[Ingredients]],TableauIngredients[Ingredients],TableauIngredients[Prix d''achat (kg)],0)*TableauRecette[[#This Row],[poids / unite]],0)</f>
        <v/>
      </c>
      <c r="H162" s="197">
        <f>IFERROR(SUMIFS(TableauRecette[Proportion],TableauRecette[Recette],TableauRecette[[#This Row],[Recette]],TableauRecette[Conditionnement],TableauRecette[[#This Row],[Conditionnement]]),0)</f>
        <v/>
      </c>
      <c r="I162" s="197">
        <f>IFERROR(TableauRecette[[#This Row],[Prix d''achat / kg]],0)</f>
        <v/>
      </c>
      <c r="J162" s="197" t="n"/>
      <c r="K162" s="744" t="n"/>
      <c r="L162" s="745">
        <f>_xlfn.XLOOKUP(TableauRecette[[#This Row],[ID]],TableauProduit[ID],TableauProduit[Total (kg) N1],0,0,1)*TableauRecette[[#This Row],[poids / unite]]</f>
        <v/>
      </c>
      <c r="M162" s="746">
        <f>_xlfn.XLOOKUP(TableauRecette[[#This Row],[ID]],TableauProduit[ID],TableauProduit[Total (kg) N2],0,0,1)*TableauRecette[[#This Row],[poids / unite]]</f>
        <v/>
      </c>
      <c r="N162" s="746">
        <f>_xlfn.XLOOKUP(TableauRecette[[#This Row],[ID]],TableauProduit[ID],TableauProduit[Total (kg) N3],0,0,1)*TableauRecette[[#This Row],[poids / unite]]</f>
        <v/>
      </c>
      <c r="O162" s="746">
        <f>_xlfn.XLOOKUP(TableauRecette[[#This Row],[ID]],TableauProduit[ID],TableauProduit[Total (kg) N4],0,0,1)*TableauRecette[[#This Row],[poids / unite]]</f>
        <v/>
      </c>
      <c r="P162" s="746">
        <f>_xlfn.XLOOKUP(TableauRecette[[#This Row],[ID]],TableauProduit[ID],TableauProduit[Total (kg) N5],0,0,1)*TableauRecette[[#This Row],[poids / unite]]</f>
        <v/>
      </c>
      <c r="Q162" s="746">
        <f>_xlfn.XLOOKUP(TableauRecette[[#This Row],[ID]],TableauProduit[ID],TableauProduit[Total (kg) N6],0,0,1)*TableauRecette[[#This Row],[poids / unite]]</f>
        <v/>
      </c>
      <c r="R162" s="746">
        <f>_xlfn.XLOOKUP(TableauRecette[[#This Row],[ID]],TableauProduit[ID],TableauProduit[Total (kg) N7],0,0,1)*TableauRecette[[#This Row],[poids / unite]]</f>
        <v/>
      </c>
      <c r="S162" s="746">
        <f>_xlfn.XLOOKUP(TableauRecette[[#This Row],[ID]],TableauProduit[ID],TableauProduit[Total (kg) N8],0,0,1)*TableauRecette[[#This Row],[poids / unite]]</f>
        <v/>
      </c>
      <c r="T162" s="746">
        <f>_xlfn.XLOOKUP(TableauRecette[[#This Row],[ID]],TableauProduit[ID],TableauProduit[Total (kg) N9],0,0,1)*TableauRecette[[#This Row],[poids / unite]]</f>
        <v/>
      </c>
    </row>
    <row r="163">
      <c r="A163" s="73" t="inlineStr">
        <is>
          <t>epices pour marinade</t>
        </is>
      </c>
      <c r="B163" s="73">
        <f>TableauRecette[[#This Row],[Recette]]&amp;TableauRecette[[#This Row],[Conditionnement]]</f>
        <v/>
      </c>
      <c r="C163" s="73" t="inlineStr">
        <is>
          <t>Cannelle</t>
        </is>
      </c>
      <c r="D163" s="197" t="n">
        <v>4</v>
      </c>
      <c r="E163" s="73" t="inlineStr">
        <is>
          <t>Epice 100ml</t>
        </is>
      </c>
      <c r="F163" s="19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63" s="197">
        <f>IFERROR(_xlfn.XLOOKUP(TableauRecette[[#This Row],[Ingredients]],TableauIngredients[Ingredients],TableauIngredients[Prix d''achat (kg)],0)*TableauRecette[[#This Row],[poids / unite]],0)</f>
        <v/>
      </c>
      <c r="H163" s="197">
        <f>IFERROR(SUMIFS(TableauRecette[Proportion],TableauRecette[Recette],TableauRecette[[#This Row],[Recette]],TableauRecette[Conditionnement],TableauRecette[[#This Row],[Conditionnement]]),0)</f>
        <v/>
      </c>
      <c r="I163" s="197">
        <f>IFERROR(TableauRecette[[#This Row],[Prix d''achat / kg]],0)</f>
        <v/>
      </c>
      <c r="J163" s="197" t="n"/>
      <c r="K163" s="744" t="n"/>
      <c r="L163" s="745">
        <f>_xlfn.XLOOKUP(TableauRecette[[#This Row],[ID]],TableauProduit[ID],TableauProduit[Total (kg) N1],0,0,1)*TableauRecette[[#This Row],[poids / unite]]</f>
        <v/>
      </c>
      <c r="M163" s="746">
        <f>_xlfn.XLOOKUP(TableauRecette[[#This Row],[ID]],TableauProduit[ID],TableauProduit[Total (kg) N2],0,0,1)*TableauRecette[[#This Row],[poids / unite]]</f>
        <v/>
      </c>
      <c r="N163" s="746">
        <f>_xlfn.XLOOKUP(TableauRecette[[#This Row],[ID]],TableauProduit[ID],TableauProduit[Total (kg) N3],0,0,1)*TableauRecette[[#This Row],[poids / unite]]</f>
        <v/>
      </c>
      <c r="O163" s="746">
        <f>_xlfn.XLOOKUP(TableauRecette[[#This Row],[ID]],TableauProduit[ID],TableauProduit[Total (kg) N4],0,0,1)*TableauRecette[[#This Row],[poids / unite]]</f>
        <v/>
      </c>
      <c r="P163" s="746">
        <f>_xlfn.XLOOKUP(TableauRecette[[#This Row],[ID]],TableauProduit[ID],TableauProduit[Total (kg) N5],0,0,1)*TableauRecette[[#This Row],[poids / unite]]</f>
        <v/>
      </c>
      <c r="Q163" s="746">
        <f>_xlfn.XLOOKUP(TableauRecette[[#This Row],[ID]],TableauProduit[ID],TableauProduit[Total (kg) N6],0,0,1)*TableauRecette[[#This Row],[poids / unite]]</f>
        <v/>
      </c>
      <c r="R163" s="746">
        <f>_xlfn.XLOOKUP(TableauRecette[[#This Row],[ID]],TableauProduit[ID],TableauProduit[Total (kg) N7],0,0,1)*TableauRecette[[#This Row],[poids / unite]]</f>
        <v/>
      </c>
      <c r="S163" s="746">
        <f>_xlfn.XLOOKUP(TableauRecette[[#This Row],[ID]],TableauProduit[ID],TableauProduit[Total (kg) N8],0,0,1)*TableauRecette[[#This Row],[poids / unite]]</f>
        <v/>
      </c>
      <c r="T163" s="746">
        <f>_xlfn.XLOOKUP(TableauRecette[[#This Row],[ID]],TableauProduit[ID],TableauProduit[Total (kg) N9],0,0,1)*TableauRecette[[#This Row],[poids / unite]]</f>
        <v/>
      </c>
    </row>
    <row r="164">
      <c r="A164" s="74" t="inlineStr">
        <is>
          <t>epices tandoori</t>
        </is>
      </c>
      <c r="B164" s="74">
        <f>TableauRecette[[#This Row],[Recette]]&amp;TableauRecette[[#This Row],[Conditionnement]]</f>
        <v/>
      </c>
      <c r="C164" s="74" t="inlineStr">
        <is>
          <t>Paprika</t>
        </is>
      </c>
      <c r="D164" s="198" t="n">
        <v>3</v>
      </c>
      <c r="E164" s="74" t="inlineStr">
        <is>
          <t>Epice 100ml</t>
        </is>
      </c>
      <c r="F164" s="19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64" s="198">
        <f>IFERROR(_xlfn.XLOOKUP(TableauRecette[[#This Row],[Ingredients]],TableauIngredients[Ingredients],TableauIngredients[Prix d''achat (kg)],0)*TableauRecette[[#This Row],[poids / unite]],0)</f>
        <v/>
      </c>
      <c r="H164" s="198">
        <f>IFERROR(SUMIFS(TableauRecette[Proportion],TableauRecette[Recette],TableauRecette[[#This Row],[Recette]],TableauRecette[Conditionnement],TableauRecette[[#This Row],[Conditionnement]]),0)</f>
        <v/>
      </c>
      <c r="I164" s="198">
        <f>IFERROR(TableauRecette[[#This Row],[Prix d''achat / kg]],0)</f>
        <v/>
      </c>
      <c r="J164" s="198" t="n"/>
      <c r="K164" s="747" t="n"/>
      <c r="L164" s="748">
        <f>_xlfn.XLOOKUP(TableauRecette[[#This Row],[ID]],TableauProduit[ID],TableauProduit[Total (kg) N1],0,0,1)*TableauRecette[[#This Row],[poids / unite]]</f>
        <v/>
      </c>
      <c r="M164" s="749">
        <f>_xlfn.XLOOKUP(TableauRecette[[#This Row],[ID]],TableauProduit[ID],TableauProduit[Total (kg) N2],0,0,1)*TableauRecette[[#This Row],[poids / unite]]</f>
        <v/>
      </c>
      <c r="N164" s="749">
        <f>_xlfn.XLOOKUP(TableauRecette[[#This Row],[ID]],TableauProduit[ID],TableauProduit[Total (kg) N3],0,0,1)*TableauRecette[[#This Row],[poids / unite]]</f>
        <v/>
      </c>
      <c r="O164" s="749">
        <f>_xlfn.XLOOKUP(TableauRecette[[#This Row],[ID]],TableauProduit[ID],TableauProduit[Total (kg) N4],0,0,1)*TableauRecette[[#This Row],[poids / unite]]</f>
        <v/>
      </c>
      <c r="P164" s="749">
        <f>_xlfn.XLOOKUP(TableauRecette[[#This Row],[ID]],TableauProduit[ID],TableauProduit[Total (kg) N5],0,0,1)*TableauRecette[[#This Row],[poids / unite]]</f>
        <v/>
      </c>
      <c r="Q164" s="749">
        <f>_xlfn.XLOOKUP(TableauRecette[[#This Row],[ID]],TableauProduit[ID],TableauProduit[Total (kg) N6],0,0,1)*TableauRecette[[#This Row],[poids / unite]]</f>
        <v/>
      </c>
      <c r="R164" s="749">
        <f>_xlfn.XLOOKUP(TableauRecette[[#This Row],[ID]],TableauProduit[ID],TableauProduit[Total (kg) N7],0,0,1)*TableauRecette[[#This Row],[poids / unite]]</f>
        <v/>
      </c>
      <c r="S164" s="749">
        <f>_xlfn.XLOOKUP(TableauRecette[[#This Row],[ID]],TableauProduit[ID],TableauProduit[Total (kg) N8],0,0,1)*TableauRecette[[#This Row],[poids / unite]]</f>
        <v/>
      </c>
      <c r="T164" s="749">
        <f>_xlfn.XLOOKUP(TableauRecette[[#This Row],[ID]],TableauProduit[ID],TableauProduit[Total (kg) N9],0,0,1)*TableauRecette[[#This Row],[poids / unite]]</f>
        <v/>
      </c>
    </row>
    <row r="165">
      <c r="A165" s="74" t="inlineStr">
        <is>
          <t>epices tandoori</t>
        </is>
      </c>
      <c r="B165" s="74">
        <f>TableauRecette[[#This Row],[Recette]]&amp;TableauRecette[[#This Row],[Conditionnement]]</f>
        <v/>
      </c>
      <c r="C165" s="74" t="inlineStr">
        <is>
          <t>Graine De Cumin</t>
        </is>
      </c>
      <c r="D165" s="198" t="n">
        <v>15</v>
      </c>
      <c r="E165" s="74" t="inlineStr">
        <is>
          <t>Epice 100ml</t>
        </is>
      </c>
      <c r="F165" s="19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65" s="198">
        <f>IFERROR(_xlfn.XLOOKUP(TableauRecette[[#This Row],[Ingredients]],TableauIngredients[Ingredients],TableauIngredients[Prix d''achat (kg)],0)*TableauRecette[[#This Row],[poids / unite]],0)</f>
        <v/>
      </c>
      <c r="H165" s="198">
        <f>IFERROR(SUMIFS(TableauRecette[Proportion],TableauRecette[Recette],TableauRecette[[#This Row],[Recette]],TableauRecette[Conditionnement],TableauRecette[[#This Row],[Conditionnement]]),0)</f>
        <v/>
      </c>
      <c r="I165" s="198">
        <f>IFERROR(TableauRecette[[#This Row],[Prix d''achat / kg]],0)</f>
        <v/>
      </c>
      <c r="J165" s="198" t="n"/>
      <c r="K165" s="747" t="n"/>
      <c r="L165" s="748">
        <f>_xlfn.XLOOKUP(TableauRecette[[#This Row],[ID]],TableauProduit[ID],TableauProduit[Total (kg) N1],0,0,1)*TableauRecette[[#This Row],[poids / unite]]</f>
        <v/>
      </c>
      <c r="M165" s="749">
        <f>_xlfn.XLOOKUP(TableauRecette[[#This Row],[ID]],TableauProduit[ID],TableauProduit[Total (kg) N2],0,0,1)*TableauRecette[[#This Row],[poids / unite]]</f>
        <v/>
      </c>
      <c r="N165" s="749">
        <f>_xlfn.XLOOKUP(TableauRecette[[#This Row],[ID]],TableauProduit[ID],TableauProduit[Total (kg) N3],0,0,1)*TableauRecette[[#This Row],[poids / unite]]</f>
        <v/>
      </c>
      <c r="O165" s="749">
        <f>_xlfn.XLOOKUP(TableauRecette[[#This Row],[ID]],TableauProduit[ID],TableauProduit[Total (kg) N4],0,0,1)*TableauRecette[[#This Row],[poids / unite]]</f>
        <v/>
      </c>
      <c r="P165" s="749">
        <f>_xlfn.XLOOKUP(TableauRecette[[#This Row],[ID]],TableauProduit[ID],TableauProduit[Total (kg) N5],0,0,1)*TableauRecette[[#This Row],[poids / unite]]</f>
        <v/>
      </c>
      <c r="Q165" s="749">
        <f>_xlfn.XLOOKUP(TableauRecette[[#This Row],[ID]],TableauProduit[ID],TableauProduit[Total (kg) N6],0,0,1)*TableauRecette[[#This Row],[poids / unite]]</f>
        <v/>
      </c>
      <c r="R165" s="749">
        <f>_xlfn.XLOOKUP(TableauRecette[[#This Row],[ID]],TableauProduit[ID],TableauProduit[Total (kg) N7],0,0,1)*TableauRecette[[#This Row],[poids / unite]]</f>
        <v/>
      </c>
      <c r="S165" s="749">
        <f>_xlfn.XLOOKUP(TableauRecette[[#This Row],[ID]],TableauProduit[ID],TableauProduit[Total (kg) N8],0,0,1)*TableauRecette[[#This Row],[poids / unite]]</f>
        <v/>
      </c>
      <c r="T165" s="749">
        <f>_xlfn.XLOOKUP(TableauRecette[[#This Row],[ID]],TableauProduit[ID],TableauProduit[Total (kg) N9],0,0,1)*TableauRecette[[#This Row],[poids / unite]]</f>
        <v/>
      </c>
    </row>
    <row r="166">
      <c r="A166" s="74" t="inlineStr">
        <is>
          <t>epices tandoori</t>
        </is>
      </c>
      <c r="B166" s="74">
        <f>TableauRecette[[#This Row],[Recette]]&amp;TableauRecette[[#This Row],[Conditionnement]]</f>
        <v/>
      </c>
      <c r="C166" s="74" t="inlineStr">
        <is>
          <t>Coriandre Graine</t>
        </is>
      </c>
      <c r="D166" s="198" t="n">
        <v>15</v>
      </c>
      <c r="E166" s="74" t="inlineStr">
        <is>
          <t>Epice 100ml</t>
        </is>
      </c>
      <c r="F166" s="19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66" s="198">
        <f>IFERROR(_xlfn.XLOOKUP(TableauRecette[[#This Row],[Ingredients]],TableauIngredients[Ingredients],TableauIngredients[Prix d''achat (kg)],0)*TableauRecette[[#This Row],[poids / unite]],0)</f>
        <v/>
      </c>
      <c r="H166" s="198">
        <f>IFERROR(SUMIFS(TableauRecette[Proportion],TableauRecette[Recette],TableauRecette[[#This Row],[Recette]],TableauRecette[Conditionnement],TableauRecette[[#This Row],[Conditionnement]]),0)</f>
        <v/>
      </c>
      <c r="I166" s="198">
        <f>IFERROR(TableauRecette[[#This Row],[Prix d''achat / kg]],0)</f>
        <v/>
      </c>
      <c r="J166" s="198" t="n"/>
      <c r="K166" s="747" t="n"/>
      <c r="L166" s="748">
        <f>_xlfn.XLOOKUP(TableauRecette[[#This Row],[ID]],TableauProduit[ID],TableauProduit[Total (kg) N1],0,0,1)*TableauRecette[[#This Row],[poids / unite]]</f>
        <v/>
      </c>
      <c r="M166" s="749">
        <f>_xlfn.XLOOKUP(TableauRecette[[#This Row],[ID]],TableauProduit[ID],TableauProduit[Total (kg) N2],0,0,1)*TableauRecette[[#This Row],[poids / unite]]</f>
        <v/>
      </c>
      <c r="N166" s="749">
        <f>_xlfn.XLOOKUP(TableauRecette[[#This Row],[ID]],TableauProduit[ID],TableauProduit[Total (kg) N3],0,0,1)*TableauRecette[[#This Row],[poids / unite]]</f>
        <v/>
      </c>
      <c r="O166" s="749">
        <f>_xlfn.XLOOKUP(TableauRecette[[#This Row],[ID]],TableauProduit[ID],TableauProduit[Total (kg) N4],0,0,1)*TableauRecette[[#This Row],[poids / unite]]</f>
        <v/>
      </c>
      <c r="P166" s="749">
        <f>_xlfn.XLOOKUP(TableauRecette[[#This Row],[ID]],TableauProduit[ID],TableauProduit[Total (kg) N5],0,0,1)*TableauRecette[[#This Row],[poids / unite]]</f>
        <v/>
      </c>
      <c r="Q166" s="749">
        <f>_xlfn.XLOOKUP(TableauRecette[[#This Row],[ID]],TableauProduit[ID],TableauProduit[Total (kg) N6],0,0,1)*TableauRecette[[#This Row],[poids / unite]]</f>
        <v/>
      </c>
      <c r="R166" s="749">
        <f>_xlfn.XLOOKUP(TableauRecette[[#This Row],[ID]],TableauProduit[ID],TableauProduit[Total (kg) N7],0,0,1)*TableauRecette[[#This Row],[poids / unite]]</f>
        <v/>
      </c>
      <c r="S166" s="749">
        <f>_xlfn.XLOOKUP(TableauRecette[[#This Row],[ID]],TableauProduit[ID],TableauProduit[Total (kg) N8],0,0,1)*TableauRecette[[#This Row],[poids / unite]]</f>
        <v/>
      </c>
      <c r="T166" s="749">
        <f>_xlfn.XLOOKUP(TableauRecette[[#This Row],[ID]],TableauProduit[ID],TableauProduit[Total (kg) N9],0,0,1)*TableauRecette[[#This Row],[poids / unite]]</f>
        <v/>
      </c>
    </row>
    <row r="167">
      <c r="A167" s="74" t="inlineStr">
        <is>
          <t>epices tandoori</t>
        </is>
      </c>
      <c r="B167" s="74">
        <f>TableauRecette[[#This Row],[Recette]]&amp;TableauRecette[[#This Row],[Conditionnement]]</f>
        <v/>
      </c>
      <c r="C167" s="561" t="inlineStr">
        <is>
          <t>Gingembre Sec</t>
        </is>
      </c>
      <c r="D167" s="198" t="n">
        <v>3</v>
      </c>
      <c r="E167" s="74" t="inlineStr">
        <is>
          <t>Epice 100ml</t>
        </is>
      </c>
      <c r="F167" s="19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67" s="198">
        <f>IFERROR(_xlfn.XLOOKUP(TableauRecette[[#This Row],[Ingredients]],TableauIngredients[Ingredients],TableauIngredients[Prix d''achat (kg)],0)*TableauRecette[[#This Row],[poids / unite]],0)</f>
        <v/>
      </c>
      <c r="H167" s="198">
        <f>IFERROR(SUMIFS(TableauRecette[Proportion],TableauRecette[Recette],TableauRecette[[#This Row],[Recette]],TableauRecette[Conditionnement],TableauRecette[[#This Row],[Conditionnement]]),0)</f>
        <v/>
      </c>
      <c r="I167" s="198">
        <f>IFERROR(TableauRecette[[#This Row],[Prix d''achat / kg]],0)</f>
        <v/>
      </c>
      <c r="J167" s="198" t="n"/>
      <c r="K167" s="747" t="n"/>
      <c r="L167" s="748">
        <f>_xlfn.XLOOKUP(TableauRecette[[#This Row],[ID]],TableauProduit[ID],TableauProduit[Total (kg) N1],0,0,1)*TableauRecette[[#This Row],[poids / unite]]</f>
        <v/>
      </c>
      <c r="M167" s="749">
        <f>_xlfn.XLOOKUP(TableauRecette[[#This Row],[ID]],TableauProduit[ID],TableauProduit[Total (kg) N2],0,0,1)*TableauRecette[[#This Row],[poids / unite]]</f>
        <v/>
      </c>
      <c r="N167" s="749">
        <f>_xlfn.XLOOKUP(TableauRecette[[#This Row],[ID]],TableauProduit[ID],TableauProduit[Total (kg) N3],0,0,1)*TableauRecette[[#This Row],[poids / unite]]</f>
        <v/>
      </c>
      <c r="O167" s="749">
        <f>_xlfn.XLOOKUP(TableauRecette[[#This Row],[ID]],TableauProduit[ID],TableauProduit[Total (kg) N4],0,0,1)*TableauRecette[[#This Row],[poids / unite]]</f>
        <v/>
      </c>
      <c r="P167" s="749">
        <f>_xlfn.XLOOKUP(TableauRecette[[#This Row],[ID]],TableauProduit[ID],TableauProduit[Total (kg) N5],0,0,1)*TableauRecette[[#This Row],[poids / unite]]</f>
        <v/>
      </c>
      <c r="Q167" s="749">
        <f>_xlfn.XLOOKUP(TableauRecette[[#This Row],[ID]],TableauProduit[ID],TableauProduit[Total (kg) N6],0,0,1)*TableauRecette[[#This Row],[poids / unite]]</f>
        <v/>
      </c>
      <c r="R167" s="749">
        <f>_xlfn.XLOOKUP(TableauRecette[[#This Row],[ID]],TableauProduit[ID],TableauProduit[Total (kg) N7],0,0,1)*TableauRecette[[#This Row],[poids / unite]]</f>
        <v/>
      </c>
      <c r="S167" s="749">
        <f>_xlfn.XLOOKUP(TableauRecette[[#This Row],[ID]],TableauProduit[ID],TableauProduit[Total (kg) N8],0,0,1)*TableauRecette[[#This Row],[poids / unite]]</f>
        <v/>
      </c>
      <c r="T167" s="749">
        <f>_xlfn.XLOOKUP(TableauRecette[[#This Row],[ID]],TableauProduit[ID],TableauProduit[Total (kg) N9],0,0,1)*TableauRecette[[#This Row],[poids / unite]]</f>
        <v/>
      </c>
    </row>
    <row r="168">
      <c r="A168" s="74" t="inlineStr">
        <is>
          <t>epices tandoori</t>
        </is>
      </c>
      <c r="B168" s="74">
        <f>TableauRecette[[#This Row],[Recette]]&amp;TableauRecette[[#This Row],[Conditionnement]]</f>
        <v/>
      </c>
      <c r="C168" s="74" t="inlineStr">
        <is>
          <t>Curcuma Moulu</t>
        </is>
      </c>
      <c r="D168" s="198" t="n">
        <v>3</v>
      </c>
      <c r="E168" s="74" t="inlineStr">
        <is>
          <t>Epice 100ml</t>
        </is>
      </c>
      <c r="F168" s="19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68" s="198">
        <f>IFERROR(_xlfn.XLOOKUP(TableauRecette[[#This Row],[Ingredients]],TableauIngredients[Ingredients],TableauIngredients[Prix d''achat (kg)],0)*TableauRecette[[#This Row],[poids / unite]],0)</f>
        <v/>
      </c>
      <c r="H168" s="198">
        <f>IFERROR(SUMIFS(TableauRecette[Proportion],TableauRecette[Recette],TableauRecette[[#This Row],[Recette]],TableauRecette[Conditionnement],TableauRecette[[#This Row],[Conditionnement]]),0)</f>
        <v/>
      </c>
      <c r="I168" s="198">
        <f>IFERROR(TableauRecette[[#This Row],[Prix d''achat / kg]],0)</f>
        <v/>
      </c>
      <c r="J168" s="198" t="n"/>
      <c r="K168" s="747" t="n"/>
      <c r="L168" s="748">
        <f>_xlfn.XLOOKUP(TableauRecette[[#This Row],[ID]],TableauProduit[ID],TableauProduit[Total (kg) N1],0,0,1)*TableauRecette[[#This Row],[poids / unite]]</f>
        <v/>
      </c>
      <c r="M168" s="749">
        <f>_xlfn.XLOOKUP(TableauRecette[[#This Row],[ID]],TableauProduit[ID],TableauProduit[Total (kg) N2],0,0,1)*TableauRecette[[#This Row],[poids / unite]]</f>
        <v/>
      </c>
      <c r="N168" s="749">
        <f>_xlfn.XLOOKUP(TableauRecette[[#This Row],[ID]],TableauProduit[ID],TableauProduit[Total (kg) N3],0,0,1)*TableauRecette[[#This Row],[poids / unite]]</f>
        <v/>
      </c>
      <c r="O168" s="749">
        <f>_xlfn.XLOOKUP(TableauRecette[[#This Row],[ID]],TableauProduit[ID],TableauProduit[Total (kg) N4],0,0,1)*TableauRecette[[#This Row],[poids / unite]]</f>
        <v/>
      </c>
      <c r="P168" s="749">
        <f>_xlfn.XLOOKUP(TableauRecette[[#This Row],[ID]],TableauProduit[ID],TableauProduit[Total (kg) N5],0,0,1)*TableauRecette[[#This Row],[poids / unite]]</f>
        <v/>
      </c>
      <c r="Q168" s="749">
        <f>_xlfn.XLOOKUP(TableauRecette[[#This Row],[ID]],TableauProduit[ID],TableauProduit[Total (kg) N6],0,0,1)*TableauRecette[[#This Row],[poids / unite]]</f>
        <v/>
      </c>
      <c r="R168" s="749">
        <f>_xlfn.XLOOKUP(TableauRecette[[#This Row],[ID]],TableauProduit[ID],TableauProduit[Total (kg) N7],0,0,1)*TableauRecette[[#This Row],[poids / unite]]</f>
        <v/>
      </c>
      <c r="S168" s="749">
        <f>_xlfn.XLOOKUP(TableauRecette[[#This Row],[ID]],TableauProduit[ID],TableauProduit[Total (kg) N8],0,0,1)*TableauRecette[[#This Row],[poids / unite]]</f>
        <v/>
      </c>
      <c r="T168" s="749">
        <f>_xlfn.XLOOKUP(TableauRecette[[#This Row],[ID]],TableauProduit[ID],TableauProduit[Total (kg) N9],0,0,1)*TableauRecette[[#This Row],[poids / unite]]</f>
        <v/>
      </c>
    </row>
    <row r="169">
      <c r="A169" s="74" t="inlineStr">
        <is>
          <t>epices tandoori</t>
        </is>
      </c>
      <c r="B169" s="74">
        <f>TableauRecette[[#This Row],[Recette]]&amp;TableauRecette[[#This Row],[Conditionnement]]</f>
        <v/>
      </c>
      <c r="C169" s="74" t="inlineStr">
        <is>
          <t>Clous De Girofle</t>
        </is>
      </c>
      <c r="D169" s="198" t="n">
        <v>0.5</v>
      </c>
      <c r="E169" s="74" t="inlineStr">
        <is>
          <t>Epice 100ml</t>
        </is>
      </c>
      <c r="F169" s="19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69" s="198">
        <f>IFERROR(_xlfn.XLOOKUP(TableauRecette[[#This Row],[Ingredients]],TableauIngredients[Ingredients],TableauIngredients[Prix d''achat (kg)],0)*TableauRecette[[#This Row],[poids / unite]],0)</f>
        <v/>
      </c>
      <c r="H169" s="198">
        <f>IFERROR(SUMIFS(TableauRecette[Proportion],TableauRecette[Recette],TableauRecette[[#This Row],[Recette]],TableauRecette[Conditionnement],TableauRecette[[#This Row],[Conditionnement]]),0)</f>
        <v/>
      </c>
      <c r="I169" s="198">
        <f>IFERROR(TableauRecette[[#This Row],[Prix d''achat / kg]],0)</f>
        <v/>
      </c>
      <c r="J169" s="198" t="n"/>
      <c r="K169" s="747" t="n"/>
      <c r="L169" s="748">
        <f>_xlfn.XLOOKUP(TableauRecette[[#This Row],[ID]],TableauProduit[ID],TableauProduit[Total (kg) N1],0,0,1)*TableauRecette[[#This Row],[poids / unite]]</f>
        <v/>
      </c>
      <c r="M169" s="749">
        <f>_xlfn.XLOOKUP(TableauRecette[[#This Row],[ID]],TableauProduit[ID],TableauProduit[Total (kg) N2],0,0,1)*TableauRecette[[#This Row],[poids / unite]]</f>
        <v/>
      </c>
      <c r="N169" s="749">
        <f>_xlfn.XLOOKUP(TableauRecette[[#This Row],[ID]],TableauProduit[ID],TableauProduit[Total (kg) N3],0,0,1)*TableauRecette[[#This Row],[poids / unite]]</f>
        <v/>
      </c>
      <c r="O169" s="749">
        <f>_xlfn.XLOOKUP(TableauRecette[[#This Row],[ID]],TableauProduit[ID],TableauProduit[Total (kg) N4],0,0,1)*TableauRecette[[#This Row],[poids / unite]]</f>
        <v/>
      </c>
      <c r="P169" s="749">
        <f>_xlfn.XLOOKUP(TableauRecette[[#This Row],[ID]],TableauProduit[ID],TableauProduit[Total (kg) N5],0,0,1)*TableauRecette[[#This Row],[poids / unite]]</f>
        <v/>
      </c>
      <c r="Q169" s="749">
        <f>_xlfn.XLOOKUP(TableauRecette[[#This Row],[ID]],TableauProduit[ID],TableauProduit[Total (kg) N6],0,0,1)*TableauRecette[[#This Row],[poids / unite]]</f>
        <v/>
      </c>
      <c r="R169" s="749">
        <f>_xlfn.XLOOKUP(TableauRecette[[#This Row],[ID]],TableauProduit[ID],TableauProduit[Total (kg) N7],0,0,1)*TableauRecette[[#This Row],[poids / unite]]</f>
        <v/>
      </c>
      <c r="S169" s="749">
        <f>_xlfn.XLOOKUP(TableauRecette[[#This Row],[ID]],TableauProduit[ID],TableauProduit[Total (kg) N8],0,0,1)*TableauRecette[[#This Row],[poids / unite]]</f>
        <v/>
      </c>
      <c r="T169" s="749">
        <f>_xlfn.XLOOKUP(TableauRecette[[#This Row],[ID]],TableauProduit[ID],TableauProduit[Total (kg) N9],0,0,1)*TableauRecette[[#This Row],[poids / unite]]</f>
        <v/>
      </c>
    </row>
    <row r="170">
      <c r="A170" s="74" t="inlineStr">
        <is>
          <t>epices tandoori</t>
        </is>
      </c>
      <c r="B170" s="74">
        <f>TableauRecette[[#This Row],[Recette]]&amp;TableauRecette[[#This Row],[Conditionnement]]</f>
        <v/>
      </c>
      <c r="C170" s="74" t="inlineStr">
        <is>
          <t>Cannelle Moulue</t>
        </is>
      </c>
      <c r="D170" s="198" t="n">
        <v>1</v>
      </c>
      <c r="E170" s="74" t="inlineStr">
        <is>
          <t>Epice 100ml</t>
        </is>
      </c>
      <c r="F170" s="19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70" s="198">
        <f>IFERROR(_xlfn.XLOOKUP(TableauRecette[[#This Row],[Ingredients]],TableauIngredients[Ingredients],TableauIngredients[Prix d''achat (kg)],0)*TableauRecette[[#This Row],[poids / unite]],0)</f>
        <v/>
      </c>
      <c r="H170" s="198">
        <f>IFERROR(SUMIFS(TableauRecette[Proportion],TableauRecette[Recette],TableauRecette[[#This Row],[Recette]],TableauRecette[Conditionnement],TableauRecette[[#This Row],[Conditionnement]]),0)</f>
        <v/>
      </c>
      <c r="I170" s="198">
        <f>IFERROR(TableauRecette[[#This Row],[Prix d''achat / kg]],0)</f>
        <v/>
      </c>
      <c r="J170" s="198" t="n"/>
      <c r="K170" s="747" t="n"/>
      <c r="L170" s="748">
        <f>_xlfn.XLOOKUP(TableauRecette[[#This Row],[ID]],TableauProduit[ID],TableauProduit[Total (kg) N1],0,0,1)*TableauRecette[[#This Row],[poids / unite]]</f>
        <v/>
      </c>
      <c r="M170" s="749">
        <f>_xlfn.XLOOKUP(TableauRecette[[#This Row],[ID]],TableauProduit[ID],TableauProduit[Total (kg) N2],0,0,1)*TableauRecette[[#This Row],[poids / unite]]</f>
        <v/>
      </c>
      <c r="N170" s="749">
        <f>_xlfn.XLOOKUP(TableauRecette[[#This Row],[ID]],TableauProduit[ID],TableauProduit[Total (kg) N3],0,0,1)*TableauRecette[[#This Row],[poids / unite]]</f>
        <v/>
      </c>
      <c r="O170" s="749">
        <f>_xlfn.XLOOKUP(TableauRecette[[#This Row],[ID]],TableauProduit[ID],TableauProduit[Total (kg) N4],0,0,1)*TableauRecette[[#This Row],[poids / unite]]</f>
        <v/>
      </c>
      <c r="P170" s="749">
        <f>_xlfn.XLOOKUP(TableauRecette[[#This Row],[ID]],TableauProduit[ID],TableauProduit[Total (kg) N5],0,0,1)*TableauRecette[[#This Row],[poids / unite]]</f>
        <v/>
      </c>
      <c r="Q170" s="749">
        <f>_xlfn.XLOOKUP(TableauRecette[[#This Row],[ID]],TableauProduit[ID],TableauProduit[Total (kg) N6],0,0,1)*TableauRecette[[#This Row],[poids / unite]]</f>
        <v/>
      </c>
      <c r="R170" s="749">
        <f>_xlfn.XLOOKUP(TableauRecette[[#This Row],[ID]],TableauProduit[ID],TableauProduit[Total (kg) N7],0,0,1)*TableauRecette[[#This Row],[poids / unite]]</f>
        <v/>
      </c>
      <c r="S170" s="749">
        <f>_xlfn.XLOOKUP(TableauRecette[[#This Row],[ID]],TableauProduit[ID],TableauProduit[Total (kg) N8],0,0,1)*TableauRecette[[#This Row],[poids / unite]]</f>
        <v/>
      </c>
      <c r="T170" s="749">
        <f>_xlfn.XLOOKUP(TableauRecette[[#This Row],[ID]],TableauProduit[ID],TableauProduit[Total (kg) N9],0,0,1)*TableauRecette[[#This Row],[poids / unite]]</f>
        <v/>
      </c>
    </row>
    <row r="171">
      <c r="A171" s="74" t="inlineStr">
        <is>
          <t>epices tandoori</t>
        </is>
      </c>
      <c r="B171" s="74">
        <f>TableauRecette[[#This Row],[Recette]]&amp;TableauRecette[[#This Row],[Conditionnement]]</f>
        <v/>
      </c>
      <c r="C171" s="74" t="inlineStr">
        <is>
          <t>Graine De Cardamone</t>
        </is>
      </c>
      <c r="D171" s="198" t="n">
        <v>0.8</v>
      </c>
      <c r="E171" s="74" t="inlineStr">
        <is>
          <t>Epice 100ml</t>
        </is>
      </c>
      <c r="F171" s="19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71" s="198">
        <f>IFERROR(_xlfn.XLOOKUP(TableauRecette[[#This Row],[Ingredients]],TableauIngredients[Ingredients],TableauIngredients[Prix d''achat (kg)],0)*TableauRecette[[#This Row],[poids / unite]],0)</f>
        <v/>
      </c>
      <c r="H171" s="198">
        <f>IFERROR(SUMIFS(TableauRecette[Proportion],TableauRecette[Recette],TableauRecette[[#This Row],[Recette]],TableauRecette[Conditionnement],TableauRecette[[#This Row],[Conditionnement]]),0)</f>
        <v/>
      </c>
      <c r="I171" s="198">
        <f>IFERROR(TableauRecette[[#This Row],[Prix d''achat / kg]],0)</f>
        <v/>
      </c>
      <c r="J171" s="198" t="n"/>
      <c r="K171" s="747" t="n"/>
      <c r="L171" s="748">
        <f>_xlfn.XLOOKUP(TableauRecette[[#This Row],[ID]],TableauProduit[ID],TableauProduit[Total (kg) N1],0,0,1)*TableauRecette[[#This Row],[poids / unite]]</f>
        <v/>
      </c>
      <c r="M171" s="749">
        <f>_xlfn.XLOOKUP(TableauRecette[[#This Row],[ID]],TableauProduit[ID],TableauProduit[Total (kg) N2],0,0,1)*TableauRecette[[#This Row],[poids / unite]]</f>
        <v/>
      </c>
      <c r="N171" s="749">
        <f>_xlfn.XLOOKUP(TableauRecette[[#This Row],[ID]],TableauProduit[ID],TableauProduit[Total (kg) N3],0,0,1)*TableauRecette[[#This Row],[poids / unite]]</f>
        <v/>
      </c>
      <c r="O171" s="749">
        <f>_xlfn.XLOOKUP(TableauRecette[[#This Row],[ID]],TableauProduit[ID],TableauProduit[Total (kg) N4],0,0,1)*TableauRecette[[#This Row],[poids / unite]]</f>
        <v/>
      </c>
      <c r="P171" s="749">
        <f>_xlfn.XLOOKUP(TableauRecette[[#This Row],[ID]],TableauProduit[ID],TableauProduit[Total (kg) N5],0,0,1)*TableauRecette[[#This Row],[poids / unite]]</f>
        <v/>
      </c>
      <c r="Q171" s="749">
        <f>_xlfn.XLOOKUP(TableauRecette[[#This Row],[ID]],TableauProduit[ID],TableauProduit[Total (kg) N6],0,0,1)*TableauRecette[[#This Row],[poids / unite]]</f>
        <v/>
      </c>
      <c r="R171" s="749">
        <f>_xlfn.XLOOKUP(TableauRecette[[#This Row],[ID]],TableauProduit[ID],TableauProduit[Total (kg) N7],0,0,1)*TableauRecette[[#This Row],[poids / unite]]</f>
        <v/>
      </c>
      <c r="S171" s="749">
        <f>_xlfn.XLOOKUP(TableauRecette[[#This Row],[ID]],TableauProduit[ID],TableauProduit[Total (kg) N8],0,0,1)*TableauRecette[[#This Row],[poids / unite]]</f>
        <v/>
      </c>
      <c r="T171" s="749">
        <f>_xlfn.XLOOKUP(TableauRecette[[#This Row],[ID]],TableauProduit[ID],TableauProduit[Total (kg) N9],0,0,1)*TableauRecette[[#This Row],[poids / unite]]</f>
        <v/>
      </c>
    </row>
    <row r="172">
      <c r="A172" s="74" t="inlineStr">
        <is>
          <t>epices tandoori</t>
        </is>
      </c>
      <c r="B172" s="74">
        <f>TableauRecette[[#This Row],[Recette]]&amp;TableauRecette[[#This Row],[Conditionnement]]</f>
        <v/>
      </c>
      <c r="C172" s="74" t="inlineStr">
        <is>
          <t>Poivre Noir</t>
        </is>
      </c>
      <c r="D172" s="198" t="n">
        <v>1</v>
      </c>
      <c r="E172" s="74" t="inlineStr">
        <is>
          <t>Epice 100ml</t>
        </is>
      </c>
      <c r="F172" s="19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72" s="198">
        <f>IFERROR(_xlfn.XLOOKUP(TableauRecette[[#This Row],[Ingredients]],TableauIngredients[Ingredients],TableauIngredients[Prix d''achat (kg)],0)*TableauRecette[[#This Row],[poids / unite]],0)</f>
        <v/>
      </c>
      <c r="H172" s="198">
        <f>IFERROR(SUMIFS(TableauRecette[Proportion],TableauRecette[Recette],TableauRecette[[#This Row],[Recette]],TableauRecette[Conditionnement],TableauRecette[[#This Row],[Conditionnement]]),0)</f>
        <v/>
      </c>
      <c r="I172" s="198">
        <f>IFERROR(TableauRecette[[#This Row],[Prix d''achat / kg]],0)</f>
        <v/>
      </c>
      <c r="J172" s="198" t="n"/>
      <c r="K172" s="747" t="n"/>
      <c r="L172" s="748">
        <f>_xlfn.XLOOKUP(TableauRecette[[#This Row],[ID]],TableauProduit[ID],TableauProduit[Total (kg) N1],0,0,1)*TableauRecette[[#This Row],[poids / unite]]</f>
        <v/>
      </c>
      <c r="M172" s="749">
        <f>_xlfn.XLOOKUP(TableauRecette[[#This Row],[ID]],TableauProduit[ID],TableauProduit[Total (kg) N2],0,0,1)*TableauRecette[[#This Row],[poids / unite]]</f>
        <v/>
      </c>
      <c r="N172" s="749">
        <f>_xlfn.XLOOKUP(TableauRecette[[#This Row],[ID]],TableauProduit[ID],TableauProduit[Total (kg) N3],0,0,1)*TableauRecette[[#This Row],[poids / unite]]</f>
        <v/>
      </c>
      <c r="O172" s="749">
        <f>_xlfn.XLOOKUP(TableauRecette[[#This Row],[ID]],TableauProduit[ID],TableauProduit[Total (kg) N4],0,0,1)*TableauRecette[[#This Row],[poids / unite]]</f>
        <v/>
      </c>
      <c r="P172" s="749">
        <f>_xlfn.XLOOKUP(TableauRecette[[#This Row],[ID]],TableauProduit[ID],TableauProduit[Total (kg) N5],0,0,1)*TableauRecette[[#This Row],[poids / unite]]</f>
        <v/>
      </c>
      <c r="Q172" s="749">
        <f>_xlfn.XLOOKUP(TableauRecette[[#This Row],[ID]],TableauProduit[ID],TableauProduit[Total (kg) N6],0,0,1)*TableauRecette[[#This Row],[poids / unite]]</f>
        <v/>
      </c>
      <c r="R172" s="749">
        <f>_xlfn.XLOOKUP(TableauRecette[[#This Row],[ID]],TableauProduit[ID],TableauProduit[Total (kg) N7],0,0,1)*TableauRecette[[#This Row],[poids / unite]]</f>
        <v/>
      </c>
      <c r="S172" s="749">
        <f>_xlfn.XLOOKUP(TableauRecette[[#This Row],[ID]],TableauProduit[ID],TableauProduit[Total (kg) N8],0,0,1)*TableauRecette[[#This Row],[poids / unite]]</f>
        <v/>
      </c>
      <c r="T172" s="749">
        <f>_xlfn.XLOOKUP(TableauRecette[[#This Row],[ID]],TableauProduit[ID],TableauProduit[Total (kg) N9],0,0,1)*TableauRecette[[#This Row],[poids / unite]]</f>
        <v/>
      </c>
    </row>
    <row r="173">
      <c r="A173" s="74" t="inlineStr">
        <is>
          <t>epices tandoori</t>
        </is>
      </c>
      <c r="B173" s="74">
        <f>TableauRecette[[#This Row],[Recette]]&amp;TableauRecette[[#This Row],[Conditionnement]]</f>
        <v/>
      </c>
      <c r="C173" s="74" t="inlineStr">
        <is>
          <t>Sel</t>
        </is>
      </c>
      <c r="D173" s="198" t="n">
        <v>1</v>
      </c>
      <c r="E173" s="74" t="inlineStr">
        <is>
          <t>Epice 100ml</t>
        </is>
      </c>
      <c r="F173" s="19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73" s="198">
        <f>IFERROR(_xlfn.XLOOKUP(TableauRecette[[#This Row],[Ingredients]],TableauIngredients[Ingredients],TableauIngredients[Prix d''achat (kg)],0)*TableauRecette[[#This Row],[poids / unite]],0)</f>
        <v/>
      </c>
      <c r="H173" s="198">
        <f>IFERROR(SUMIFS(TableauRecette[Proportion],TableauRecette[Recette],TableauRecette[[#This Row],[Recette]],TableauRecette[Conditionnement],TableauRecette[[#This Row],[Conditionnement]]),0)</f>
        <v/>
      </c>
      <c r="I173" s="198">
        <f>IFERROR(TableauRecette[[#This Row],[Prix d''achat / kg]],0)</f>
        <v/>
      </c>
      <c r="J173" s="198" t="n"/>
      <c r="K173" s="747" t="n"/>
      <c r="L173" s="748">
        <f>_xlfn.XLOOKUP(TableauRecette[[#This Row],[ID]],TableauProduit[ID],TableauProduit[Total (kg) N1],0,0,1)*TableauRecette[[#This Row],[poids / unite]]</f>
        <v/>
      </c>
      <c r="M173" s="749">
        <f>_xlfn.XLOOKUP(TableauRecette[[#This Row],[ID]],TableauProduit[ID],TableauProduit[Total (kg) N2],0,0,1)*TableauRecette[[#This Row],[poids / unite]]</f>
        <v/>
      </c>
      <c r="N173" s="749">
        <f>_xlfn.XLOOKUP(TableauRecette[[#This Row],[ID]],TableauProduit[ID],TableauProduit[Total (kg) N3],0,0,1)*TableauRecette[[#This Row],[poids / unite]]</f>
        <v/>
      </c>
      <c r="O173" s="749">
        <f>_xlfn.XLOOKUP(TableauRecette[[#This Row],[ID]],TableauProduit[ID],TableauProduit[Total (kg) N4],0,0,1)*TableauRecette[[#This Row],[poids / unite]]</f>
        <v/>
      </c>
      <c r="P173" s="749">
        <f>_xlfn.XLOOKUP(TableauRecette[[#This Row],[ID]],TableauProduit[ID],TableauProduit[Total (kg) N5],0,0,1)*TableauRecette[[#This Row],[poids / unite]]</f>
        <v/>
      </c>
      <c r="Q173" s="749">
        <f>_xlfn.XLOOKUP(TableauRecette[[#This Row],[ID]],TableauProduit[ID],TableauProduit[Total (kg) N6],0,0,1)*TableauRecette[[#This Row],[poids / unite]]</f>
        <v/>
      </c>
      <c r="R173" s="749">
        <f>_xlfn.XLOOKUP(TableauRecette[[#This Row],[ID]],TableauProduit[ID],TableauProduit[Total (kg) N7],0,0,1)*TableauRecette[[#This Row],[poids / unite]]</f>
        <v/>
      </c>
      <c r="S173" s="749">
        <f>_xlfn.XLOOKUP(TableauRecette[[#This Row],[ID]],TableauProduit[ID],TableauProduit[Total (kg) N8],0,0,1)*TableauRecette[[#This Row],[poids / unite]]</f>
        <v/>
      </c>
      <c r="T173" s="749">
        <f>_xlfn.XLOOKUP(TableauRecette[[#This Row],[ID]],TableauProduit[ID],TableauProduit[Total (kg) N9],0,0,1)*TableauRecette[[#This Row],[poids / unite]]</f>
        <v/>
      </c>
    </row>
    <row r="174">
      <c r="A174" s="74" t="inlineStr">
        <is>
          <t>epices tandoori</t>
        </is>
      </c>
      <c r="B174" s="74">
        <f>TableauRecette[[#This Row],[Recette]]&amp;TableauRecette[[#This Row],[Conditionnement]]</f>
        <v/>
      </c>
      <c r="C174" s="74" t="inlineStr">
        <is>
          <t>Piments Rouge Séchés</t>
        </is>
      </c>
      <c r="D174" s="198" t="n">
        <v>0.3</v>
      </c>
      <c r="E174" s="74" t="inlineStr">
        <is>
          <t>Epice 100ml</t>
        </is>
      </c>
      <c r="F174" s="19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74" s="198">
        <f>IFERROR(_xlfn.XLOOKUP(TableauRecette[[#This Row],[Ingredients]],TableauIngredients[Ingredients],TableauIngredients[Prix d''achat (kg)],0)*TableauRecette[[#This Row],[poids / unite]],0)</f>
        <v/>
      </c>
      <c r="H174" s="198">
        <f>IFERROR(SUMIFS(TableauRecette[Proportion],TableauRecette[Recette],TableauRecette[[#This Row],[Recette]],TableauRecette[Conditionnement],TableauRecette[[#This Row],[Conditionnement]]),0)</f>
        <v/>
      </c>
      <c r="I174" s="198">
        <f>IFERROR(TableauRecette[[#This Row],[Prix d''achat / kg]],0)</f>
        <v/>
      </c>
      <c r="J174" s="198" t="n"/>
      <c r="K174" s="747" t="n"/>
      <c r="L174" s="748">
        <f>_xlfn.XLOOKUP(TableauRecette[[#This Row],[ID]],TableauProduit[ID],TableauProduit[Total (kg) N1],0,0,1)*TableauRecette[[#This Row],[poids / unite]]</f>
        <v/>
      </c>
      <c r="M174" s="749">
        <f>_xlfn.XLOOKUP(TableauRecette[[#This Row],[ID]],TableauProduit[ID],TableauProduit[Total (kg) N2],0,0,1)*TableauRecette[[#This Row],[poids / unite]]</f>
        <v/>
      </c>
      <c r="N174" s="749">
        <f>_xlfn.XLOOKUP(TableauRecette[[#This Row],[ID]],TableauProduit[ID],TableauProduit[Total (kg) N3],0,0,1)*TableauRecette[[#This Row],[poids / unite]]</f>
        <v/>
      </c>
      <c r="O174" s="749">
        <f>_xlfn.XLOOKUP(TableauRecette[[#This Row],[ID]],TableauProduit[ID],TableauProduit[Total (kg) N4],0,0,1)*TableauRecette[[#This Row],[poids / unite]]</f>
        <v/>
      </c>
      <c r="P174" s="749">
        <f>_xlfn.XLOOKUP(TableauRecette[[#This Row],[ID]],TableauProduit[ID],TableauProduit[Total (kg) N5],0,0,1)*TableauRecette[[#This Row],[poids / unite]]</f>
        <v/>
      </c>
      <c r="Q174" s="749">
        <f>_xlfn.XLOOKUP(TableauRecette[[#This Row],[ID]],TableauProduit[ID],TableauProduit[Total (kg) N6],0,0,1)*TableauRecette[[#This Row],[poids / unite]]</f>
        <v/>
      </c>
      <c r="R174" s="749">
        <f>_xlfn.XLOOKUP(TableauRecette[[#This Row],[ID]],TableauProduit[ID],TableauProduit[Total (kg) N7],0,0,1)*TableauRecette[[#This Row],[poids / unite]]</f>
        <v/>
      </c>
      <c r="S174" s="749">
        <f>_xlfn.XLOOKUP(TableauRecette[[#This Row],[ID]],TableauProduit[ID],TableauProduit[Total (kg) N8],0,0,1)*TableauRecette[[#This Row],[poids / unite]]</f>
        <v/>
      </c>
      <c r="T174" s="749">
        <f>_xlfn.XLOOKUP(TableauRecette[[#This Row],[ID]],TableauProduit[ID],TableauProduit[Total (kg) N9],0,0,1)*TableauRecette[[#This Row],[poids / unite]]</f>
        <v/>
      </c>
    </row>
    <row r="175">
      <c r="A175" s="74" t="inlineStr">
        <is>
          <t>epices tandoori</t>
        </is>
      </c>
      <c r="B175" s="74">
        <f>TableauRecette[[#This Row],[Recette]]&amp;TableauRecette[[#This Row],[Conditionnement]]</f>
        <v/>
      </c>
      <c r="C175" s="74" t="inlineStr">
        <is>
          <t>Ail Sec</t>
        </is>
      </c>
      <c r="D175" s="198" t="n">
        <v>3</v>
      </c>
      <c r="E175" s="74" t="inlineStr">
        <is>
          <t>Epice 100ml</t>
        </is>
      </c>
      <c r="F175" s="19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75" s="198">
        <f>IFERROR(_xlfn.XLOOKUP(TableauRecette[[#This Row],[Ingredients]],TableauIngredients[Ingredients],TableauIngredients[Prix d''achat (kg)],0)*TableauRecette[[#This Row],[poids / unite]],0)</f>
        <v/>
      </c>
      <c r="H175" s="198">
        <f>IFERROR(SUMIFS(TableauRecette[Proportion],TableauRecette[Recette],TableauRecette[[#This Row],[Recette]],TableauRecette[Conditionnement],TableauRecette[[#This Row],[Conditionnement]]),0)</f>
        <v/>
      </c>
      <c r="I175" s="198">
        <f>IFERROR(TableauRecette[[#This Row],[Prix d''achat / kg]],0)</f>
        <v/>
      </c>
      <c r="J175" s="198" t="n"/>
      <c r="K175" s="747" t="n"/>
      <c r="L175" s="748">
        <f>_xlfn.XLOOKUP(TableauRecette[[#This Row],[ID]],TableauProduit[ID],TableauProduit[Total (kg) N1],0,0,1)*TableauRecette[[#This Row],[poids / unite]]</f>
        <v/>
      </c>
      <c r="M175" s="749">
        <f>_xlfn.XLOOKUP(TableauRecette[[#This Row],[ID]],TableauProduit[ID],TableauProduit[Total (kg) N2],0,0,1)*TableauRecette[[#This Row],[poids / unite]]</f>
        <v/>
      </c>
      <c r="N175" s="749">
        <f>_xlfn.XLOOKUP(TableauRecette[[#This Row],[ID]],TableauProduit[ID],TableauProduit[Total (kg) N3],0,0,1)*TableauRecette[[#This Row],[poids / unite]]</f>
        <v/>
      </c>
      <c r="O175" s="749">
        <f>_xlfn.XLOOKUP(TableauRecette[[#This Row],[ID]],TableauProduit[ID],TableauProduit[Total (kg) N4],0,0,1)*TableauRecette[[#This Row],[poids / unite]]</f>
        <v/>
      </c>
      <c r="P175" s="749">
        <f>_xlfn.XLOOKUP(TableauRecette[[#This Row],[ID]],TableauProduit[ID],TableauProduit[Total (kg) N5],0,0,1)*TableauRecette[[#This Row],[poids / unite]]</f>
        <v/>
      </c>
      <c r="Q175" s="749">
        <f>_xlfn.XLOOKUP(TableauRecette[[#This Row],[ID]],TableauProduit[ID],TableauProduit[Total (kg) N6],0,0,1)*TableauRecette[[#This Row],[poids / unite]]</f>
        <v/>
      </c>
      <c r="R175" s="749">
        <f>_xlfn.XLOOKUP(TableauRecette[[#This Row],[ID]],TableauProduit[ID],TableauProduit[Total (kg) N7],0,0,1)*TableauRecette[[#This Row],[poids / unite]]</f>
        <v/>
      </c>
      <c r="S175" s="749">
        <f>_xlfn.XLOOKUP(TableauRecette[[#This Row],[ID]],TableauProduit[ID],TableauProduit[Total (kg) N8],0,0,1)*TableauRecette[[#This Row],[poids / unite]]</f>
        <v/>
      </c>
      <c r="T175" s="749">
        <f>_xlfn.XLOOKUP(TableauRecette[[#This Row],[ID]],TableauProduit[ID],TableauProduit[Total (kg) N9],0,0,1)*TableauRecette[[#This Row],[poids / unite]]</f>
        <v/>
      </c>
    </row>
    <row r="176">
      <c r="A176" s="75" t="inlineStr">
        <is>
          <t>epices viandes rouges</t>
        </is>
      </c>
      <c r="B176" s="75">
        <f>TableauRecette[[#This Row],[Recette]]&amp;TableauRecette[[#This Row],[Conditionnement]]</f>
        <v/>
      </c>
      <c r="C176" s="75" t="inlineStr">
        <is>
          <t>Paprika Fummer</t>
        </is>
      </c>
      <c r="D176" s="199" t="n">
        <v>6</v>
      </c>
      <c r="E176" s="75" t="inlineStr">
        <is>
          <t>Epice 100ml</t>
        </is>
      </c>
      <c r="F176" s="19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76" s="199">
        <f>IFERROR(_xlfn.XLOOKUP(TableauRecette[[#This Row],[Ingredients]],TableauIngredients[Ingredients],TableauIngredients[Prix d''achat (kg)],0)*TableauRecette[[#This Row],[poids / unite]],0)</f>
        <v/>
      </c>
      <c r="H176" s="199">
        <f>IFERROR(SUMIFS(TableauRecette[Proportion],TableauRecette[Recette],TableauRecette[[#This Row],[Recette]],TableauRecette[Conditionnement],TableauRecette[[#This Row],[Conditionnement]]),0)</f>
        <v/>
      </c>
      <c r="I176" s="199">
        <f>IFERROR(TableauRecette[[#This Row],[Prix d''achat / kg]],0)</f>
        <v/>
      </c>
      <c r="J176" s="199" t="n"/>
      <c r="K176" s="750" t="n"/>
      <c r="L176" s="751">
        <f>_xlfn.XLOOKUP(TableauRecette[[#This Row],[ID]],TableauProduit[ID],TableauProduit[Total (kg) N1],0,0,1)*TableauRecette[[#This Row],[poids / unite]]</f>
        <v/>
      </c>
      <c r="M176" s="752">
        <f>_xlfn.XLOOKUP(TableauRecette[[#This Row],[ID]],TableauProduit[ID],TableauProduit[Total (kg) N2],0,0,1)*TableauRecette[[#This Row],[poids / unite]]</f>
        <v/>
      </c>
      <c r="N176" s="752">
        <f>_xlfn.XLOOKUP(TableauRecette[[#This Row],[ID]],TableauProduit[ID],TableauProduit[Total (kg) N3],0,0,1)*TableauRecette[[#This Row],[poids / unite]]</f>
        <v/>
      </c>
      <c r="O176" s="752">
        <f>_xlfn.XLOOKUP(TableauRecette[[#This Row],[ID]],TableauProduit[ID],TableauProduit[Total (kg) N4],0,0,1)*TableauRecette[[#This Row],[poids / unite]]</f>
        <v/>
      </c>
      <c r="P176" s="752">
        <f>_xlfn.XLOOKUP(TableauRecette[[#This Row],[ID]],TableauProduit[ID],TableauProduit[Total (kg) N5],0,0,1)*TableauRecette[[#This Row],[poids / unite]]</f>
        <v/>
      </c>
      <c r="Q176" s="752">
        <f>_xlfn.XLOOKUP(TableauRecette[[#This Row],[ID]],TableauProduit[ID],TableauProduit[Total (kg) N6],0,0,1)*TableauRecette[[#This Row],[poids / unite]]</f>
        <v/>
      </c>
      <c r="R176" s="752">
        <f>_xlfn.XLOOKUP(TableauRecette[[#This Row],[ID]],TableauProduit[ID],TableauProduit[Total (kg) N7],0,0,1)*TableauRecette[[#This Row],[poids / unite]]</f>
        <v/>
      </c>
      <c r="S176" s="752">
        <f>_xlfn.XLOOKUP(TableauRecette[[#This Row],[ID]],TableauProduit[ID],TableauProduit[Total (kg) N8],0,0,1)*TableauRecette[[#This Row],[poids / unite]]</f>
        <v/>
      </c>
      <c r="T176" s="752">
        <f>_xlfn.XLOOKUP(TableauRecette[[#This Row],[ID]],TableauProduit[ID],TableauProduit[Total (kg) N9],0,0,1)*TableauRecette[[#This Row],[poids / unite]]</f>
        <v/>
      </c>
    </row>
    <row r="177">
      <c r="A177" s="75" t="inlineStr">
        <is>
          <t>epices viandes rouges</t>
        </is>
      </c>
      <c r="B177" s="75">
        <f>TableauRecette[[#This Row],[Recette]]&amp;TableauRecette[[#This Row],[Conditionnement]]</f>
        <v/>
      </c>
      <c r="C177" s="75" t="inlineStr">
        <is>
          <t>Cumin Moulu</t>
        </is>
      </c>
      <c r="D177" s="199" t="n">
        <v>2</v>
      </c>
      <c r="E177" s="75" t="inlineStr">
        <is>
          <t>Epice 100ml</t>
        </is>
      </c>
      <c r="F177" s="19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77" s="199">
        <f>IFERROR(_xlfn.XLOOKUP(TableauRecette[[#This Row],[Ingredients]],TableauIngredients[Ingredients],TableauIngredients[Prix d''achat (kg)],0)*TableauRecette[[#This Row],[poids / unite]],0)</f>
        <v/>
      </c>
      <c r="H177" s="199">
        <f>IFERROR(SUMIFS(TableauRecette[Proportion],TableauRecette[Recette],TableauRecette[[#This Row],[Recette]],TableauRecette[Conditionnement],TableauRecette[[#This Row],[Conditionnement]]),0)</f>
        <v/>
      </c>
      <c r="I177" s="199">
        <f>IFERROR(TableauRecette[[#This Row],[Prix d''achat / kg]],0)</f>
        <v/>
      </c>
      <c r="J177" s="199" t="n"/>
      <c r="K177" s="750" t="n"/>
      <c r="L177" s="751">
        <f>_xlfn.XLOOKUP(TableauRecette[[#This Row],[ID]],TableauProduit[ID],TableauProduit[Total (kg) N1],0,0,1)*TableauRecette[[#This Row],[poids / unite]]</f>
        <v/>
      </c>
      <c r="M177" s="752">
        <f>_xlfn.XLOOKUP(TableauRecette[[#This Row],[ID]],TableauProduit[ID],TableauProduit[Total (kg) N2],0,0,1)*TableauRecette[[#This Row],[poids / unite]]</f>
        <v/>
      </c>
      <c r="N177" s="752">
        <f>_xlfn.XLOOKUP(TableauRecette[[#This Row],[ID]],TableauProduit[ID],TableauProduit[Total (kg) N3],0,0,1)*TableauRecette[[#This Row],[poids / unite]]</f>
        <v/>
      </c>
      <c r="O177" s="752">
        <f>_xlfn.XLOOKUP(TableauRecette[[#This Row],[ID]],TableauProduit[ID],TableauProduit[Total (kg) N4],0,0,1)*TableauRecette[[#This Row],[poids / unite]]</f>
        <v/>
      </c>
      <c r="P177" s="752">
        <f>_xlfn.XLOOKUP(TableauRecette[[#This Row],[ID]],TableauProduit[ID],TableauProduit[Total (kg) N5],0,0,1)*TableauRecette[[#This Row],[poids / unite]]</f>
        <v/>
      </c>
      <c r="Q177" s="752">
        <f>_xlfn.XLOOKUP(TableauRecette[[#This Row],[ID]],TableauProduit[ID],TableauProduit[Total (kg) N6],0,0,1)*TableauRecette[[#This Row],[poids / unite]]</f>
        <v/>
      </c>
      <c r="R177" s="752">
        <f>_xlfn.XLOOKUP(TableauRecette[[#This Row],[ID]],TableauProduit[ID],TableauProduit[Total (kg) N7],0,0,1)*TableauRecette[[#This Row],[poids / unite]]</f>
        <v/>
      </c>
      <c r="S177" s="752">
        <f>_xlfn.XLOOKUP(TableauRecette[[#This Row],[ID]],TableauProduit[ID],TableauProduit[Total (kg) N8],0,0,1)*TableauRecette[[#This Row],[poids / unite]]</f>
        <v/>
      </c>
      <c r="T177" s="752">
        <f>_xlfn.XLOOKUP(TableauRecette[[#This Row],[ID]],TableauProduit[ID],TableauProduit[Total (kg) N9],0,0,1)*TableauRecette[[#This Row],[poids / unite]]</f>
        <v/>
      </c>
    </row>
    <row r="178">
      <c r="A178" s="75" t="inlineStr">
        <is>
          <t>epices viandes rouges</t>
        </is>
      </c>
      <c r="B178" s="75">
        <f>TableauRecette[[#This Row],[Recette]]&amp;TableauRecette[[#This Row],[Conditionnement]]</f>
        <v/>
      </c>
      <c r="C178" s="75" t="inlineStr">
        <is>
          <t>Origan</t>
        </is>
      </c>
      <c r="D178" s="199" t="n">
        <v>2</v>
      </c>
      <c r="E178" s="75" t="inlineStr">
        <is>
          <t>Epice 100ml</t>
        </is>
      </c>
      <c r="F178" s="19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78" s="199">
        <f>IFERROR(_xlfn.XLOOKUP(TableauRecette[[#This Row],[Ingredients]],TableauIngredients[Ingredients],TableauIngredients[Prix d''achat (kg)],0)*TableauRecette[[#This Row],[poids / unite]],0)</f>
        <v/>
      </c>
      <c r="H178" s="199">
        <f>IFERROR(SUMIFS(TableauRecette[Proportion],TableauRecette[Recette],TableauRecette[[#This Row],[Recette]],TableauRecette[Conditionnement],TableauRecette[[#This Row],[Conditionnement]]),0)</f>
        <v/>
      </c>
      <c r="I178" s="199">
        <f>IFERROR(TableauRecette[[#This Row],[Prix d''achat / kg]],0)</f>
        <v/>
      </c>
      <c r="J178" s="199" t="n"/>
      <c r="K178" s="750" t="n"/>
      <c r="L178" s="751">
        <f>_xlfn.XLOOKUP(TableauRecette[[#This Row],[ID]],TableauProduit[ID],TableauProduit[Total (kg) N1],0,0,1)*TableauRecette[[#This Row],[poids / unite]]</f>
        <v/>
      </c>
      <c r="M178" s="752">
        <f>_xlfn.XLOOKUP(TableauRecette[[#This Row],[ID]],TableauProduit[ID],TableauProduit[Total (kg) N2],0,0,1)*TableauRecette[[#This Row],[poids / unite]]</f>
        <v/>
      </c>
      <c r="N178" s="752">
        <f>_xlfn.XLOOKUP(TableauRecette[[#This Row],[ID]],TableauProduit[ID],TableauProduit[Total (kg) N3],0,0,1)*TableauRecette[[#This Row],[poids / unite]]</f>
        <v/>
      </c>
      <c r="O178" s="752">
        <f>_xlfn.XLOOKUP(TableauRecette[[#This Row],[ID]],TableauProduit[ID],TableauProduit[Total (kg) N4],0,0,1)*TableauRecette[[#This Row],[poids / unite]]</f>
        <v/>
      </c>
      <c r="P178" s="752">
        <f>_xlfn.XLOOKUP(TableauRecette[[#This Row],[ID]],TableauProduit[ID],TableauProduit[Total (kg) N5],0,0,1)*TableauRecette[[#This Row],[poids / unite]]</f>
        <v/>
      </c>
      <c r="Q178" s="752">
        <f>_xlfn.XLOOKUP(TableauRecette[[#This Row],[ID]],TableauProduit[ID],TableauProduit[Total (kg) N6],0,0,1)*TableauRecette[[#This Row],[poids / unite]]</f>
        <v/>
      </c>
      <c r="R178" s="752">
        <f>_xlfn.XLOOKUP(TableauRecette[[#This Row],[ID]],TableauProduit[ID],TableauProduit[Total (kg) N7],0,0,1)*TableauRecette[[#This Row],[poids / unite]]</f>
        <v/>
      </c>
      <c r="S178" s="752">
        <f>_xlfn.XLOOKUP(TableauRecette[[#This Row],[ID]],TableauProduit[ID],TableauProduit[Total (kg) N8],0,0,1)*TableauRecette[[#This Row],[poids / unite]]</f>
        <v/>
      </c>
      <c r="T178" s="752">
        <f>_xlfn.XLOOKUP(TableauRecette[[#This Row],[ID]],TableauProduit[ID],TableauProduit[Total (kg) N9],0,0,1)*TableauRecette[[#This Row],[poids / unite]]</f>
        <v/>
      </c>
    </row>
    <row r="179">
      <c r="A179" s="75" t="inlineStr">
        <is>
          <t>epices viandes rouges</t>
        </is>
      </c>
      <c r="B179" s="75">
        <f>TableauRecette[[#This Row],[Recette]]&amp;TableauRecette[[#This Row],[Conditionnement]]</f>
        <v/>
      </c>
      <c r="C179" s="75" t="inlineStr">
        <is>
          <t>Graine De Moutarde</t>
        </is>
      </c>
      <c r="D179" s="199" t="n">
        <v>2</v>
      </c>
      <c r="E179" s="75" t="inlineStr">
        <is>
          <t>Epice 100ml</t>
        </is>
      </c>
      <c r="F179" s="19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79" s="199">
        <f>IFERROR(_xlfn.XLOOKUP(TableauRecette[[#This Row],[Ingredients]],TableauIngredients[Ingredients],TableauIngredients[Prix d''achat (kg)],0)*TableauRecette[[#This Row],[poids / unite]],0)</f>
        <v/>
      </c>
      <c r="H179" s="199">
        <f>IFERROR(SUMIFS(TableauRecette[Proportion],TableauRecette[Recette],TableauRecette[[#This Row],[Recette]],TableauRecette[Conditionnement],TableauRecette[[#This Row],[Conditionnement]]),0)</f>
        <v/>
      </c>
      <c r="I179" s="199">
        <f>IFERROR(TableauRecette[[#This Row],[Prix d''achat / kg]],0)</f>
        <v/>
      </c>
      <c r="J179" s="199" t="n"/>
      <c r="K179" s="750" t="n"/>
      <c r="L179" s="751">
        <f>_xlfn.XLOOKUP(TableauRecette[[#This Row],[ID]],TableauProduit[ID],TableauProduit[Total (kg) N1],0,0,1)*TableauRecette[[#This Row],[poids / unite]]</f>
        <v/>
      </c>
      <c r="M179" s="752">
        <f>_xlfn.XLOOKUP(TableauRecette[[#This Row],[ID]],TableauProduit[ID],TableauProduit[Total (kg) N2],0,0,1)*TableauRecette[[#This Row],[poids / unite]]</f>
        <v/>
      </c>
      <c r="N179" s="752">
        <f>_xlfn.XLOOKUP(TableauRecette[[#This Row],[ID]],TableauProduit[ID],TableauProduit[Total (kg) N3],0,0,1)*TableauRecette[[#This Row],[poids / unite]]</f>
        <v/>
      </c>
      <c r="O179" s="752">
        <f>_xlfn.XLOOKUP(TableauRecette[[#This Row],[ID]],TableauProduit[ID],TableauProduit[Total (kg) N4],0,0,1)*TableauRecette[[#This Row],[poids / unite]]</f>
        <v/>
      </c>
      <c r="P179" s="752">
        <f>_xlfn.XLOOKUP(TableauRecette[[#This Row],[ID]],TableauProduit[ID],TableauProduit[Total (kg) N5],0,0,1)*TableauRecette[[#This Row],[poids / unite]]</f>
        <v/>
      </c>
      <c r="Q179" s="752">
        <f>_xlfn.XLOOKUP(TableauRecette[[#This Row],[ID]],TableauProduit[ID],TableauProduit[Total (kg) N6],0,0,1)*TableauRecette[[#This Row],[poids / unite]]</f>
        <v/>
      </c>
      <c r="R179" s="752">
        <f>_xlfn.XLOOKUP(TableauRecette[[#This Row],[ID]],TableauProduit[ID],TableauProduit[Total (kg) N7],0,0,1)*TableauRecette[[#This Row],[poids / unite]]</f>
        <v/>
      </c>
      <c r="S179" s="752">
        <f>_xlfn.XLOOKUP(TableauRecette[[#This Row],[ID]],TableauProduit[ID],TableauProduit[Total (kg) N8],0,0,1)*TableauRecette[[#This Row],[poids / unite]]</f>
        <v/>
      </c>
      <c r="T179" s="752">
        <f>_xlfn.XLOOKUP(TableauRecette[[#This Row],[ID]],TableauProduit[ID],TableauProduit[Total (kg) N9],0,0,1)*TableauRecette[[#This Row],[poids / unite]]</f>
        <v/>
      </c>
    </row>
    <row r="180">
      <c r="A180" s="75" t="inlineStr">
        <is>
          <t>epices viandes rouges</t>
        </is>
      </c>
      <c r="B180" s="75">
        <f>TableauRecette[[#This Row],[Recette]]&amp;TableauRecette[[#This Row],[Conditionnement]]</f>
        <v/>
      </c>
      <c r="C180" s="75" t="inlineStr">
        <is>
          <t>Thym</t>
        </is>
      </c>
      <c r="D180" s="199" t="n">
        <v>6</v>
      </c>
      <c r="E180" s="75" t="inlineStr">
        <is>
          <t>Epice 100ml</t>
        </is>
      </c>
      <c r="F180" s="19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80" s="199">
        <f>IFERROR(_xlfn.XLOOKUP(TableauRecette[[#This Row],[Ingredients]],TableauIngredients[Ingredients],TableauIngredients[Prix d''achat (kg)],0)*TableauRecette[[#This Row],[poids / unite]],0)</f>
        <v/>
      </c>
      <c r="H180" s="199">
        <f>IFERROR(SUMIFS(TableauRecette[Proportion],TableauRecette[Recette],TableauRecette[[#This Row],[Recette]],TableauRecette[Conditionnement],TableauRecette[[#This Row],[Conditionnement]]),0)</f>
        <v/>
      </c>
      <c r="I180" s="199">
        <f>IFERROR(TableauRecette[[#This Row],[Prix d''achat / kg]],0)</f>
        <v/>
      </c>
      <c r="J180" s="199" t="n"/>
      <c r="K180" s="750" t="n"/>
      <c r="L180" s="751">
        <f>_xlfn.XLOOKUP(TableauRecette[[#This Row],[ID]],TableauProduit[ID],TableauProduit[Total (kg) N1],0,0,1)*TableauRecette[[#This Row],[poids / unite]]</f>
        <v/>
      </c>
      <c r="M180" s="752">
        <f>_xlfn.XLOOKUP(TableauRecette[[#This Row],[ID]],TableauProduit[ID],TableauProduit[Total (kg) N2],0,0,1)*TableauRecette[[#This Row],[poids / unite]]</f>
        <v/>
      </c>
      <c r="N180" s="752">
        <f>_xlfn.XLOOKUP(TableauRecette[[#This Row],[ID]],TableauProduit[ID],TableauProduit[Total (kg) N3],0,0,1)*TableauRecette[[#This Row],[poids / unite]]</f>
        <v/>
      </c>
      <c r="O180" s="752">
        <f>_xlfn.XLOOKUP(TableauRecette[[#This Row],[ID]],TableauProduit[ID],TableauProduit[Total (kg) N4],0,0,1)*TableauRecette[[#This Row],[poids / unite]]</f>
        <v/>
      </c>
      <c r="P180" s="752">
        <f>_xlfn.XLOOKUP(TableauRecette[[#This Row],[ID]],TableauProduit[ID],TableauProduit[Total (kg) N5],0,0,1)*TableauRecette[[#This Row],[poids / unite]]</f>
        <v/>
      </c>
      <c r="Q180" s="752">
        <f>_xlfn.XLOOKUP(TableauRecette[[#This Row],[ID]],TableauProduit[ID],TableauProduit[Total (kg) N6],0,0,1)*TableauRecette[[#This Row],[poids / unite]]</f>
        <v/>
      </c>
      <c r="R180" s="752">
        <f>_xlfn.XLOOKUP(TableauRecette[[#This Row],[ID]],TableauProduit[ID],TableauProduit[Total (kg) N7],0,0,1)*TableauRecette[[#This Row],[poids / unite]]</f>
        <v/>
      </c>
      <c r="S180" s="752">
        <f>_xlfn.XLOOKUP(TableauRecette[[#This Row],[ID]],TableauProduit[ID],TableauProduit[Total (kg) N8],0,0,1)*TableauRecette[[#This Row],[poids / unite]]</f>
        <v/>
      </c>
      <c r="T180" s="752">
        <f>_xlfn.XLOOKUP(TableauRecette[[#This Row],[ID]],TableauProduit[ID],TableauProduit[Total (kg) N9],0,0,1)*TableauRecette[[#This Row],[poids / unite]]</f>
        <v/>
      </c>
    </row>
    <row r="181">
      <c r="A181" s="75" t="inlineStr">
        <is>
          <t>epices viandes rouges</t>
        </is>
      </c>
      <c r="B181" s="75">
        <f>TableauRecette[[#This Row],[Recette]]&amp;TableauRecette[[#This Row],[Conditionnement]]</f>
        <v/>
      </c>
      <c r="C181" s="75" t="inlineStr">
        <is>
          <t>Piment De Cayenne Jaune SEC</t>
        </is>
      </c>
      <c r="D181" s="199" t="n">
        <v>0.1</v>
      </c>
      <c r="E181" s="75" t="inlineStr">
        <is>
          <t>Epice 100ml</t>
        </is>
      </c>
      <c r="F181" s="19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81" s="199">
        <f>IFERROR(_xlfn.XLOOKUP(TableauRecette[[#This Row],[Ingredients]],TableauIngredients[Ingredients],TableauIngredients[Prix d''achat (kg)],0)*TableauRecette[[#This Row],[poids / unite]],0)</f>
        <v/>
      </c>
      <c r="H181" s="199">
        <f>IFERROR(SUMIFS(TableauRecette[Proportion],TableauRecette[Recette],TableauRecette[[#This Row],[Recette]],TableauRecette[Conditionnement],TableauRecette[[#This Row],[Conditionnement]]),0)</f>
        <v/>
      </c>
      <c r="I181" s="199">
        <f>IFERROR(TableauRecette[[#This Row],[Prix d''achat / kg]],0)</f>
        <v/>
      </c>
      <c r="J181" s="199" t="n"/>
      <c r="K181" s="750" t="n"/>
      <c r="L181" s="751">
        <f>_xlfn.XLOOKUP(TableauRecette[[#This Row],[ID]],TableauProduit[ID],TableauProduit[Total (kg) N1],0,0,1)*TableauRecette[[#This Row],[poids / unite]]</f>
        <v/>
      </c>
      <c r="M181" s="752">
        <f>_xlfn.XLOOKUP(TableauRecette[[#This Row],[ID]],TableauProduit[ID],TableauProduit[Total (kg) N2],0,0,1)*TableauRecette[[#This Row],[poids / unite]]</f>
        <v/>
      </c>
      <c r="N181" s="752">
        <f>_xlfn.XLOOKUP(TableauRecette[[#This Row],[ID]],TableauProduit[ID],TableauProduit[Total (kg) N3],0,0,1)*TableauRecette[[#This Row],[poids / unite]]</f>
        <v/>
      </c>
      <c r="O181" s="752">
        <f>_xlfn.XLOOKUP(TableauRecette[[#This Row],[ID]],TableauProduit[ID],TableauProduit[Total (kg) N4],0,0,1)*TableauRecette[[#This Row],[poids / unite]]</f>
        <v/>
      </c>
      <c r="P181" s="752">
        <f>_xlfn.XLOOKUP(TableauRecette[[#This Row],[ID]],TableauProduit[ID],TableauProduit[Total (kg) N5],0,0,1)*TableauRecette[[#This Row],[poids / unite]]</f>
        <v/>
      </c>
      <c r="Q181" s="752">
        <f>_xlfn.XLOOKUP(TableauRecette[[#This Row],[ID]],TableauProduit[ID],TableauProduit[Total (kg) N6],0,0,1)*TableauRecette[[#This Row],[poids / unite]]</f>
        <v/>
      </c>
      <c r="R181" s="752">
        <f>_xlfn.XLOOKUP(TableauRecette[[#This Row],[ID]],TableauProduit[ID],TableauProduit[Total (kg) N7],0,0,1)*TableauRecette[[#This Row],[poids / unite]]</f>
        <v/>
      </c>
      <c r="S181" s="752">
        <f>_xlfn.XLOOKUP(TableauRecette[[#This Row],[ID]],TableauProduit[ID],TableauProduit[Total (kg) N8],0,0,1)*TableauRecette[[#This Row],[poids / unite]]</f>
        <v/>
      </c>
      <c r="T181" s="752">
        <f>_xlfn.XLOOKUP(TableauRecette[[#This Row],[ID]],TableauProduit[ID],TableauProduit[Total (kg) N9],0,0,1)*TableauRecette[[#This Row],[poids / unite]]</f>
        <v/>
      </c>
    </row>
    <row r="182">
      <c r="A182" s="76" t="inlineStr">
        <is>
          <t>Garam masala</t>
        </is>
      </c>
      <c r="B182" s="76">
        <f>TableauRecette[[#This Row],[Recette]]&amp;TableauRecette[[#This Row],[Conditionnement]]</f>
        <v/>
      </c>
      <c r="C182" s="76" t="inlineStr">
        <is>
          <t>Cumin Moulu</t>
        </is>
      </c>
      <c r="D182" s="200" t="n">
        <v>4</v>
      </c>
      <c r="E182" s="76" t="inlineStr">
        <is>
          <t>Epice 100ml</t>
        </is>
      </c>
      <c r="F182" s="20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82" s="200">
        <f>IFERROR(_xlfn.XLOOKUP(TableauRecette[[#This Row],[Ingredients]],TableauIngredients[Ingredients],TableauIngredients[Prix d''achat (kg)],0)*TableauRecette[[#This Row],[poids / unite]],0)</f>
        <v/>
      </c>
      <c r="H182" s="200">
        <f>IFERROR(SUMIFS(TableauRecette[Proportion],TableauRecette[Recette],TableauRecette[[#This Row],[Recette]],TableauRecette[Conditionnement],TableauRecette[[#This Row],[Conditionnement]]),0)</f>
        <v/>
      </c>
      <c r="I182" s="200">
        <f>IFERROR(TableauRecette[[#This Row],[Prix d''achat / kg]],0)</f>
        <v/>
      </c>
      <c r="J182" s="200" t="n"/>
      <c r="K182" s="753" t="n"/>
      <c r="L182" s="754">
        <f>_xlfn.XLOOKUP(TableauRecette[[#This Row],[ID]],TableauProduit[ID],TableauProduit[Total (kg) N1],0,0,1)*TableauRecette[[#This Row],[poids / unite]]</f>
        <v/>
      </c>
      <c r="M182" s="755">
        <f>_xlfn.XLOOKUP(TableauRecette[[#This Row],[ID]],TableauProduit[ID],TableauProduit[Total (kg) N2],0,0,1)*TableauRecette[[#This Row],[poids / unite]]</f>
        <v/>
      </c>
      <c r="N182" s="755">
        <f>_xlfn.XLOOKUP(TableauRecette[[#This Row],[ID]],TableauProduit[ID],TableauProduit[Total (kg) N3],0,0,1)*TableauRecette[[#This Row],[poids / unite]]</f>
        <v/>
      </c>
      <c r="O182" s="755">
        <f>_xlfn.XLOOKUP(TableauRecette[[#This Row],[ID]],TableauProduit[ID],TableauProduit[Total (kg) N4],0,0,1)*TableauRecette[[#This Row],[poids / unite]]</f>
        <v/>
      </c>
      <c r="P182" s="755">
        <f>_xlfn.XLOOKUP(TableauRecette[[#This Row],[ID]],TableauProduit[ID],TableauProduit[Total (kg) N5],0,0,1)*TableauRecette[[#This Row],[poids / unite]]</f>
        <v/>
      </c>
      <c r="Q182" s="755">
        <f>_xlfn.XLOOKUP(TableauRecette[[#This Row],[ID]],TableauProduit[ID],TableauProduit[Total (kg) N6],0,0,1)*TableauRecette[[#This Row],[poids / unite]]</f>
        <v/>
      </c>
      <c r="R182" s="755">
        <f>_xlfn.XLOOKUP(TableauRecette[[#This Row],[ID]],TableauProduit[ID],TableauProduit[Total (kg) N7],0,0,1)*TableauRecette[[#This Row],[poids / unite]]</f>
        <v/>
      </c>
      <c r="S182" s="755">
        <f>_xlfn.XLOOKUP(TableauRecette[[#This Row],[ID]],TableauProduit[ID],TableauProduit[Total (kg) N8],0,0,1)*TableauRecette[[#This Row],[poids / unite]]</f>
        <v/>
      </c>
      <c r="T182" s="755">
        <f>_xlfn.XLOOKUP(TableauRecette[[#This Row],[ID]],TableauProduit[ID],TableauProduit[Total (kg) N9],0,0,1)*TableauRecette[[#This Row],[poids / unite]]</f>
        <v/>
      </c>
    </row>
    <row r="183">
      <c r="A183" s="76" t="inlineStr">
        <is>
          <t>Garam masala</t>
        </is>
      </c>
      <c r="B183" s="76">
        <f>TableauRecette[[#This Row],[Recette]]&amp;TableauRecette[[#This Row],[Conditionnement]]</f>
        <v/>
      </c>
      <c r="C183" s="76" t="inlineStr">
        <is>
          <t>Coriandre Moulue</t>
        </is>
      </c>
      <c r="D183" s="200" t="n">
        <v>3</v>
      </c>
      <c r="E183" s="76" t="inlineStr">
        <is>
          <t>Epice 100ml</t>
        </is>
      </c>
      <c r="F183" s="20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83" s="200">
        <f>IFERROR(_xlfn.XLOOKUP(TableauRecette[[#This Row],[Ingredients]],TableauIngredients[Ingredients],TableauIngredients[Prix d''achat (kg)],0)*TableauRecette[[#This Row],[poids / unite]],0)</f>
        <v/>
      </c>
      <c r="H183" s="200">
        <f>IFERROR(SUMIFS(TableauRecette[Proportion],TableauRecette[Recette],TableauRecette[[#This Row],[Recette]],TableauRecette[Conditionnement],TableauRecette[[#This Row],[Conditionnement]]),0)</f>
        <v/>
      </c>
      <c r="I183" s="200">
        <f>IFERROR(TableauRecette[[#This Row],[Prix d''achat / kg]],0)</f>
        <v/>
      </c>
      <c r="J183" s="200" t="n"/>
      <c r="K183" s="753" t="n"/>
      <c r="L183" s="754">
        <f>_xlfn.XLOOKUP(TableauRecette[[#This Row],[ID]],TableauProduit[ID],TableauProduit[Total (kg) N1],0,0,1)*TableauRecette[[#This Row],[poids / unite]]</f>
        <v/>
      </c>
      <c r="M183" s="755">
        <f>_xlfn.XLOOKUP(TableauRecette[[#This Row],[ID]],TableauProduit[ID],TableauProduit[Total (kg) N2],0,0,1)*TableauRecette[[#This Row],[poids / unite]]</f>
        <v/>
      </c>
      <c r="N183" s="755">
        <f>_xlfn.XLOOKUP(TableauRecette[[#This Row],[ID]],TableauProduit[ID],TableauProduit[Total (kg) N3],0,0,1)*TableauRecette[[#This Row],[poids / unite]]</f>
        <v/>
      </c>
      <c r="O183" s="755">
        <f>_xlfn.XLOOKUP(TableauRecette[[#This Row],[ID]],TableauProduit[ID],TableauProduit[Total (kg) N4],0,0,1)*TableauRecette[[#This Row],[poids / unite]]</f>
        <v/>
      </c>
      <c r="P183" s="755">
        <f>_xlfn.XLOOKUP(TableauRecette[[#This Row],[ID]],TableauProduit[ID],TableauProduit[Total (kg) N5],0,0,1)*TableauRecette[[#This Row],[poids / unite]]</f>
        <v/>
      </c>
      <c r="Q183" s="755">
        <f>_xlfn.XLOOKUP(TableauRecette[[#This Row],[ID]],TableauProduit[ID],TableauProduit[Total (kg) N6],0,0,1)*TableauRecette[[#This Row],[poids / unite]]</f>
        <v/>
      </c>
      <c r="R183" s="755">
        <f>_xlfn.XLOOKUP(TableauRecette[[#This Row],[ID]],TableauProduit[ID],TableauProduit[Total (kg) N7],0,0,1)*TableauRecette[[#This Row],[poids / unite]]</f>
        <v/>
      </c>
      <c r="S183" s="755">
        <f>_xlfn.XLOOKUP(TableauRecette[[#This Row],[ID]],TableauProduit[ID],TableauProduit[Total (kg) N8],0,0,1)*TableauRecette[[#This Row],[poids / unite]]</f>
        <v/>
      </c>
      <c r="T183" s="755">
        <f>_xlfn.XLOOKUP(TableauRecette[[#This Row],[ID]],TableauProduit[ID],TableauProduit[Total (kg) N9],0,0,1)*TableauRecette[[#This Row],[poids / unite]]</f>
        <v/>
      </c>
    </row>
    <row r="184">
      <c r="A184" s="76" t="inlineStr">
        <is>
          <t>Garam masala</t>
        </is>
      </c>
      <c r="B184" s="76">
        <f>TableauRecette[[#This Row],[Recette]]&amp;TableauRecette[[#This Row],[Conditionnement]]</f>
        <v/>
      </c>
      <c r="C184" s="76" t="inlineStr">
        <is>
          <t>Graine De Cardamone</t>
        </is>
      </c>
      <c r="D184" s="200" t="n">
        <v>3</v>
      </c>
      <c r="E184" s="76" t="inlineStr">
        <is>
          <t>Epice 100ml</t>
        </is>
      </c>
      <c r="F184" s="20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84" s="200">
        <f>IFERROR(_xlfn.XLOOKUP(TableauRecette[[#This Row],[Ingredients]],TableauIngredients[Ingredients],TableauIngredients[Prix d''achat (kg)],0)*TableauRecette[[#This Row],[poids / unite]],0)</f>
        <v/>
      </c>
      <c r="H184" s="200">
        <f>IFERROR(SUMIFS(TableauRecette[Proportion],TableauRecette[Recette],TableauRecette[[#This Row],[Recette]],TableauRecette[Conditionnement],TableauRecette[[#This Row],[Conditionnement]]),0)</f>
        <v/>
      </c>
      <c r="I184" s="200">
        <f>IFERROR(TableauRecette[[#This Row],[Prix d''achat / kg]],0)</f>
        <v/>
      </c>
      <c r="J184" s="200" t="n"/>
      <c r="K184" s="753" t="n"/>
      <c r="L184" s="754">
        <f>_xlfn.XLOOKUP(TableauRecette[[#This Row],[ID]],TableauProduit[ID],TableauProduit[Total (kg) N1],0,0,1)*TableauRecette[[#This Row],[poids / unite]]</f>
        <v/>
      </c>
      <c r="M184" s="755">
        <f>_xlfn.XLOOKUP(TableauRecette[[#This Row],[ID]],TableauProduit[ID],TableauProduit[Total (kg) N2],0,0,1)*TableauRecette[[#This Row],[poids / unite]]</f>
        <v/>
      </c>
      <c r="N184" s="755">
        <f>_xlfn.XLOOKUP(TableauRecette[[#This Row],[ID]],TableauProduit[ID],TableauProduit[Total (kg) N3],0,0,1)*TableauRecette[[#This Row],[poids / unite]]</f>
        <v/>
      </c>
      <c r="O184" s="755">
        <f>_xlfn.XLOOKUP(TableauRecette[[#This Row],[ID]],TableauProduit[ID],TableauProduit[Total (kg) N4],0,0,1)*TableauRecette[[#This Row],[poids / unite]]</f>
        <v/>
      </c>
      <c r="P184" s="755">
        <f>_xlfn.XLOOKUP(TableauRecette[[#This Row],[ID]],TableauProduit[ID],TableauProduit[Total (kg) N5],0,0,1)*TableauRecette[[#This Row],[poids / unite]]</f>
        <v/>
      </c>
      <c r="Q184" s="755">
        <f>_xlfn.XLOOKUP(TableauRecette[[#This Row],[ID]],TableauProduit[ID],TableauProduit[Total (kg) N6],0,0,1)*TableauRecette[[#This Row],[poids / unite]]</f>
        <v/>
      </c>
      <c r="R184" s="755">
        <f>_xlfn.XLOOKUP(TableauRecette[[#This Row],[ID]],TableauProduit[ID],TableauProduit[Total (kg) N7],0,0,1)*TableauRecette[[#This Row],[poids / unite]]</f>
        <v/>
      </c>
      <c r="S184" s="755">
        <f>_xlfn.XLOOKUP(TableauRecette[[#This Row],[ID]],TableauProduit[ID],TableauProduit[Total (kg) N8],0,0,1)*TableauRecette[[#This Row],[poids / unite]]</f>
        <v/>
      </c>
      <c r="T184" s="755">
        <f>_xlfn.XLOOKUP(TableauRecette[[#This Row],[ID]],TableauProduit[ID],TableauProduit[Total (kg) N9],0,0,1)*TableauRecette[[#This Row],[poids / unite]]</f>
        <v/>
      </c>
    </row>
    <row r="185">
      <c r="A185" s="76" t="inlineStr">
        <is>
          <t>Garam masala</t>
        </is>
      </c>
      <c r="B185" s="76">
        <f>TableauRecette[[#This Row],[Recette]]&amp;TableauRecette[[#This Row],[Conditionnement]]</f>
        <v/>
      </c>
      <c r="C185" s="76" t="inlineStr">
        <is>
          <t>Poivre Noir</t>
        </is>
      </c>
      <c r="D185" s="200" t="n">
        <v>3</v>
      </c>
      <c r="E185" s="76" t="inlineStr">
        <is>
          <t>Epice 100ml</t>
        </is>
      </c>
      <c r="F185" s="20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85" s="200">
        <f>IFERROR(_xlfn.XLOOKUP(TableauRecette[[#This Row],[Ingredients]],TableauIngredients[Ingredients],TableauIngredients[Prix d''achat (kg)],0)*TableauRecette[[#This Row],[poids / unite]],0)</f>
        <v/>
      </c>
      <c r="H185" s="200">
        <f>IFERROR(SUMIFS(TableauRecette[Proportion],TableauRecette[Recette],TableauRecette[[#This Row],[Recette]],TableauRecette[Conditionnement],TableauRecette[[#This Row],[Conditionnement]]),0)</f>
        <v/>
      </c>
      <c r="I185" s="200">
        <f>IFERROR(TableauRecette[[#This Row],[Prix d''achat / kg]],0)</f>
        <v/>
      </c>
      <c r="J185" s="200" t="n"/>
      <c r="K185" s="753" t="n"/>
      <c r="L185" s="754">
        <f>_xlfn.XLOOKUP(TableauRecette[[#This Row],[ID]],TableauProduit[ID],TableauProduit[Total (kg) N1],0,0,1)*TableauRecette[[#This Row],[poids / unite]]</f>
        <v/>
      </c>
      <c r="M185" s="755">
        <f>_xlfn.XLOOKUP(TableauRecette[[#This Row],[ID]],TableauProduit[ID],TableauProduit[Total (kg) N2],0,0,1)*TableauRecette[[#This Row],[poids / unite]]</f>
        <v/>
      </c>
      <c r="N185" s="755">
        <f>_xlfn.XLOOKUP(TableauRecette[[#This Row],[ID]],TableauProduit[ID],TableauProduit[Total (kg) N3],0,0,1)*TableauRecette[[#This Row],[poids / unite]]</f>
        <v/>
      </c>
      <c r="O185" s="755">
        <f>_xlfn.XLOOKUP(TableauRecette[[#This Row],[ID]],TableauProduit[ID],TableauProduit[Total (kg) N4],0,0,1)*TableauRecette[[#This Row],[poids / unite]]</f>
        <v/>
      </c>
      <c r="P185" s="755">
        <f>_xlfn.XLOOKUP(TableauRecette[[#This Row],[ID]],TableauProduit[ID],TableauProduit[Total (kg) N5],0,0,1)*TableauRecette[[#This Row],[poids / unite]]</f>
        <v/>
      </c>
      <c r="Q185" s="755">
        <f>_xlfn.XLOOKUP(TableauRecette[[#This Row],[ID]],TableauProduit[ID],TableauProduit[Total (kg) N6],0,0,1)*TableauRecette[[#This Row],[poids / unite]]</f>
        <v/>
      </c>
      <c r="R185" s="755">
        <f>_xlfn.XLOOKUP(TableauRecette[[#This Row],[ID]],TableauProduit[ID],TableauProduit[Total (kg) N7],0,0,1)*TableauRecette[[#This Row],[poids / unite]]</f>
        <v/>
      </c>
      <c r="S185" s="755">
        <f>_xlfn.XLOOKUP(TableauRecette[[#This Row],[ID]],TableauProduit[ID],TableauProduit[Total (kg) N8],0,0,1)*TableauRecette[[#This Row],[poids / unite]]</f>
        <v/>
      </c>
      <c r="T185" s="755">
        <f>_xlfn.XLOOKUP(TableauRecette[[#This Row],[ID]],TableauProduit[ID],TableauProduit[Total (kg) N9],0,0,1)*TableauRecette[[#This Row],[poids / unite]]</f>
        <v/>
      </c>
    </row>
    <row r="186">
      <c r="A186" s="76" t="inlineStr">
        <is>
          <t>Garam masala</t>
        </is>
      </c>
      <c r="B186" s="76">
        <f>TableauRecette[[#This Row],[Recette]]&amp;TableauRecette[[#This Row],[Conditionnement]]</f>
        <v/>
      </c>
      <c r="C186" s="76" t="inlineStr">
        <is>
          <t>Cannelle Moulue</t>
        </is>
      </c>
      <c r="D186" s="200" t="n">
        <v>2</v>
      </c>
      <c r="E186" s="76" t="inlineStr">
        <is>
          <t>Epice 100ml</t>
        </is>
      </c>
      <c r="F186" s="20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86" s="200">
        <f>IFERROR(_xlfn.XLOOKUP(TableauRecette[[#This Row],[Ingredients]],TableauIngredients[Ingredients],TableauIngredients[Prix d''achat (kg)],0)*TableauRecette[[#This Row],[poids / unite]],0)</f>
        <v/>
      </c>
      <c r="H186" s="200">
        <f>IFERROR(SUMIFS(TableauRecette[Proportion],TableauRecette[Recette],TableauRecette[[#This Row],[Recette]],TableauRecette[Conditionnement],TableauRecette[[#This Row],[Conditionnement]]),0)</f>
        <v/>
      </c>
      <c r="I186" s="200">
        <f>IFERROR(TableauRecette[[#This Row],[Prix d''achat / kg]],0)</f>
        <v/>
      </c>
      <c r="J186" s="200" t="n"/>
      <c r="K186" s="753" t="n"/>
      <c r="L186" s="754">
        <f>_xlfn.XLOOKUP(TableauRecette[[#This Row],[ID]],TableauProduit[ID],TableauProduit[Total (kg) N1],0,0,1)*TableauRecette[[#This Row],[poids / unite]]</f>
        <v/>
      </c>
      <c r="M186" s="755">
        <f>_xlfn.XLOOKUP(TableauRecette[[#This Row],[ID]],TableauProduit[ID],TableauProduit[Total (kg) N2],0,0,1)*TableauRecette[[#This Row],[poids / unite]]</f>
        <v/>
      </c>
      <c r="N186" s="755">
        <f>_xlfn.XLOOKUP(TableauRecette[[#This Row],[ID]],TableauProduit[ID],TableauProduit[Total (kg) N3],0,0,1)*TableauRecette[[#This Row],[poids / unite]]</f>
        <v/>
      </c>
      <c r="O186" s="755">
        <f>_xlfn.XLOOKUP(TableauRecette[[#This Row],[ID]],TableauProduit[ID],TableauProduit[Total (kg) N4],0,0,1)*TableauRecette[[#This Row],[poids / unite]]</f>
        <v/>
      </c>
      <c r="P186" s="755">
        <f>_xlfn.XLOOKUP(TableauRecette[[#This Row],[ID]],TableauProduit[ID],TableauProduit[Total (kg) N5],0,0,1)*TableauRecette[[#This Row],[poids / unite]]</f>
        <v/>
      </c>
      <c r="Q186" s="755">
        <f>_xlfn.XLOOKUP(TableauRecette[[#This Row],[ID]],TableauProduit[ID],TableauProduit[Total (kg) N6],0,0,1)*TableauRecette[[#This Row],[poids / unite]]</f>
        <v/>
      </c>
      <c r="R186" s="755">
        <f>_xlfn.XLOOKUP(TableauRecette[[#This Row],[ID]],TableauProduit[ID],TableauProduit[Total (kg) N7],0,0,1)*TableauRecette[[#This Row],[poids / unite]]</f>
        <v/>
      </c>
      <c r="S186" s="755">
        <f>_xlfn.XLOOKUP(TableauRecette[[#This Row],[ID]],TableauProduit[ID],TableauProduit[Total (kg) N8],0,0,1)*TableauRecette[[#This Row],[poids / unite]]</f>
        <v/>
      </c>
      <c r="T186" s="755">
        <f>_xlfn.XLOOKUP(TableauRecette[[#This Row],[ID]],TableauProduit[ID],TableauProduit[Total (kg) N9],0,0,1)*TableauRecette[[#This Row],[poids / unite]]</f>
        <v/>
      </c>
    </row>
    <row r="187">
      <c r="A187" s="76" t="inlineStr">
        <is>
          <t>Garam masala</t>
        </is>
      </c>
      <c r="B187" s="76">
        <f>TableauRecette[[#This Row],[Recette]]&amp;TableauRecette[[#This Row],[Conditionnement]]</f>
        <v/>
      </c>
      <c r="C187" s="76" t="inlineStr">
        <is>
          <t>Clous De Girofle</t>
        </is>
      </c>
      <c r="D187" s="200" t="n">
        <v>1</v>
      </c>
      <c r="E187" s="76" t="inlineStr">
        <is>
          <t>Epice 100ml</t>
        </is>
      </c>
      <c r="F187" s="20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87" s="200">
        <f>IFERROR(_xlfn.XLOOKUP(TableauRecette[[#This Row],[Ingredients]],TableauIngredients[Ingredients],TableauIngredients[Prix d''achat (kg)],0)*TableauRecette[[#This Row],[poids / unite]],0)</f>
        <v/>
      </c>
      <c r="H187" s="200">
        <f>IFERROR(SUMIFS(TableauRecette[Proportion],TableauRecette[Recette],TableauRecette[[#This Row],[Recette]],TableauRecette[Conditionnement],TableauRecette[[#This Row],[Conditionnement]]),0)</f>
        <v/>
      </c>
      <c r="I187" s="200">
        <f>IFERROR(TableauRecette[[#This Row],[Prix d''achat / kg]],0)</f>
        <v/>
      </c>
      <c r="J187" s="200" t="n"/>
      <c r="K187" s="753" t="n"/>
      <c r="L187" s="754">
        <f>_xlfn.XLOOKUP(TableauRecette[[#This Row],[ID]],TableauProduit[ID],TableauProduit[Total (kg) N1],0,0,1)*TableauRecette[[#This Row],[poids / unite]]</f>
        <v/>
      </c>
      <c r="M187" s="755">
        <f>_xlfn.XLOOKUP(TableauRecette[[#This Row],[ID]],TableauProduit[ID],TableauProduit[Total (kg) N2],0,0,1)*TableauRecette[[#This Row],[poids / unite]]</f>
        <v/>
      </c>
      <c r="N187" s="755">
        <f>_xlfn.XLOOKUP(TableauRecette[[#This Row],[ID]],TableauProduit[ID],TableauProduit[Total (kg) N3],0,0,1)*TableauRecette[[#This Row],[poids / unite]]</f>
        <v/>
      </c>
      <c r="O187" s="755">
        <f>_xlfn.XLOOKUP(TableauRecette[[#This Row],[ID]],TableauProduit[ID],TableauProduit[Total (kg) N4],0,0,1)*TableauRecette[[#This Row],[poids / unite]]</f>
        <v/>
      </c>
      <c r="P187" s="755">
        <f>_xlfn.XLOOKUP(TableauRecette[[#This Row],[ID]],TableauProduit[ID],TableauProduit[Total (kg) N5],0,0,1)*TableauRecette[[#This Row],[poids / unite]]</f>
        <v/>
      </c>
      <c r="Q187" s="755">
        <f>_xlfn.XLOOKUP(TableauRecette[[#This Row],[ID]],TableauProduit[ID],TableauProduit[Total (kg) N6],0,0,1)*TableauRecette[[#This Row],[poids / unite]]</f>
        <v/>
      </c>
      <c r="R187" s="755">
        <f>_xlfn.XLOOKUP(TableauRecette[[#This Row],[ID]],TableauProduit[ID],TableauProduit[Total (kg) N7],0,0,1)*TableauRecette[[#This Row],[poids / unite]]</f>
        <v/>
      </c>
      <c r="S187" s="755">
        <f>_xlfn.XLOOKUP(TableauRecette[[#This Row],[ID]],TableauProduit[ID],TableauProduit[Total (kg) N8],0,0,1)*TableauRecette[[#This Row],[poids / unite]]</f>
        <v/>
      </c>
      <c r="T187" s="755">
        <f>_xlfn.XLOOKUP(TableauRecette[[#This Row],[ID]],TableauProduit[ID],TableauProduit[Total (kg) N9],0,0,1)*TableauRecette[[#This Row],[poids / unite]]</f>
        <v/>
      </c>
    </row>
    <row r="188">
      <c r="A188" s="76" t="inlineStr">
        <is>
          <t>Garam masala</t>
        </is>
      </c>
      <c r="B188" s="76">
        <f>TableauRecette[[#This Row],[Recette]]&amp;TableauRecette[[#This Row],[Conditionnement]]</f>
        <v/>
      </c>
      <c r="C188" s="76" t="inlineStr">
        <is>
          <t>Muscade Moulue</t>
        </is>
      </c>
      <c r="D188" s="200" t="n">
        <v>1</v>
      </c>
      <c r="E188" s="76" t="inlineStr">
        <is>
          <t>Epice 100ml</t>
        </is>
      </c>
      <c r="F188" s="20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88" s="200">
        <f>IFERROR(_xlfn.XLOOKUP(TableauRecette[[#This Row],[Ingredients]],TableauIngredients[Ingredients],TableauIngredients[Prix d''achat (kg)],0)*TableauRecette[[#This Row],[poids / unite]],0)</f>
        <v/>
      </c>
      <c r="H188" s="200">
        <f>IFERROR(SUMIFS(TableauRecette[Proportion],TableauRecette[Recette],TableauRecette[[#This Row],[Recette]],TableauRecette[Conditionnement],TableauRecette[[#This Row],[Conditionnement]]),0)</f>
        <v/>
      </c>
      <c r="I188" s="200">
        <f>IFERROR(TableauRecette[[#This Row],[Prix d''achat / kg]],0)</f>
        <v/>
      </c>
      <c r="J188" s="200" t="n"/>
      <c r="K188" s="753" t="n"/>
      <c r="L188" s="754">
        <f>_xlfn.XLOOKUP(TableauRecette[[#This Row],[ID]],TableauProduit[ID],TableauProduit[Total (kg) N1],0,0,1)*TableauRecette[[#This Row],[poids / unite]]</f>
        <v/>
      </c>
      <c r="M188" s="755">
        <f>_xlfn.XLOOKUP(TableauRecette[[#This Row],[ID]],TableauProduit[ID],TableauProduit[Total (kg) N2],0,0,1)*TableauRecette[[#This Row],[poids / unite]]</f>
        <v/>
      </c>
      <c r="N188" s="755">
        <f>_xlfn.XLOOKUP(TableauRecette[[#This Row],[ID]],TableauProduit[ID],TableauProduit[Total (kg) N3],0,0,1)*TableauRecette[[#This Row],[poids / unite]]</f>
        <v/>
      </c>
      <c r="O188" s="755">
        <f>_xlfn.XLOOKUP(TableauRecette[[#This Row],[ID]],TableauProduit[ID],TableauProduit[Total (kg) N4],0,0,1)*TableauRecette[[#This Row],[poids / unite]]</f>
        <v/>
      </c>
      <c r="P188" s="755">
        <f>_xlfn.XLOOKUP(TableauRecette[[#This Row],[ID]],TableauProduit[ID],TableauProduit[Total (kg) N5],0,0,1)*TableauRecette[[#This Row],[poids / unite]]</f>
        <v/>
      </c>
      <c r="Q188" s="755">
        <f>_xlfn.XLOOKUP(TableauRecette[[#This Row],[ID]],TableauProduit[ID],TableauProduit[Total (kg) N6],0,0,1)*TableauRecette[[#This Row],[poids / unite]]</f>
        <v/>
      </c>
      <c r="R188" s="755">
        <f>_xlfn.XLOOKUP(TableauRecette[[#This Row],[ID]],TableauProduit[ID],TableauProduit[Total (kg) N7],0,0,1)*TableauRecette[[#This Row],[poids / unite]]</f>
        <v/>
      </c>
      <c r="S188" s="755">
        <f>_xlfn.XLOOKUP(TableauRecette[[#This Row],[ID]],TableauProduit[ID],TableauProduit[Total (kg) N8],0,0,1)*TableauRecette[[#This Row],[poids / unite]]</f>
        <v/>
      </c>
      <c r="T188" s="755">
        <f>_xlfn.XLOOKUP(TableauRecette[[#This Row],[ID]],TableauProduit[ID],TableauProduit[Total (kg) N9],0,0,1)*TableauRecette[[#This Row],[poids / unite]]</f>
        <v/>
      </c>
    </row>
    <row r="189">
      <c r="A189" s="77" t="inlineStr">
        <is>
          <t>Garam masla</t>
        </is>
      </c>
      <c r="B189" s="77">
        <f>TableauRecette[[#This Row],[Recette]]&amp;TableauRecette[[#This Row],[Conditionnement]]</f>
        <v/>
      </c>
      <c r="C189" s="77" t="inlineStr">
        <is>
          <t>Graine De Cardamone</t>
        </is>
      </c>
      <c r="D189" s="201" t="n">
        <v>25</v>
      </c>
      <c r="E189" s="77" t="inlineStr">
        <is>
          <t>Epice 100ml</t>
        </is>
      </c>
      <c r="F189" s="20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89" s="201">
        <f>IFERROR(_xlfn.XLOOKUP(TableauRecette[[#This Row],[Ingredients]],TableauIngredients[Ingredients],TableauIngredients[Prix d''achat (kg)],0)*TableauRecette[[#This Row],[poids / unite]],0)</f>
        <v/>
      </c>
      <c r="H189" s="201">
        <f>IFERROR(SUMIFS(TableauRecette[Proportion],TableauRecette[Recette],TableauRecette[[#This Row],[Recette]],TableauRecette[Conditionnement],TableauRecette[[#This Row],[Conditionnement]]),0)</f>
        <v/>
      </c>
      <c r="I189" s="201">
        <f>IFERROR(TableauRecette[[#This Row],[Prix d''achat / kg]],0)</f>
        <v/>
      </c>
      <c r="J189" s="201" t="inlineStr">
        <is>
          <t>Inde du nord</t>
        </is>
      </c>
      <c r="K189" s="756" t="inlineStr">
        <is>
          <t>SEC</t>
        </is>
      </c>
      <c r="L189" s="757">
        <f>_xlfn.XLOOKUP(TableauRecette[[#This Row],[ID]],TableauProduit[ID],TableauProduit[Total (kg) N1],0,0,1)*TableauRecette[[#This Row],[poids / unite]]</f>
        <v/>
      </c>
      <c r="M189" s="758">
        <f>_xlfn.XLOOKUP(TableauRecette[[#This Row],[ID]],TableauProduit[ID],TableauProduit[Total (kg) N2],0,0,1)*TableauRecette[[#This Row],[poids / unite]]</f>
        <v/>
      </c>
      <c r="N189" s="758">
        <f>_xlfn.XLOOKUP(TableauRecette[[#This Row],[ID]],TableauProduit[ID],TableauProduit[Total (kg) N3],0,0,1)*TableauRecette[[#This Row],[poids / unite]]</f>
        <v/>
      </c>
      <c r="O189" s="758">
        <f>_xlfn.XLOOKUP(TableauRecette[[#This Row],[ID]],TableauProduit[ID],TableauProduit[Total (kg) N4],0,0,1)*TableauRecette[[#This Row],[poids / unite]]</f>
        <v/>
      </c>
      <c r="P189" s="758">
        <f>_xlfn.XLOOKUP(TableauRecette[[#This Row],[ID]],TableauProduit[ID],TableauProduit[Total (kg) N5],0,0,1)*TableauRecette[[#This Row],[poids / unite]]</f>
        <v/>
      </c>
      <c r="Q189" s="758">
        <f>_xlfn.XLOOKUP(TableauRecette[[#This Row],[ID]],TableauProduit[ID],TableauProduit[Total (kg) N6],0,0,1)*TableauRecette[[#This Row],[poids / unite]]</f>
        <v/>
      </c>
      <c r="R189" s="758">
        <f>_xlfn.XLOOKUP(TableauRecette[[#This Row],[ID]],TableauProduit[ID],TableauProduit[Total (kg) N7],0,0,1)*TableauRecette[[#This Row],[poids / unite]]</f>
        <v/>
      </c>
      <c r="S189" s="758">
        <f>_xlfn.XLOOKUP(TableauRecette[[#This Row],[ID]],TableauProduit[ID],TableauProduit[Total (kg) N8],0,0,1)*TableauRecette[[#This Row],[poids / unite]]</f>
        <v/>
      </c>
      <c r="T189" s="758">
        <f>_xlfn.XLOOKUP(TableauRecette[[#This Row],[ID]],TableauProduit[ID],TableauProduit[Total (kg) N9],0,0,1)*TableauRecette[[#This Row],[poids / unite]]</f>
        <v/>
      </c>
    </row>
    <row r="190">
      <c r="A190" s="77" t="inlineStr">
        <is>
          <t>Garam masla</t>
        </is>
      </c>
      <c r="B190" s="77">
        <f>TableauRecette[[#This Row],[Recette]]&amp;TableauRecette[[#This Row],[Conditionnement]]</f>
        <v/>
      </c>
      <c r="C190" s="77" t="inlineStr">
        <is>
          <t>Casse Concassée</t>
        </is>
      </c>
      <c r="D190" s="201" t="n">
        <v>25</v>
      </c>
      <c r="E190" s="77" t="inlineStr">
        <is>
          <t>Epice 100ml</t>
        </is>
      </c>
      <c r="F190" s="20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90" s="201">
        <f>IFERROR(_xlfn.XLOOKUP(TableauRecette[[#This Row],[Ingredients]],TableauIngredients[Ingredients],TableauIngredients[Prix d''achat (kg)],0)*TableauRecette[[#This Row],[poids / unite]],0)</f>
        <v/>
      </c>
      <c r="H190" s="201">
        <f>IFERROR(SUMIFS(TableauRecette[Proportion],TableauRecette[Recette],TableauRecette[[#This Row],[Recette]],TableauRecette[Conditionnement],TableauRecette[[#This Row],[Conditionnement]]),0)</f>
        <v/>
      </c>
      <c r="I190" s="201">
        <f>IFERROR(TableauRecette[[#This Row],[Prix d''achat / kg]],0)</f>
        <v/>
      </c>
      <c r="J190" s="201" t="inlineStr">
        <is>
          <t>Inde du nord</t>
        </is>
      </c>
      <c r="K190" s="756" t="inlineStr">
        <is>
          <t>SEC</t>
        </is>
      </c>
      <c r="L190" s="757">
        <f>_xlfn.XLOOKUP(TableauRecette[[#This Row],[ID]],TableauProduit[ID],TableauProduit[Total (kg) N1],0,0,1)*TableauRecette[[#This Row],[poids / unite]]</f>
        <v/>
      </c>
      <c r="M190" s="758">
        <f>_xlfn.XLOOKUP(TableauRecette[[#This Row],[ID]],TableauProduit[ID],TableauProduit[Total (kg) N2],0,0,1)*TableauRecette[[#This Row],[poids / unite]]</f>
        <v/>
      </c>
      <c r="N190" s="758">
        <f>_xlfn.XLOOKUP(TableauRecette[[#This Row],[ID]],TableauProduit[ID],TableauProduit[Total (kg) N3],0,0,1)*TableauRecette[[#This Row],[poids / unite]]</f>
        <v/>
      </c>
      <c r="O190" s="758">
        <f>_xlfn.XLOOKUP(TableauRecette[[#This Row],[ID]],TableauProduit[ID],TableauProduit[Total (kg) N4],0,0,1)*TableauRecette[[#This Row],[poids / unite]]</f>
        <v/>
      </c>
      <c r="P190" s="758">
        <f>_xlfn.XLOOKUP(TableauRecette[[#This Row],[ID]],TableauProduit[ID],TableauProduit[Total (kg) N5],0,0,1)*TableauRecette[[#This Row],[poids / unite]]</f>
        <v/>
      </c>
      <c r="Q190" s="758">
        <f>_xlfn.XLOOKUP(TableauRecette[[#This Row],[ID]],TableauProduit[ID],TableauProduit[Total (kg) N6],0,0,1)*TableauRecette[[#This Row],[poids / unite]]</f>
        <v/>
      </c>
      <c r="R190" s="758">
        <f>_xlfn.XLOOKUP(TableauRecette[[#This Row],[ID]],TableauProduit[ID],TableauProduit[Total (kg) N7],0,0,1)*TableauRecette[[#This Row],[poids / unite]]</f>
        <v/>
      </c>
      <c r="S190" s="758">
        <f>_xlfn.XLOOKUP(TableauRecette[[#This Row],[ID]],TableauProduit[ID],TableauProduit[Total (kg) N8],0,0,1)*TableauRecette[[#This Row],[poids / unite]]</f>
        <v/>
      </c>
      <c r="T190" s="758">
        <f>_xlfn.XLOOKUP(TableauRecette[[#This Row],[ID]],TableauProduit[ID],TableauProduit[Total (kg) N9],0,0,1)*TableauRecette[[#This Row],[poids / unite]]</f>
        <v/>
      </c>
    </row>
    <row r="191">
      <c r="A191" s="77" t="inlineStr">
        <is>
          <t>Garam masla</t>
        </is>
      </c>
      <c r="B191" s="77">
        <f>TableauRecette[[#This Row],[Recette]]&amp;TableauRecette[[#This Row],[Conditionnement]]</f>
        <v/>
      </c>
      <c r="C191" s="77" t="inlineStr">
        <is>
          <t>Cumin Noir</t>
        </is>
      </c>
      <c r="D191" s="201" t="n">
        <v>10</v>
      </c>
      <c r="E191" s="77" t="inlineStr">
        <is>
          <t>Epice 100ml</t>
        </is>
      </c>
      <c r="F191" s="20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91" s="201">
        <f>IFERROR(_xlfn.XLOOKUP(TableauRecette[[#This Row],[Ingredients]],TableauIngredients[Ingredients],TableauIngredients[Prix d''achat (kg)],0)*TableauRecette[[#This Row],[poids / unite]],0)</f>
        <v/>
      </c>
      <c r="H191" s="201">
        <f>IFERROR(SUMIFS(TableauRecette[Proportion],TableauRecette[Recette],TableauRecette[[#This Row],[Recette]],TableauRecette[Conditionnement],TableauRecette[[#This Row],[Conditionnement]]),0)</f>
        <v/>
      </c>
      <c r="I191" s="201">
        <f>IFERROR(TableauRecette[[#This Row],[Prix d''achat / kg]],0)</f>
        <v/>
      </c>
      <c r="J191" s="201" t="inlineStr">
        <is>
          <t>Inde du nord</t>
        </is>
      </c>
      <c r="K191" s="756" t="inlineStr">
        <is>
          <t>SEC</t>
        </is>
      </c>
      <c r="L191" s="757">
        <f>_xlfn.XLOOKUP(TableauRecette[[#This Row],[ID]],TableauProduit[ID],TableauProduit[Total (kg) N1],0,0,1)*TableauRecette[[#This Row],[poids / unite]]</f>
        <v/>
      </c>
      <c r="M191" s="758">
        <f>_xlfn.XLOOKUP(TableauRecette[[#This Row],[ID]],TableauProduit[ID],TableauProduit[Total (kg) N2],0,0,1)*TableauRecette[[#This Row],[poids / unite]]</f>
        <v/>
      </c>
      <c r="N191" s="758">
        <f>_xlfn.XLOOKUP(TableauRecette[[#This Row],[ID]],TableauProduit[ID],TableauProduit[Total (kg) N3],0,0,1)*TableauRecette[[#This Row],[poids / unite]]</f>
        <v/>
      </c>
      <c r="O191" s="758">
        <f>_xlfn.XLOOKUP(TableauRecette[[#This Row],[ID]],TableauProduit[ID],TableauProduit[Total (kg) N4],0,0,1)*TableauRecette[[#This Row],[poids / unite]]</f>
        <v/>
      </c>
      <c r="P191" s="758">
        <f>_xlfn.XLOOKUP(TableauRecette[[#This Row],[ID]],TableauProduit[ID],TableauProduit[Total (kg) N5],0,0,1)*TableauRecette[[#This Row],[poids / unite]]</f>
        <v/>
      </c>
      <c r="Q191" s="758">
        <f>_xlfn.XLOOKUP(TableauRecette[[#This Row],[ID]],TableauProduit[ID],TableauProduit[Total (kg) N6],0,0,1)*TableauRecette[[#This Row],[poids / unite]]</f>
        <v/>
      </c>
      <c r="R191" s="758">
        <f>_xlfn.XLOOKUP(TableauRecette[[#This Row],[ID]],TableauProduit[ID],TableauProduit[Total (kg) N7],0,0,1)*TableauRecette[[#This Row],[poids / unite]]</f>
        <v/>
      </c>
      <c r="S191" s="758">
        <f>_xlfn.XLOOKUP(TableauRecette[[#This Row],[ID]],TableauProduit[ID],TableauProduit[Total (kg) N8],0,0,1)*TableauRecette[[#This Row],[poids / unite]]</f>
        <v/>
      </c>
      <c r="T191" s="758">
        <f>_xlfn.XLOOKUP(TableauRecette[[#This Row],[ID]],TableauProduit[ID],TableauProduit[Total (kg) N9],0,0,1)*TableauRecette[[#This Row],[poids / unite]]</f>
        <v/>
      </c>
    </row>
    <row r="192">
      <c r="A192" s="77" t="inlineStr">
        <is>
          <t>Garam masla</t>
        </is>
      </c>
      <c r="B192" s="77">
        <f>TableauRecette[[#This Row],[Recette]]&amp;TableauRecette[[#This Row],[Conditionnement]]</f>
        <v/>
      </c>
      <c r="C192" s="77" t="inlineStr">
        <is>
          <t>Poivre Noir</t>
        </is>
      </c>
      <c r="D192" s="201" t="n">
        <v>25</v>
      </c>
      <c r="E192" s="77" t="inlineStr">
        <is>
          <t>Epice 100ml</t>
        </is>
      </c>
      <c r="F192" s="20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92" s="201">
        <f>IFERROR(_xlfn.XLOOKUP(TableauRecette[[#This Row],[Ingredients]],TableauIngredients[Ingredients],TableauIngredients[Prix d''achat (kg)],0)*TableauRecette[[#This Row],[poids / unite]],0)</f>
        <v/>
      </c>
      <c r="H192" s="201">
        <f>IFERROR(SUMIFS(TableauRecette[Proportion],TableauRecette[Recette],TableauRecette[[#This Row],[Recette]],TableauRecette[Conditionnement],TableauRecette[[#This Row],[Conditionnement]]),0)</f>
        <v/>
      </c>
      <c r="I192" s="201">
        <f>IFERROR(TableauRecette[[#This Row],[Prix d''achat / kg]],0)</f>
        <v/>
      </c>
      <c r="J192" s="201" t="inlineStr">
        <is>
          <t>Ceinture himalayenne</t>
        </is>
      </c>
      <c r="K192" s="756" t="inlineStr">
        <is>
          <t>SEC</t>
        </is>
      </c>
      <c r="L192" s="757">
        <f>_xlfn.XLOOKUP(TableauRecette[[#This Row],[ID]],TableauProduit[ID],TableauProduit[Total (kg) N1],0,0,1)*TableauRecette[[#This Row],[poids / unite]]</f>
        <v/>
      </c>
      <c r="M192" s="758">
        <f>_xlfn.XLOOKUP(TableauRecette[[#This Row],[ID]],TableauProduit[ID],TableauProduit[Total (kg) N2],0,0,1)*TableauRecette[[#This Row],[poids / unite]]</f>
        <v/>
      </c>
      <c r="N192" s="758">
        <f>_xlfn.XLOOKUP(TableauRecette[[#This Row],[ID]],TableauProduit[ID],TableauProduit[Total (kg) N3],0,0,1)*TableauRecette[[#This Row],[poids / unite]]</f>
        <v/>
      </c>
      <c r="O192" s="758">
        <f>_xlfn.XLOOKUP(TableauRecette[[#This Row],[ID]],TableauProduit[ID],TableauProduit[Total (kg) N4],0,0,1)*TableauRecette[[#This Row],[poids / unite]]</f>
        <v/>
      </c>
      <c r="P192" s="758">
        <f>_xlfn.XLOOKUP(TableauRecette[[#This Row],[ID]],TableauProduit[ID],TableauProduit[Total (kg) N5],0,0,1)*TableauRecette[[#This Row],[poids / unite]]</f>
        <v/>
      </c>
      <c r="Q192" s="758">
        <f>_xlfn.XLOOKUP(TableauRecette[[#This Row],[ID]],TableauProduit[ID],TableauProduit[Total (kg) N6],0,0,1)*TableauRecette[[#This Row],[poids / unite]]</f>
        <v/>
      </c>
      <c r="R192" s="758">
        <f>_xlfn.XLOOKUP(TableauRecette[[#This Row],[ID]],TableauProduit[ID],TableauProduit[Total (kg) N7],0,0,1)*TableauRecette[[#This Row],[poids / unite]]</f>
        <v/>
      </c>
      <c r="S192" s="758">
        <f>_xlfn.XLOOKUP(TableauRecette[[#This Row],[ID]],TableauProduit[ID],TableauProduit[Total (kg) N8],0,0,1)*TableauRecette[[#This Row],[poids / unite]]</f>
        <v/>
      </c>
      <c r="T192" s="758">
        <f>_xlfn.XLOOKUP(TableauRecette[[#This Row],[ID]],TableauProduit[ID],TableauProduit[Total (kg) N9],0,0,1)*TableauRecette[[#This Row],[poids / unite]]</f>
        <v/>
      </c>
    </row>
    <row r="193">
      <c r="A193" s="77" t="inlineStr">
        <is>
          <t>Garam masla</t>
        </is>
      </c>
      <c r="B193" s="77">
        <f>TableauRecette[[#This Row],[Recette]]&amp;TableauRecette[[#This Row],[Conditionnement]]</f>
        <v/>
      </c>
      <c r="C193" s="77" t="inlineStr">
        <is>
          <t>Macie</t>
        </is>
      </c>
      <c r="D193" s="201" t="n">
        <v>7</v>
      </c>
      <c r="E193" s="77" t="inlineStr">
        <is>
          <t>Epice 100ml</t>
        </is>
      </c>
      <c r="F193" s="20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93" s="201">
        <f>IFERROR(_xlfn.XLOOKUP(TableauRecette[[#This Row],[Ingredients]],TableauIngredients[Ingredients],TableauIngredients[Prix d''achat (kg)],0)*TableauRecette[[#This Row],[poids / unite]],0)</f>
        <v/>
      </c>
      <c r="H193" s="201">
        <f>IFERROR(SUMIFS(TableauRecette[Proportion],TableauRecette[Recette],TableauRecette[[#This Row],[Recette]],TableauRecette[Conditionnement],TableauRecette[[#This Row],[Conditionnement]]),0)</f>
        <v/>
      </c>
      <c r="I193" s="201">
        <f>IFERROR(TableauRecette[[#This Row],[Prix d''achat / kg]],0)</f>
        <v/>
      </c>
      <c r="J193" s="201" t="inlineStr">
        <is>
          <t>Ceinture himalayenne</t>
        </is>
      </c>
      <c r="K193" s="756" t="inlineStr">
        <is>
          <t>SEC</t>
        </is>
      </c>
      <c r="L193" s="757">
        <f>_xlfn.XLOOKUP(TableauRecette[[#This Row],[ID]],TableauProduit[ID],TableauProduit[Total (kg) N1],0,0,1)*TableauRecette[[#This Row],[poids / unite]]</f>
        <v/>
      </c>
      <c r="M193" s="758">
        <f>_xlfn.XLOOKUP(TableauRecette[[#This Row],[ID]],TableauProduit[ID],TableauProduit[Total (kg) N2],0,0,1)*TableauRecette[[#This Row],[poids / unite]]</f>
        <v/>
      </c>
      <c r="N193" s="758">
        <f>_xlfn.XLOOKUP(TableauRecette[[#This Row],[ID]],TableauProduit[ID],TableauProduit[Total (kg) N3],0,0,1)*TableauRecette[[#This Row],[poids / unite]]</f>
        <v/>
      </c>
      <c r="O193" s="758">
        <f>_xlfn.XLOOKUP(TableauRecette[[#This Row],[ID]],TableauProduit[ID],TableauProduit[Total (kg) N4],0,0,1)*TableauRecette[[#This Row],[poids / unite]]</f>
        <v/>
      </c>
      <c r="P193" s="758">
        <f>_xlfn.XLOOKUP(TableauRecette[[#This Row],[ID]],TableauProduit[ID],TableauProduit[Total (kg) N5],0,0,1)*TableauRecette[[#This Row],[poids / unite]]</f>
        <v/>
      </c>
      <c r="Q193" s="758">
        <f>_xlfn.XLOOKUP(TableauRecette[[#This Row],[ID]],TableauProduit[ID],TableauProduit[Total (kg) N6],0,0,1)*TableauRecette[[#This Row],[poids / unite]]</f>
        <v/>
      </c>
      <c r="R193" s="758">
        <f>_xlfn.XLOOKUP(TableauRecette[[#This Row],[ID]],TableauProduit[ID],TableauProduit[Total (kg) N7],0,0,1)*TableauRecette[[#This Row],[poids / unite]]</f>
        <v/>
      </c>
      <c r="S193" s="758">
        <f>_xlfn.XLOOKUP(TableauRecette[[#This Row],[ID]],TableauProduit[ID],TableauProduit[Total (kg) N8],0,0,1)*TableauRecette[[#This Row],[poids / unite]]</f>
        <v/>
      </c>
      <c r="T193" s="758">
        <f>_xlfn.XLOOKUP(TableauRecette[[#This Row],[ID]],TableauProduit[ID],TableauProduit[Total (kg) N9],0,0,1)*TableauRecette[[#This Row],[poids / unite]]</f>
        <v/>
      </c>
    </row>
    <row r="194">
      <c r="A194" s="77" t="inlineStr">
        <is>
          <t>Garam masla</t>
        </is>
      </c>
      <c r="B194" s="77">
        <f>TableauRecette[[#This Row],[Recette]]&amp;TableauRecette[[#This Row],[Conditionnement]]</f>
        <v/>
      </c>
      <c r="C194" s="77" t="inlineStr">
        <is>
          <t>Clous De Girofle</t>
        </is>
      </c>
      <c r="D194" s="201" t="n">
        <v>10</v>
      </c>
      <c r="E194" s="77" t="inlineStr">
        <is>
          <t>Epice 100ml</t>
        </is>
      </c>
      <c r="F194" s="20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94" s="201">
        <f>IFERROR(_xlfn.XLOOKUP(TableauRecette[[#This Row],[Ingredients]],TableauIngredients[Ingredients],TableauIngredients[Prix d''achat (kg)],0)*TableauRecette[[#This Row],[poids / unite]],0)</f>
        <v/>
      </c>
      <c r="H194" s="201">
        <f>IFERROR(SUMIFS(TableauRecette[Proportion],TableauRecette[Recette],TableauRecette[[#This Row],[Recette]],TableauRecette[Conditionnement],TableauRecette[[#This Row],[Conditionnement]]),0)</f>
        <v/>
      </c>
      <c r="I194" s="201">
        <f>IFERROR(TableauRecette[[#This Row],[Prix d''achat / kg]],0)</f>
        <v/>
      </c>
      <c r="J194" s="201" t="inlineStr">
        <is>
          <t>Ceinture himalayenne</t>
        </is>
      </c>
      <c r="K194" s="756" t="inlineStr">
        <is>
          <t>SEC</t>
        </is>
      </c>
      <c r="L194" s="757">
        <f>_xlfn.XLOOKUP(TableauRecette[[#This Row],[ID]],TableauProduit[ID],TableauProduit[Total (kg) N1],0,0,1)*TableauRecette[[#This Row],[poids / unite]]</f>
        <v/>
      </c>
      <c r="M194" s="758">
        <f>_xlfn.XLOOKUP(TableauRecette[[#This Row],[ID]],TableauProduit[ID],TableauProduit[Total (kg) N2],0,0,1)*TableauRecette[[#This Row],[poids / unite]]</f>
        <v/>
      </c>
      <c r="N194" s="758">
        <f>_xlfn.XLOOKUP(TableauRecette[[#This Row],[ID]],TableauProduit[ID],TableauProduit[Total (kg) N3],0,0,1)*TableauRecette[[#This Row],[poids / unite]]</f>
        <v/>
      </c>
      <c r="O194" s="758">
        <f>_xlfn.XLOOKUP(TableauRecette[[#This Row],[ID]],TableauProduit[ID],TableauProduit[Total (kg) N4],0,0,1)*TableauRecette[[#This Row],[poids / unite]]</f>
        <v/>
      </c>
      <c r="P194" s="758">
        <f>_xlfn.XLOOKUP(TableauRecette[[#This Row],[ID]],TableauProduit[ID],TableauProduit[Total (kg) N5],0,0,1)*TableauRecette[[#This Row],[poids / unite]]</f>
        <v/>
      </c>
      <c r="Q194" s="758">
        <f>_xlfn.XLOOKUP(TableauRecette[[#This Row],[ID]],TableauProduit[ID],TableauProduit[Total (kg) N6],0,0,1)*TableauRecette[[#This Row],[poids / unite]]</f>
        <v/>
      </c>
      <c r="R194" s="758">
        <f>_xlfn.XLOOKUP(TableauRecette[[#This Row],[ID]],TableauProduit[ID],TableauProduit[Total (kg) N7],0,0,1)*TableauRecette[[#This Row],[poids / unite]]</f>
        <v/>
      </c>
      <c r="S194" s="758">
        <f>_xlfn.XLOOKUP(TableauRecette[[#This Row],[ID]],TableauProduit[ID],TableauProduit[Total (kg) N8],0,0,1)*TableauRecette[[#This Row],[poids / unite]]</f>
        <v/>
      </c>
      <c r="T194" s="758">
        <f>_xlfn.XLOOKUP(TableauRecette[[#This Row],[ID]],TableauProduit[ID],TableauProduit[Total (kg) N9],0,0,1)*TableauRecette[[#This Row],[poids / unite]]</f>
        <v/>
      </c>
    </row>
    <row r="195">
      <c r="A195" s="77" t="inlineStr">
        <is>
          <t>Garam masla</t>
        </is>
      </c>
      <c r="B195" s="77">
        <f>TableauRecette[[#This Row],[Recette]]&amp;TableauRecette[[#This Row],[Conditionnement]]</f>
        <v/>
      </c>
      <c r="C195" s="77" t="inlineStr">
        <is>
          <t>Muscade</t>
        </is>
      </c>
      <c r="D195" s="201" t="n">
        <v>3</v>
      </c>
      <c r="E195" s="77" t="inlineStr">
        <is>
          <t>Epice 100ml</t>
        </is>
      </c>
      <c r="F195" s="20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95" s="201">
        <f>IFERROR(_xlfn.XLOOKUP(TableauRecette[[#This Row],[Ingredients]],TableauIngredients[Ingredients],TableauIngredients[Prix d''achat (kg)],0)*TableauRecette[[#This Row],[poids / unite]],0)</f>
        <v/>
      </c>
      <c r="H195" s="201">
        <f>IFERROR(SUMIFS(TableauRecette[Proportion],TableauRecette[Recette],TableauRecette[[#This Row],[Recette]],TableauRecette[Conditionnement],TableauRecette[[#This Row],[Conditionnement]]),0)</f>
        <v/>
      </c>
      <c r="I195" s="201">
        <f>IFERROR(TableauRecette[[#This Row],[Prix d''achat / kg]],0)</f>
        <v/>
      </c>
      <c r="J195" s="201" t="inlineStr">
        <is>
          <t>Ceinture himalayenne</t>
        </is>
      </c>
      <c r="K195" s="756" t="inlineStr">
        <is>
          <t>SEC</t>
        </is>
      </c>
      <c r="L195" s="757">
        <f>_xlfn.XLOOKUP(TableauRecette[[#This Row],[ID]],TableauProduit[ID],TableauProduit[Total (kg) N1],0,0,1)*TableauRecette[[#This Row],[poids / unite]]</f>
        <v/>
      </c>
      <c r="M195" s="758">
        <f>_xlfn.XLOOKUP(TableauRecette[[#This Row],[ID]],TableauProduit[ID],TableauProduit[Total (kg) N2],0,0,1)*TableauRecette[[#This Row],[poids / unite]]</f>
        <v/>
      </c>
      <c r="N195" s="758">
        <f>_xlfn.XLOOKUP(TableauRecette[[#This Row],[ID]],TableauProduit[ID],TableauProduit[Total (kg) N3],0,0,1)*TableauRecette[[#This Row],[poids / unite]]</f>
        <v/>
      </c>
      <c r="O195" s="758">
        <f>_xlfn.XLOOKUP(TableauRecette[[#This Row],[ID]],TableauProduit[ID],TableauProduit[Total (kg) N4],0,0,1)*TableauRecette[[#This Row],[poids / unite]]</f>
        <v/>
      </c>
      <c r="P195" s="758">
        <f>_xlfn.XLOOKUP(TableauRecette[[#This Row],[ID]],TableauProduit[ID],TableauProduit[Total (kg) N5],0,0,1)*TableauRecette[[#This Row],[poids / unite]]</f>
        <v/>
      </c>
      <c r="Q195" s="758">
        <f>_xlfn.XLOOKUP(TableauRecette[[#This Row],[ID]],TableauProduit[ID],TableauProduit[Total (kg) N6],0,0,1)*TableauRecette[[#This Row],[poids / unite]]</f>
        <v/>
      </c>
      <c r="R195" s="758">
        <f>_xlfn.XLOOKUP(TableauRecette[[#This Row],[ID]],TableauProduit[ID],TableauProduit[Total (kg) N7],0,0,1)*TableauRecette[[#This Row],[poids / unite]]</f>
        <v/>
      </c>
      <c r="S195" s="758">
        <f>_xlfn.XLOOKUP(TableauRecette[[#This Row],[ID]],TableauProduit[ID],TableauProduit[Total (kg) N8],0,0,1)*TableauRecette[[#This Row],[poids / unite]]</f>
        <v/>
      </c>
      <c r="T195" s="758">
        <f>_xlfn.XLOOKUP(TableauRecette[[#This Row],[ID]],TableauProduit[ID],TableauProduit[Total (kg) N9],0,0,1)*TableauRecette[[#This Row],[poids / unite]]</f>
        <v/>
      </c>
    </row>
    <row r="196">
      <c r="A196" s="78" t="inlineStr">
        <is>
          <t>Garam masla birman</t>
        </is>
      </c>
      <c r="B196" s="78">
        <f>TableauRecette[[#This Row],[Recette]]&amp;TableauRecette[[#This Row],[Conditionnement]]</f>
        <v/>
      </c>
      <c r="C196" s="78" t="inlineStr">
        <is>
          <t>Coriandre Graine</t>
        </is>
      </c>
      <c r="D196" s="202" t="n">
        <v>1</v>
      </c>
      <c r="E196" s="78" t="inlineStr">
        <is>
          <t>Epice 100ml</t>
        </is>
      </c>
      <c r="F196" s="20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96" s="202">
        <f>IFERROR(_xlfn.XLOOKUP(TableauRecette[[#This Row],[Ingredients]],TableauIngredients[Ingredients],TableauIngredients[Prix d''achat (kg)],0)*TableauRecette[[#This Row],[poids / unite]],0)</f>
        <v/>
      </c>
      <c r="H196" s="202">
        <f>IFERROR(SUMIFS(TableauRecette[Proportion],TableauRecette[Recette],TableauRecette[[#This Row],[Recette]],TableauRecette[Conditionnement],TableauRecette[[#This Row],[Conditionnement]]),0)</f>
        <v/>
      </c>
      <c r="I196" s="202">
        <f>IFERROR(TableauRecette[[#This Row],[Prix d''achat / kg]],0)</f>
        <v/>
      </c>
      <c r="J196" s="202" t="inlineStr">
        <is>
          <t>inde central</t>
        </is>
      </c>
      <c r="K196" s="759" t="inlineStr">
        <is>
          <t>SEC</t>
        </is>
      </c>
      <c r="L196" s="760">
        <f>_xlfn.XLOOKUP(TableauRecette[[#This Row],[ID]],TableauProduit[ID],TableauProduit[Total (kg) N1],0,0,1)*TableauRecette[[#This Row],[poids / unite]]</f>
        <v/>
      </c>
      <c r="M196" s="761">
        <f>_xlfn.XLOOKUP(TableauRecette[[#This Row],[ID]],TableauProduit[ID],TableauProduit[Total (kg) N2],0,0,1)*TableauRecette[[#This Row],[poids / unite]]</f>
        <v/>
      </c>
      <c r="N196" s="761">
        <f>_xlfn.XLOOKUP(TableauRecette[[#This Row],[ID]],TableauProduit[ID],TableauProduit[Total (kg) N3],0,0,1)*TableauRecette[[#This Row],[poids / unite]]</f>
        <v/>
      </c>
      <c r="O196" s="761">
        <f>_xlfn.XLOOKUP(TableauRecette[[#This Row],[ID]],TableauProduit[ID],TableauProduit[Total (kg) N4],0,0,1)*TableauRecette[[#This Row],[poids / unite]]</f>
        <v/>
      </c>
      <c r="P196" s="761">
        <f>_xlfn.XLOOKUP(TableauRecette[[#This Row],[ID]],TableauProduit[ID],TableauProduit[Total (kg) N5],0,0,1)*TableauRecette[[#This Row],[poids / unite]]</f>
        <v/>
      </c>
      <c r="Q196" s="761">
        <f>_xlfn.XLOOKUP(TableauRecette[[#This Row],[ID]],TableauProduit[ID],TableauProduit[Total (kg) N6],0,0,1)*TableauRecette[[#This Row],[poids / unite]]</f>
        <v/>
      </c>
      <c r="R196" s="761">
        <f>_xlfn.XLOOKUP(TableauRecette[[#This Row],[ID]],TableauProduit[ID],TableauProduit[Total (kg) N7],0,0,1)*TableauRecette[[#This Row],[poids / unite]]</f>
        <v/>
      </c>
      <c r="S196" s="761">
        <f>_xlfn.XLOOKUP(TableauRecette[[#This Row],[ID]],TableauProduit[ID],TableauProduit[Total (kg) N8],0,0,1)*TableauRecette[[#This Row],[poids / unite]]</f>
        <v/>
      </c>
      <c r="T196" s="761">
        <f>_xlfn.XLOOKUP(TableauRecette[[#This Row],[ID]],TableauProduit[ID],TableauProduit[Total (kg) N9],0,0,1)*TableauRecette[[#This Row],[poids / unite]]</f>
        <v/>
      </c>
    </row>
    <row r="197">
      <c r="A197" s="78" t="inlineStr">
        <is>
          <t>Garam masla birman</t>
        </is>
      </c>
      <c r="B197" s="78">
        <f>TableauRecette[[#This Row],[Recette]]&amp;TableauRecette[[#This Row],[Conditionnement]]</f>
        <v/>
      </c>
      <c r="C197" s="78" t="inlineStr">
        <is>
          <t>Poivre Noir</t>
        </is>
      </c>
      <c r="D197" s="202" t="n">
        <v>1</v>
      </c>
      <c r="E197" s="78" t="inlineStr">
        <is>
          <t>Epice 100ml</t>
        </is>
      </c>
      <c r="F197" s="20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97" s="202">
        <f>IFERROR(_xlfn.XLOOKUP(TableauRecette[[#This Row],[Ingredients]],TableauIngredients[Ingredients],TableauIngredients[Prix d''achat (kg)],0)*TableauRecette[[#This Row],[poids / unite]],0)</f>
        <v/>
      </c>
      <c r="H197" s="202">
        <f>IFERROR(SUMIFS(TableauRecette[Proportion],TableauRecette[Recette],TableauRecette[[#This Row],[Recette]],TableauRecette[Conditionnement],TableauRecette[[#This Row],[Conditionnement]]),0)</f>
        <v/>
      </c>
      <c r="I197" s="202">
        <f>IFERROR(TableauRecette[[#This Row],[Prix d''achat / kg]],0)</f>
        <v/>
      </c>
      <c r="J197" s="202" t="inlineStr">
        <is>
          <t>inde central</t>
        </is>
      </c>
      <c r="K197" s="759" t="inlineStr">
        <is>
          <t>SEC</t>
        </is>
      </c>
      <c r="L197" s="760">
        <f>_xlfn.XLOOKUP(TableauRecette[[#This Row],[ID]],TableauProduit[ID],TableauProduit[Total (kg) N1],0,0,1)*TableauRecette[[#This Row],[poids / unite]]</f>
        <v/>
      </c>
      <c r="M197" s="761">
        <f>_xlfn.XLOOKUP(TableauRecette[[#This Row],[ID]],TableauProduit[ID],TableauProduit[Total (kg) N2],0,0,1)*TableauRecette[[#This Row],[poids / unite]]</f>
        <v/>
      </c>
      <c r="N197" s="761">
        <f>_xlfn.XLOOKUP(TableauRecette[[#This Row],[ID]],TableauProduit[ID],TableauProduit[Total (kg) N3],0,0,1)*TableauRecette[[#This Row],[poids / unite]]</f>
        <v/>
      </c>
      <c r="O197" s="761">
        <f>_xlfn.XLOOKUP(TableauRecette[[#This Row],[ID]],TableauProduit[ID],TableauProduit[Total (kg) N4],0,0,1)*TableauRecette[[#This Row],[poids / unite]]</f>
        <v/>
      </c>
      <c r="P197" s="761">
        <f>_xlfn.XLOOKUP(TableauRecette[[#This Row],[ID]],TableauProduit[ID],TableauProduit[Total (kg) N5],0,0,1)*TableauRecette[[#This Row],[poids / unite]]</f>
        <v/>
      </c>
      <c r="Q197" s="761">
        <f>_xlfn.XLOOKUP(TableauRecette[[#This Row],[ID]],TableauProduit[ID],TableauProduit[Total (kg) N6],0,0,1)*TableauRecette[[#This Row],[poids / unite]]</f>
        <v/>
      </c>
      <c r="R197" s="761">
        <f>_xlfn.XLOOKUP(TableauRecette[[#This Row],[ID]],TableauProduit[ID],TableauProduit[Total (kg) N7],0,0,1)*TableauRecette[[#This Row],[poids / unite]]</f>
        <v/>
      </c>
      <c r="S197" s="761">
        <f>_xlfn.XLOOKUP(TableauRecette[[#This Row],[ID]],TableauProduit[ID],TableauProduit[Total (kg) N8],0,0,1)*TableauRecette[[#This Row],[poids / unite]]</f>
        <v/>
      </c>
      <c r="T197" s="761">
        <f>_xlfn.XLOOKUP(TableauRecette[[#This Row],[ID]],TableauProduit[ID],TableauProduit[Total (kg) N9],0,0,1)*TableauRecette[[#This Row],[poids / unite]]</f>
        <v/>
      </c>
    </row>
    <row r="198">
      <c r="A198" s="78" t="inlineStr">
        <is>
          <t>Garam masla birman</t>
        </is>
      </c>
      <c r="B198" s="78">
        <f>TableauRecette[[#This Row],[Recette]]&amp;TableauRecette[[#This Row],[Conditionnement]]</f>
        <v/>
      </c>
      <c r="C198" s="78" t="inlineStr">
        <is>
          <t>Graine De Cumin</t>
        </is>
      </c>
      <c r="D198" s="202" t="n">
        <v>1</v>
      </c>
      <c r="E198" s="78" t="inlineStr">
        <is>
          <t>Epice 100ml</t>
        </is>
      </c>
      <c r="F198" s="20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98" s="202">
        <f>IFERROR(_xlfn.XLOOKUP(TableauRecette[[#This Row],[Ingredients]],TableauIngredients[Ingredients],TableauIngredients[Prix d''achat (kg)],0)*TableauRecette[[#This Row],[poids / unite]],0)</f>
        <v/>
      </c>
      <c r="H198" s="202">
        <f>IFERROR(SUMIFS(TableauRecette[Proportion],TableauRecette[Recette],TableauRecette[[#This Row],[Recette]],TableauRecette[Conditionnement],TableauRecette[[#This Row],[Conditionnement]]),0)</f>
        <v/>
      </c>
      <c r="I198" s="202">
        <f>IFERROR(TableauRecette[[#This Row],[Prix d''achat / kg]],0)</f>
        <v/>
      </c>
      <c r="J198" s="202" t="inlineStr">
        <is>
          <t>inde central</t>
        </is>
      </c>
      <c r="K198" s="759" t="inlineStr">
        <is>
          <t>SEC</t>
        </is>
      </c>
      <c r="L198" s="760">
        <f>_xlfn.XLOOKUP(TableauRecette[[#This Row],[ID]],TableauProduit[ID],TableauProduit[Total (kg) N1],0,0,1)*TableauRecette[[#This Row],[poids / unite]]</f>
        <v/>
      </c>
      <c r="M198" s="761">
        <f>_xlfn.XLOOKUP(TableauRecette[[#This Row],[ID]],TableauProduit[ID],TableauProduit[Total (kg) N2],0,0,1)*TableauRecette[[#This Row],[poids / unite]]</f>
        <v/>
      </c>
      <c r="N198" s="761">
        <f>_xlfn.XLOOKUP(TableauRecette[[#This Row],[ID]],TableauProduit[ID],TableauProduit[Total (kg) N3],0,0,1)*TableauRecette[[#This Row],[poids / unite]]</f>
        <v/>
      </c>
      <c r="O198" s="761">
        <f>_xlfn.XLOOKUP(TableauRecette[[#This Row],[ID]],TableauProduit[ID],TableauProduit[Total (kg) N4],0,0,1)*TableauRecette[[#This Row],[poids / unite]]</f>
        <v/>
      </c>
      <c r="P198" s="761">
        <f>_xlfn.XLOOKUP(TableauRecette[[#This Row],[ID]],TableauProduit[ID],TableauProduit[Total (kg) N5],0,0,1)*TableauRecette[[#This Row],[poids / unite]]</f>
        <v/>
      </c>
      <c r="Q198" s="761">
        <f>_xlfn.XLOOKUP(TableauRecette[[#This Row],[ID]],TableauProduit[ID],TableauProduit[Total (kg) N6],0,0,1)*TableauRecette[[#This Row],[poids / unite]]</f>
        <v/>
      </c>
      <c r="R198" s="761">
        <f>_xlfn.XLOOKUP(TableauRecette[[#This Row],[ID]],TableauProduit[ID],TableauProduit[Total (kg) N7],0,0,1)*TableauRecette[[#This Row],[poids / unite]]</f>
        <v/>
      </c>
      <c r="S198" s="761">
        <f>_xlfn.XLOOKUP(TableauRecette[[#This Row],[ID]],TableauProduit[ID],TableauProduit[Total (kg) N8],0,0,1)*TableauRecette[[#This Row],[poids / unite]]</f>
        <v/>
      </c>
      <c r="T198" s="761">
        <f>_xlfn.XLOOKUP(TableauRecette[[#This Row],[ID]],TableauProduit[ID],TableauProduit[Total (kg) N9],0,0,1)*TableauRecette[[#This Row],[poids / unite]]</f>
        <v/>
      </c>
    </row>
    <row r="199">
      <c r="A199" s="78" t="inlineStr">
        <is>
          <t>Garam masla birman</t>
        </is>
      </c>
      <c r="B199" s="78">
        <f>TableauRecette[[#This Row],[Recette]]&amp;TableauRecette[[#This Row],[Conditionnement]]</f>
        <v/>
      </c>
      <c r="C199" s="78" t="inlineStr">
        <is>
          <t>Feuilles De Laurier</t>
        </is>
      </c>
      <c r="D199" s="202" t="n">
        <v>0.5</v>
      </c>
      <c r="E199" s="78" t="inlineStr">
        <is>
          <t>Epice 100ml</t>
        </is>
      </c>
      <c r="F199" s="20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199" s="202">
        <f>IFERROR(_xlfn.XLOOKUP(TableauRecette[[#This Row],[Ingredients]],TableauIngredients[Ingredients],TableauIngredients[Prix d''achat (kg)],0)*TableauRecette[[#This Row],[poids / unite]],0)</f>
        <v/>
      </c>
      <c r="H199" s="202">
        <f>IFERROR(SUMIFS(TableauRecette[Proportion],TableauRecette[Recette],TableauRecette[[#This Row],[Recette]],TableauRecette[Conditionnement],TableauRecette[[#This Row],[Conditionnement]]),0)</f>
        <v/>
      </c>
      <c r="I199" s="202">
        <f>IFERROR(TableauRecette[[#This Row],[Prix d''achat / kg]],0)</f>
        <v/>
      </c>
      <c r="J199" s="202" t="inlineStr">
        <is>
          <t>inde central</t>
        </is>
      </c>
      <c r="K199" s="759" t="inlineStr">
        <is>
          <t>SEC</t>
        </is>
      </c>
      <c r="L199" s="760">
        <f>_xlfn.XLOOKUP(TableauRecette[[#This Row],[ID]],TableauProduit[ID],TableauProduit[Total (kg) N1],0,0,1)*TableauRecette[[#This Row],[poids / unite]]</f>
        <v/>
      </c>
      <c r="M199" s="761">
        <f>_xlfn.XLOOKUP(TableauRecette[[#This Row],[ID]],TableauProduit[ID],TableauProduit[Total (kg) N2],0,0,1)*TableauRecette[[#This Row],[poids / unite]]</f>
        <v/>
      </c>
      <c r="N199" s="761">
        <f>_xlfn.XLOOKUP(TableauRecette[[#This Row],[ID]],TableauProduit[ID],TableauProduit[Total (kg) N3],0,0,1)*TableauRecette[[#This Row],[poids / unite]]</f>
        <v/>
      </c>
      <c r="O199" s="761">
        <f>_xlfn.XLOOKUP(TableauRecette[[#This Row],[ID]],TableauProduit[ID],TableauProduit[Total (kg) N4],0,0,1)*TableauRecette[[#This Row],[poids / unite]]</f>
        <v/>
      </c>
      <c r="P199" s="761">
        <f>_xlfn.XLOOKUP(TableauRecette[[#This Row],[ID]],TableauProduit[ID],TableauProduit[Total (kg) N5],0,0,1)*TableauRecette[[#This Row],[poids / unite]]</f>
        <v/>
      </c>
      <c r="Q199" s="761">
        <f>_xlfn.XLOOKUP(TableauRecette[[#This Row],[ID]],TableauProduit[ID],TableauProduit[Total (kg) N6],0,0,1)*TableauRecette[[#This Row],[poids / unite]]</f>
        <v/>
      </c>
      <c r="R199" s="761">
        <f>_xlfn.XLOOKUP(TableauRecette[[#This Row],[ID]],TableauProduit[ID],TableauProduit[Total (kg) N7],0,0,1)*TableauRecette[[#This Row],[poids / unite]]</f>
        <v/>
      </c>
      <c r="S199" s="761">
        <f>_xlfn.XLOOKUP(TableauRecette[[#This Row],[ID]],TableauProduit[ID],TableauProduit[Total (kg) N8],0,0,1)*TableauRecette[[#This Row],[poids / unite]]</f>
        <v/>
      </c>
      <c r="T199" s="761">
        <f>_xlfn.XLOOKUP(TableauRecette[[#This Row],[ID]],TableauProduit[ID],TableauProduit[Total (kg) N9],0,0,1)*TableauRecette[[#This Row],[poids / unite]]</f>
        <v/>
      </c>
    </row>
    <row r="200">
      <c r="A200" s="78" t="inlineStr">
        <is>
          <t>Garam masla birman</t>
        </is>
      </c>
      <c r="B200" s="78">
        <f>TableauRecette[[#This Row],[Recette]]&amp;TableauRecette[[#This Row],[Conditionnement]]</f>
        <v/>
      </c>
      <c r="C200" s="78" t="inlineStr">
        <is>
          <t>Graine De Cardamone</t>
        </is>
      </c>
      <c r="D200" s="202" t="n">
        <v>1</v>
      </c>
      <c r="E200" s="78" t="inlineStr">
        <is>
          <t>Epice 100ml</t>
        </is>
      </c>
      <c r="F200" s="20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00" s="202">
        <f>IFERROR(_xlfn.XLOOKUP(TableauRecette[[#This Row],[Ingredients]],TableauIngredients[Ingredients],TableauIngredients[Prix d''achat (kg)],0)*TableauRecette[[#This Row],[poids / unite]],0)</f>
        <v/>
      </c>
      <c r="H200" s="202">
        <f>IFERROR(SUMIFS(TableauRecette[Proportion],TableauRecette[Recette],TableauRecette[[#This Row],[Recette]],TableauRecette[Conditionnement],TableauRecette[[#This Row],[Conditionnement]]),0)</f>
        <v/>
      </c>
      <c r="I200" s="202">
        <f>IFERROR(TableauRecette[[#This Row],[Prix d''achat / kg]],0)</f>
        <v/>
      </c>
      <c r="J200" s="202" t="inlineStr">
        <is>
          <t>inde central</t>
        </is>
      </c>
      <c r="K200" s="759" t="inlineStr">
        <is>
          <t>SEC</t>
        </is>
      </c>
      <c r="L200" s="760">
        <f>_xlfn.XLOOKUP(TableauRecette[[#This Row],[ID]],TableauProduit[ID],TableauProduit[Total (kg) N1],0,0,1)*TableauRecette[[#This Row],[poids / unite]]</f>
        <v/>
      </c>
      <c r="M200" s="761">
        <f>_xlfn.XLOOKUP(TableauRecette[[#This Row],[ID]],TableauProduit[ID],TableauProduit[Total (kg) N2],0,0,1)*TableauRecette[[#This Row],[poids / unite]]</f>
        <v/>
      </c>
      <c r="N200" s="761">
        <f>_xlfn.XLOOKUP(TableauRecette[[#This Row],[ID]],TableauProduit[ID],TableauProduit[Total (kg) N3],0,0,1)*TableauRecette[[#This Row],[poids / unite]]</f>
        <v/>
      </c>
      <c r="O200" s="761">
        <f>_xlfn.XLOOKUP(TableauRecette[[#This Row],[ID]],TableauProduit[ID],TableauProduit[Total (kg) N4],0,0,1)*TableauRecette[[#This Row],[poids / unite]]</f>
        <v/>
      </c>
      <c r="P200" s="761">
        <f>_xlfn.XLOOKUP(TableauRecette[[#This Row],[ID]],TableauProduit[ID],TableauProduit[Total (kg) N5],0,0,1)*TableauRecette[[#This Row],[poids / unite]]</f>
        <v/>
      </c>
      <c r="Q200" s="761">
        <f>_xlfn.XLOOKUP(TableauRecette[[#This Row],[ID]],TableauProduit[ID],TableauProduit[Total (kg) N6],0,0,1)*TableauRecette[[#This Row],[poids / unite]]</f>
        <v/>
      </c>
      <c r="R200" s="761">
        <f>_xlfn.XLOOKUP(TableauRecette[[#This Row],[ID]],TableauProduit[ID],TableauProduit[Total (kg) N7],0,0,1)*TableauRecette[[#This Row],[poids / unite]]</f>
        <v/>
      </c>
      <c r="S200" s="761">
        <f>_xlfn.XLOOKUP(TableauRecette[[#This Row],[ID]],TableauProduit[ID],TableauProduit[Total (kg) N8],0,0,1)*TableauRecette[[#This Row],[poids / unite]]</f>
        <v/>
      </c>
      <c r="T200" s="761">
        <f>_xlfn.XLOOKUP(TableauRecette[[#This Row],[ID]],TableauProduit[ID],TableauProduit[Total (kg) N9],0,0,1)*TableauRecette[[#This Row],[poids / unite]]</f>
        <v/>
      </c>
    </row>
    <row r="201">
      <c r="A201" s="78" t="inlineStr">
        <is>
          <t>Garam masla birman</t>
        </is>
      </c>
      <c r="B201" s="78">
        <f>TableauRecette[[#This Row],[Recette]]&amp;TableauRecette[[#This Row],[Conditionnement]]</f>
        <v/>
      </c>
      <c r="C201" s="78" t="inlineStr">
        <is>
          <t>Clous De Girofle</t>
        </is>
      </c>
      <c r="D201" s="202" t="n">
        <v>1</v>
      </c>
      <c r="E201" s="78" t="inlineStr">
        <is>
          <t>Epice 100ml</t>
        </is>
      </c>
      <c r="F201" s="20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01" s="202">
        <f>IFERROR(_xlfn.XLOOKUP(TableauRecette[[#This Row],[Ingredients]],TableauIngredients[Ingredients],TableauIngredients[Prix d''achat (kg)],0)*TableauRecette[[#This Row],[poids / unite]],0)</f>
        <v/>
      </c>
      <c r="H201" s="202">
        <f>IFERROR(SUMIFS(TableauRecette[Proportion],TableauRecette[Recette],TableauRecette[[#This Row],[Recette]],TableauRecette[Conditionnement],TableauRecette[[#This Row],[Conditionnement]]),0)</f>
        <v/>
      </c>
      <c r="I201" s="202">
        <f>IFERROR(TableauRecette[[#This Row],[Prix d''achat / kg]],0)</f>
        <v/>
      </c>
      <c r="J201" s="202" t="inlineStr">
        <is>
          <t>inde central</t>
        </is>
      </c>
      <c r="K201" s="759" t="inlineStr">
        <is>
          <t>SEC</t>
        </is>
      </c>
      <c r="L201" s="760">
        <f>_xlfn.XLOOKUP(TableauRecette[[#This Row],[ID]],TableauProduit[ID],TableauProduit[Total (kg) N1],0,0,1)*TableauRecette[[#This Row],[poids / unite]]</f>
        <v/>
      </c>
      <c r="M201" s="761">
        <f>_xlfn.XLOOKUP(TableauRecette[[#This Row],[ID]],TableauProduit[ID],TableauProduit[Total (kg) N2],0,0,1)*TableauRecette[[#This Row],[poids / unite]]</f>
        <v/>
      </c>
      <c r="N201" s="761">
        <f>_xlfn.XLOOKUP(TableauRecette[[#This Row],[ID]],TableauProduit[ID],TableauProduit[Total (kg) N3],0,0,1)*TableauRecette[[#This Row],[poids / unite]]</f>
        <v/>
      </c>
      <c r="O201" s="761">
        <f>_xlfn.XLOOKUP(TableauRecette[[#This Row],[ID]],TableauProduit[ID],TableauProduit[Total (kg) N4],0,0,1)*TableauRecette[[#This Row],[poids / unite]]</f>
        <v/>
      </c>
      <c r="P201" s="761">
        <f>_xlfn.XLOOKUP(TableauRecette[[#This Row],[ID]],TableauProduit[ID],TableauProduit[Total (kg) N5],0,0,1)*TableauRecette[[#This Row],[poids / unite]]</f>
        <v/>
      </c>
      <c r="Q201" s="761">
        <f>_xlfn.XLOOKUP(TableauRecette[[#This Row],[ID]],TableauProduit[ID],TableauProduit[Total (kg) N6],0,0,1)*TableauRecette[[#This Row],[poids / unite]]</f>
        <v/>
      </c>
      <c r="R201" s="761">
        <f>_xlfn.XLOOKUP(TableauRecette[[#This Row],[ID]],TableauProduit[ID],TableauProduit[Total (kg) N7],0,0,1)*TableauRecette[[#This Row],[poids / unite]]</f>
        <v/>
      </c>
      <c r="S201" s="761">
        <f>_xlfn.XLOOKUP(TableauRecette[[#This Row],[ID]],TableauProduit[ID],TableauProduit[Total (kg) N8],0,0,1)*TableauRecette[[#This Row],[poids / unite]]</f>
        <v/>
      </c>
      <c r="T201" s="761">
        <f>_xlfn.XLOOKUP(TableauRecette[[#This Row],[ID]],TableauProduit[ID],TableauProduit[Total (kg) N9],0,0,1)*TableauRecette[[#This Row],[poids / unite]]</f>
        <v/>
      </c>
    </row>
    <row r="202">
      <c r="A202" s="78" t="inlineStr">
        <is>
          <t>Garam masla birman</t>
        </is>
      </c>
      <c r="B202" s="78">
        <f>TableauRecette[[#This Row],[Recette]]&amp;TableauRecette[[#This Row],[Conditionnement]]</f>
        <v/>
      </c>
      <c r="C202" s="78" t="inlineStr">
        <is>
          <t>Bâton De Cannelle</t>
        </is>
      </c>
      <c r="D202" s="202" t="n">
        <v>1</v>
      </c>
      <c r="E202" s="78" t="inlineStr">
        <is>
          <t>Epice 100ml</t>
        </is>
      </c>
      <c r="F202" s="20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02" s="202">
        <f>IFERROR(_xlfn.XLOOKUP(TableauRecette[[#This Row],[Ingredients]],TableauIngredients[Ingredients],TableauIngredients[Prix d''achat (kg)],0)*TableauRecette[[#This Row],[poids / unite]],0)</f>
        <v/>
      </c>
      <c r="H202" s="202">
        <f>IFERROR(SUMIFS(TableauRecette[Proportion],TableauRecette[Recette],TableauRecette[[#This Row],[Recette]],TableauRecette[Conditionnement],TableauRecette[[#This Row],[Conditionnement]]),0)</f>
        <v/>
      </c>
      <c r="I202" s="202">
        <f>IFERROR(TableauRecette[[#This Row],[Prix d''achat / kg]],0)</f>
        <v/>
      </c>
      <c r="J202" s="202" t="inlineStr">
        <is>
          <t>inde central</t>
        </is>
      </c>
      <c r="K202" s="759" t="inlineStr">
        <is>
          <t>SEC</t>
        </is>
      </c>
      <c r="L202" s="760">
        <f>_xlfn.XLOOKUP(TableauRecette[[#This Row],[ID]],TableauProduit[ID],TableauProduit[Total (kg) N1],0,0,1)*TableauRecette[[#This Row],[poids / unite]]</f>
        <v/>
      </c>
      <c r="M202" s="761">
        <f>_xlfn.XLOOKUP(TableauRecette[[#This Row],[ID]],TableauProduit[ID],TableauProduit[Total (kg) N2],0,0,1)*TableauRecette[[#This Row],[poids / unite]]</f>
        <v/>
      </c>
      <c r="N202" s="761">
        <f>_xlfn.XLOOKUP(TableauRecette[[#This Row],[ID]],TableauProduit[ID],TableauProduit[Total (kg) N3],0,0,1)*TableauRecette[[#This Row],[poids / unite]]</f>
        <v/>
      </c>
      <c r="O202" s="761">
        <f>_xlfn.XLOOKUP(TableauRecette[[#This Row],[ID]],TableauProduit[ID],TableauProduit[Total (kg) N4],0,0,1)*TableauRecette[[#This Row],[poids / unite]]</f>
        <v/>
      </c>
      <c r="P202" s="761">
        <f>_xlfn.XLOOKUP(TableauRecette[[#This Row],[ID]],TableauProduit[ID],TableauProduit[Total (kg) N5],0,0,1)*TableauRecette[[#This Row],[poids / unite]]</f>
        <v/>
      </c>
      <c r="Q202" s="761">
        <f>_xlfn.XLOOKUP(TableauRecette[[#This Row],[ID]],TableauProduit[ID],TableauProduit[Total (kg) N6],0,0,1)*TableauRecette[[#This Row],[poids / unite]]</f>
        <v/>
      </c>
      <c r="R202" s="761">
        <f>_xlfn.XLOOKUP(TableauRecette[[#This Row],[ID]],TableauProduit[ID],TableauProduit[Total (kg) N7],0,0,1)*TableauRecette[[#This Row],[poids / unite]]</f>
        <v/>
      </c>
      <c r="S202" s="761">
        <f>_xlfn.XLOOKUP(TableauRecette[[#This Row],[ID]],TableauProduit[ID],TableauProduit[Total (kg) N8],0,0,1)*TableauRecette[[#This Row],[poids / unite]]</f>
        <v/>
      </c>
      <c r="T202" s="761">
        <f>_xlfn.XLOOKUP(TableauRecette[[#This Row],[ID]],TableauProduit[ID],TableauProduit[Total (kg) N9],0,0,1)*TableauRecette[[#This Row],[poids / unite]]</f>
        <v/>
      </c>
    </row>
    <row r="203">
      <c r="A203" s="78" t="inlineStr">
        <is>
          <t>Garam masla birman</t>
        </is>
      </c>
      <c r="B203" s="78">
        <f>TableauRecette[[#This Row],[Recette]]&amp;TableauRecette[[#This Row],[Conditionnement]]</f>
        <v/>
      </c>
      <c r="C203" s="78" t="inlineStr">
        <is>
          <t>Anis Étoilé</t>
        </is>
      </c>
      <c r="D203" s="202" t="n">
        <v>2</v>
      </c>
      <c r="E203" s="78" t="inlineStr">
        <is>
          <t>Epice 100ml</t>
        </is>
      </c>
      <c r="F203" s="20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03" s="202">
        <f>IFERROR(_xlfn.XLOOKUP(TableauRecette[[#This Row],[Ingredients]],TableauIngredients[Ingredients],TableauIngredients[Prix d''achat (kg)],0)*TableauRecette[[#This Row],[poids / unite]],0)</f>
        <v/>
      </c>
      <c r="H203" s="202">
        <f>IFERROR(SUMIFS(TableauRecette[Proportion],TableauRecette[Recette],TableauRecette[[#This Row],[Recette]],TableauRecette[Conditionnement],TableauRecette[[#This Row],[Conditionnement]]),0)</f>
        <v/>
      </c>
      <c r="I203" s="202">
        <f>IFERROR(TableauRecette[[#This Row],[Prix d''achat / kg]],0)</f>
        <v/>
      </c>
      <c r="J203" s="202" t="inlineStr">
        <is>
          <t>inde central</t>
        </is>
      </c>
      <c r="K203" s="759" t="inlineStr">
        <is>
          <t>SEC</t>
        </is>
      </c>
      <c r="L203" s="760">
        <f>_xlfn.XLOOKUP(TableauRecette[[#This Row],[ID]],TableauProduit[ID],TableauProduit[Total (kg) N1],0,0,1)*TableauRecette[[#This Row],[poids / unite]]</f>
        <v/>
      </c>
      <c r="M203" s="761">
        <f>_xlfn.XLOOKUP(TableauRecette[[#This Row],[ID]],TableauProduit[ID],TableauProduit[Total (kg) N2],0,0,1)*TableauRecette[[#This Row],[poids / unite]]</f>
        <v/>
      </c>
      <c r="N203" s="761">
        <f>_xlfn.XLOOKUP(TableauRecette[[#This Row],[ID]],TableauProduit[ID],TableauProduit[Total (kg) N3],0,0,1)*TableauRecette[[#This Row],[poids / unite]]</f>
        <v/>
      </c>
      <c r="O203" s="761">
        <f>_xlfn.XLOOKUP(TableauRecette[[#This Row],[ID]],TableauProduit[ID],TableauProduit[Total (kg) N4],0,0,1)*TableauRecette[[#This Row],[poids / unite]]</f>
        <v/>
      </c>
      <c r="P203" s="761">
        <f>_xlfn.XLOOKUP(TableauRecette[[#This Row],[ID]],TableauProduit[ID],TableauProduit[Total (kg) N5],0,0,1)*TableauRecette[[#This Row],[poids / unite]]</f>
        <v/>
      </c>
      <c r="Q203" s="761">
        <f>_xlfn.XLOOKUP(TableauRecette[[#This Row],[ID]],TableauProduit[ID],TableauProduit[Total (kg) N6],0,0,1)*TableauRecette[[#This Row],[poids / unite]]</f>
        <v/>
      </c>
      <c r="R203" s="761">
        <f>_xlfn.XLOOKUP(TableauRecette[[#This Row],[ID]],TableauProduit[ID],TableauProduit[Total (kg) N7],0,0,1)*TableauRecette[[#This Row],[poids / unite]]</f>
        <v/>
      </c>
      <c r="S203" s="761">
        <f>_xlfn.XLOOKUP(TableauRecette[[#This Row],[ID]],TableauProduit[ID],TableauProduit[Total (kg) N8],0,0,1)*TableauRecette[[#This Row],[poids / unite]]</f>
        <v/>
      </c>
      <c r="T203" s="761">
        <f>_xlfn.XLOOKUP(TableauRecette[[#This Row],[ID]],TableauProduit[ID],TableauProduit[Total (kg) N9],0,0,1)*TableauRecette[[#This Row],[poids / unite]]</f>
        <v/>
      </c>
    </row>
    <row r="204">
      <c r="A204" s="79" t="inlineStr">
        <is>
          <t>Gingembre</t>
        </is>
      </c>
      <c r="B204" s="79">
        <f>TableauRecette[[#This Row],[Recette]]&amp;TableauRecette[[#This Row],[Conditionnement]]</f>
        <v/>
      </c>
      <c r="C204" s="79" t="inlineStr">
        <is>
          <t>Gingembre Sec</t>
        </is>
      </c>
      <c r="D204" s="203" t="n">
        <v>1</v>
      </c>
      <c r="E204" s="79" t="inlineStr">
        <is>
          <t>Epice 100ml</t>
        </is>
      </c>
      <c r="F204" s="20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04" s="203">
        <f>IFERROR(_xlfn.XLOOKUP(TableauRecette[[#This Row],[Ingredients]],TableauIngredients[Ingredients],TableauIngredients[Prix d''achat (kg)],0)*TableauRecette[[#This Row],[poids / unite]],0)</f>
        <v/>
      </c>
      <c r="H204" s="203">
        <f>IFERROR(SUMIFS(TableauRecette[Proportion],TableauRecette[Recette],TableauRecette[[#This Row],[Recette]],TableauRecette[Conditionnement],TableauRecette[[#This Row],[Conditionnement]]),0)</f>
        <v/>
      </c>
      <c r="I204" s="203">
        <f>IFERROR(TableauRecette[[#This Row],[Prix d''achat / kg]],0)</f>
        <v/>
      </c>
      <c r="J204" s="203" t="inlineStr">
        <is>
          <t>inde de l'est et bangladseh</t>
        </is>
      </c>
      <c r="K204" s="762" t="inlineStr">
        <is>
          <t>SEC</t>
        </is>
      </c>
      <c r="L204" s="763">
        <f>_xlfn.XLOOKUP(TableauRecette[[#This Row],[ID]],TableauProduit[ID],TableauProduit[Total (kg) N1],0,0,1)*TableauRecette[[#This Row],[poids / unite]]</f>
        <v/>
      </c>
      <c r="M204" s="764">
        <f>_xlfn.XLOOKUP(TableauRecette[[#This Row],[ID]],TableauProduit[ID],TableauProduit[Total (kg) N2],0,0,1)*TableauRecette[[#This Row],[poids / unite]]</f>
        <v/>
      </c>
      <c r="N204" s="764">
        <f>_xlfn.XLOOKUP(TableauRecette[[#This Row],[ID]],TableauProduit[ID],TableauProduit[Total (kg) N3],0,0,1)*TableauRecette[[#This Row],[poids / unite]]</f>
        <v/>
      </c>
      <c r="O204" s="764">
        <f>_xlfn.XLOOKUP(TableauRecette[[#This Row],[ID]],TableauProduit[ID],TableauProduit[Total (kg) N4],0,0,1)*TableauRecette[[#This Row],[poids / unite]]</f>
        <v/>
      </c>
      <c r="P204" s="764">
        <f>_xlfn.XLOOKUP(TableauRecette[[#This Row],[ID]],TableauProduit[ID],TableauProduit[Total (kg) N5],0,0,1)*TableauRecette[[#This Row],[poids / unite]]</f>
        <v/>
      </c>
      <c r="Q204" s="764">
        <f>_xlfn.XLOOKUP(TableauRecette[[#This Row],[ID]],TableauProduit[ID],TableauProduit[Total (kg) N6],0,0,1)*TableauRecette[[#This Row],[poids / unite]]</f>
        <v/>
      </c>
      <c r="R204" s="764">
        <f>_xlfn.XLOOKUP(TableauRecette[[#This Row],[ID]],TableauProduit[ID],TableauProduit[Total (kg) N7],0,0,1)*TableauRecette[[#This Row],[poids / unite]]</f>
        <v/>
      </c>
      <c r="S204" s="764">
        <f>_xlfn.XLOOKUP(TableauRecette[[#This Row],[ID]],TableauProduit[ID],TableauProduit[Total (kg) N8],0,0,1)*TableauRecette[[#This Row],[poids / unite]]</f>
        <v/>
      </c>
      <c r="T204" s="764">
        <f>_xlfn.XLOOKUP(TableauRecette[[#This Row],[ID]],TableauProduit[ID],TableauProduit[Total (kg) N9],0,0,1)*TableauRecette[[#This Row],[poids / unite]]</f>
        <v/>
      </c>
    </row>
    <row r="205">
      <c r="A205" s="80" t="inlineStr">
        <is>
          <t>Gomasio maison</t>
        </is>
      </c>
      <c r="B205" s="80">
        <f>TableauRecette[[#This Row],[Recette]]&amp;TableauRecette[[#This Row],[Conditionnement]]</f>
        <v/>
      </c>
      <c r="C205" s="80" t="inlineStr">
        <is>
          <t>Graines De Sésame</t>
        </is>
      </c>
      <c r="D205" s="204" t="n">
        <v>90</v>
      </c>
      <c r="E205" s="80" t="inlineStr">
        <is>
          <t>Epice 100ml</t>
        </is>
      </c>
      <c r="F205" s="20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05" s="204">
        <f>IFERROR(_xlfn.XLOOKUP(TableauRecette[[#This Row],[Ingredients]],TableauIngredients[Ingredients],TableauIngredients[Prix d''achat (kg)],0)*TableauRecette[[#This Row],[poids / unite]],0)</f>
        <v/>
      </c>
      <c r="H205" s="204">
        <f>IFERROR(SUMIFS(TableauRecette[Proportion],TableauRecette[Recette],TableauRecette[[#This Row],[Recette]],TableauRecette[Conditionnement],TableauRecette[[#This Row],[Conditionnement]]),0)</f>
        <v/>
      </c>
      <c r="I205" s="204">
        <f>IFERROR(TableauRecette[[#This Row],[Prix d''achat / kg]],0)</f>
        <v/>
      </c>
      <c r="J205" s="204" t="n"/>
      <c r="K205" s="765" t="n"/>
      <c r="L205" s="766">
        <f>_xlfn.XLOOKUP(TableauRecette[[#This Row],[ID]],TableauProduit[ID],TableauProduit[Total (kg) N1],0,0,1)*TableauRecette[[#This Row],[poids / unite]]</f>
        <v/>
      </c>
      <c r="M205" s="767">
        <f>_xlfn.XLOOKUP(TableauRecette[[#This Row],[ID]],TableauProduit[ID],TableauProduit[Total (kg) N2],0,0,1)*TableauRecette[[#This Row],[poids / unite]]</f>
        <v/>
      </c>
      <c r="N205" s="767">
        <f>_xlfn.XLOOKUP(TableauRecette[[#This Row],[ID]],TableauProduit[ID],TableauProduit[Total (kg) N3],0,0,1)*TableauRecette[[#This Row],[poids / unite]]</f>
        <v/>
      </c>
      <c r="O205" s="767">
        <f>_xlfn.XLOOKUP(TableauRecette[[#This Row],[ID]],TableauProduit[ID],TableauProduit[Total (kg) N4],0,0,1)*TableauRecette[[#This Row],[poids / unite]]</f>
        <v/>
      </c>
      <c r="P205" s="767">
        <f>_xlfn.XLOOKUP(TableauRecette[[#This Row],[ID]],TableauProduit[ID],TableauProduit[Total (kg) N5],0,0,1)*TableauRecette[[#This Row],[poids / unite]]</f>
        <v/>
      </c>
      <c r="Q205" s="767">
        <f>_xlfn.XLOOKUP(TableauRecette[[#This Row],[ID]],TableauProduit[ID],TableauProduit[Total (kg) N6],0,0,1)*TableauRecette[[#This Row],[poids / unite]]</f>
        <v/>
      </c>
      <c r="R205" s="767">
        <f>_xlfn.XLOOKUP(TableauRecette[[#This Row],[ID]],TableauProduit[ID],TableauProduit[Total (kg) N7],0,0,1)*TableauRecette[[#This Row],[poids / unite]]</f>
        <v/>
      </c>
      <c r="S205" s="767">
        <f>_xlfn.XLOOKUP(TableauRecette[[#This Row],[ID]],TableauProduit[ID],TableauProduit[Total (kg) N8],0,0,1)*TableauRecette[[#This Row],[poids / unite]]</f>
        <v/>
      </c>
      <c r="T205" s="767">
        <f>_xlfn.XLOOKUP(TableauRecette[[#This Row],[ID]],TableauProduit[ID],TableauProduit[Total (kg) N9],0,0,1)*TableauRecette[[#This Row],[poids / unite]]</f>
        <v/>
      </c>
    </row>
    <row r="206">
      <c r="A206" s="80" t="inlineStr">
        <is>
          <t>Gomasio maison</t>
        </is>
      </c>
      <c r="B206" s="80">
        <f>TableauRecette[[#This Row],[Recette]]&amp;TableauRecette[[#This Row],[Conditionnement]]</f>
        <v/>
      </c>
      <c r="C206" s="80" t="inlineStr">
        <is>
          <t>Sel</t>
        </is>
      </c>
      <c r="D206" s="204" t="n">
        <v>10</v>
      </c>
      <c r="E206" s="80" t="inlineStr">
        <is>
          <t>Epice 100ml</t>
        </is>
      </c>
      <c r="F206" s="20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06" s="204">
        <f>IFERROR(_xlfn.XLOOKUP(TableauRecette[[#This Row],[Ingredients]],TableauIngredients[Ingredients],TableauIngredients[Prix d''achat (kg)],0)*TableauRecette[[#This Row],[poids / unite]],0)</f>
        <v/>
      </c>
      <c r="H206" s="204">
        <f>IFERROR(SUMIFS(TableauRecette[Proportion],TableauRecette[Recette],TableauRecette[[#This Row],[Recette]],TableauRecette[Conditionnement],TableauRecette[[#This Row],[Conditionnement]]),0)</f>
        <v/>
      </c>
      <c r="I206" s="204">
        <f>IFERROR(TableauRecette[[#This Row],[Prix d''achat / kg]],0)</f>
        <v/>
      </c>
      <c r="J206" s="204" t="n"/>
      <c r="K206" s="765" t="n"/>
      <c r="L206" s="766">
        <f>_xlfn.XLOOKUP(TableauRecette[[#This Row],[ID]],TableauProduit[ID],TableauProduit[Total (kg) N1],0,0,1)*TableauRecette[[#This Row],[poids / unite]]</f>
        <v/>
      </c>
      <c r="M206" s="767">
        <f>_xlfn.XLOOKUP(TableauRecette[[#This Row],[ID]],TableauProduit[ID],TableauProduit[Total (kg) N2],0,0,1)*TableauRecette[[#This Row],[poids / unite]]</f>
        <v/>
      </c>
      <c r="N206" s="767">
        <f>_xlfn.XLOOKUP(TableauRecette[[#This Row],[ID]],TableauProduit[ID],TableauProduit[Total (kg) N3],0,0,1)*TableauRecette[[#This Row],[poids / unite]]</f>
        <v/>
      </c>
      <c r="O206" s="767">
        <f>_xlfn.XLOOKUP(TableauRecette[[#This Row],[ID]],TableauProduit[ID],TableauProduit[Total (kg) N4],0,0,1)*TableauRecette[[#This Row],[poids / unite]]</f>
        <v/>
      </c>
      <c r="P206" s="767">
        <f>_xlfn.XLOOKUP(TableauRecette[[#This Row],[ID]],TableauProduit[ID],TableauProduit[Total (kg) N5],0,0,1)*TableauRecette[[#This Row],[poids / unite]]</f>
        <v/>
      </c>
      <c r="Q206" s="767">
        <f>_xlfn.XLOOKUP(TableauRecette[[#This Row],[ID]],TableauProduit[ID],TableauProduit[Total (kg) N6],0,0,1)*TableauRecette[[#This Row],[poids / unite]]</f>
        <v/>
      </c>
      <c r="R206" s="767">
        <f>_xlfn.XLOOKUP(TableauRecette[[#This Row],[ID]],TableauProduit[ID],TableauProduit[Total (kg) N7],0,0,1)*TableauRecette[[#This Row],[poids / unite]]</f>
        <v/>
      </c>
      <c r="S206" s="767">
        <f>_xlfn.XLOOKUP(TableauRecette[[#This Row],[ID]],TableauProduit[ID],TableauProduit[Total (kg) N8],0,0,1)*TableauRecette[[#This Row],[poids / unite]]</f>
        <v/>
      </c>
      <c r="T206" s="767">
        <f>_xlfn.XLOOKUP(TableauRecette[[#This Row],[ID]],TableauProduit[ID],TableauProduit[Total (kg) N9],0,0,1)*TableauRecette[[#This Row],[poids / unite]]</f>
        <v/>
      </c>
    </row>
    <row r="207">
      <c r="A207" s="81" t="inlineStr">
        <is>
          <t>Harissa</t>
        </is>
      </c>
      <c r="B207" s="81">
        <f>TableauRecette[[#This Row],[Recette]]&amp;TableauRecette[[#This Row],[Conditionnement]]</f>
        <v/>
      </c>
      <c r="C207" s="81" t="inlineStr">
        <is>
          <t>Ail</t>
        </is>
      </c>
      <c r="D207" s="205" t="n">
        <v>21</v>
      </c>
      <c r="E207" s="81" t="inlineStr">
        <is>
          <t>Epice 100ml</t>
        </is>
      </c>
      <c r="F207" s="20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07" s="205">
        <f>IFERROR(_xlfn.XLOOKUP(TableauRecette[[#This Row],[Ingredients]],TableauIngredients[Ingredients],TableauIngredients[Prix d''achat (kg)],0)*TableauRecette[[#This Row],[poids / unite]],0)</f>
        <v/>
      </c>
      <c r="H207" s="205">
        <f>IFERROR(SUMIFS(TableauRecette[Proportion],TableauRecette[Recette],TableauRecette[[#This Row],[Recette]],TableauRecette[Conditionnement],TableauRecette[[#This Row],[Conditionnement]]),0)</f>
        <v/>
      </c>
      <c r="I207" s="205">
        <f>IFERROR(TableauRecette[[#This Row],[Prix d''achat / kg]],0)</f>
        <v/>
      </c>
      <c r="J207" s="205" t="inlineStr">
        <is>
          <t>inde de l'est et bangladseh</t>
        </is>
      </c>
      <c r="K207" s="768" t="inlineStr">
        <is>
          <t>SEC</t>
        </is>
      </c>
      <c r="L207" s="769">
        <f>_xlfn.XLOOKUP(TableauRecette[[#This Row],[ID]],TableauProduit[ID],TableauProduit[Total (kg) N1],0,0,1)*TableauRecette[[#This Row],[poids / unite]]</f>
        <v/>
      </c>
      <c r="M207" s="770">
        <f>_xlfn.XLOOKUP(TableauRecette[[#This Row],[ID]],TableauProduit[ID],TableauProduit[Total (kg) N2],0,0,1)*TableauRecette[[#This Row],[poids / unite]]</f>
        <v/>
      </c>
      <c r="N207" s="770">
        <f>_xlfn.XLOOKUP(TableauRecette[[#This Row],[ID]],TableauProduit[ID],TableauProduit[Total (kg) N3],0,0,1)*TableauRecette[[#This Row],[poids / unite]]</f>
        <v/>
      </c>
      <c r="O207" s="770">
        <f>_xlfn.XLOOKUP(TableauRecette[[#This Row],[ID]],TableauProduit[ID],TableauProduit[Total (kg) N4],0,0,1)*TableauRecette[[#This Row],[poids / unite]]</f>
        <v/>
      </c>
      <c r="P207" s="770">
        <f>_xlfn.XLOOKUP(TableauRecette[[#This Row],[ID]],TableauProduit[ID],TableauProduit[Total (kg) N5],0,0,1)*TableauRecette[[#This Row],[poids / unite]]</f>
        <v/>
      </c>
      <c r="Q207" s="770">
        <f>_xlfn.XLOOKUP(TableauRecette[[#This Row],[ID]],TableauProduit[ID],TableauProduit[Total (kg) N6],0,0,1)*TableauRecette[[#This Row],[poids / unite]]</f>
        <v/>
      </c>
      <c r="R207" s="770">
        <f>_xlfn.XLOOKUP(TableauRecette[[#This Row],[ID]],TableauProduit[ID],TableauProduit[Total (kg) N7],0,0,1)*TableauRecette[[#This Row],[poids / unite]]</f>
        <v/>
      </c>
      <c r="S207" s="770">
        <f>_xlfn.XLOOKUP(TableauRecette[[#This Row],[ID]],TableauProduit[ID],TableauProduit[Total (kg) N8],0,0,1)*TableauRecette[[#This Row],[poids / unite]]</f>
        <v/>
      </c>
      <c r="T207" s="770">
        <f>_xlfn.XLOOKUP(TableauRecette[[#This Row],[ID]],TableauProduit[ID],TableauProduit[Total (kg) N9],0,0,1)*TableauRecette[[#This Row],[poids / unite]]</f>
        <v/>
      </c>
    </row>
    <row r="208">
      <c r="A208" s="81" t="inlineStr">
        <is>
          <t>Harissa</t>
        </is>
      </c>
      <c r="B208" s="81">
        <f>TableauRecette[[#This Row],[Recette]]&amp;TableauRecette[[#This Row],[Conditionnement]]</f>
        <v/>
      </c>
      <c r="C208" s="81" t="inlineStr">
        <is>
          <t>Piments Rouge Séchés</t>
        </is>
      </c>
      <c r="D208" s="205" t="n">
        <v>100</v>
      </c>
      <c r="E208" s="81" t="inlineStr">
        <is>
          <t>Epice 100ml</t>
        </is>
      </c>
      <c r="F208" s="20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08" s="205">
        <f>IFERROR(_xlfn.XLOOKUP(TableauRecette[[#This Row],[Ingredients]],TableauIngredients[Ingredients],TableauIngredients[Prix d''achat (kg)],0)*TableauRecette[[#This Row],[poids / unite]],0)</f>
        <v/>
      </c>
      <c r="H208" s="205">
        <f>IFERROR(SUMIFS(TableauRecette[Proportion],TableauRecette[Recette],TableauRecette[[#This Row],[Recette]],TableauRecette[Conditionnement],TableauRecette[[#This Row],[Conditionnement]]),0)</f>
        <v/>
      </c>
      <c r="I208" s="205">
        <f>IFERROR(TableauRecette[[#This Row],[Prix d''achat / kg]],0)</f>
        <v/>
      </c>
      <c r="J208" s="205" t="inlineStr">
        <is>
          <t>inde de l'est et bangladseh</t>
        </is>
      </c>
      <c r="K208" s="768" t="inlineStr">
        <is>
          <t>SEC</t>
        </is>
      </c>
      <c r="L208" s="769">
        <f>_xlfn.XLOOKUP(TableauRecette[[#This Row],[ID]],TableauProduit[ID],TableauProduit[Total (kg) N1],0,0,1)*TableauRecette[[#This Row],[poids / unite]]</f>
        <v/>
      </c>
      <c r="M208" s="770">
        <f>_xlfn.XLOOKUP(TableauRecette[[#This Row],[ID]],TableauProduit[ID],TableauProduit[Total (kg) N2],0,0,1)*TableauRecette[[#This Row],[poids / unite]]</f>
        <v/>
      </c>
      <c r="N208" s="770">
        <f>_xlfn.XLOOKUP(TableauRecette[[#This Row],[ID]],TableauProduit[ID],TableauProduit[Total (kg) N3],0,0,1)*TableauRecette[[#This Row],[poids / unite]]</f>
        <v/>
      </c>
      <c r="O208" s="770">
        <f>_xlfn.XLOOKUP(TableauRecette[[#This Row],[ID]],TableauProduit[ID],TableauProduit[Total (kg) N4],0,0,1)*TableauRecette[[#This Row],[poids / unite]]</f>
        <v/>
      </c>
      <c r="P208" s="770">
        <f>_xlfn.XLOOKUP(TableauRecette[[#This Row],[ID]],TableauProduit[ID],TableauProduit[Total (kg) N5],0,0,1)*TableauRecette[[#This Row],[poids / unite]]</f>
        <v/>
      </c>
      <c r="Q208" s="770">
        <f>_xlfn.XLOOKUP(TableauRecette[[#This Row],[ID]],TableauProduit[ID],TableauProduit[Total (kg) N6],0,0,1)*TableauRecette[[#This Row],[poids / unite]]</f>
        <v/>
      </c>
      <c r="R208" s="770">
        <f>_xlfn.XLOOKUP(TableauRecette[[#This Row],[ID]],TableauProduit[ID],TableauProduit[Total (kg) N7],0,0,1)*TableauRecette[[#This Row],[poids / unite]]</f>
        <v/>
      </c>
      <c r="S208" s="770">
        <f>_xlfn.XLOOKUP(TableauRecette[[#This Row],[ID]],TableauProduit[ID],TableauProduit[Total (kg) N8],0,0,1)*TableauRecette[[#This Row],[poids / unite]]</f>
        <v/>
      </c>
      <c r="T208" s="770">
        <f>_xlfn.XLOOKUP(TableauRecette[[#This Row],[ID]],TableauProduit[ID],TableauProduit[Total (kg) N9],0,0,1)*TableauRecette[[#This Row],[poids / unite]]</f>
        <v/>
      </c>
    </row>
    <row r="209">
      <c r="A209" s="81" t="inlineStr">
        <is>
          <t>Harissa</t>
        </is>
      </c>
      <c r="B209" s="81">
        <f>TableauRecette[[#This Row],[Recette]]&amp;TableauRecette[[#This Row],[Conditionnement]]</f>
        <v/>
      </c>
      <c r="C209" s="81" t="inlineStr">
        <is>
          <t>Sel</t>
        </is>
      </c>
      <c r="D209" s="205" t="n">
        <v>7</v>
      </c>
      <c r="E209" s="81" t="inlineStr">
        <is>
          <t>Epice 100ml</t>
        </is>
      </c>
      <c r="F209" s="20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09" s="205">
        <f>IFERROR(_xlfn.XLOOKUP(TableauRecette[[#This Row],[Ingredients]],TableauIngredients[Ingredients],TableauIngredients[Prix d''achat (kg)],0)*TableauRecette[[#This Row],[poids / unite]],0)</f>
        <v/>
      </c>
      <c r="H209" s="205">
        <f>IFERROR(SUMIFS(TableauRecette[Proportion],TableauRecette[Recette],TableauRecette[[#This Row],[Recette]],TableauRecette[Conditionnement],TableauRecette[[#This Row],[Conditionnement]]),0)</f>
        <v/>
      </c>
      <c r="I209" s="205">
        <f>IFERROR(TableauRecette[[#This Row],[Prix d''achat / kg]],0)</f>
        <v/>
      </c>
      <c r="J209" s="205" t="inlineStr">
        <is>
          <t>inde de l'est et bangladseh</t>
        </is>
      </c>
      <c r="K209" s="768" t="inlineStr">
        <is>
          <t>SEC</t>
        </is>
      </c>
      <c r="L209" s="769">
        <f>_xlfn.XLOOKUP(TableauRecette[[#This Row],[ID]],TableauProduit[ID],TableauProduit[Total (kg) N1],0,0,1)*TableauRecette[[#This Row],[poids / unite]]</f>
        <v/>
      </c>
      <c r="M209" s="770">
        <f>_xlfn.XLOOKUP(TableauRecette[[#This Row],[ID]],TableauProduit[ID],TableauProduit[Total (kg) N2],0,0,1)*TableauRecette[[#This Row],[poids / unite]]</f>
        <v/>
      </c>
      <c r="N209" s="770">
        <f>_xlfn.XLOOKUP(TableauRecette[[#This Row],[ID]],TableauProduit[ID],TableauProduit[Total (kg) N3],0,0,1)*TableauRecette[[#This Row],[poids / unite]]</f>
        <v/>
      </c>
      <c r="O209" s="770">
        <f>_xlfn.XLOOKUP(TableauRecette[[#This Row],[ID]],TableauProduit[ID],TableauProduit[Total (kg) N4],0,0,1)*TableauRecette[[#This Row],[poids / unite]]</f>
        <v/>
      </c>
      <c r="P209" s="770">
        <f>_xlfn.XLOOKUP(TableauRecette[[#This Row],[ID]],TableauProduit[ID],TableauProduit[Total (kg) N5],0,0,1)*TableauRecette[[#This Row],[poids / unite]]</f>
        <v/>
      </c>
      <c r="Q209" s="770">
        <f>_xlfn.XLOOKUP(TableauRecette[[#This Row],[ID]],TableauProduit[ID],TableauProduit[Total (kg) N6],0,0,1)*TableauRecette[[#This Row],[poids / unite]]</f>
        <v/>
      </c>
      <c r="R209" s="770">
        <f>_xlfn.XLOOKUP(TableauRecette[[#This Row],[ID]],TableauProduit[ID],TableauProduit[Total (kg) N7],0,0,1)*TableauRecette[[#This Row],[poids / unite]]</f>
        <v/>
      </c>
      <c r="S209" s="770">
        <f>_xlfn.XLOOKUP(TableauRecette[[#This Row],[ID]],TableauProduit[ID],TableauProduit[Total (kg) N8],0,0,1)*TableauRecette[[#This Row],[poids / unite]]</f>
        <v/>
      </c>
      <c r="T209" s="770">
        <f>_xlfn.XLOOKUP(TableauRecette[[#This Row],[ID]],TableauProduit[ID],TableauProduit[Total (kg) N9],0,0,1)*TableauRecette[[#This Row],[poids / unite]]</f>
        <v/>
      </c>
    </row>
    <row r="210">
      <c r="A210" s="81" t="inlineStr">
        <is>
          <t>Harissa</t>
        </is>
      </c>
      <c r="B210" s="81">
        <f>TableauRecette[[#This Row],[Recette]]&amp;TableauRecette[[#This Row],[Conditionnement]]</f>
        <v/>
      </c>
      <c r="C210" s="81" t="inlineStr">
        <is>
          <t>Jus De Citron Jaune</t>
        </is>
      </c>
      <c r="D210" s="205" t="n">
        <v>12</v>
      </c>
      <c r="E210" s="81" t="inlineStr">
        <is>
          <t>Epice 100ml</t>
        </is>
      </c>
      <c r="F210" s="20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10" s="205">
        <f>IFERROR(_xlfn.XLOOKUP(TableauRecette[[#This Row],[Ingredients]],TableauIngredients[Ingredients],TableauIngredients[Prix d''achat (kg)],0)*TableauRecette[[#This Row],[poids / unite]],0)</f>
        <v/>
      </c>
      <c r="H210" s="205">
        <f>IFERROR(SUMIFS(TableauRecette[Proportion],TableauRecette[Recette],TableauRecette[[#This Row],[Recette]],TableauRecette[Conditionnement],TableauRecette[[#This Row],[Conditionnement]]),0)</f>
        <v/>
      </c>
      <c r="I210" s="205">
        <f>IFERROR(TableauRecette[[#This Row],[Prix d''achat / kg]],0)</f>
        <v/>
      </c>
      <c r="J210" s="205" t="inlineStr">
        <is>
          <t>inde de l'est et bangladseh</t>
        </is>
      </c>
      <c r="K210" s="768" t="inlineStr">
        <is>
          <t>SEC</t>
        </is>
      </c>
      <c r="L210" s="769">
        <f>_xlfn.XLOOKUP(TableauRecette[[#This Row],[ID]],TableauProduit[ID],TableauProduit[Total (kg) N1],0,0,1)*TableauRecette[[#This Row],[poids / unite]]</f>
        <v/>
      </c>
      <c r="M210" s="770">
        <f>_xlfn.XLOOKUP(TableauRecette[[#This Row],[ID]],TableauProduit[ID],TableauProduit[Total (kg) N2],0,0,1)*TableauRecette[[#This Row],[poids / unite]]</f>
        <v/>
      </c>
      <c r="N210" s="770">
        <f>_xlfn.XLOOKUP(TableauRecette[[#This Row],[ID]],TableauProduit[ID],TableauProduit[Total (kg) N3],0,0,1)*TableauRecette[[#This Row],[poids / unite]]</f>
        <v/>
      </c>
      <c r="O210" s="770">
        <f>_xlfn.XLOOKUP(TableauRecette[[#This Row],[ID]],TableauProduit[ID],TableauProduit[Total (kg) N4],0,0,1)*TableauRecette[[#This Row],[poids / unite]]</f>
        <v/>
      </c>
      <c r="P210" s="770">
        <f>_xlfn.XLOOKUP(TableauRecette[[#This Row],[ID]],TableauProduit[ID],TableauProduit[Total (kg) N5],0,0,1)*TableauRecette[[#This Row],[poids / unite]]</f>
        <v/>
      </c>
      <c r="Q210" s="770">
        <f>_xlfn.XLOOKUP(TableauRecette[[#This Row],[ID]],TableauProduit[ID],TableauProduit[Total (kg) N6],0,0,1)*TableauRecette[[#This Row],[poids / unite]]</f>
        <v/>
      </c>
      <c r="R210" s="770">
        <f>_xlfn.XLOOKUP(TableauRecette[[#This Row],[ID]],TableauProduit[ID],TableauProduit[Total (kg) N7],0,0,1)*TableauRecette[[#This Row],[poids / unite]]</f>
        <v/>
      </c>
      <c r="S210" s="770">
        <f>_xlfn.XLOOKUP(TableauRecette[[#This Row],[ID]],TableauProduit[ID],TableauProduit[Total (kg) N8],0,0,1)*TableauRecette[[#This Row],[poids / unite]]</f>
        <v/>
      </c>
      <c r="T210" s="770">
        <f>_xlfn.XLOOKUP(TableauRecette[[#This Row],[ID]],TableauProduit[ID],TableauProduit[Total (kg) N9],0,0,1)*TableauRecette[[#This Row],[poids / unite]]</f>
        <v/>
      </c>
    </row>
    <row r="211">
      <c r="A211" s="658" t="inlineStr">
        <is>
          <t>Harissa</t>
        </is>
      </c>
      <c r="B211" s="81">
        <f>TableauRecette[[#This Row],[Recette]]&amp;TableauRecette[[#This Row],[Conditionnement]]</f>
        <v/>
      </c>
      <c r="C211" s="81" t="inlineStr">
        <is>
          <t>Cumin Moulu</t>
        </is>
      </c>
      <c r="D211" s="205" t="n">
        <v>4</v>
      </c>
      <c r="E211" s="81" t="inlineStr">
        <is>
          <t>Epice 100ml</t>
        </is>
      </c>
      <c r="F211" s="20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11" s="205">
        <f>IFERROR(_xlfn.XLOOKUP(TableauRecette[[#This Row],[Ingredients]],TableauIngredients[Ingredients],TableauIngredients[Prix d''achat (kg)],0)*TableauRecette[[#This Row],[poids / unite]],0)</f>
        <v/>
      </c>
      <c r="H211" s="205">
        <f>IFERROR(SUMIFS(TableauRecette[Proportion],TableauRecette[Recette],TableauRecette[[#This Row],[Recette]],TableauRecette[Conditionnement],TableauRecette[[#This Row],[Conditionnement]]),0)</f>
        <v/>
      </c>
      <c r="I211" s="205">
        <f>IFERROR(TableauRecette[[#This Row],[Prix d''achat / kg]],0)</f>
        <v/>
      </c>
      <c r="J211" s="205" t="n"/>
      <c r="K211" s="768" t="n"/>
      <c r="L211" s="769">
        <f>_xlfn.XLOOKUP(TableauRecette[[#This Row],[ID]],TableauProduit[ID],TableauProduit[Total (kg) N1],0,0,1)*TableauRecette[[#This Row],[poids / unite]]</f>
        <v/>
      </c>
      <c r="M211" s="770">
        <f>_xlfn.XLOOKUP(TableauRecette[[#This Row],[ID]],TableauProduit[ID],TableauProduit[Total (kg) N2],0,0,1)*TableauRecette[[#This Row],[poids / unite]]</f>
        <v/>
      </c>
      <c r="N211" s="770">
        <f>_xlfn.XLOOKUP(TableauRecette[[#This Row],[ID]],TableauProduit[ID],TableauProduit[Total (kg) N3],0,0,1)*TableauRecette[[#This Row],[poids / unite]]</f>
        <v/>
      </c>
      <c r="O211" s="770">
        <f>_xlfn.XLOOKUP(TableauRecette[[#This Row],[ID]],TableauProduit[ID],TableauProduit[Total (kg) N4],0,0,1)*TableauRecette[[#This Row],[poids / unite]]</f>
        <v/>
      </c>
      <c r="P211" s="770">
        <f>_xlfn.XLOOKUP(TableauRecette[[#This Row],[ID]],TableauProduit[ID],TableauProduit[Total (kg) N5],0,0,1)*TableauRecette[[#This Row],[poids / unite]]</f>
        <v/>
      </c>
      <c r="Q211" s="770">
        <f>_xlfn.XLOOKUP(TableauRecette[[#This Row],[ID]],TableauProduit[ID],TableauProduit[Total (kg) N6],0,0,1)*TableauRecette[[#This Row],[poids / unite]]</f>
        <v/>
      </c>
      <c r="R211" s="770">
        <f>_xlfn.XLOOKUP(TableauRecette[[#This Row],[ID]],TableauProduit[ID],TableauProduit[Total (kg) N7],0,0,1)*TableauRecette[[#This Row],[poids / unite]]</f>
        <v/>
      </c>
      <c r="S211" s="770">
        <f>_xlfn.XLOOKUP(TableauRecette[[#This Row],[ID]],TableauProduit[ID],TableauProduit[Total (kg) N8],0,0,1)*TableauRecette[[#This Row],[poids / unite]]</f>
        <v/>
      </c>
      <c r="T211" s="770">
        <f>_xlfn.XLOOKUP(TableauRecette[[#This Row],[ID]],TableauProduit[ID],TableauProduit[Total (kg) N9],0,0,1)*TableauRecette[[#This Row],[poids / unite]]</f>
        <v/>
      </c>
    </row>
    <row r="212">
      <c r="A212" s="81" t="inlineStr">
        <is>
          <t>Harissa</t>
        </is>
      </c>
      <c r="B212" s="81">
        <f>TableauRecette[[#This Row],[Recette]]&amp;TableauRecette[[#This Row],[Conditionnement]]</f>
        <v/>
      </c>
      <c r="C212" s="81" t="inlineStr">
        <is>
          <t>Graine De Carvi</t>
        </is>
      </c>
      <c r="D212" s="205" t="n">
        <v>4</v>
      </c>
      <c r="E212" s="81" t="inlineStr">
        <is>
          <t>Epice 100ml</t>
        </is>
      </c>
      <c r="F212" s="20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12" s="205">
        <f>IFERROR(_xlfn.XLOOKUP(TableauRecette[[#This Row],[Ingredients]],TableauIngredients[Ingredients],TableauIngredients[Prix d''achat (kg)],0)*TableauRecette[[#This Row],[poids / unite]],0)</f>
        <v/>
      </c>
      <c r="H212" s="205">
        <f>IFERROR(SUMIFS(TableauRecette[Proportion],TableauRecette[Recette],TableauRecette[[#This Row],[Recette]],TableauRecette[Conditionnement],TableauRecette[[#This Row],[Conditionnement]]),0)</f>
        <v/>
      </c>
      <c r="I212" s="205">
        <f>IFERROR(TableauRecette[[#This Row],[Prix d''achat / kg]],0)</f>
        <v/>
      </c>
      <c r="J212" s="205" t="n"/>
      <c r="K212" s="768" t="n"/>
      <c r="L212" s="769">
        <f>_xlfn.XLOOKUP(TableauRecette[[#This Row],[ID]],TableauProduit[ID],TableauProduit[Total (kg) N1],0,0,1)*TableauRecette[[#This Row],[poids / unite]]</f>
        <v/>
      </c>
      <c r="M212" s="770">
        <f>_xlfn.XLOOKUP(TableauRecette[[#This Row],[ID]],TableauProduit[ID],TableauProduit[Total (kg) N2],0,0,1)*TableauRecette[[#This Row],[poids / unite]]</f>
        <v/>
      </c>
      <c r="N212" s="770">
        <f>_xlfn.XLOOKUP(TableauRecette[[#This Row],[ID]],TableauProduit[ID],TableauProduit[Total (kg) N3],0,0,1)*TableauRecette[[#This Row],[poids / unite]]</f>
        <v/>
      </c>
      <c r="O212" s="770">
        <f>_xlfn.XLOOKUP(TableauRecette[[#This Row],[ID]],TableauProduit[ID],TableauProduit[Total (kg) N4],0,0,1)*TableauRecette[[#This Row],[poids / unite]]</f>
        <v/>
      </c>
      <c r="P212" s="770">
        <f>_xlfn.XLOOKUP(TableauRecette[[#This Row],[ID]],TableauProduit[ID],TableauProduit[Total (kg) N5],0,0,1)*TableauRecette[[#This Row],[poids / unite]]</f>
        <v/>
      </c>
      <c r="Q212" s="770">
        <f>_xlfn.XLOOKUP(TableauRecette[[#This Row],[ID]],TableauProduit[ID],TableauProduit[Total (kg) N6],0,0,1)*TableauRecette[[#This Row],[poids / unite]]</f>
        <v/>
      </c>
      <c r="R212" s="770">
        <f>_xlfn.XLOOKUP(TableauRecette[[#This Row],[ID]],TableauProduit[ID],TableauProduit[Total (kg) N7],0,0,1)*TableauRecette[[#This Row],[poids / unite]]</f>
        <v/>
      </c>
      <c r="S212" s="770">
        <f>_xlfn.XLOOKUP(TableauRecette[[#This Row],[ID]],TableauProduit[ID],TableauProduit[Total (kg) N8],0,0,1)*TableauRecette[[#This Row],[poids / unite]]</f>
        <v/>
      </c>
      <c r="T212" s="770">
        <f>_xlfn.XLOOKUP(TableauRecette[[#This Row],[ID]],TableauProduit[ID],TableauProduit[Total (kg) N9],0,0,1)*TableauRecette[[#This Row],[poids / unite]]</f>
        <v/>
      </c>
    </row>
    <row r="213">
      <c r="A213" s="81" t="inlineStr">
        <is>
          <t>Harissa</t>
        </is>
      </c>
      <c r="B213" s="81">
        <f>TableauRecette[[#This Row],[Recette]]&amp;TableauRecette[[#This Row],[Conditionnement]]</f>
        <v/>
      </c>
      <c r="C213" s="81" t="inlineStr">
        <is>
          <t>Coriandre Graine</t>
        </is>
      </c>
      <c r="D213" s="205" t="n">
        <v>6</v>
      </c>
      <c r="E213" s="81" t="inlineStr">
        <is>
          <t>Epice 100ml</t>
        </is>
      </c>
      <c r="F213" s="20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13" s="205">
        <f>IFERROR(_xlfn.XLOOKUP(TableauRecette[[#This Row],[Ingredients]],TableauIngredients[Ingredients],TableauIngredients[Prix d''achat (kg)],0)*TableauRecette[[#This Row],[poids / unite]],0)</f>
        <v/>
      </c>
      <c r="H213" s="205">
        <f>IFERROR(SUMIFS(TableauRecette[Proportion],TableauRecette[Recette],TableauRecette[[#This Row],[Recette]],TableauRecette[Conditionnement],TableauRecette[[#This Row],[Conditionnement]]),0)</f>
        <v/>
      </c>
      <c r="I213" s="205">
        <f>IFERROR(TableauRecette[[#This Row],[Prix d''achat / kg]],0)</f>
        <v/>
      </c>
      <c r="J213" s="205" t="n"/>
      <c r="K213" s="768" t="n"/>
      <c r="L213" s="769">
        <f>_xlfn.XLOOKUP(TableauRecette[[#This Row],[ID]],TableauProduit[ID],TableauProduit[Total (kg) N1],0,0,1)*TableauRecette[[#This Row],[poids / unite]]</f>
        <v/>
      </c>
      <c r="M213" s="770">
        <f>_xlfn.XLOOKUP(TableauRecette[[#This Row],[ID]],TableauProduit[ID],TableauProduit[Total (kg) N2],0,0,1)*TableauRecette[[#This Row],[poids / unite]]</f>
        <v/>
      </c>
      <c r="N213" s="770">
        <f>_xlfn.XLOOKUP(TableauRecette[[#This Row],[ID]],TableauProduit[ID],TableauProduit[Total (kg) N3],0,0,1)*TableauRecette[[#This Row],[poids / unite]]</f>
        <v/>
      </c>
      <c r="O213" s="770">
        <f>_xlfn.XLOOKUP(TableauRecette[[#This Row],[ID]],TableauProduit[ID],TableauProduit[Total (kg) N4],0,0,1)*TableauRecette[[#This Row],[poids / unite]]</f>
        <v/>
      </c>
      <c r="P213" s="770">
        <f>_xlfn.XLOOKUP(TableauRecette[[#This Row],[ID]],TableauProduit[ID],TableauProduit[Total (kg) N5],0,0,1)*TableauRecette[[#This Row],[poids / unite]]</f>
        <v/>
      </c>
      <c r="Q213" s="770">
        <f>_xlfn.XLOOKUP(TableauRecette[[#This Row],[ID]],TableauProduit[ID],TableauProduit[Total (kg) N6],0,0,1)*TableauRecette[[#This Row],[poids / unite]]</f>
        <v/>
      </c>
      <c r="R213" s="770">
        <f>_xlfn.XLOOKUP(TableauRecette[[#This Row],[ID]],TableauProduit[ID],TableauProduit[Total (kg) N7],0,0,1)*TableauRecette[[#This Row],[poids / unite]]</f>
        <v/>
      </c>
      <c r="S213" s="770">
        <f>_xlfn.XLOOKUP(TableauRecette[[#This Row],[ID]],TableauProduit[ID],TableauProduit[Total (kg) N8],0,0,1)*TableauRecette[[#This Row],[poids / unite]]</f>
        <v/>
      </c>
      <c r="T213" s="770">
        <f>_xlfn.XLOOKUP(TableauRecette[[#This Row],[ID]],TableauProduit[ID],TableauProduit[Total (kg) N9],0,0,1)*TableauRecette[[#This Row],[poids / unite]]</f>
        <v/>
      </c>
    </row>
    <row r="214">
      <c r="A214" s="81" t="inlineStr">
        <is>
          <t>Harissa</t>
        </is>
      </c>
      <c r="B214" s="81">
        <f>TableauRecette[[#This Row],[Recette]]&amp;TableauRecette[[#This Row],[Conditionnement]]</f>
        <v/>
      </c>
      <c r="C214" s="81" t="inlineStr">
        <is>
          <t>Huile D'Olive</t>
        </is>
      </c>
      <c r="D214" s="205" t="n">
        <v>24</v>
      </c>
      <c r="E214" s="81" t="inlineStr">
        <is>
          <t>Epice 100ml</t>
        </is>
      </c>
      <c r="F214" s="20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14" s="205">
        <f>IFERROR(_xlfn.XLOOKUP(TableauRecette[[#This Row],[Ingredients]],TableauIngredients[Ingredients],TableauIngredients[Prix d''achat (kg)],0)*TableauRecette[[#This Row],[poids / unite]],0)</f>
        <v/>
      </c>
      <c r="H214" s="205">
        <f>IFERROR(SUMIFS(TableauRecette[Proportion],TableauRecette[Recette],TableauRecette[[#This Row],[Recette]],TableauRecette[Conditionnement],TableauRecette[[#This Row],[Conditionnement]]),0)</f>
        <v/>
      </c>
      <c r="I214" s="205">
        <f>IFERROR(TableauRecette[[#This Row],[Prix d''achat / kg]],0)</f>
        <v/>
      </c>
      <c r="J214" s="205" t="n"/>
      <c r="K214" s="768" t="n"/>
      <c r="L214" s="769">
        <f>_xlfn.XLOOKUP(TableauRecette[[#This Row],[ID]],TableauProduit[ID],TableauProduit[Total (kg) N1],0,0,1)*TableauRecette[[#This Row],[poids / unite]]</f>
        <v/>
      </c>
      <c r="M214" s="770">
        <f>_xlfn.XLOOKUP(TableauRecette[[#This Row],[ID]],TableauProduit[ID],TableauProduit[Total (kg) N2],0,0,1)*TableauRecette[[#This Row],[poids / unite]]</f>
        <v/>
      </c>
      <c r="N214" s="770">
        <f>_xlfn.XLOOKUP(TableauRecette[[#This Row],[ID]],TableauProduit[ID],TableauProduit[Total (kg) N3],0,0,1)*TableauRecette[[#This Row],[poids / unite]]</f>
        <v/>
      </c>
      <c r="O214" s="770">
        <f>_xlfn.XLOOKUP(TableauRecette[[#This Row],[ID]],TableauProduit[ID],TableauProduit[Total (kg) N4],0,0,1)*TableauRecette[[#This Row],[poids / unite]]</f>
        <v/>
      </c>
      <c r="P214" s="770">
        <f>_xlfn.XLOOKUP(TableauRecette[[#This Row],[ID]],TableauProduit[ID],TableauProduit[Total (kg) N5],0,0,1)*TableauRecette[[#This Row],[poids / unite]]</f>
        <v/>
      </c>
      <c r="Q214" s="770">
        <f>_xlfn.XLOOKUP(TableauRecette[[#This Row],[ID]],TableauProduit[ID],TableauProduit[Total (kg) N6],0,0,1)*TableauRecette[[#This Row],[poids / unite]]</f>
        <v/>
      </c>
      <c r="R214" s="770">
        <f>_xlfn.XLOOKUP(TableauRecette[[#This Row],[ID]],TableauProduit[ID],TableauProduit[Total (kg) N7],0,0,1)*TableauRecette[[#This Row],[poids / unite]]</f>
        <v/>
      </c>
      <c r="S214" s="770">
        <f>_xlfn.XLOOKUP(TableauRecette[[#This Row],[ID]],TableauProduit[ID],TableauProduit[Total (kg) N8],0,0,1)*TableauRecette[[#This Row],[poids / unite]]</f>
        <v/>
      </c>
      <c r="T214" s="770">
        <f>_xlfn.XLOOKUP(TableauRecette[[#This Row],[ID]],TableauProduit[ID],TableauProduit[Total (kg) N9],0,0,1)*TableauRecette[[#This Row],[poids / unite]]</f>
        <v/>
      </c>
    </row>
    <row r="215">
      <c r="A215" s="82" t="inlineStr">
        <is>
          <t>Hawaij</t>
        </is>
      </c>
      <c r="B215" s="82">
        <f>TableauRecette[[#This Row],[Recette]]&amp;TableauRecette[[#This Row],[Conditionnement]]</f>
        <v/>
      </c>
      <c r="C215" s="82" t="inlineStr">
        <is>
          <t>Poivre Noir</t>
        </is>
      </c>
      <c r="D215" s="206" t="n">
        <v>3</v>
      </c>
      <c r="E215" s="82" t="inlineStr">
        <is>
          <t>Epice 100ml</t>
        </is>
      </c>
      <c r="F215" s="20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15" s="206">
        <f>IFERROR(_xlfn.XLOOKUP(TableauRecette[[#This Row],[Ingredients]],TableauIngredients[Ingredients],TableauIngredients[Prix d''achat (kg)],0)*TableauRecette[[#This Row],[poids / unite]],0)</f>
        <v/>
      </c>
      <c r="H215" s="206">
        <f>IFERROR(SUMIFS(TableauRecette[Proportion],TableauRecette[Recette],TableauRecette[[#This Row],[Recette]],TableauRecette[Conditionnement],TableauRecette[[#This Row],[Conditionnement]]),0)</f>
        <v/>
      </c>
      <c r="I215" s="206">
        <f>IFERROR(TableauRecette[[#This Row],[Prix d''achat / kg]],0)</f>
        <v/>
      </c>
      <c r="J215" s="206" t="n"/>
      <c r="K215" s="771" t="n"/>
      <c r="L215" s="772">
        <f>_xlfn.XLOOKUP(TableauRecette[[#This Row],[ID]],TableauProduit[ID],TableauProduit[Total (kg) N1],0,0,1)*TableauRecette[[#This Row],[poids / unite]]</f>
        <v/>
      </c>
      <c r="M215" s="773">
        <f>_xlfn.XLOOKUP(TableauRecette[[#This Row],[ID]],TableauProduit[ID],TableauProduit[Total (kg) N2],0,0,1)*TableauRecette[[#This Row],[poids / unite]]</f>
        <v/>
      </c>
      <c r="N215" s="773">
        <f>_xlfn.XLOOKUP(TableauRecette[[#This Row],[ID]],TableauProduit[ID],TableauProduit[Total (kg) N3],0,0,1)*TableauRecette[[#This Row],[poids / unite]]</f>
        <v/>
      </c>
      <c r="O215" s="773">
        <f>_xlfn.XLOOKUP(TableauRecette[[#This Row],[ID]],TableauProduit[ID],TableauProduit[Total (kg) N4],0,0,1)*TableauRecette[[#This Row],[poids / unite]]</f>
        <v/>
      </c>
      <c r="P215" s="773">
        <f>_xlfn.XLOOKUP(TableauRecette[[#This Row],[ID]],TableauProduit[ID],TableauProduit[Total (kg) N5],0,0,1)*TableauRecette[[#This Row],[poids / unite]]</f>
        <v/>
      </c>
      <c r="Q215" s="773">
        <f>_xlfn.XLOOKUP(TableauRecette[[#This Row],[ID]],TableauProduit[ID],TableauProduit[Total (kg) N6],0,0,1)*TableauRecette[[#This Row],[poids / unite]]</f>
        <v/>
      </c>
      <c r="R215" s="773">
        <f>_xlfn.XLOOKUP(TableauRecette[[#This Row],[ID]],TableauProduit[ID],TableauProduit[Total (kg) N7],0,0,1)*TableauRecette[[#This Row],[poids / unite]]</f>
        <v/>
      </c>
      <c r="S215" s="773">
        <f>_xlfn.XLOOKUP(TableauRecette[[#This Row],[ID]],TableauProduit[ID],TableauProduit[Total (kg) N8],0,0,1)*TableauRecette[[#This Row],[poids / unite]]</f>
        <v/>
      </c>
      <c r="T215" s="773">
        <f>_xlfn.XLOOKUP(TableauRecette[[#This Row],[ID]],TableauProduit[ID],TableauProduit[Total (kg) N9],0,0,1)*TableauRecette[[#This Row],[poids / unite]]</f>
        <v/>
      </c>
    </row>
    <row r="216">
      <c r="A216" s="82" t="inlineStr">
        <is>
          <t>Hawaij</t>
        </is>
      </c>
      <c r="B216" s="82">
        <f>TableauRecette[[#This Row],[Recette]]&amp;TableauRecette[[#This Row],[Conditionnement]]</f>
        <v/>
      </c>
      <c r="C216" s="82" t="inlineStr">
        <is>
          <t>Graine De Cumin</t>
        </is>
      </c>
      <c r="D216" s="206" t="n">
        <v>7</v>
      </c>
      <c r="E216" s="82" t="inlineStr">
        <is>
          <t>Epice 100ml</t>
        </is>
      </c>
      <c r="F216" s="20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16" s="206">
        <f>IFERROR(_xlfn.XLOOKUP(TableauRecette[[#This Row],[Ingredients]],TableauIngredients[Ingredients],TableauIngredients[Prix d''achat (kg)],0)*TableauRecette[[#This Row],[poids / unite]],0)</f>
        <v/>
      </c>
      <c r="H216" s="206">
        <f>IFERROR(SUMIFS(TableauRecette[Proportion],TableauRecette[Recette],TableauRecette[[#This Row],[Recette]],TableauRecette[Conditionnement],TableauRecette[[#This Row],[Conditionnement]]),0)</f>
        <v/>
      </c>
      <c r="I216" s="206">
        <f>IFERROR(TableauRecette[[#This Row],[Prix d''achat / kg]],0)</f>
        <v/>
      </c>
      <c r="J216" s="206" t="n"/>
      <c r="K216" s="771" t="n"/>
      <c r="L216" s="772">
        <f>_xlfn.XLOOKUP(TableauRecette[[#This Row],[ID]],TableauProduit[ID],TableauProduit[Total (kg) N1],0,0,1)*TableauRecette[[#This Row],[poids / unite]]</f>
        <v/>
      </c>
      <c r="M216" s="773">
        <f>_xlfn.XLOOKUP(TableauRecette[[#This Row],[ID]],TableauProduit[ID],TableauProduit[Total (kg) N2],0,0,1)*TableauRecette[[#This Row],[poids / unite]]</f>
        <v/>
      </c>
      <c r="N216" s="773">
        <f>_xlfn.XLOOKUP(TableauRecette[[#This Row],[ID]],TableauProduit[ID],TableauProduit[Total (kg) N3],0,0,1)*TableauRecette[[#This Row],[poids / unite]]</f>
        <v/>
      </c>
      <c r="O216" s="773">
        <f>_xlfn.XLOOKUP(TableauRecette[[#This Row],[ID]],TableauProduit[ID],TableauProduit[Total (kg) N4],0,0,1)*TableauRecette[[#This Row],[poids / unite]]</f>
        <v/>
      </c>
      <c r="P216" s="773">
        <f>_xlfn.XLOOKUP(TableauRecette[[#This Row],[ID]],TableauProduit[ID],TableauProduit[Total (kg) N5],0,0,1)*TableauRecette[[#This Row],[poids / unite]]</f>
        <v/>
      </c>
      <c r="Q216" s="773">
        <f>_xlfn.XLOOKUP(TableauRecette[[#This Row],[ID]],TableauProduit[ID],TableauProduit[Total (kg) N6],0,0,1)*TableauRecette[[#This Row],[poids / unite]]</f>
        <v/>
      </c>
      <c r="R216" s="773">
        <f>_xlfn.XLOOKUP(TableauRecette[[#This Row],[ID]],TableauProduit[ID],TableauProduit[Total (kg) N7],0,0,1)*TableauRecette[[#This Row],[poids / unite]]</f>
        <v/>
      </c>
      <c r="S216" s="773">
        <f>_xlfn.XLOOKUP(TableauRecette[[#This Row],[ID]],TableauProduit[ID],TableauProduit[Total (kg) N8],0,0,1)*TableauRecette[[#This Row],[poids / unite]]</f>
        <v/>
      </c>
      <c r="T216" s="773">
        <f>_xlfn.XLOOKUP(TableauRecette[[#This Row],[ID]],TableauProduit[ID],TableauProduit[Total (kg) N9],0,0,1)*TableauRecette[[#This Row],[poids / unite]]</f>
        <v/>
      </c>
    </row>
    <row r="217">
      <c r="A217" s="82" t="inlineStr">
        <is>
          <t>Hawaij</t>
        </is>
      </c>
      <c r="B217" s="82">
        <f>TableauRecette[[#This Row],[Recette]]&amp;TableauRecette[[#This Row],[Conditionnement]]</f>
        <v/>
      </c>
      <c r="C217" s="82" t="inlineStr">
        <is>
          <t>Graine De Cardamone</t>
        </is>
      </c>
      <c r="D217" s="206" t="n">
        <v>3</v>
      </c>
      <c r="E217" s="82" t="inlineStr">
        <is>
          <t>Epice 100ml</t>
        </is>
      </c>
      <c r="F217" s="20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17" s="206">
        <f>IFERROR(_xlfn.XLOOKUP(TableauRecette[[#This Row],[Ingredients]],TableauIngredients[Ingredients],TableauIngredients[Prix d''achat (kg)],0)*TableauRecette[[#This Row],[poids / unite]],0)</f>
        <v/>
      </c>
      <c r="H217" s="206">
        <f>IFERROR(SUMIFS(TableauRecette[Proportion],TableauRecette[Recette],TableauRecette[[#This Row],[Recette]],TableauRecette[Conditionnement],TableauRecette[[#This Row],[Conditionnement]]),0)</f>
        <v/>
      </c>
      <c r="I217" s="206">
        <f>IFERROR(TableauRecette[[#This Row],[Prix d''achat / kg]],0)</f>
        <v/>
      </c>
      <c r="J217" s="206" t="n"/>
      <c r="K217" s="771" t="n"/>
      <c r="L217" s="772">
        <f>_xlfn.XLOOKUP(TableauRecette[[#This Row],[ID]],TableauProduit[ID],TableauProduit[Total (kg) N1],0,0,1)*TableauRecette[[#This Row],[poids / unite]]</f>
        <v/>
      </c>
      <c r="M217" s="773">
        <f>_xlfn.XLOOKUP(TableauRecette[[#This Row],[ID]],TableauProduit[ID],TableauProduit[Total (kg) N2],0,0,1)*TableauRecette[[#This Row],[poids / unite]]</f>
        <v/>
      </c>
      <c r="N217" s="773">
        <f>_xlfn.XLOOKUP(TableauRecette[[#This Row],[ID]],TableauProduit[ID],TableauProduit[Total (kg) N3],0,0,1)*TableauRecette[[#This Row],[poids / unite]]</f>
        <v/>
      </c>
      <c r="O217" s="773">
        <f>_xlfn.XLOOKUP(TableauRecette[[#This Row],[ID]],TableauProduit[ID],TableauProduit[Total (kg) N4],0,0,1)*TableauRecette[[#This Row],[poids / unite]]</f>
        <v/>
      </c>
      <c r="P217" s="773">
        <f>_xlfn.XLOOKUP(TableauRecette[[#This Row],[ID]],TableauProduit[ID],TableauProduit[Total (kg) N5],0,0,1)*TableauRecette[[#This Row],[poids / unite]]</f>
        <v/>
      </c>
      <c r="Q217" s="773">
        <f>_xlfn.XLOOKUP(TableauRecette[[#This Row],[ID]],TableauProduit[ID],TableauProduit[Total (kg) N6],0,0,1)*TableauRecette[[#This Row],[poids / unite]]</f>
        <v/>
      </c>
      <c r="R217" s="773">
        <f>_xlfn.XLOOKUP(TableauRecette[[#This Row],[ID]],TableauProduit[ID],TableauProduit[Total (kg) N7],0,0,1)*TableauRecette[[#This Row],[poids / unite]]</f>
        <v/>
      </c>
      <c r="S217" s="773">
        <f>_xlfn.XLOOKUP(TableauRecette[[#This Row],[ID]],TableauProduit[ID],TableauProduit[Total (kg) N8],0,0,1)*TableauRecette[[#This Row],[poids / unite]]</f>
        <v/>
      </c>
      <c r="T217" s="773">
        <f>_xlfn.XLOOKUP(TableauRecette[[#This Row],[ID]],TableauProduit[ID],TableauProduit[Total (kg) N9],0,0,1)*TableauRecette[[#This Row],[poids / unite]]</f>
        <v/>
      </c>
    </row>
    <row r="218">
      <c r="A218" s="82" t="inlineStr">
        <is>
          <t>Hawaij</t>
        </is>
      </c>
      <c r="B218" s="82">
        <f>TableauRecette[[#This Row],[Recette]]&amp;TableauRecette[[#This Row],[Conditionnement]]</f>
        <v/>
      </c>
      <c r="C218" s="82" t="inlineStr">
        <is>
          <t>Coriandre Graine</t>
        </is>
      </c>
      <c r="D218" s="206" t="n">
        <v>3</v>
      </c>
      <c r="E218" s="82" t="inlineStr">
        <is>
          <t>Epice 100ml</t>
        </is>
      </c>
      <c r="F218" s="20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18" s="206">
        <f>IFERROR(_xlfn.XLOOKUP(TableauRecette[[#This Row],[Ingredients]],TableauIngredients[Ingredients],TableauIngredients[Prix d''achat (kg)],0)*TableauRecette[[#This Row],[poids / unite]],0)</f>
        <v/>
      </c>
      <c r="H218" s="206">
        <f>IFERROR(SUMIFS(TableauRecette[Proportion],TableauRecette[Recette],TableauRecette[[#This Row],[Recette]],TableauRecette[Conditionnement],TableauRecette[[#This Row],[Conditionnement]]),0)</f>
        <v/>
      </c>
      <c r="I218" s="206">
        <f>IFERROR(TableauRecette[[#This Row],[Prix d''achat / kg]],0)</f>
        <v/>
      </c>
      <c r="J218" s="206" t="n"/>
      <c r="K218" s="771" t="n"/>
      <c r="L218" s="772">
        <f>_xlfn.XLOOKUP(TableauRecette[[#This Row],[ID]],TableauProduit[ID],TableauProduit[Total (kg) N1],0,0,1)*TableauRecette[[#This Row],[poids / unite]]</f>
        <v/>
      </c>
      <c r="M218" s="773">
        <f>_xlfn.XLOOKUP(TableauRecette[[#This Row],[ID]],TableauProduit[ID],TableauProduit[Total (kg) N2],0,0,1)*TableauRecette[[#This Row],[poids / unite]]</f>
        <v/>
      </c>
      <c r="N218" s="773">
        <f>_xlfn.XLOOKUP(TableauRecette[[#This Row],[ID]],TableauProduit[ID],TableauProduit[Total (kg) N3],0,0,1)*TableauRecette[[#This Row],[poids / unite]]</f>
        <v/>
      </c>
      <c r="O218" s="773">
        <f>_xlfn.XLOOKUP(TableauRecette[[#This Row],[ID]],TableauProduit[ID],TableauProduit[Total (kg) N4],0,0,1)*TableauRecette[[#This Row],[poids / unite]]</f>
        <v/>
      </c>
      <c r="P218" s="773">
        <f>_xlfn.XLOOKUP(TableauRecette[[#This Row],[ID]],TableauProduit[ID],TableauProduit[Total (kg) N5],0,0,1)*TableauRecette[[#This Row],[poids / unite]]</f>
        <v/>
      </c>
      <c r="Q218" s="773">
        <f>_xlfn.XLOOKUP(TableauRecette[[#This Row],[ID]],TableauProduit[ID],TableauProduit[Total (kg) N6],0,0,1)*TableauRecette[[#This Row],[poids / unite]]</f>
        <v/>
      </c>
      <c r="R218" s="773">
        <f>_xlfn.XLOOKUP(TableauRecette[[#This Row],[ID]],TableauProduit[ID],TableauProduit[Total (kg) N7],0,0,1)*TableauRecette[[#This Row],[poids / unite]]</f>
        <v/>
      </c>
      <c r="S218" s="773">
        <f>_xlfn.XLOOKUP(TableauRecette[[#This Row],[ID]],TableauProduit[ID],TableauProduit[Total (kg) N8],0,0,1)*TableauRecette[[#This Row],[poids / unite]]</f>
        <v/>
      </c>
      <c r="T218" s="773">
        <f>_xlfn.XLOOKUP(TableauRecette[[#This Row],[ID]],TableauProduit[ID],TableauProduit[Total (kg) N9],0,0,1)*TableauRecette[[#This Row],[poids / unite]]</f>
        <v/>
      </c>
    </row>
    <row r="219">
      <c r="A219" s="82" t="inlineStr">
        <is>
          <t>Hawaij</t>
        </is>
      </c>
      <c r="B219" s="82">
        <f>TableauRecette[[#This Row],[Recette]]&amp;TableauRecette[[#This Row],[Conditionnement]]</f>
        <v/>
      </c>
      <c r="C219" s="82" t="inlineStr">
        <is>
          <t>Curcuma Moulu</t>
        </is>
      </c>
      <c r="D219" s="206" t="n">
        <v>6</v>
      </c>
      <c r="E219" s="82" t="inlineStr">
        <is>
          <t>Epice 100ml</t>
        </is>
      </c>
      <c r="F219" s="20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19" s="206">
        <f>IFERROR(_xlfn.XLOOKUP(TableauRecette[[#This Row],[Ingredients]],TableauIngredients[Ingredients],TableauIngredients[Prix d''achat (kg)],0)*TableauRecette[[#This Row],[poids / unite]],0)</f>
        <v/>
      </c>
      <c r="H219" s="206">
        <f>IFERROR(SUMIFS(TableauRecette[Proportion],TableauRecette[Recette],TableauRecette[[#This Row],[Recette]],TableauRecette[Conditionnement],TableauRecette[[#This Row],[Conditionnement]]),0)</f>
        <v/>
      </c>
      <c r="I219" s="206">
        <f>IFERROR(TableauRecette[[#This Row],[Prix d''achat / kg]],0)</f>
        <v/>
      </c>
      <c r="J219" s="206" t="n"/>
      <c r="K219" s="771" t="n"/>
      <c r="L219" s="772">
        <f>_xlfn.XLOOKUP(TableauRecette[[#This Row],[ID]],TableauProduit[ID],TableauProduit[Total (kg) N1],0,0,1)*TableauRecette[[#This Row],[poids / unite]]</f>
        <v/>
      </c>
      <c r="M219" s="773">
        <f>_xlfn.XLOOKUP(TableauRecette[[#This Row],[ID]],TableauProduit[ID],TableauProduit[Total (kg) N2],0,0,1)*TableauRecette[[#This Row],[poids / unite]]</f>
        <v/>
      </c>
      <c r="N219" s="773">
        <f>_xlfn.XLOOKUP(TableauRecette[[#This Row],[ID]],TableauProduit[ID],TableauProduit[Total (kg) N3],0,0,1)*TableauRecette[[#This Row],[poids / unite]]</f>
        <v/>
      </c>
      <c r="O219" s="773">
        <f>_xlfn.XLOOKUP(TableauRecette[[#This Row],[ID]],TableauProduit[ID],TableauProduit[Total (kg) N4],0,0,1)*TableauRecette[[#This Row],[poids / unite]]</f>
        <v/>
      </c>
      <c r="P219" s="773">
        <f>_xlfn.XLOOKUP(TableauRecette[[#This Row],[ID]],TableauProduit[ID],TableauProduit[Total (kg) N5],0,0,1)*TableauRecette[[#This Row],[poids / unite]]</f>
        <v/>
      </c>
      <c r="Q219" s="773">
        <f>_xlfn.XLOOKUP(TableauRecette[[#This Row],[ID]],TableauProduit[ID],TableauProduit[Total (kg) N6],0,0,1)*TableauRecette[[#This Row],[poids / unite]]</f>
        <v/>
      </c>
      <c r="R219" s="773">
        <f>_xlfn.XLOOKUP(TableauRecette[[#This Row],[ID]],TableauProduit[ID],TableauProduit[Total (kg) N7],0,0,1)*TableauRecette[[#This Row],[poids / unite]]</f>
        <v/>
      </c>
      <c r="S219" s="773">
        <f>_xlfn.XLOOKUP(TableauRecette[[#This Row],[ID]],TableauProduit[ID],TableauProduit[Total (kg) N8],0,0,1)*TableauRecette[[#This Row],[poids / unite]]</f>
        <v/>
      </c>
      <c r="T219" s="773">
        <f>_xlfn.XLOOKUP(TableauRecette[[#This Row],[ID]],TableauProduit[ID],TableauProduit[Total (kg) N9],0,0,1)*TableauRecette[[#This Row],[poids / unite]]</f>
        <v/>
      </c>
    </row>
    <row r="220">
      <c r="A220" s="83" t="inlineStr">
        <is>
          <t>Herbe de provence</t>
        </is>
      </c>
      <c r="B220" s="83">
        <f>TableauRecette[[#This Row],[Recette]]&amp;TableauRecette[[#This Row],[Conditionnement]]</f>
        <v/>
      </c>
      <c r="C220" s="672" t="inlineStr">
        <is>
          <t>Romarin</t>
        </is>
      </c>
      <c r="D220" s="207" t="n">
        <v>26</v>
      </c>
      <c r="E220" s="83" t="inlineStr">
        <is>
          <t>Epice 100ml</t>
        </is>
      </c>
      <c r="F220" s="20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20" s="207">
        <f>IFERROR(_xlfn.XLOOKUP(TableauRecette[[#This Row],[Ingredients]],TableauIngredients[Ingredients],TableauIngredients[Prix d''achat (kg)],0)*TableauRecette[[#This Row],[poids / unite]],0)</f>
        <v/>
      </c>
      <c r="H220" s="207">
        <f>IFERROR(SUMIFS(TableauRecette[Proportion],TableauRecette[Recette],TableauRecette[[#This Row],[Recette]],TableauRecette[Conditionnement],TableauRecette[[#This Row],[Conditionnement]]),0)</f>
        <v/>
      </c>
      <c r="I220" s="207">
        <f>IFERROR(TableauRecette[[#This Row],[Prix d''achat / kg]],0)</f>
        <v/>
      </c>
      <c r="J220" s="207" t="n"/>
      <c r="K220" s="774" t="n"/>
      <c r="L220" s="775">
        <f>_xlfn.XLOOKUP(TableauRecette[[#This Row],[ID]],TableauProduit[ID],TableauProduit[Total (kg) N1],0,0,1)*TableauRecette[[#This Row],[poids / unite]]</f>
        <v/>
      </c>
      <c r="M220" s="776">
        <f>_xlfn.XLOOKUP(TableauRecette[[#This Row],[ID]],TableauProduit[ID],TableauProduit[Total (kg) N2],0,0,1)*TableauRecette[[#This Row],[poids / unite]]</f>
        <v/>
      </c>
      <c r="N220" s="776">
        <f>_xlfn.XLOOKUP(TableauRecette[[#This Row],[ID]],TableauProduit[ID],TableauProduit[Total (kg) N3],0,0,1)*TableauRecette[[#This Row],[poids / unite]]</f>
        <v/>
      </c>
      <c r="O220" s="776">
        <f>_xlfn.XLOOKUP(TableauRecette[[#This Row],[ID]],TableauProduit[ID],TableauProduit[Total (kg) N4],0,0,1)*TableauRecette[[#This Row],[poids / unite]]</f>
        <v/>
      </c>
      <c r="P220" s="776">
        <f>_xlfn.XLOOKUP(TableauRecette[[#This Row],[ID]],TableauProduit[ID],TableauProduit[Total (kg) N5],0,0,1)*TableauRecette[[#This Row],[poids / unite]]</f>
        <v/>
      </c>
      <c r="Q220" s="776">
        <f>_xlfn.XLOOKUP(TableauRecette[[#This Row],[ID]],TableauProduit[ID],TableauProduit[Total (kg) N6],0,0,1)*TableauRecette[[#This Row],[poids / unite]]</f>
        <v/>
      </c>
      <c r="R220" s="776">
        <f>_xlfn.XLOOKUP(TableauRecette[[#This Row],[ID]],TableauProduit[ID],TableauProduit[Total (kg) N7],0,0,1)*TableauRecette[[#This Row],[poids / unite]]</f>
        <v/>
      </c>
      <c r="S220" s="776">
        <f>_xlfn.XLOOKUP(TableauRecette[[#This Row],[ID]],TableauProduit[ID],TableauProduit[Total (kg) N8],0,0,1)*TableauRecette[[#This Row],[poids / unite]]</f>
        <v/>
      </c>
      <c r="T220" s="776">
        <f>_xlfn.XLOOKUP(TableauRecette[[#This Row],[ID]],TableauProduit[ID],TableauProduit[Total (kg) N9],0,0,1)*TableauRecette[[#This Row],[poids / unite]]</f>
        <v/>
      </c>
    </row>
    <row r="221">
      <c r="A221" s="83" t="inlineStr">
        <is>
          <t>Herbe de provence</t>
        </is>
      </c>
      <c r="B221" s="83">
        <f>TableauRecette[[#This Row],[Recette]]&amp;TableauRecette[[#This Row],[Conditionnement]]</f>
        <v/>
      </c>
      <c r="C221" s="83" t="inlineStr">
        <is>
          <t>Sarriette</t>
        </is>
      </c>
      <c r="D221" s="207" t="n">
        <v>26</v>
      </c>
      <c r="E221" s="83" t="inlineStr">
        <is>
          <t>Epice 100ml</t>
        </is>
      </c>
      <c r="F221" s="20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21" s="207">
        <f>IFERROR(_xlfn.XLOOKUP(TableauRecette[[#This Row],[Ingredients]],TableauIngredients[Ingredients],TableauIngredients[Prix d''achat (kg)],0)*TableauRecette[[#This Row],[poids / unite]],0)</f>
        <v/>
      </c>
      <c r="H221" s="207">
        <f>IFERROR(SUMIFS(TableauRecette[Proportion],TableauRecette[Recette],TableauRecette[[#This Row],[Recette]],TableauRecette[Conditionnement],TableauRecette[[#This Row],[Conditionnement]]),0)</f>
        <v/>
      </c>
      <c r="I221" s="207">
        <f>IFERROR(TableauRecette[[#This Row],[Prix d''achat / kg]],0)</f>
        <v/>
      </c>
      <c r="J221" s="207" t="n"/>
      <c r="K221" s="774" t="n"/>
      <c r="L221" s="775">
        <f>_xlfn.XLOOKUP(TableauRecette[[#This Row],[ID]],TableauProduit[ID],TableauProduit[Total (kg) N1],0,0,1)*TableauRecette[[#This Row],[poids / unite]]</f>
        <v/>
      </c>
      <c r="M221" s="776">
        <f>_xlfn.XLOOKUP(TableauRecette[[#This Row],[ID]],TableauProduit[ID],TableauProduit[Total (kg) N2],0,0,1)*TableauRecette[[#This Row],[poids / unite]]</f>
        <v/>
      </c>
      <c r="N221" s="776">
        <f>_xlfn.XLOOKUP(TableauRecette[[#This Row],[ID]],TableauProduit[ID],TableauProduit[Total (kg) N3],0,0,1)*TableauRecette[[#This Row],[poids / unite]]</f>
        <v/>
      </c>
      <c r="O221" s="776">
        <f>_xlfn.XLOOKUP(TableauRecette[[#This Row],[ID]],TableauProduit[ID],TableauProduit[Total (kg) N4],0,0,1)*TableauRecette[[#This Row],[poids / unite]]</f>
        <v/>
      </c>
      <c r="P221" s="776">
        <f>_xlfn.XLOOKUP(TableauRecette[[#This Row],[ID]],TableauProduit[ID],TableauProduit[Total (kg) N5],0,0,1)*TableauRecette[[#This Row],[poids / unite]]</f>
        <v/>
      </c>
      <c r="Q221" s="776">
        <f>_xlfn.XLOOKUP(TableauRecette[[#This Row],[ID]],TableauProduit[ID],TableauProduit[Total (kg) N6],0,0,1)*TableauRecette[[#This Row],[poids / unite]]</f>
        <v/>
      </c>
      <c r="R221" s="776">
        <f>_xlfn.XLOOKUP(TableauRecette[[#This Row],[ID]],TableauProduit[ID],TableauProduit[Total (kg) N7],0,0,1)*TableauRecette[[#This Row],[poids / unite]]</f>
        <v/>
      </c>
      <c r="S221" s="776">
        <f>_xlfn.XLOOKUP(TableauRecette[[#This Row],[ID]],TableauProduit[ID],TableauProduit[Total (kg) N8],0,0,1)*TableauRecette[[#This Row],[poids / unite]]</f>
        <v/>
      </c>
      <c r="T221" s="776">
        <f>_xlfn.XLOOKUP(TableauRecette[[#This Row],[ID]],TableauProduit[ID],TableauProduit[Total (kg) N9],0,0,1)*TableauRecette[[#This Row],[poids / unite]]</f>
        <v/>
      </c>
    </row>
    <row r="222">
      <c r="A222" s="83" t="inlineStr">
        <is>
          <t>Herbe de provence</t>
        </is>
      </c>
      <c r="B222" s="83">
        <f>TableauRecette[[#This Row],[Recette]]&amp;TableauRecette[[#This Row],[Conditionnement]]</f>
        <v/>
      </c>
      <c r="C222" s="83" t="inlineStr">
        <is>
          <t>Origan</t>
        </is>
      </c>
      <c r="D222" s="207" t="n">
        <v>26</v>
      </c>
      <c r="E222" s="83" t="inlineStr">
        <is>
          <t>Epice 100ml</t>
        </is>
      </c>
      <c r="F222" s="20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22" s="207">
        <f>IFERROR(_xlfn.XLOOKUP(TableauRecette[[#This Row],[Ingredients]],TableauIngredients[Ingredients],TableauIngredients[Prix d''achat (kg)],0)*TableauRecette[[#This Row],[poids / unite]],0)</f>
        <v/>
      </c>
      <c r="H222" s="207">
        <f>IFERROR(SUMIFS(TableauRecette[Proportion],TableauRecette[Recette],TableauRecette[[#This Row],[Recette]],TableauRecette[Conditionnement],TableauRecette[[#This Row],[Conditionnement]]),0)</f>
        <v/>
      </c>
      <c r="I222" s="207">
        <f>IFERROR(TableauRecette[[#This Row],[Prix d''achat / kg]],0)</f>
        <v/>
      </c>
      <c r="J222" s="207" t="n"/>
      <c r="K222" s="774" t="n"/>
      <c r="L222" s="775">
        <f>_xlfn.XLOOKUP(TableauRecette[[#This Row],[ID]],TableauProduit[ID],TableauProduit[Total (kg) N1],0,0,1)*TableauRecette[[#This Row],[poids / unite]]</f>
        <v/>
      </c>
      <c r="M222" s="776">
        <f>_xlfn.XLOOKUP(TableauRecette[[#This Row],[ID]],TableauProduit[ID],TableauProduit[Total (kg) N2],0,0,1)*TableauRecette[[#This Row],[poids / unite]]</f>
        <v/>
      </c>
      <c r="N222" s="776">
        <f>_xlfn.XLOOKUP(TableauRecette[[#This Row],[ID]],TableauProduit[ID],TableauProduit[Total (kg) N3],0,0,1)*TableauRecette[[#This Row],[poids / unite]]</f>
        <v/>
      </c>
      <c r="O222" s="776">
        <f>_xlfn.XLOOKUP(TableauRecette[[#This Row],[ID]],TableauProduit[ID],TableauProduit[Total (kg) N4],0,0,1)*TableauRecette[[#This Row],[poids / unite]]</f>
        <v/>
      </c>
      <c r="P222" s="776">
        <f>_xlfn.XLOOKUP(TableauRecette[[#This Row],[ID]],TableauProduit[ID],TableauProduit[Total (kg) N5],0,0,1)*TableauRecette[[#This Row],[poids / unite]]</f>
        <v/>
      </c>
      <c r="Q222" s="776">
        <f>_xlfn.XLOOKUP(TableauRecette[[#This Row],[ID]],TableauProduit[ID],TableauProduit[Total (kg) N6],0,0,1)*TableauRecette[[#This Row],[poids / unite]]</f>
        <v/>
      </c>
      <c r="R222" s="776">
        <f>_xlfn.XLOOKUP(TableauRecette[[#This Row],[ID]],TableauProduit[ID],TableauProduit[Total (kg) N7],0,0,1)*TableauRecette[[#This Row],[poids / unite]]</f>
        <v/>
      </c>
      <c r="S222" s="776">
        <f>_xlfn.XLOOKUP(TableauRecette[[#This Row],[ID]],TableauProduit[ID],TableauProduit[Total (kg) N8],0,0,1)*TableauRecette[[#This Row],[poids / unite]]</f>
        <v/>
      </c>
      <c r="T222" s="776">
        <f>_xlfn.XLOOKUP(TableauRecette[[#This Row],[ID]],TableauProduit[ID],TableauProduit[Total (kg) N9],0,0,1)*TableauRecette[[#This Row],[poids / unite]]</f>
        <v/>
      </c>
    </row>
    <row r="223">
      <c r="A223" s="83" t="inlineStr">
        <is>
          <t>Herbe de provence</t>
        </is>
      </c>
      <c r="B223" s="83">
        <f>TableauRecette[[#This Row],[Recette]]&amp;TableauRecette[[#This Row],[Conditionnement]]</f>
        <v/>
      </c>
      <c r="C223" s="83" t="inlineStr">
        <is>
          <t>Thym</t>
        </is>
      </c>
      <c r="D223" s="207" t="n">
        <v>19</v>
      </c>
      <c r="E223" s="83" t="inlineStr">
        <is>
          <t>Epice 100ml</t>
        </is>
      </c>
      <c r="F223" s="20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23" s="207">
        <f>IFERROR(_xlfn.XLOOKUP(TableauRecette[[#This Row],[Ingredients]],TableauIngredients[Ingredients],TableauIngredients[Prix d''achat (kg)],0)*TableauRecette[[#This Row],[poids / unite]],0)</f>
        <v/>
      </c>
      <c r="H223" s="207">
        <f>IFERROR(SUMIFS(TableauRecette[Proportion],TableauRecette[Recette],TableauRecette[[#This Row],[Recette]],TableauRecette[Conditionnement],TableauRecette[[#This Row],[Conditionnement]]),0)</f>
        <v/>
      </c>
      <c r="I223" s="207">
        <f>IFERROR(TableauRecette[[#This Row],[Prix d''achat / kg]],0)</f>
        <v/>
      </c>
      <c r="J223" s="207" t="n"/>
      <c r="K223" s="774" t="n"/>
      <c r="L223" s="775">
        <f>_xlfn.XLOOKUP(TableauRecette[[#This Row],[ID]],TableauProduit[ID],TableauProduit[Total (kg) N1],0,0,1)*TableauRecette[[#This Row],[poids / unite]]</f>
        <v/>
      </c>
      <c r="M223" s="776">
        <f>_xlfn.XLOOKUP(TableauRecette[[#This Row],[ID]],TableauProduit[ID],TableauProduit[Total (kg) N2],0,0,1)*TableauRecette[[#This Row],[poids / unite]]</f>
        <v/>
      </c>
      <c r="N223" s="776">
        <f>_xlfn.XLOOKUP(TableauRecette[[#This Row],[ID]],TableauProduit[ID],TableauProduit[Total (kg) N3],0,0,1)*TableauRecette[[#This Row],[poids / unite]]</f>
        <v/>
      </c>
      <c r="O223" s="776">
        <f>_xlfn.XLOOKUP(TableauRecette[[#This Row],[ID]],TableauProduit[ID],TableauProduit[Total (kg) N4],0,0,1)*TableauRecette[[#This Row],[poids / unite]]</f>
        <v/>
      </c>
      <c r="P223" s="776">
        <f>_xlfn.XLOOKUP(TableauRecette[[#This Row],[ID]],TableauProduit[ID],TableauProduit[Total (kg) N5],0,0,1)*TableauRecette[[#This Row],[poids / unite]]</f>
        <v/>
      </c>
      <c r="Q223" s="776">
        <f>_xlfn.XLOOKUP(TableauRecette[[#This Row],[ID]],TableauProduit[ID],TableauProduit[Total (kg) N6],0,0,1)*TableauRecette[[#This Row],[poids / unite]]</f>
        <v/>
      </c>
      <c r="R223" s="776">
        <f>_xlfn.XLOOKUP(TableauRecette[[#This Row],[ID]],TableauProduit[ID],TableauProduit[Total (kg) N7],0,0,1)*TableauRecette[[#This Row],[poids / unite]]</f>
        <v/>
      </c>
      <c r="S223" s="776">
        <f>_xlfn.XLOOKUP(TableauRecette[[#This Row],[ID]],TableauProduit[ID],TableauProduit[Total (kg) N8],0,0,1)*TableauRecette[[#This Row],[poids / unite]]</f>
        <v/>
      </c>
      <c r="T223" s="776">
        <f>_xlfn.XLOOKUP(TableauRecette[[#This Row],[ID]],TableauProduit[ID],TableauProduit[Total (kg) N9],0,0,1)*TableauRecette[[#This Row],[poids / unite]]</f>
        <v/>
      </c>
    </row>
    <row r="224">
      <c r="A224" s="83" t="inlineStr">
        <is>
          <t>Herbe de provence</t>
        </is>
      </c>
      <c r="B224" s="83">
        <f>TableauRecette[[#This Row],[Recette]]&amp;TableauRecette[[#This Row],[Conditionnement]]</f>
        <v/>
      </c>
      <c r="C224" s="83" t="inlineStr">
        <is>
          <t>Basilic SEC</t>
        </is>
      </c>
      <c r="D224" s="207" t="n">
        <v>3</v>
      </c>
      <c r="E224" s="83" t="inlineStr">
        <is>
          <t>Epice 100ml</t>
        </is>
      </c>
      <c r="F224" s="20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24" s="207">
        <f>IFERROR(_xlfn.XLOOKUP(TableauRecette[[#This Row],[Ingredients]],TableauIngredients[Ingredients],TableauIngredients[Prix d''achat (kg)],0)*TableauRecette[[#This Row],[poids / unite]],0)</f>
        <v/>
      </c>
      <c r="H224" s="207">
        <f>IFERROR(SUMIFS(TableauRecette[Proportion],TableauRecette[Recette],TableauRecette[[#This Row],[Recette]],TableauRecette[Conditionnement],TableauRecette[[#This Row],[Conditionnement]]),0)</f>
        <v/>
      </c>
      <c r="I224" s="207">
        <f>IFERROR(TableauRecette[[#This Row],[Prix d''achat / kg]],0)</f>
        <v/>
      </c>
      <c r="J224" s="207" t="n"/>
      <c r="K224" s="774" t="n"/>
      <c r="L224" s="775">
        <f>_xlfn.XLOOKUP(TableauRecette[[#This Row],[ID]],TableauProduit[ID],TableauProduit[Total (kg) N1],0,0,1)*TableauRecette[[#This Row],[poids / unite]]</f>
        <v/>
      </c>
      <c r="M224" s="776">
        <f>_xlfn.XLOOKUP(TableauRecette[[#This Row],[ID]],TableauProduit[ID],TableauProduit[Total (kg) N2],0,0,1)*TableauRecette[[#This Row],[poids / unite]]</f>
        <v/>
      </c>
      <c r="N224" s="776">
        <f>_xlfn.XLOOKUP(TableauRecette[[#This Row],[ID]],TableauProduit[ID],TableauProduit[Total (kg) N3],0,0,1)*TableauRecette[[#This Row],[poids / unite]]</f>
        <v/>
      </c>
      <c r="O224" s="776">
        <f>_xlfn.XLOOKUP(TableauRecette[[#This Row],[ID]],TableauProduit[ID],TableauProduit[Total (kg) N4],0,0,1)*TableauRecette[[#This Row],[poids / unite]]</f>
        <v/>
      </c>
      <c r="P224" s="776">
        <f>_xlfn.XLOOKUP(TableauRecette[[#This Row],[ID]],TableauProduit[ID],TableauProduit[Total (kg) N5],0,0,1)*TableauRecette[[#This Row],[poids / unite]]</f>
        <v/>
      </c>
      <c r="Q224" s="776">
        <f>_xlfn.XLOOKUP(TableauRecette[[#This Row],[ID]],TableauProduit[ID],TableauProduit[Total (kg) N6],0,0,1)*TableauRecette[[#This Row],[poids / unite]]</f>
        <v/>
      </c>
      <c r="R224" s="776">
        <f>_xlfn.XLOOKUP(TableauRecette[[#This Row],[ID]],TableauProduit[ID],TableauProduit[Total (kg) N7],0,0,1)*TableauRecette[[#This Row],[poids / unite]]</f>
        <v/>
      </c>
      <c r="S224" s="776">
        <f>_xlfn.XLOOKUP(TableauRecette[[#This Row],[ID]],TableauProduit[ID],TableauProduit[Total (kg) N8],0,0,1)*TableauRecette[[#This Row],[poids / unite]]</f>
        <v/>
      </c>
      <c r="T224" s="776">
        <f>_xlfn.XLOOKUP(TableauRecette[[#This Row],[ID]],TableauProduit[ID],TableauProduit[Total (kg) N9],0,0,1)*TableauRecette[[#This Row],[poids / unite]]</f>
        <v/>
      </c>
    </row>
    <row r="225">
      <c r="A225" s="84" t="inlineStr">
        <is>
          <t>Huile massage anti-arthrite</t>
        </is>
      </c>
      <c r="B225" s="84">
        <f>TableauRecette[[#This Row],[Recette]]&amp;TableauRecette[[#This Row],[Conditionnement]]</f>
        <v/>
      </c>
      <c r="C225" s="84" t="inlineStr">
        <is>
          <t>Gaultheria Procumbens</t>
        </is>
      </c>
      <c r="D225" s="208" t="n">
        <v>1</v>
      </c>
      <c r="E225" s="84" t="inlineStr">
        <is>
          <t>Epice 100ml</t>
        </is>
      </c>
      <c r="F225" s="20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25" s="208">
        <f>IFERROR(_xlfn.XLOOKUP(TableauRecette[[#This Row],[Ingredients]],TableauIngredients[Ingredients],TableauIngredients[Prix d''achat (kg)],0)*TableauRecette[[#This Row],[poids / unite]],0)</f>
        <v/>
      </c>
      <c r="H225" s="208">
        <f>IFERROR(SUMIFS(TableauRecette[Proportion],TableauRecette[Recette],TableauRecette[[#This Row],[Recette]],TableauRecette[Conditionnement],TableauRecette[[#This Row],[Conditionnement]]),0)</f>
        <v/>
      </c>
      <c r="I225" s="208">
        <f>IFERROR(TableauRecette[[#This Row],[Prix d''achat / kg]],0)</f>
        <v/>
      </c>
      <c r="J225" s="208" t="n"/>
      <c r="K225" s="777" t="n"/>
      <c r="L225" s="778">
        <f>_xlfn.XLOOKUP(TableauRecette[[#This Row],[ID]],TableauProduit[ID],TableauProduit[Total (kg) N1],0,0,1)*TableauRecette[[#This Row],[poids / unite]]</f>
        <v/>
      </c>
      <c r="M225" s="779">
        <f>_xlfn.XLOOKUP(TableauRecette[[#This Row],[ID]],TableauProduit[ID],TableauProduit[Total (kg) N2],0,0,1)*TableauRecette[[#This Row],[poids / unite]]</f>
        <v/>
      </c>
      <c r="N225" s="779">
        <f>_xlfn.XLOOKUP(TableauRecette[[#This Row],[ID]],TableauProduit[ID],TableauProduit[Total (kg) N3],0,0,1)*TableauRecette[[#This Row],[poids / unite]]</f>
        <v/>
      </c>
      <c r="O225" s="779">
        <f>_xlfn.XLOOKUP(TableauRecette[[#This Row],[ID]],TableauProduit[ID],TableauProduit[Total (kg) N4],0,0,1)*TableauRecette[[#This Row],[poids / unite]]</f>
        <v/>
      </c>
      <c r="P225" s="779">
        <f>_xlfn.XLOOKUP(TableauRecette[[#This Row],[ID]],TableauProduit[ID],TableauProduit[Total (kg) N5],0,0,1)*TableauRecette[[#This Row],[poids / unite]]</f>
        <v/>
      </c>
      <c r="Q225" s="779">
        <f>_xlfn.XLOOKUP(TableauRecette[[#This Row],[ID]],TableauProduit[ID],TableauProduit[Total (kg) N6],0,0,1)*TableauRecette[[#This Row],[poids / unite]]</f>
        <v/>
      </c>
      <c r="R225" s="779">
        <f>_xlfn.XLOOKUP(TableauRecette[[#This Row],[ID]],TableauProduit[ID],TableauProduit[Total (kg) N7],0,0,1)*TableauRecette[[#This Row],[poids / unite]]</f>
        <v/>
      </c>
      <c r="S225" s="779">
        <f>_xlfn.XLOOKUP(TableauRecette[[#This Row],[ID]],TableauProduit[ID],TableauProduit[Total (kg) N8],0,0,1)*TableauRecette[[#This Row],[poids / unite]]</f>
        <v/>
      </c>
      <c r="T225" s="779">
        <f>_xlfn.XLOOKUP(TableauRecette[[#This Row],[ID]],TableauProduit[ID],TableauProduit[Total (kg) N9],0,0,1)*TableauRecette[[#This Row],[poids / unite]]</f>
        <v/>
      </c>
    </row>
    <row r="226">
      <c r="A226" s="84" t="inlineStr">
        <is>
          <t>Huile massage anti-arthrite</t>
        </is>
      </c>
      <c r="B226" s="84">
        <f>TableauRecette[[#This Row],[Recette]]&amp;TableauRecette[[#This Row],[Conditionnement]]</f>
        <v/>
      </c>
      <c r="C226" s="84" t="inlineStr">
        <is>
          <t>Harpagophytum Procumbens</t>
        </is>
      </c>
      <c r="D226" s="208" t="n">
        <v>2</v>
      </c>
      <c r="E226" s="84" t="inlineStr">
        <is>
          <t>Epice 100ml</t>
        </is>
      </c>
      <c r="F226" s="20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26" s="208">
        <f>IFERROR(_xlfn.XLOOKUP(TableauRecette[[#This Row],[Ingredients]],TableauIngredients[Ingredients],TableauIngredients[Prix d''achat (kg)],0)*TableauRecette[[#This Row],[poids / unite]],0)</f>
        <v/>
      </c>
      <c r="H226" s="208">
        <f>IFERROR(SUMIFS(TableauRecette[Proportion],TableauRecette[Recette],TableauRecette[[#This Row],[Recette]],TableauRecette[Conditionnement],TableauRecette[[#This Row],[Conditionnement]]),0)</f>
        <v/>
      </c>
      <c r="I226" s="208">
        <f>IFERROR(TableauRecette[[#This Row],[Prix d''achat / kg]],0)</f>
        <v/>
      </c>
      <c r="J226" s="208" t="n"/>
      <c r="K226" s="777" t="n"/>
      <c r="L226" s="778">
        <f>_xlfn.XLOOKUP(TableauRecette[[#This Row],[ID]],TableauProduit[ID],TableauProduit[Total (kg) N1],0,0,1)*TableauRecette[[#This Row],[poids / unite]]</f>
        <v/>
      </c>
      <c r="M226" s="779">
        <f>_xlfn.XLOOKUP(TableauRecette[[#This Row],[ID]],TableauProduit[ID],TableauProduit[Total (kg) N2],0,0,1)*TableauRecette[[#This Row],[poids / unite]]</f>
        <v/>
      </c>
      <c r="N226" s="779">
        <f>_xlfn.XLOOKUP(TableauRecette[[#This Row],[ID]],TableauProduit[ID],TableauProduit[Total (kg) N3],0,0,1)*TableauRecette[[#This Row],[poids / unite]]</f>
        <v/>
      </c>
      <c r="O226" s="779">
        <f>_xlfn.XLOOKUP(TableauRecette[[#This Row],[ID]],TableauProduit[ID],TableauProduit[Total (kg) N4],0,0,1)*TableauRecette[[#This Row],[poids / unite]]</f>
        <v/>
      </c>
      <c r="P226" s="779">
        <f>_xlfn.XLOOKUP(TableauRecette[[#This Row],[ID]],TableauProduit[ID],TableauProduit[Total (kg) N5],0,0,1)*TableauRecette[[#This Row],[poids / unite]]</f>
        <v/>
      </c>
      <c r="Q226" s="779">
        <f>_xlfn.XLOOKUP(TableauRecette[[#This Row],[ID]],TableauProduit[ID],TableauProduit[Total (kg) N6],0,0,1)*TableauRecette[[#This Row],[poids / unite]]</f>
        <v/>
      </c>
      <c r="R226" s="779">
        <f>_xlfn.XLOOKUP(TableauRecette[[#This Row],[ID]],TableauProduit[ID],TableauProduit[Total (kg) N7],0,0,1)*TableauRecette[[#This Row],[poids / unite]]</f>
        <v/>
      </c>
      <c r="S226" s="779">
        <f>_xlfn.XLOOKUP(TableauRecette[[#This Row],[ID]],TableauProduit[ID],TableauProduit[Total (kg) N8],0,0,1)*TableauRecette[[#This Row],[poids / unite]]</f>
        <v/>
      </c>
      <c r="T226" s="779">
        <f>_xlfn.XLOOKUP(TableauRecette[[#This Row],[ID]],TableauProduit[ID],TableauProduit[Total (kg) N9],0,0,1)*TableauRecette[[#This Row],[poids / unite]]</f>
        <v/>
      </c>
    </row>
    <row r="227">
      <c r="A227" s="84" t="inlineStr">
        <is>
          <t>Huile massage anti-arthrite</t>
        </is>
      </c>
      <c r="B227" s="84">
        <f>TableauRecette[[#This Row],[Recette]]&amp;TableauRecette[[#This Row],[Conditionnement]]</f>
        <v/>
      </c>
      <c r="C227" s="84" t="inlineStr">
        <is>
          <t>Curcuma Moulu</t>
        </is>
      </c>
      <c r="D227" s="208" t="n">
        <v>2</v>
      </c>
      <c r="E227" s="84" t="inlineStr">
        <is>
          <t>Epice 100ml</t>
        </is>
      </c>
      <c r="F227" s="20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27" s="208">
        <f>IFERROR(_xlfn.XLOOKUP(TableauRecette[[#This Row],[Ingredients]],TableauIngredients[Ingredients],TableauIngredients[Prix d''achat (kg)],0)*TableauRecette[[#This Row],[poids / unite]],0)</f>
        <v/>
      </c>
      <c r="H227" s="208">
        <f>IFERROR(SUMIFS(TableauRecette[Proportion],TableauRecette[Recette],TableauRecette[[#This Row],[Recette]],TableauRecette[Conditionnement],TableauRecette[[#This Row],[Conditionnement]]),0)</f>
        <v/>
      </c>
      <c r="I227" s="208">
        <f>IFERROR(TableauRecette[[#This Row],[Prix d''achat / kg]],0)</f>
        <v/>
      </c>
      <c r="J227" s="208" t="n"/>
      <c r="K227" s="777" t="n"/>
      <c r="L227" s="778">
        <f>_xlfn.XLOOKUP(TableauRecette[[#This Row],[ID]],TableauProduit[ID],TableauProduit[Total (kg) N1],0,0,1)*TableauRecette[[#This Row],[poids / unite]]</f>
        <v/>
      </c>
      <c r="M227" s="779">
        <f>_xlfn.XLOOKUP(TableauRecette[[#This Row],[ID]],TableauProduit[ID],TableauProduit[Total (kg) N2],0,0,1)*TableauRecette[[#This Row],[poids / unite]]</f>
        <v/>
      </c>
      <c r="N227" s="779">
        <f>_xlfn.XLOOKUP(TableauRecette[[#This Row],[ID]],TableauProduit[ID],TableauProduit[Total (kg) N3],0,0,1)*TableauRecette[[#This Row],[poids / unite]]</f>
        <v/>
      </c>
      <c r="O227" s="779">
        <f>_xlfn.XLOOKUP(TableauRecette[[#This Row],[ID]],TableauProduit[ID],TableauProduit[Total (kg) N4],0,0,1)*TableauRecette[[#This Row],[poids / unite]]</f>
        <v/>
      </c>
      <c r="P227" s="779">
        <f>_xlfn.XLOOKUP(TableauRecette[[#This Row],[ID]],TableauProduit[ID],TableauProduit[Total (kg) N5],0,0,1)*TableauRecette[[#This Row],[poids / unite]]</f>
        <v/>
      </c>
      <c r="Q227" s="779">
        <f>_xlfn.XLOOKUP(TableauRecette[[#This Row],[ID]],TableauProduit[ID],TableauProduit[Total (kg) N6],0,0,1)*TableauRecette[[#This Row],[poids / unite]]</f>
        <v/>
      </c>
      <c r="R227" s="779">
        <f>_xlfn.XLOOKUP(TableauRecette[[#This Row],[ID]],TableauProduit[ID],TableauProduit[Total (kg) N7],0,0,1)*TableauRecette[[#This Row],[poids / unite]]</f>
        <v/>
      </c>
      <c r="S227" s="779">
        <f>_xlfn.XLOOKUP(TableauRecette[[#This Row],[ID]],TableauProduit[ID],TableauProduit[Total (kg) N8],0,0,1)*TableauRecette[[#This Row],[poids / unite]]</f>
        <v/>
      </c>
      <c r="T227" s="779">
        <f>_xlfn.XLOOKUP(TableauRecette[[#This Row],[ID]],TableauProduit[ID],TableauProduit[Total (kg) N9],0,0,1)*TableauRecette[[#This Row],[poids / unite]]</f>
        <v/>
      </c>
    </row>
    <row r="228">
      <c r="A228" s="84" t="inlineStr">
        <is>
          <t>Huile massage anti-arthrite</t>
        </is>
      </c>
      <c r="B228" s="84">
        <f>TableauRecette[[#This Row],[Recette]]&amp;TableauRecette[[#This Row],[Conditionnement]]</f>
        <v/>
      </c>
      <c r="C228" s="84" t="inlineStr">
        <is>
          <t>Grande Ortie</t>
        </is>
      </c>
      <c r="D228" s="208" t="n">
        <v>2</v>
      </c>
      <c r="E228" s="84" t="inlineStr">
        <is>
          <t>Epice 100ml</t>
        </is>
      </c>
      <c r="F228" s="20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28" s="208">
        <f>IFERROR(_xlfn.XLOOKUP(TableauRecette[[#This Row],[Ingredients]],TableauIngredients[Ingredients],TableauIngredients[Prix d''achat (kg)],0)*TableauRecette[[#This Row],[poids / unite]],0)</f>
        <v/>
      </c>
      <c r="H228" s="208">
        <f>IFERROR(SUMIFS(TableauRecette[Proportion],TableauRecette[Recette],TableauRecette[[#This Row],[Recette]],TableauRecette[Conditionnement],TableauRecette[[#This Row],[Conditionnement]]),0)</f>
        <v/>
      </c>
      <c r="I228" s="208">
        <f>IFERROR(TableauRecette[[#This Row],[Prix d''achat / kg]],0)</f>
        <v/>
      </c>
      <c r="J228" s="208" t="n"/>
      <c r="K228" s="777" t="n"/>
      <c r="L228" s="778">
        <f>_xlfn.XLOOKUP(TableauRecette[[#This Row],[ID]],TableauProduit[ID],TableauProduit[Total (kg) N1],0,0,1)*TableauRecette[[#This Row],[poids / unite]]</f>
        <v/>
      </c>
      <c r="M228" s="779">
        <f>_xlfn.XLOOKUP(TableauRecette[[#This Row],[ID]],TableauProduit[ID],TableauProduit[Total (kg) N2],0,0,1)*TableauRecette[[#This Row],[poids / unite]]</f>
        <v/>
      </c>
      <c r="N228" s="779">
        <f>_xlfn.XLOOKUP(TableauRecette[[#This Row],[ID]],TableauProduit[ID],TableauProduit[Total (kg) N3],0,0,1)*TableauRecette[[#This Row],[poids / unite]]</f>
        <v/>
      </c>
      <c r="O228" s="779">
        <f>_xlfn.XLOOKUP(TableauRecette[[#This Row],[ID]],TableauProduit[ID],TableauProduit[Total (kg) N4],0,0,1)*TableauRecette[[#This Row],[poids / unite]]</f>
        <v/>
      </c>
      <c r="P228" s="779">
        <f>_xlfn.XLOOKUP(TableauRecette[[#This Row],[ID]],TableauProduit[ID],TableauProduit[Total (kg) N5],0,0,1)*TableauRecette[[#This Row],[poids / unite]]</f>
        <v/>
      </c>
      <c r="Q228" s="779">
        <f>_xlfn.XLOOKUP(TableauRecette[[#This Row],[ID]],TableauProduit[ID],TableauProduit[Total (kg) N6],0,0,1)*TableauRecette[[#This Row],[poids / unite]]</f>
        <v/>
      </c>
      <c r="R228" s="779">
        <f>_xlfn.XLOOKUP(TableauRecette[[#This Row],[ID]],TableauProduit[ID],TableauProduit[Total (kg) N7],0,0,1)*TableauRecette[[#This Row],[poids / unite]]</f>
        <v/>
      </c>
      <c r="S228" s="779">
        <f>_xlfn.XLOOKUP(TableauRecette[[#This Row],[ID]],TableauProduit[ID],TableauProduit[Total (kg) N8],0,0,1)*TableauRecette[[#This Row],[poids / unite]]</f>
        <v/>
      </c>
      <c r="T228" s="779">
        <f>_xlfn.XLOOKUP(TableauRecette[[#This Row],[ID]],TableauProduit[ID],TableauProduit[Total (kg) N9],0,0,1)*TableauRecette[[#This Row],[poids / unite]]</f>
        <v/>
      </c>
    </row>
    <row r="229">
      <c r="A229" s="84" t="inlineStr">
        <is>
          <t>Huile massage anti-arthrite</t>
        </is>
      </c>
      <c r="B229" s="84">
        <f>TableauRecette[[#This Row],[Recette]]&amp;TableauRecette[[#This Row],[Conditionnement]]</f>
        <v/>
      </c>
      <c r="C229" s="84" t="inlineStr">
        <is>
          <t>Thym</t>
        </is>
      </c>
      <c r="D229" s="208" t="n">
        <v>3</v>
      </c>
      <c r="E229" s="84" t="inlineStr">
        <is>
          <t>Epice 100ml</t>
        </is>
      </c>
      <c r="F229" s="20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29" s="208">
        <f>IFERROR(_xlfn.XLOOKUP(TableauRecette[[#This Row],[Ingredients]],TableauIngredients[Ingredients],TableauIngredients[Prix d''achat (kg)],0)*TableauRecette[[#This Row],[poids / unite]],0)</f>
        <v/>
      </c>
      <c r="H229" s="208">
        <f>IFERROR(SUMIFS(TableauRecette[Proportion],TableauRecette[Recette],TableauRecette[[#This Row],[Recette]],TableauRecette[Conditionnement],TableauRecette[[#This Row],[Conditionnement]]),0)</f>
        <v/>
      </c>
      <c r="I229" s="208">
        <f>IFERROR(TableauRecette[[#This Row],[Prix d''achat / kg]],0)</f>
        <v/>
      </c>
      <c r="J229" s="208" t="n"/>
      <c r="K229" s="777" t="n"/>
      <c r="L229" s="778">
        <f>_xlfn.XLOOKUP(TableauRecette[[#This Row],[ID]],TableauProduit[ID],TableauProduit[Total (kg) N1],0,0,1)*TableauRecette[[#This Row],[poids / unite]]</f>
        <v/>
      </c>
      <c r="M229" s="779">
        <f>_xlfn.XLOOKUP(TableauRecette[[#This Row],[ID]],TableauProduit[ID],TableauProduit[Total (kg) N2],0,0,1)*TableauRecette[[#This Row],[poids / unite]]</f>
        <v/>
      </c>
      <c r="N229" s="779">
        <f>_xlfn.XLOOKUP(TableauRecette[[#This Row],[ID]],TableauProduit[ID],TableauProduit[Total (kg) N3],0,0,1)*TableauRecette[[#This Row],[poids / unite]]</f>
        <v/>
      </c>
      <c r="O229" s="779">
        <f>_xlfn.XLOOKUP(TableauRecette[[#This Row],[ID]],TableauProduit[ID],TableauProduit[Total (kg) N4],0,0,1)*TableauRecette[[#This Row],[poids / unite]]</f>
        <v/>
      </c>
      <c r="P229" s="779">
        <f>_xlfn.XLOOKUP(TableauRecette[[#This Row],[ID]],TableauProduit[ID],TableauProduit[Total (kg) N5],0,0,1)*TableauRecette[[#This Row],[poids / unite]]</f>
        <v/>
      </c>
      <c r="Q229" s="779">
        <f>_xlfn.XLOOKUP(TableauRecette[[#This Row],[ID]],TableauProduit[ID],TableauProduit[Total (kg) N6],0,0,1)*TableauRecette[[#This Row],[poids / unite]]</f>
        <v/>
      </c>
      <c r="R229" s="779">
        <f>_xlfn.XLOOKUP(TableauRecette[[#This Row],[ID]],TableauProduit[ID],TableauProduit[Total (kg) N7],0,0,1)*TableauRecette[[#This Row],[poids / unite]]</f>
        <v/>
      </c>
      <c r="S229" s="779">
        <f>_xlfn.XLOOKUP(TableauRecette[[#This Row],[ID]],TableauProduit[ID],TableauProduit[Total (kg) N8],0,0,1)*TableauRecette[[#This Row],[poids / unite]]</f>
        <v/>
      </c>
      <c r="T229" s="779">
        <f>_xlfn.XLOOKUP(TableauRecette[[#This Row],[ID]],TableauProduit[ID],TableauProduit[Total (kg) N9],0,0,1)*TableauRecette[[#This Row],[poids / unite]]</f>
        <v/>
      </c>
    </row>
    <row r="230">
      <c r="A230" s="84" t="inlineStr">
        <is>
          <t>Huile massage anti-arthrite</t>
        </is>
      </c>
      <c r="B230" s="84">
        <f>TableauRecette[[#This Row],[Recette]]&amp;TableauRecette[[#This Row],[Conditionnement]]</f>
        <v/>
      </c>
      <c r="C230" s="84" t="inlineStr">
        <is>
          <t>Lavande</t>
        </is>
      </c>
      <c r="D230" s="208" t="n">
        <v>4</v>
      </c>
      <c r="E230" s="84" t="inlineStr">
        <is>
          <t>Epice 100ml</t>
        </is>
      </c>
      <c r="F230" s="20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30" s="208">
        <f>IFERROR(_xlfn.XLOOKUP(TableauRecette[[#This Row],[Ingredients]],TableauIngredients[Ingredients],TableauIngredients[Prix d''achat (kg)],0)*TableauRecette[[#This Row],[poids / unite]],0)</f>
        <v/>
      </c>
      <c r="H230" s="208">
        <f>IFERROR(SUMIFS(TableauRecette[Proportion],TableauRecette[Recette],TableauRecette[[#This Row],[Recette]],TableauRecette[Conditionnement],TableauRecette[[#This Row],[Conditionnement]]),0)</f>
        <v/>
      </c>
      <c r="I230" s="208">
        <f>IFERROR(TableauRecette[[#This Row],[Prix d''achat / kg]],0)</f>
        <v/>
      </c>
      <c r="J230" s="208" t="n"/>
      <c r="K230" s="777" t="n"/>
      <c r="L230" s="778">
        <f>_xlfn.XLOOKUP(TableauRecette[[#This Row],[ID]],TableauProduit[ID],TableauProduit[Total (kg) N1],0,0,1)*TableauRecette[[#This Row],[poids / unite]]</f>
        <v/>
      </c>
      <c r="M230" s="779">
        <f>_xlfn.XLOOKUP(TableauRecette[[#This Row],[ID]],TableauProduit[ID],TableauProduit[Total (kg) N2],0,0,1)*TableauRecette[[#This Row],[poids / unite]]</f>
        <v/>
      </c>
      <c r="N230" s="779">
        <f>_xlfn.XLOOKUP(TableauRecette[[#This Row],[ID]],TableauProduit[ID],TableauProduit[Total (kg) N3],0,0,1)*TableauRecette[[#This Row],[poids / unite]]</f>
        <v/>
      </c>
      <c r="O230" s="779">
        <f>_xlfn.XLOOKUP(TableauRecette[[#This Row],[ID]],TableauProduit[ID],TableauProduit[Total (kg) N4],0,0,1)*TableauRecette[[#This Row],[poids / unite]]</f>
        <v/>
      </c>
      <c r="P230" s="779">
        <f>_xlfn.XLOOKUP(TableauRecette[[#This Row],[ID]],TableauProduit[ID],TableauProduit[Total (kg) N5],0,0,1)*TableauRecette[[#This Row],[poids / unite]]</f>
        <v/>
      </c>
      <c r="Q230" s="779">
        <f>_xlfn.XLOOKUP(TableauRecette[[#This Row],[ID]],TableauProduit[ID],TableauProduit[Total (kg) N6],0,0,1)*TableauRecette[[#This Row],[poids / unite]]</f>
        <v/>
      </c>
      <c r="R230" s="779">
        <f>_xlfn.XLOOKUP(TableauRecette[[#This Row],[ID]],TableauProduit[ID],TableauProduit[Total (kg) N7],0,0,1)*TableauRecette[[#This Row],[poids / unite]]</f>
        <v/>
      </c>
      <c r="S230" s="779">
        <f>_xlfn.XLOOKUP(TableauRecette[[#This Row],[ID]],TableauProduit[ID],TableauProduit[Total (kg) N8],0,0,1)*TableauRecette[[#This Row],[poids / unite]]</f>
        <v/>
      </c>
      <c r="T230" s="779">
        <f>_xlfn.XLOOKUP(TableauRecette[[#This Row],[ID]],TableauProduit[ID],TableauProduit[Total (kg) N9],0,0,1)*TableauRecette[[#This Row],[poids / unite]]</f>
        <v/>
      </c>
    </row>
    <row r="231">
      <c r="A231" s="84" t="inlineStr">
        <is>
          <t>Huile massage anti-arthrite</t>
        </is>
      </c>
      <c r="B231" s="84">
        <f>TableauRecette[[#This Row],[Recette]]&amp;TableauRecette[[#This Row],[Conditionnement]]</f>
        <v/>
      </c>
      <c r="C231" s="84" t="inlineStr">
        <is>
          <t>Hélichryse</t>
        </is>
      </c>
      <c r="D231" s="208" t="n">
        <v>2</v>
      </c>
      <c r="E231" s="84" t="inlineStr">
        <is>
          <t>Epice 100ml</t>
        </is>
      </c>
      <c r="F231" s="20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31" s="208">
        <f>IFERROR(_xlfn.XLOOKUP(TableauRecette[[#This Row],[Ingredients]],TableauIngredients[Ingredients],TableauIngredients[Prix d''achat (kg)],0)*TableauRecette[[#This Row],[poids / unite]],0)</f>
        <v/>
      </c>
      <c r="H231" s="208">
        <f>IFERROR(SUMIFS(TableauRecette[Proportion],TableauRecette[Recette],TableauRecette[[#This Row],[Recette]],TableauRecette[Conditionnement],TableauRecette[[#This Row],[Conditionnement]]),0)</f>
        <v/>
      </c>
      <c r="I231" s="208">
        <f>IFERROR(TableauRecette[[#This Row],[Prix d''achat / kg]],0)</f>
        <v/>
      </c>
      <c r="J231" s="208" t="n"/>
      <c r="K231" s="777" t="n"/>
      <c r="L231" s="778">
        <f>_xlfn.XLOOKUP(TableauRecette[[#This Row],[ID]],TableauProduit[ID],TableauProduit[Total (kg) N1],0,0,1)*TableauRecette[[#This Row],[poids / unite]]</f>
        <v/>
      </c>
      <c r="M231" s="779">
        <f>_xlfn.XLOOKUP(TableauRecette[[#This Row],[ID]],TableauProduit[ID],TableauProduit[Total (kg) N2],0,0,1)*TableauRecette[[#This Row],[poids / unite]]</f>
        <v/>
      </c>
      <c r="N231" s="779">
        <f>_xlfn.XLOOKUP(TableauRecette[[#This Row],[ID]],TableauProduit[ID],TableauProduit[Total (kg) N3],0,0,1)*TableauRecette[[#This Row],[poids / unite]]</f>
        <v/>
      </c>
      <c r="O231" s="779">
        <f>_xlfn.XLOOKUP(TableauRecette[[#This Row],[ID]],TableauProduit[ID],TableauProduit[Total (kg) N4],0,0,1)*TableauRecette[[#This Row],[poids / unite]]</f>
        <v/>
      </c>
      <c r="P231" s="779">
        <f>_xlfn.XLOOKUP(TableauRecette[[#This Row],[ID]],TableauProduit[ID],TableauProduit[Total (kg) N5],0,0,1)*TableauRecette[[#This Row],[poids / unite]]</f>
        <v/>
      </c>
      <c r="Q231" s="779">
        <f>_xlfn.XLOOKUP(TableauRecette[[#This Row],[ID]],TableauProduit[ID],TableauProduit[Total (kg) N6],0,0,1)*TableauRecette[[#This Row],[poids / unite]]</f>
        <v/>
      </c>
      <c r="R231" s="779">
        <f>_xlfn.XLOOKUP(TableauRecette[[#This Row],[ID]],TableauProduit[ID],TableauProduit[Total (kg) N7],0,0,1)*TableauRecette[[#This Row],[poids / unite]]</f>
        <v/>
      </c>
      <c r="S231" s="779">
        <f>_xlfn.XLOOKUP(TableauRecette[[#This Row],[ID]],TableauProduit[ID],TableauProduit[Total (kg) N8],0,0,1)*TableauRecette[[#This Row],[poids / unite]]</f>
        <v/>
      </c>
      <c r="T231" s="779">
        <f>_xlfn.XLOOKUP(TableauRecette[[#This Row],[ID]],TableauProduit[ID],TableauProduit[Total (kg) N9],0,0,1)*TableauRecette[[#This Row],[poids / unite]]</f>
        <v/>
      </c>
    </row>
    <row r="232">
      <c r="A232" s="84" t="inlineStr">
        <is>
          <t>Huile massage anti-arthrite</t>
        </is>
      </c>
      <c r="B232" s="84">
        <f>TableauRecette[[#This Row],[Recette]]&amp;TableauRecette[[#This Row],[Conditionnement]]</f>
        <v/>
      </c>
      <c r="C232" s="84" t="inlineStr">
        <is>
          <t>Amande Douce</t>
        </is>
      </c>
      <c r="D232" s="208" t="n">
        <v>100</v>
      </c>
      <c r="E232" s="84" t="inlineStr">
        <is>
          <t>Epice 100ml</t>
        </is>
      </c>
      <c r="F232" s="20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32" s="208">
        <f>IFERROR(_xlfn.XLOOKUP(TableauRecette[[#This Row],[Ingredients]],TableauIngredients[Ingredients],TableauIngredients[Prix d''achat (kg)],0)*TableauRecette[[#This Row],[poids / unite]],0)</f>
        <v/>
      </c>
      <c r="H232" s="208">
        <f>IFERROR(SUMIFS(TableauRecette[Proportion],TableauRecette[Recette],TableauRecette[[#This Row],[Recette]],TableauRecette[Conditionnement],TableauRecette[[#This Row],[Conditionnement]]),0)</f>
        <v/>
      </c>
      <c r="I232" s="208">
        <f>IFERROR(TableauRecette[[#This Row],[Prix d''achat / kg]],0)</f>
        <v/>
      </c>
      <c r="J232" s="208" t="n"/>
      <c r="K232" s="777" t="n"/>
      <c r="L232" s="778">
        <f>_xlfn.XLOOKUP(TableauRecette[[#This Row],[ID]],TableauProduit[ID],TableauProduit[Total (kg) N1],0,0,1)*TableauRecette[[#This Row],[poids / unite]]</f>
        <v/>
      </c>
      <c r="M232" s="779">
        <f>_xlfn.XLOOKUP(TableauRecette[[#This Row],[ID]],TableauProduit[ID],TableauProduit[Total (kg) N2],0,0,1)*TableauRecette[[#This Row],[poids / unite]]</f>
        <v/>
      </c>
      <c r="N232" s="779">
        <f>_xlfn.XLOOKUP(TableauRecette[[#This Row],[ID]],TableauProduit[ID],TableauProduit[Total (kg) N3],0,0,1)*TableauRecette[[#This Row],[poids / unite]]</f>
        <v/>
      </c>
      <c r="O232" s="779">
        <f>_xlfn.XLOOKUP(TableauRecette[[#This Row],[ID]],TableauProduit[ID],TableauProduit[Total (kg) N4],0,0,1)*TableauRecette[[#This Row],[poids / unite]]</f>
        <v/>
      </c>
      <c r="P232" s="779">
        <f>_xlfn.XLOOKUP(TableauRecette[[#This Row],[ID]],TableauProduit[ID],TableauProduit[Total (kg) N5],0,0,1)*TableauRecette[[#This Row],[poids / unite]]</f>
        <v/>
      </c>
      <c r="Q232" s="779">
        <f>_xlfn.XLOOKUP(TableauRecette[[#This Row],[ID]],TableauProduit[ID],TableauProduit[Total (kg) N6],0,0,1)*TableauRecette[[#This Row],[poids / unite]]</f>
        <v/>
      </c>
      <c r="R232" s="779">
        <f>_xlfn.XLOOKUP(TableauRecette[[#This Row],[ID]],TableauProduit[ID],TableauProduit[Total (kg) N7],0,0,1)*TableauRecette[[#This Row],[poids / unite]]</f>
        <v/>
      </c>
      <c r="S232" s="779">
        <f>_xlfn.XLOOKUP(TableauRecette[[#This Row],[ID]],TableauProduit[ID],TableauProduit[Total (kg) N8],0,0,1)*TableauRecette[[#This Row],[poids / unite]]</f>
        <v/>
      </c>
      <c r="T232" s="779">
        <f>_xlfn.XLOOKUP(TableauRecette[[#This Row],[ID]],TableauProduit[ID],TableauProduit[Total (kg) N9],0,0,1)*TableauRecette[[#This Row],[poids / unite]]</f>
        <v/>
      </c>
    </row>
    <row r="233">
      <c r="A233" s="84" t="inlineStr">
        <is>
          <t>Huile massage anti-arthrite</t>
        </is>
      </c>
      <c r="B233" s="84">
        <f>TableauRecette[[#This Row],[Recette]]&amp;TableauRecette[[#This Row],[Conditionnement]]</f>
        <v/>
      </c>
      <c r="C233" s="84" t="inlineStr">
        <is>
          <t>Huile De Tournesol</t>
        </is>
      </c>
      <c r="D233" s="208" t="n">
        <v>150</v>
      </c>
      <c r="E233" s="84" t="inlineStr">
        <is>
          <t>Epice 100ml</t>
        </is>
      </c>
      <c r="F233" s="20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33" s="208">
        <f>IFERROR(_xlfn.XLOOKUP(TableauRecette[[#This Row],[Ingredients]],TableauIngredients[Ingredients],TableauIngredients[Prix d''achat (kg)],0)*TableauRecette[[#This Row],[poids / unite]],0)</f>
        <v/>
      </c>
      <c r="H233" s="208">
        <f>IFERROR(SUMIFS(TableauRecette[Proportion],TableauRecette[Recette],TableauRecette[[#This Row],[Recette]],TableauRecette[Conditionnement],TableauRecette[[#This Row],[Conditionnement]]),0)</f>
        <v/>
      </c>
      <c r="I233" s="208">
        <f>IFERROR(TableauRecette[[#This Row],[Prix d''achat / kg]],0)</f>
        <v/>
      </c>
      <c r="J233" s="208" t="n"/>
      <c r="K233" s="777" t="n"/>
      <c r="L233" s="778">
        <f>_xlfn.XLOOKUP(TableauRecette[[#This Row],[ID]],TableauProduit[ID],TableauProduit[Total (kg) N1],0,0,1)*TableauRecette[[#This Row],[poids / unite]]</f>
        <v/>
      </c>
      <c r="M233" s="779">
        <f>_xlfn.XLOOKUP(TableauRecette[[#This Row],[ID]],TableauProduit[ID],TableauProduit[Total (kg) N2],0,0,1)*TableauRecette[[#This Row],[poids / unite]]</f>
        <v/>
      </c>
      <c r="N233" s="779">
        <f>_xlfn.XLOOKUP(TableauRecette[[#This Row],[ID]],TableauProduit[ID],TableauProduit[Total (kg) N3],0,0,1)*TableauRecette[[#This Row],[poids / unite]]</f>
        <v/>
      </c>
      <c r="O233" s="779">
        <f>_xlfn.XLOOKUP(TableauRecette[[#This Row],[ID]],TableauProduit[ID],TableauProduit[Total (kg) N4],0,0,1)*TableauRecette[[#This Row],[poids / unite]]</f>
        <v/>
      </c>
      <c r="P233" s="779">
        <f>_xlfn.XLOOKUP(TableauRecette[[#This Row],[ID]],TableauProduit[ID],TableauProduit[Total (kg) N5],0,0,1)*TableauRecette[[#This Row],[poids / unite]]</f>
        <v/>
      </c>
      <c r="Q233" s="779">
        <f>_xlfn.XLOOKUP(TableauRecette[[#This Row],[ID]],TableauProduit[ID],TableauProduit[Total (kg) N6],0,0,1)*TableauRecette[[#This Row],[poids / unite]]</f>
        <v/>
      </c>
      <c r="R233" s="779">
        <f>_xlfn.XLOOKUP(TableauRecette[[#This Row],[ID]],TableauProduit[ID],TableauProduit[Total (kg) N7],0,0,1)*TableauRecette[[#This Row],[poids / unite]]</f>
        <v/>
      </c>
      <c r="S233" s="779">
        <f>_xlfn.XLOOKUP(TableauRecette[[#This Row],[ID]],TableauProduit[ID],TableauProduit[Total (kg) N8],0,0,1)*TableauRecette[[#This Row],[poids / unite]]</f>
        <v/>
      </c>
      <c r="T233" s="779">
        <f>_xlfn.XLOOKUP(TableauRecette[[#This Row],[ID]],TableauProduit[ID],TableauProduit[Total (kg) N9],0,0,1)*TableauRecette[[#This Row],[poids / unite]]</f>
        <v/>
      </c>
    </row>
    <row r="234">
      <c r="A234" s="444" t="inlineStr">
        <is>
          <t>Huile massage musculaire</t>
        </is>
      </c>
      <c r="B234" s="444">
        <f>TableauRecette[[#This Row],[Recette]]&amp;TableauRecette[[#This Row],[Conditionnement]]</f>
        <v/>
      </c>
      <c r="C234" s="444" t="inlineStr">
        <is>
          <t>Masera De Piment</t>
        </is>
      </c>
      <c r="D234" s="445" t="n">
        <v>1</v>
      </c>
      <c r="E234" s="444" t="inlineStr">
        <is>
          <t>Piment liquide 100ml</t>
        </is>
      </c>
      <c r="F234" s="44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34" s="445">
        <f>IFERROR(_xlfn.XLOOKUP(TableauRecette[[#This Row],[Ingredients]],TableauIngredients[Ingredients],TableauIngredients[Prix d''achat (kg)],0)*TableauRecette[[#This Row],[poids / unite]],0)</f>
        <v/>
      </c>
      <c r="H234" s="445">
        <f>IFERROR(SUMIFS(TableauRecette[Proportion],TableauRecette[Recette],TableauRecette[[#This Row],[Recette]],TableauRecette[Conditionnement],TableauRecette[[#This Row],[Conditionnement]]),0)</f>
        <v/>
      </c>
      <c r="I234" s="445">
        <f>IFERROR(TableauRecette[[#This Row],[Prix d''achat / kg]],0)</f>
        <v/>
      </c>
      <c r="J234" s="445" t="n"/>
      <c r="K234" s="780" t="n"/>
      <c r="L234" s="781">
        <f>_xlfn.XLOOKUP(TableauRecette[[#This Row],[ID]],TableauProduit[ID],TableauProduit[Total (kg) N1],0,0,1)*TableauRecette[[#This Row],[poids / unite]]</f>
        <v/>
      </c>
      <c r="M234" s="782">
        <f>_xlfn.XLOOKUP(TableauRecette[[#This Row],[ID]],TableauProduit[ID],TableauProduit[Total (kg) N2],0,0,1)*TableauRecette[[#This Row],[poids / unite]]</f>
        <v/>
      </c>
      <c r="N234" s="782">
        <f>_xlfn.XLOOKUP(TableauRecette[[#This Row],[ID]],TableauProduit[ID],TableauProduit[Total (kg) N3],0,0,1)*TableauRecette[[#This Row],[poids / unite]]</f>
        <v/>
      </c>
      <c r="O234" s="782">
        <f>_xlfn.XLOOKUP(TableauRecette[[#This Row],[ID]],TableauProduit[ID],TableauProduit[Total (kg) N4],0,0,1)*TableauRecette[[#This Row],[poids / unite]]</f>
        <v/>
      </c>
      <c r="P234" s="782">
        <f>_xlfn.XLOOKUP(TableauRecette[[#This Row],[ID]],TableauProduit[ID],TableauProduit[Total (kg) N5],0,0,1)*TableauRecette[[#This Row],[poids / unite]]</f>
        <v/>
      </c>
      <c r="Q234" s="782">
        <f>_xlfn.XLOOKUP(TableauRecette[[#This Row],[ID]],TableauProduit[ID],TableauProduit[Total (kg) N6],0,0,1)*TableauRecette[[#This Row],[poids / unite]]</f>
        <v/>
      </c>
      <c r="R234" s="782">
        <f>_xlfn.XLOOKUP(TableauRecette[[#This Row],[ID]],TableauProduit[ID],TableauProduit[Total (kg) N7],0,0,1)*TableauRecette[[#This Row],[poids / unite]]</f>
        <v/>
      </c>
      <c r="S234" s="782">
        <f>_xlfn.XLOOKUP(TableauRecette[[#This Row],[ID]],TableauProduit[ID],TableauProduit[Total (kg) N8],0,0,1)*TableauRecette[[#This Row],[poids / unite]]</f>
        <v/>
      </c>
      <c r="T234" s="782">
        <f>_xlfn.XLOOKUP(TableauRecette[[#This Row],[ID]],TableauProduit[ID],TableauProduit[Total (kg) N9],0,0,1)*TableauRecette[[#This Row],[poids / unite]]</f>
        <v/>
      </c>
    </row>
    <row r="235">
      <c r="A235" s="85" t="inlineStr">
        <is>
          <t>Jamaican Jerk</t>
        </is>
      </c>
      <c r="B235" s="85">
        <f>TableauRecette[[#This Row],[Recette]]&amp;TableauRecette[[#This Row],[Conditionnement]]</f>
        <v/>
      </c>
      <c r="C235" s="85" t="inlineStr">
        <is>
          <t>Sel</t>
        </is>
      </c>
      <c r="D235" s="209" t="n">
        <v>2</v>
      </c>
      <c r="E235" s="85" t="inlineStr">
        <is>
          <t>Epice 100ml</t>
        </is>
      </c>
      <c r="F235" s="20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35" s="209">
        <f>IFERROR(_xlfn.XLOOKUP(TableauRecette[[#This Row],[Ingredients]],TableauIngredients[Ingredients],TableauIngredients[Prix d''achat (kg)],0)*TableauRecette[[#This Row],[poids / unite]],0)</f>
        <v/>
      </c>
      <c r="H235" s="209">
        <f>IFERROR(SUMIFS(TableauRecette[Proportion],TableauRecette[Recette],TableauRecette[[#This Row],[Recette]],TableauRecette[Conditionnement],TableauRecette[[#This Row],[Conditionnement]]),0)</f>
        <v/>
      </c>
      <c r="I235" s="209">
        <f>IFERROR(TableauRecette[[#This Row],[Prix d''achat / kg]],0)</f>
        <v/>
      </c>
      <c r="J235" s="209" t="n"/>
      <c r="K235" s="783" t="n"/>
      <c r="L235" s="784">
        <f>_xlfn.XLOOKUP(TableauRecette[[#This Row],[ID]],TableauProduit[ID],TableauProduit[Total (kg) N1],0,0,1)*TableauRecette[[#This Row],[poids / unite]]</f>
        <v/>
      </c>
      <c r="M235" s="785">
        <f>_xlfn.XLOOKUP(TableauRecette[[#This Row],[ID]],TableauProduit[ID],TableauProduit[Total (kg) N2],0,0,1)*TableauRecette[[#This Row],[poids / unite]]</f>
        <v/>
      </c>
      <c r="N235" s="785">
        <f>_xlfn.XLOOKUP(TableauRecette[[#This Row],[ID]],TableauProduit[ID],TableauProduit[Total (kg) N3],0,0,1)*TableauRecette[[#This Row],[poids / unite]]</f>
        <v/>
      </c>
      <c r="O235" s="785">
        <f>_xlfn.XLOOKUP(TableauRecette[[#This Row],[ID]],TableauProduit[ID],TableauProduit[Total (kg) N4],0,0,1)*TableauRecette[[#This Row],[poids / unite]]</f>
        <v/>
      </c>
      <c r="P235" s="785">
        <f>_xlfn.XLOOKUP(TableauRecette[[#This Row],[ID]],TableauProduit[ID],TableauProduit[Total (kg) N5],0,0,1)*TableauRecette[[#This Row],[poids / unite]]</f>
        <v/>
      </c>
      <c r="Q235" s="785">
        <f>_xlfn.XLOOKUP(TableauRecette[[#This Row],[ID]],TableauProduit[ID],TableauProduit[Total (kg) N6],0,0,1)*TableauRecette[[#This Row],[poids / unite]]</f>
        <v/>
      </c>
      <c r="R235" s="785">
        <f>_xlfn.XLOOKUP(TableauRecette[[#This Row],[ID]],TableauProduit[ID],TableauProduit[Total (kg) N7],0,0,1)*TableauRecette[[#This Row],[poids / unite]]</f>
        <v/>
      </c>
      <c r="S235" s="785">
        <f>_xlfn.XLOOKUP(TableauRecette[[#This Row],[ID]],TableauProduit[ID],TableauProduit[Total (kg) N8],0,0,1)*TableauRecette[[#This Row],[poids / unite]]</f>
        <v/>
      </c>
      <c r="T235" s="785">
        <f>_xlfn.XLOOKUP(TableauRecette[[#This Row],[ID]],TableauProduit[ID],TableauProduit[Total (kg) N9],0,0,1)*TableauRecette[[#This Row],[poids / unite]]</f>
        <v/>
      </c>
    </row>
    <row r="236">
      <c r="A236" s="85" t="inlineStr">
        <is>
          <t>Jamaican Jerk</t>
        </is>
      </c>
      <c r="B236" s="85">
        <f>TableauRecette[[#This Row],[Recette]]&amp;TableauRecette[[#This Row],[Conditionnement]]</f>
        <v/>
      </c>
      <c r="C236" s="85" t="inlineStr">
        <is>
          <t>Cassonade</t>
        </is>
      </c>
      <c r="D236" s="209" t="n">
        <v>2</v>
      </c>
      <c r="E236" s="85" t="inlineStr">
        <is>
          <t>Epice 100ml</t>
        </is>
      </c>
      <c r="F236" s="20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36" s="209">
        <f>IFERROR(_xlfn.XLOOKUP(TableauRecette[[#This Row],[Ingredients]],TableauIngredients[Ingredients],TableauIngredients[Prix d''achat (kg)],0)*TableauRecette[[#This Row],[poids / unite]],0)</f>
        <v/>
      </c>
      <c r="H236" s="209">
        <f>IFERROR(SUMIFS(TableauRecette[Proportion],TableauRecette[Recette],TableauRecette[[#This Row],[Recette]],TableauRecette[Conditionnement],TableauRecette[[#This Row],[Conditionnement]]),0)</f>
        <v/>
      </c>
      <c r="I236" s="209">
        <f>IFERROR(TableauRecette[[#This Row],[Prix d''achat / kg]],0)</f>
        <v/>
      </c>
      <c r="J236" s="209" t="n"/>
      <c r="K236" s="783" t="n"/>
      <c r="L236" s="784">
        <f>_xlfn.XLOOKUP(TableauRecette[[#This Row],[ID]],TableauProduit[ID],TableauProduit[Total (kg) N1],0,0,1)*TableauRecette[[#This Row],[poids / unite]]</f>
        <v/>
      </c>
      <c r="M236" s="785">
        <f>_xlfn.XLOOKUP(TableauRecette[[#This Row],[ID]],TableauProduit[ID],TableauProduit[Total (kg) N2],0,0,1)*TableauRecette[[#This Row],[poids / unite]]</f>
        <v/>
      </c>
      <c r="N236" s="785">
        <f>_xlfn.XLOOKUP(TableauRecette[[#This Row],[ID]],TableauProduit[ID],TableauProduit[Total (kg) N3],0,0,1)*TableauRecette[[#This Row],[poids / unite]]</f>
        <v/>
      </c>
      <c r="O236" s="785">
        <f>_xlfn.XLOOKUP(TableauRecette[[#This Row],[ID]],TableauProduit[ID],TableauProduit[Total (kg) N4],0,0,1)*TableauRecette[[#This Row],[poids / unite]]</f>
        <v/>
      </c>
      <c r="P236" s="785">
        <f>_xlfn.XLOOKUP(TableauRecette[[#This Row],[ID]],TableauProduit[ID],TableauProduit[Total (kg) N5],0,0,1)*TableauRecette[[#This Row],[poids / unite]]</f>
        <v/>
      </c>
      <c r="Q236" s="785">
        <f>_xlfn.XLOOKUP(TableauRecette[[#This Row],[ID]],TableauProduit[ID],TableauProduit[Total (kg) N6],0,0,1)*TableauRecette[[#This Row],[poids / unite]]</f>
        <v/>
      </c>
      <c r="R236" s="785">
        <f>_xlfn.XLOOKUP(TableauRecette[[#This Row],[ID]],TableauProduit[ID],TableauProduit[Total (kg) N7],0,0,1)*TableauRecette[[#This Row],[poids / unite]]</f>
        <v/>
      </c>
      <c r="S236" s="785">
        <f>_xlfn.XLOOKUP(TableauRecette[[#This Row],[ID]],TableauProduit[ID],TableauProduit[Total (kg) N8],0,0,1)*TableauRecette[[#This Row],[poids / unite]]</f>
        <v/>
      </c>
      <c r="T236" s="785">
        <f>_xlfn.XLOOKUP(TableauRecette[[#This Row],[ID]],TableauProduit[ID],TableauProduit[Total (kg) N9],0,0,1)*TableauRecette[[#This Row],[poids / unite]]</f>
        <v/>
      </c>
    </row>
    <row r="237">
      <c r="A237" s="85" t="inlineStr">
        <is>
          <t>Jamaican Jerk</t>
        </is>
      </c>
      <c r="B237" s="85">
        <f>TableauRecette[[#This Row],[Recette]]&amp;TableauRecette[[#This Row],[Conditionnement]]</f>
        <v/>
      </c>
      <c r="C237" s="85" t="inlineStr">
        <is>
          <t>Oignon Séché</t>
        </is>
      </c>
      <c r="D237" s="209" t="n">
        <v>2</v>
      </c>
      <c r="E237" s="85" t="inlineStr">
        <is>
          <t>Epice 100ml</t>
        </is>
      </c>
      <c r="F237" s="20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37" s="209">
        <f>IFERROR(_xlfn.XLOOKUP(TableauRecette[[#This Row],[Ingredients]],TableauIngredients[Ingredients],TableauIngredients[Prix d''achat (kg)],0)*TableauRecette[[#This Row],[poids / unite]],0)</f>
        <v/>
      </c>
      <c r="H237" s="209">
        <f>IFERROR(SUMIFS(TableauRecette[Proportion],TableauRecette[Recette],TableauRecette[[#This Row],[Recette]],TableauRecette[Conditionnement],TableauRecette[[#This Row],[Conditionnement]]),0)</f>
        <v/>
      </c>
      <c r="I237" s="209">
        <f>IFERROR(TableauRecette[[#This Row],[Prix d''achat / kg]],0)</f>
        <v/>
      </c>
      <c r="J237" s="209" t="n"/>
      <c r="K237" s="783" t="n"/>
      <c r="L237" s="784">
        <f>_xlfn.XLOOKUP(TableauRecette[[#This Row],[ID]],TableauProduit[ID],TableauProduit[Total (kg) N1],0,0,1)*TableauRecette[[#This Row],[poids / unite]]</f>
        <v/>
      </c>
      <c r="M237" s="785">
        <f>_xlfn.XLOOKUP(TableauRecette[[#This Row],[ID]],TableauProduit[ID],TableauProduit[Total (kg) N2],0,0,1)*TableauRecette[[#This Row],[poids / unite]]</f>
        <v/>
      </c>
      <c r="N237" s="785">
        <f>_xlfn.XLOOKUP(TableauRecette[[#This Row],[ID]],TableauProduit[ID],TableauProduit[Total (kg) N3],0,0,1)*TableauRecette[[#This Row],[poids / unite]]</f>
        <v/>
      </c>
      <c r="O237" s="785">
        <f>_xlfn.XLOOKUP(TableauRecette[[#This Row],[ID]],TableauProduit[ID],TableauProduit[Total (kg) N4],0,0,1)*TableauRecette[[#This Row],[poids / unite]]</f>
        <v/>
      </c>
      <c r="P237" s="785">
        <f>_xlfn.XLOOKUP(TableauRecette[[#This Row],[ID]],TableauProduit[ID],TableauProduit[Total (kg) N5],0,0,1)*TableauRecette[[#This Row],[poids / unite]]</f>
        <v/>
      </c>
      <c r="Q237" s="785">
        <f>_xlfn.XLOOKUP(TableauRecette[[#This Row],[ID]],TableauProduit[ID],TableauProduit[Total (kg) N6],0,0,1)*TableauRecette[[#This Row],[poids / unite]]</f>
        <v/>
      </c>
      <c r="R237" s="785">
        <f>_xlfn.XLOOKUP(TableauRecette[[#This Row],[ID]],TableauProduit[ID],TableauProduit[Total (kg) N7],0,0,1)*TableauRecette[[#This Row],[poids / unite]]</f>
        <v/>
      </c>
      <c r="S237" s="785">
        <f>_xlfn.XLOOKUP(TableauRecette[[#This Row],[ID]],TableauProduit[ID],TableauProduit[Total (kg) N8],0,0,1)*TableauRecette[[#This Row],[poids / unite]]</f>
        <v/>
      </c>
      <c r="T237" s="785">
        <f>_xlfn.XLOOKUP(TableauRecette[[#This Row],[ID]],TableauProduit[ID],TableauProduit[Total (kg) N9],0,0,1)*TableauRecette[[#This Row],[poids / unite]]</f>
        <v/>
      </c>
    </row>
    <row r="238">
      <c r="A238" s="85" t="inlineStr">
        <is>
          <t>Jamaican Jerk</t>
        </is>
      </c>
      <c r="B238" s="85">
        <f>TableauRecette[[#This Row],[Recette]]&amp;TableauRecette[[#This Row],[Conditionnement]]</f>
        <v/>
      </c>
      <c r="C238" s="85" t="inlineStr">
        <is>
          <t>Muscade</t>
        </is>
      </c>
      <c r="D238" s="209" t="n">
        <v>1.5</v>
      </c>
      <c r="E238" s="85" t="inlineStr">
        <is>
          <t>Epice 100ml</t>
        </is>
      </c>
      <c r="F238" s="20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38" s="209">
        <f>IFERROR(_xlfn.XLOOKUP(TableauRecette[[#This Row],[Ingredients]],TableauIngredients[Ingredients],TableauIngredients[Prix d''achat (kg)],0)*TableauRecette[[#This Row],[poids / unite]],0)</f>
        <v/>
      </c>
      <c r="H238" s="209">
        <f>IFERROR(SUMIFS(TableauRecette[Proportion],TableauRecette[Recette],TableauRecette[[#This Row],[Recette]],TableauRecette[Conditionnement],TableauRecette[[#This Row],[Conditionnement]]),0)</f>
        <v/>
      </c>
      <c r="I238" s="209">
        <f>IFERROR(TableauRecette[[#This Row],[Prix d''achat / kg]],0)</f>
        <v/>
      </c>
      <c r="J238" s="209" t="n"/>
      <c r="K238" s="783" t="n"/>
      <c r="L238" s="784">
        <f>_xlfn.XLOOKUP(TableauRecette[[#This Row],[ID]],TableauProduit[ID],TableauProduit[Total (kg) N1],0,0,1)*TableauRecette[[#This Row],[poids / unite]]</f>
        <v/>
      </c>
      <c r="M238" s="785">
        <f>_xlfn.XLOOKUP(TableauRecette[[#This Row],[ID]],TableauProduit[ID],TableauProduit[Total (kg) N2],0,0,1)*TableauRecette[[#This Row],[poids / unite]]</f>
        <v/>
      </c>
      <c r="N238" s="785">
        <f>_xlfn.XLOOKUP(TableauRecette[[#This Row],[ID]],TableauProduit[ID],TableauProduit[Total (kg) N3],0,0,1)*TableauRecette[[#This Row],[poids / unite]]</f>
        <v/>
      </c>
      <c r="O238" s="785">
        <f>_xlfn.XLOOKUP(TableauRecette[[#This Row],[ID]],TableauProduit[ID],TableauProduit[Total (kg) N4],0,0,1)*TableauRecette[[#This Row],[poids / unite]]</f>
        <v/>
      </c>
      <c r="P238" s="785">
        <f>_xlfn.XLOOKUP(TableauRecette[[#This Row],[ID]],TableauProduit[ID],TableauProduit[Total (kg) N5],0,0,1)*TableauRecette[[#This Row],[poids / unite]]</f>
        <v/>
      </c>
      <c r="Q238" s="785">
        <f>_xlfn.XLOOKUP(TableauRecette[[#This Row],[ID]],TableauProduit[ID],TableauProduit[Total (kg) N6],0,0,1)*TableauRecette[[#This Row],[poids / unite]]</f>
        <v/>
      </c>
      <c r="R238" s="785">
        <f>_xlfn.XLOOKUP(TableauRecette[[#This Row],[ID]],TableauProduit[ID],TableauProduit[Total (kg) N7],0,0,1)*TableauRecette[[#This Row],[poids / unite]]</f>
        <v/>
      </c>
      <c r="S238" s="785">
        <f>_xlfn.XLOOKUP(TableauRecette[[#This Row],[ID]],TableauProduit[ID],TableauProduit[Total (kg) N8],0,0,1)*TableauRecette[[#This Row],[poids / unite]]</f>
        <v/>
      </c>
      <c r="T238" s="785">
        <f>_xlfn.XLOOKUP(TableauRecette[[#This Row],[ID]],TableauProduit[ID],TableauProduit[Total (kg) N9],0,0,1)*TableauRecette[[#This Row],[poids / unite]]</f>
        <v/>
      </c>
    </row>
    <row r="239">
      <c r="A239" s="85" t="inlineStr">
        <is>
          <t>Jamaican Jerk</t>
        </is>
      </c>
      <c r="B239" s="85">
        <f>TableauRecette[[#This Row],[Recette]]&amp;TableauRecette[[#This Row],[Conditionnement]]</f>
        <v/>
      </c>
      <c r="C239" s="85" t="inlineStr">
        <is>
          <t>Poivre Noir</t>
        </is>
      </c>
      <c r="D239" s="209" t="n">
        <v>1.5</v>
      </c>
      <c r="E239" s="85" t="inlineStr">
        <is>
          <t>Epice 100ml</t>
        </is>
      </c>
      <c r="F239" s="20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39" s="209">
        <f>IFERROR(_xlfn.XLOOKUP(TableauRecette[[#This Row],[Ingredients]],TableauIngredients[Ingredients],TableauIngredients[Prix d''achat (kg)],0)*TableauRecette[[#This Row],[poids / unite]],0)</f>
        <v/>
      </c>
      <c r="H239" s="209">
        <f>IFERROR(SUMIFS(TableauRecette[Proportion],TableauRecette[Recette],TableauRecette[[#This Row],[Recette]],TableauRecette[Conditionnement],TableauRecette[[#This Row],[Conditionnement]]),0)</f>
        <v/>
      </c>
      <c r="I239" s="209">
        <f>IFERROR(TableauRecette[[#This Row],[Prix d''achat / kg]],0)</f>
        <v/>
      </c>
      <c r="J239" s="209" t="n"/>
      <c r="K239" s="786" t="n"/>
      <c r="L239" s="784">
        <f>_xlfn.XLOOKUP(TableauRecette[[#This Row],[ID]],TableauProduit[ID],TableauProduit[Total (kg) N1],0,0,1)*TableauRecette[[#This Row],[poids / unite]]</f>
        <v/>
      </c>
      <c r="M239" s="785">
        <f>_xlfn.XLOOKUP(TableauRecette[[#This Row],[ID]],TableauProduit[ID],TableauProduit[Total (kg) N2],0,0,1)*TableauRecette[[#This Row],[poids / unite]]</f>
        <v/>
      </c>
      <c r="N239" s="785">
        <f>_xlfn.XLOOKUP(TableauRecette[[#This Row],[ID]],TableauProduit[ID],TableauProduit[Total (kg) N3],0,0,1)*TableauRecette[[#This Row],[poids / unite]]</f>
        <v/>
      </c>
      <c r="O239" s="785">
        <f>_xlfn.XLOOKUP(TableauRecette[[#This Row],[ID]],TableauProduit[ID],TableauProduit[Total (kg) N4],0,0,1)*TableauRecette[[#This Row],[poids / unite]]</f>
        <v/>
      </c>
      <c r="P239" s="785">
        <f>_xlfn.XLOOKUP(TableauRecette[[#This Row],[ID]],TableauProduit[ID],TableauProduit[Total (kg) N5],0,0,1)*TableauRecette[[#This Row],[poids / unite]]</f>
        <v/>
      </c>
      <c r="Q239" s="785">
        <f>_xlfn.XLOOKUP(TableauRecette[[#This Row],[ID]],TableauProduit[ID],TableauProduit[Total (kg) N6],0,0,1)*TableauRecette[[#This Row],[poids / unite]]</f>
        <v/>
      </c>
      <c r="R239" s="785">
        <f>_xlfn.XLOOKUP(TableauRecette[[#This Row],[ID]],TableauProduit[ID],TableauProduit[Total (kg) N7],0,0,1)*TableauRecette[[#This Row],[poids / unite]]</f>
        <v/>
      </c>
      <c r="S239" s="785">
        <f>_xlfn.XLOOKUP(TableauRecette[[#This Row],[ID]],TableauProduit[ID],TableauProduit[Total (kg) N8],0,0,1)*TableauRecette[[#This Row],[poids / unite]]</f>
        <v/>
      </c>
      <c r="T239" s="785">
        <f>_xlfn.XLOOKUP(TableauRecette[[#This Row],[ID]],TableauProduit[ID],TableauProduit[Total (kg) N9],0,0,1)*TableauRecette[[#This Row],[poids / unite]]</f>
        <v/>
      </c>
    </row>
    <row r="240">
      <c r="A240" s="85" t="inlineStr">
        <is>
          <t>Jamaican Jerk</t>
        </is>
      </c>
      <c r="B240" s="85">
        <f>TableauRecette[[#This Row],[Recette]]&amp;TableauRecette[[#This Row],[Conditionnement]]</f>
        <v/>
      </c>
      <c r="C240" s="85" t="inlineStr">
        <is>
          <t>Piment Œil D'Oiseau</t>
        </is>
      </c>
      <c r="D240" s="209" t="n">
        <v>1.5</v>
      </c>
      <c r="E240" s="85" t="inlineStr">
        <is>
          <t>Epice 100ml</t>
        </is>
      </c>
      <c r="F240" s="20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40" s="209">
        <f>IFERROR(_xlfn.XLOOKUP(TableauRecette[[#This Row],[Ingredients]],TableauIngredients[Ingredients],TableauIngredients[Prix d''achat (kg)],0)*TableauRecette[[#This Row],[poids / unite]],0)</f>
        <v/>
      </c>
      <c r="H240" s="209">
        <f>IFERROR(SUMIFS(TableauRecette[Proportion],TableauRecette[Recette],TableauRecette[[#This Row],[Recette]],TableauRecette[Conditionnement],TableauRecette[[#This Row],[Conditionnement]]),0)</f>
        <v/>
      </c>
      <c r="I240" s="209">
        <f>IFERROR(TableauRecette[[#This Row],[Prix d''achat / kg]],0)</f>
        <v/>
      </c>
      <c r="J240" s="209" t="n"/>
      <c r="K240" s="783" t="n"/>
      <c r="L240" s="784">
        <f>_xlfn.XLOOKUP(TableauRecette[[#This Row],[ID]],TableauProduit[ID],TableauProduit[Total (kg) N1],0,0,1)*TableauRecette[[#This Row],[poids / unite]]</f>
        <v/>
      </c>
      <c r="M240" s="785">
        <f>_xlfn.XLOOKUP(TableauRecette[[#This Row],[ID]],TableauProduit[ID],TableauProduit[Total (kg) N2],0,0,1)*TableauRecette[[#This Row],[poids / unite]]</f>
        <v/>
      </c>
      <c r="N240" s="785">
        <f>_xlfn.XLOOKUP(TableauRecette[[#This Row],[ID]],TableauProduit[ID],TableauProduit[Total (kg) N3],0,0,1)*TableauRecette[[#This Row],[poids / unite]]</f>
        <v/>
      </c>
      <c r="O240" s="785">
        <f>_xlfn.XLOOKUP(TableauRecette[[#This Row],[ID]],TableauProduit[ID],TableauProduit[Total (kg) N4],0,0,1)*TableauRecette[[#This Row],[poids / unite]]</f>
        <v/>
      </c>
      <c r="P240" s="785">
        <f>_xlfn.XLOOKUP(TableauRecette[[#This Row],[ID]],TableauProduit[ID],TableauProduit[Total (kg) N5],0,0,1)*TableauRecette[[#This Row],[poids / unite]]</f>
        <v/>
      </c>
      <c r="Q240" s="785">
        <f>_xlfn.XLOOKUP(TableauRecette[[#This Row],[ID]],TableauProduit[ID],TableauProduit[Total (kg) N6],0,0,1)*TableauRecette[[#This Row],[poids / unite]]</f>
        <v/>
      </c>
      <c r="R240" s="785">
        <f>_xlfn.XLOOKUP(TableauRecette[[#This Row],[ID]],TableauProduit[ID],TableauProduit[Total (kg) N7],0,0,1)*TableauRecette[[#This Row],[poids / unite]]</f>
        <v/>
      </c>
      <c r="S240" s="785">
        <f>_xlfn.XLOOKUP(TableauRecette[[#This Row],[ID]],TableauProduit[ID],TableauProduit[Total (kg) N8],0,0,1)*TableauRecette[[#This Row],[poids / unite]]</f>
        <v/>
      </c>
      <c r="T240" s="785">
        <f>_xlfn.XLOOKUP(TableauRecette[[#This Row],[ID]],TableauProduit[ID],TableauProduit[Total (kg) N9],0,0,1)*TableauRecette[[#This Row],[poids / unite]]</f>
        <v/>
      </c>
    </row>
    <row r="241">
      <c r="A241" s="85" t="inlineStr">
        <is>
          <t>Jamaican Jerk</t>
        </is>
      </c>
      <c r="B241" s="85">
        <f>TableauRecette[[#This Row],[Recette]]&amp;TableauRecette[[#This Row],[Conditionnement]]</f>
        <v/>
      </c>
      <c r="C241" s="85" t="inlineStr">
        <is>
          <t>Piment De Cayenne Jaune SEC</t>
        </is>
      </c>
      <c r="D241" s="209" t="n">
        <v>1.5</v>
      </c>
      <c r="E241" s="85" t="inlineStr">
        <is>
          <t>Epice 100ml</t>
        </is>
      </c>
      <c r="F241" s="20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41" s="209">
        <f>IFERROR(_xlfn.XLOOKUP(TableauRecette[[#This Row],[Ingredients]],TableauIngredients[Ingredients],TableauIngredients[Prix d''achat (kg)],0)*TableauRecette[[#This Row],[poids / unite]],0)</f>
        <v/>
      </c>
      <c r="H241" s="209">
        <f>IFERROR(SUMIFS(TableauRecette[Proportion],TableauRecette[Recette],TableauRecette[[#This Row],[Recette]],TableauRecette[Conditionnement],TableauRecette[[#This Row],[Conditionnement]]),0)</f>
        <v/>
      </c>
      <c r="I241" s="209">
        <f>IFERROR(TableauRecette[[#This Row],[Prix d''achat / kg]],0)</f>
        <v/>
      </c>
      <c r="J241" s="209" t="n"/>
      <c r="K241" s="783" t="n"/>
      <c r="L241" s="784">
        <f>_xlfn.XLOOKUP(TableauRecette[[#This Row],[ID]],TableauProduit[ID],TableauProduit[Total (kg) N1],0,0,1)*TableauRecette[[#This Row],[poids / unite]]</f>
        <v/>
      </c>
      <c r="M241" s="785">
        <f>_xlfn.XLOOKUP(TableauRecette[[#This Row],[ID]],TableauProduit[ID],TableauProduit[Total (kg) N2],0,0,1)*TableauRecette[[#This Row],[poids / unite]]</f>
        <v/>
      </c>
      <c r="N241" s="785">
        <f>_xlfn.XLOOKUP(TableauRecette[[#This Row],[ID]],TableauProduit[ID],TableauProduit[Total (kg) N3],0,0,1)*TableauRecette[[#This Row],[poids / unite]]</f>
        <v/>
      </c>
      <c r="O241" s="785">
        <f>_xlfn.XLOOKUP(TableauRecette[[#This Row],[ID]],TableauProduit[ID],TableauProduit[Total (kg) N4],0,0,1)*TableauRecette[[#This Row],[poids / unite]]</f>
        <v/>
      </c>
      <c r="P241" s="785">
        <f>_xlfn.XLOOKUP(TableauRecette[[#This Row],[ID]],TableauProduit[ID],TableauProduit[Total (kg) N5],0,0,1)*TableauRecette[[#This Row],[poids / unite]]</f>
        <v/>
      </c>
      <c r="Q241" s="785">
        <f>_xlfn.XLOOKUP(TableauRecette[[#This Row],[ID]],TableauProduit[ID],TableauProduit[Total (kg) N6],0,0,1)*TableauRecette[[#This Row],[poids / unite]]</f>
        <v/>
      </c>
      <c r="R241" s="785">
        <f>_xlfn.XLOOKUP(TableauRecette[[#This Row],[ID]],TableauProduit[ID],TableauProduit[Total (kg) N7],0,0,1)*TableauRecette[[#This Row],[poids / unite]]</f>
        <v/>
      </c>
      <c r="S241" s="785">
        <f>_xlfn.XLOOKUP(TableauRecette[[#This Row],[ID]],TableauProduit[ID],TableauProduit[Total (kg) N8],0,0,1)*TableauRecette[[#This Row],[poids / unite]]</f>
        <v/>
      </c>
      <c r="T241" s="785">
        <f>_xlfn.XLOOKUP(TableauRecette[[#This Row],[ID]],TableauProduit[ID],TableauProduit[Total (kg) N9],0,0,1)*TableauRecette[[#This Row],[poids / unite]]</f>
        <v/>
      </c>
    </row>
    <row r="242">
      <c r="A242" s="85" t="inlineStr">
        <is>
          <t>Jamaican Jerk</t>
        </is>
      </c>
      <c r="B242" s="85">
        <f>TableauRecette[[#This Row],[Recette]]&amp;TableauRecette[[#This Row],[Conditionnement]]</f>
        <v/>
      </c>
      <c r="C242" s="555" t="inlineStr">
        <is>
          <t>Gingembre Sec</t>
        </is>
      </c>
      <c r="D242" s="209" t="n">
        <v>1</v>
      </c>
      <c r="E242" s="85" t="inlineStr">
        <is>
          <t>Epice 100ml</t>
        </is>
      </c>
      <c r="F242" s="20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42" s="209">
        <f>IFERROR(_xlfn.XLOOKUP(TableauRecette[[#This Row],[Ingredients]],TableauIngredients[Ingredients],TableauIngredients[Prix d''achat (kg)],0)*TableauRecette[[#This Row],[poids / unite]],0)</f>
        <v/>
      </c>
      <c r="H242" s="209">
        <f>IFERROR(SUMIFS(TableauRecette[Proportion],TableauRecette[Recette],TableauRecette[[#This Row],[Recette]],TableauRecette[Conditionnement],TableauRecette[[#This Row],[Conditionnement]]),0)</f>
        <v/>
      </c>
      <c r="I242" s="209">
        <f>IFERROR(TableauRecette[[#This Row],[Prix d''achat / kg]],0)</f>
        <v/>
      </c>
      <c r="J242" s="209" t="n"/>
      <c r="K242" s="783" t="n"/>
      <c r="L242" s="784">
        <f>_xlfn.XLOOKUP(TableauRecette[[#This Row],[ID]],TableauProduit[ID],TableauProduit[Total (kg) N1],0,0,1)*TableauRecette[[#This Row],[poids / unite]]</f>
        <v/>
      </c>
      <c r="M242" s="785">
        <f>_xlfn.XLOOKUP(TableauRecette[[#This Row],[ID]],TableauProduit[ID],TableauProduit[Total (kg) N2],0,0,1)*TableauRecette[[#This Row],[poids / unite]]</f>
        <v/>
      </c>
      <c r="N242" s="785">
        <f>_xlfn.XLOOKUP(TableauRecette[[#This Row],[ID]],TableauProduit[ID],TableauProduit[Total (kg) N3],0,0,1)*TableauRecette[[#This Row],[poids / unite]]</f>
        <v/>
      </c>
      <c r="O242" s="785">
        <f>_xlfn.XLOOKUP(TableauRecette[[#This Row],[ID]],TableauProduit[ID],TableauProduit[Total (kg) N4],0,0,1)*TableauRecette[[#This Row],[poids / unite]]</f>
        <v/>
      </c>
      <c r="P242" s="785">
        <f>_xlfn.XLOOKUP(TableauRecette[[#This Row],[ID]],TableauProduit[ID],TableauProduit[Total (kg) N5],0,0,1)*TableauRecette[[#This Row],[poids / unite]]</f>
        <v/>
      </c>
      <c r="Q242" s="785">
        <f>_xlfn.XLOOKUP(TableauRecette[[#This Row],[ID]],TableauProduit[ID],TableauProduit[Total (kg) N6],0,0,1)*TableauRecette[[#This Row],[poids / unite]]</f>
        <v/>
      </c>
      <c r="R242" s="785">
        <f>_xlfn.XLOOKUP(TableauRecette[[#This Row],[ID]],TableauProduit[ID],TableauProduit[Total (kg) N7],0,0,1)*TableauRecette[[#This Row],[poids / unite]]</f>
        <v/>
      </c>
      <c r="S242" s="785">
        <f>_xlfn.XLOOKUP(TableauRecette[[#This Row],[ID]],TableauProduit[ID],TableauProduit[Total (kg) N8],0,0,1)*TableauRecette[[#This Row],[poids / unite]]</f>
        <v/>
      </c>
      <c r="T242" s="785">
        <f>_xlfn.XLOOKUP(TableauRecette[[#This Row],[ID]],TableauProduit[ID],TableauProduit[Total (kg) N9],0,0,1)*TableauRecette[[#This Row],[poids / unite]]</f>
        <v/>
      </c>
    </row>
    <row r="243">
      <c r="A243" s="85" t="inlineStr">
        <is>
          <t>Jamaican Jerk</t>
        </is>
      </c>
      <c r="B243" s="85">
        <f>TableauRecette[[#This Row],[Recette]]&amp;TableauRecette[[#This Row],[Conditionnement]]</f>
        <v/>
      </c>
      <c r="C243" s="85" t="inlineStr">
        <is>
          <t>Thym</t>
        </is>
      </c>
      <c r="D243" s="209" t="n">
        <v>1</v>
      </c>
      <c r="E243" s="85" t="inlineStr">
        <is>
          <t>Epice 100ml</t>
        </is>
      </c>
      <c r="F243" s="20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43" s="209">
        <f>IFERROR(_xlfn.XLOOKUP(TableauRecette[[#This Row],[Ingredients]],TableauIngredients[Ingredients],TableauIngredients[Prix d''achat (kg)],0)*TableauRecette[[#This Row],[poids / unite]],0)</f>
        <v/>
      </c>
      <c r="H243" s="209">
        <f>IFERROR(SUMIFS(TableauRecette[Proportion],TableauRecette[Recette],TableauRecette[[#This Row],[Recette]],TableauRecette[Conditionnement],TableauRecette[[#This Row],[Conditionnement]]),0)</f>
        <v/>
      </c>
      <c r="I243" s="209">
        <f>IFERROR(TableauRecette[[#This Row],[Prix d''achat / kg]],0)</f>
        <v/>
      </c>
      <c r="J243" s="209" t="n"/>
      <c r="K243" s="783" t="n"/>
      <c r="L243" s="784">
        <f>_xlfn.XLOOKUP(TableauRecette[[#This Row],[ID]],TableauProduit[ID],TableauProduit[Total (kg) N1],0,0,1)*TableauRecette[[#This Row],[poids / unite]]</f>
        <v/>
      </c>
      <c r="M243" s="785">
        <f>_xlfn.XLOOKUP(TableauRecette[[#This Row],[ID]],TableauProduit[ID],TableauProduit[Total (kg) N2],0,0,1)*TableauRecette[[#This Row],[poids / unite]]</f>
        <v/>
      </c>
      <c r="N243" s="785">
        <f>_xlfn.XLOOKUP(TableauRecette[[#This Row],[ID]],TableauProduit[ID],TableauProduit[Total (kg) N3],0,0,1)*TableauRecette[[#This Row],[poids / unite]]</f>
        <v/>
      </c>
      <c r="O243" s="785">
        <f>_xlfn.XLOOKUP(TableauRecette[[#This Row],[ID]],TableauProduit[ID],TableauProduit[Total (kg) N4],0,0,1)*TableauRecette[[#This Row],[poids / unite]]</f>
        <v/>
      </c>
      <c r="P243" s="785">
        <f>_xlfn.XLOOKUP(TableauRecette[[#This Row],[ID]],TableauProduit[ID],TableauProduit[Total (kg) N5],0,0,1)*TableauRecette[[#This Row],[poids / unite]]</f>
        <v/>
      </c>
      <c r="Q243" s="785">
        <f>_xlfn.XLOOKUP(TableauRecette[[#This Row],[ID]],TableauProduit[ID],TableauProduit[Total (kg) N6],0,0,1)*TableauRecette[[#This Row],[poids / unite]]</f>
        <v/>
      </c>
      <c r="R243" s="785">
        <f>_xlfn.XLOOKUP(TableauRecette[[#This Row],[ID]],TableauProduit[ID],TableauProduit[Total (kg) N7],0,0,1)*TableauRecette[[#This Row],[poids / unite]]</f>
        <v/>
      </c>
      <c r="S243" s="785">
        <f>_xlfn.XLOOKUP(TableauRecette[[#This Row],[ID]],TableauProduit[ID],TableauProduit[Total (kg) N8],0,0,1)*TableauRecette[[#This Row],[poids / unite]]</f>
        <v/>
      </c>
      <c r="T243" s="785">
        <f>_xlfn.XLOOKUP(TableauRecette[[#This Row],[ID]],TableauProduit[ID],TableauProduit[Total (kg) N9],0,0,1)*TableauRecette[[#This Row],[poids / unite]]</f>
        <v/>
      </c>
    </row>
    <row r="244">
      <c r="A244" s="85" t="inlineStr">
        <is>
          <t>Jamaican Jerk</t>
        </is>
      </c>
      <c r="B244" s="85">
        <f>TableauRecette[[#This Row],[Recette]]&amp;TableauRecette[[#This Row],[Conditionnement]]</f>
        <v/>
      </c>
      <c r="C244" s="85" t="inlineStr">
        <is>
          <t>Cannelle</t>
        </is>
      </c>
      <c r="D244" s="209" t="n">
        <v>1</v>
      </c>
      <c r="E244" s="85" t="inlineStr">
        <is>
          <t>Epice 100ml</t>
        </is>
      </c>
      <c r="F244" s="20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44" s="209">
        <f>IFERROR(_xlfn.XLOOKUP(TableauRecette[[#This Row],[Ingredients]],TableauIngredients[Ingredients],TableauIngredients[Prix d''achat (kg)],0)*TableauRecette[[#This Row],[poids / unite]],0)</f>
        <v/>
      </c>
      <c r="H244" s="209">
        <f>IFERROR(SUMIFS(TableauRecette[Proportion],TableauRecette[Recette],TableauRecette[[#This Row],[Recette]],TableauRecette[Conditionnement],TableauRecette[[#This Row],[Conditionnement]]),0)</f>
        <v/>
      </c>
      <c r="I244" s="209">
        <f>IFERROR(TableauRecette[[#This Row],[Prix d''achat / kg]],0)</f>
        <v/>
      </c>
      <c r="J244" s="209" t="n"/>
      <c r="K244" s="783" t="n"/>
      <c r="L244" s="784">
        <f>_xlfn.XLOOKUP(TableauRecette[[#This Row],[ID]],TableauProduit[ID],TableauProduit[Total (kg) N1],0,0,1)*TableauRecette[[#This Row],[poids / unite]]</f>
        <v/>
      </c>
      <c r="M244" s="785">
        <f>_xlfn.XLOOKUP(TableauRecette[[#This Row],[ID]],TableauProduit[ID],TableauProduit[Total (kg) N2],0,0,1)*TableauRecette[[#This Row],[poids / unite]]</f>
        <v/>
      </c>
      <c r="N244" s="785">
        <f>_xlfn.XLOOKUP(TableauRecette[[#This Row],[ID]],TableauProduit[ID],TableauProduit[Total (kg) N3],0,0,1)*TableauRecette[[#This Row],[poids / unite]]</f>
        <v/>
      </c>
      <c r="O244" s="785">
        <f>_xlfn.XLOOKUP(TableauRecette[[#This Row],[ID]],TableauProduit[ID],TableauProduit[Total (kg) N4],0,0,1)*TableauRecette[[#This Row],[poids / unite]]</f>
        <v/>
      </c>
      <c r="P244" s="785">
        <f>_xlfn.XLOOKUP(TableauRecette[[#This Row],[ID]],TableauProduit[ID],TableauProduit[Total (kg) N5],0,0,1)*TableauRecette[[#This Row],[poids / unite]]</f>
        <v/>
      </c>
      <c r="Q244" s="785">
        <f>_xlfn.XLOOKUP(TableauRecette[[#This Row],[ID]],TableauProduit[ID],TableauProduit[Total (kg) N6],0,0,1)*TableauRecette[[#This Row],[poids / unite]]</f>
        <v/>
      </c>
      <c r="R244" s="785">
        <f>_xlfn.XLOOKUP(TableauRecette[[#This Row],[ID]],TableauProduit[ID],TableauProduit[Total (kg) N7],0,0,1)*TableauRecette[[#This Row],[poids / unite]]</f>
        <v/>
      </c>
      <c r="S244" s="785">
        <f>_xlfn.XLOOKUP(TableauRecette[[#This Row],[ID]],TableauProduit[ID],TableauProduit[Total (kg) N8],0,0,1)*TableauRecette[[#This Row],[poids / unite]]</f>
        <v/>
      </c>
      <c r="T244" s="785">
        <f>_xlfn.XLOOKUP(TableauRecette[[#This Row],[ID]],TableauProduit[ID],TableauProduit[Total (kg) N9],0,0,1)*TableauRecette[[#This Row],[poids / unite]]</f>
        <v/>
      </c>
    </row>
    <row r="245">
      <c r="A245" s="85" t="inlineStr">
        <is>
          <t>Jamaican Jerk</t>
        </is>
      </c>
      <c r="B245" s="85">
        <f>TableauRecette[[#This Row],[Recette]]&amp;TableauRecette[[#This Row],[Conditionnement]]</f>
        <v/>
      </c>
      <c r="C245" s="85" t="inlineStr">
        <is>
          <t>Ail Sec</t>
        </is>
      </c>
      <c r="D245" s="209" t="n">
        <v>1</v>
      </c>
      <c r="E245" s="85" t="inlineStr">
        <is>
          <t>Epice 100ml</t>
        </is>
      </c>
      <c r="F245" s="20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45" s="209">
        <f>IFERROR(_xlfn.XLOOKUP(TableauRecette[[#This Row],[Ingredients]],TableauIngredients[Ingredients],TableauIngredients[Prix d''achat (kg)],0)*TableauRecette[[#This Row],[poids / unite]],0)</f>
        <v/>
      </c>
      <c r="H245" s="209">
        <f>IFERROR(SUMIFS(TableauRecette[Proportion],TableauRecette[Recette],TableauRecette[[#This Row],[Recette]],TableauRecette[Conditionnement],TableauRecette[[#This Row],[Conditionnement]]),0)</f>
        <v/>
      </c>
      <c r="I245" s="209">
        <f>IFERROR(TableauRecette[[#This Row],[Prix d''achat / kg]],0)</f>
        <v/>
      </c>
      <c r="J245" s="209" t="n"/>
      <c r="K245" s="783" t="n"/>
      <c r="L245" s="784">
        <f>_xlfn.XLOOKUP(TableauRecette[[#This Row],[ID]],TableauProduit[ID],TableauProduit[Total (kg) N1],0,0,1)*TableauRecette[[#This Row],[poids / unite]]</f>
        <v/>
      </c>
      <c r="M245" s="785">
        <f>_xlfn.XLOOKUP(TableauRecette[[#This Row],[ID]],TableauProduit[ID],TableauProduit[Total (kg) N2],0,0,1)*TableauRecette[[#This Row],[poids / unite]]</f>
        <v/>
      </c>
      <c r="N245" s="785">
        <f>_xlfn.XLOOKUP(TableauRecette[[#This Row],[ID]],TableauProduit[ID],TableauProduit[Total (kg) N3],0,0,1)*TableauRecette[[#This Row],[poids / unite]]</f>
        <v/>
      </c>
      <c r="O245" s="785">
        <f>_xlfn.XLOOKUP(TableauRecette[[#This Row],[ID]],TableauProduit[ID],TableauProduit[Total (kg) N4],0,0,1)*TableauRecette[[#This Row],[poids / unite]]</f>
        <v/>
      </c>
      <c r="P245" s="785">
        <f>_xlfn.XLOOKUP(TableauRecette[[#This Row],[ID]],TableauProduit[ID],TableauProduit[Total (kg) N5],0,0,1)*TableauRecette[[#This Row],[poids / unite]]</f>
        <v/>
      </c>
      <c r="Q245" s="785">
        <f>_xlfn.XLOOKUP(TableauRecette[[#This Row],[ID]],TableauProduit[ID],TableauProduit[Total (kg) N6],0,0,1)*TableauRecette[[#This Row],[poids / unite]]</f>
        <v/>
      </c>
      <c r="R245" s="785">
        <f>_xlfn.XLOOKUP(TableauRecette[[#This Row],[ID]],TableauProduit[ID],TableauProduit[Total (kg) N7],0,0,1)*TableauRecette[[#This Row],[poids / unite]]</f>
        <v/>
      </c>
      <c r="S245" s="785">
        <f>_xlfn.XLOOKUP(TableauRecette[[#This Row],[ID]],TableauProduit[ID],TableauProduit[Total (kg) N8],0,0,1)*TableauRecette[[#This Row],[poids / unite]]</f>
        <v/>
      </c>
      <c r="T245" s="785">
        <f>_xlfn.XLOOKUP(TableauRecette[[#This Row],[ID]],TableauProduit[ID],TableauProduit[Total (kg) N9],0,0,1)*TableauRecette[[#This Row],[poids / unite]]</f>
        <v/>
      </c>
    </row>
    <row r="246">
      <c r="A246" s="86" t="inlineStr">
        <is>
          <t>Ketchup</t>
        </is>
      </c>
      <c r="B246" s="86">
        <f>TableauRecette[[#This Row],[Recette]]&amp;TableauRecette[[#This Row],[Conditionnement]]</f>
        <v/>
      </c>
      <c r="C246" s="86" t="inlineStr">
        <is>
          <t>Ail</t>
        </is>
      </c>
      <c r="D246" s="210" t="n">
        <v>20</v>
      </c>
      <c r="E246" s="86" t="inlineStr">
        <is>
          <t>Piment liquide 250ml</t>
        </is>
      </c>
      <c r="F246" s="21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46" s="210">
        <f>IFERROR(_xlfn.XLOOKUP(TableauRecette[[#This Row],[Ingredients]],TableauIngredients[Ingredients],TableauIngredients[Prix d''achat (kg)],0)*TableauRecette[[#This Row],[poids / unite]],0)</f>
        <v/>
      </c>
      <c r="H246" s="210">
        <f>IFERROR(SUMIFS(TableauRecette[Proportion],TableauRecette[Recette],TableauRecette[[#This Row],[Recette]],TableauRecette[Conditionnement],TableauRecette[[#This Row],[Conditionnement]]),0)</f>
        <v/>
      </c>
      <c r="I246" s="210">
        <f>IFERROR(TableauRecette[[#This Row],[Prix d''achat / kg]],0)</f>
        <v/>
      </c>
      <c r="J246" s="210" t="n"/>
      <c r="K246" s="787" t="n"/>
      <c r="L246" s="788">
        <f>_xlfn.XLOOKUP(TableauRecette[[#This Row],[ID]],TableauProduit[ID],TableauProduit[Total (kg) N1],0,0,1)*TableauRecette[[#This Row],[poids / unite]]</f>
        <v/>
      </c>
      <c r="M246" s="789">
        <f>_xlfn.XLOOKUP(TableauRecette[[#This Row],[ID]],TableauProduit[ID],TableauProduit[Total (kg) N2],0,0,1)*TableauRecette[[#This Row],[poids / unite]]</f>
        <v/>
      </c>
      <c r="N246" s="789">
        <f>_xlfn.XLOOKUP(TableauRecette[[#This Row],[ID]],TableauProduit[ID],TableauProduit[Total (kg) N3],0,0,1)*TableauRecette[[#This Row],[poids / unite]]</f>
        <v/>
      </c>
      <c r="O246" s="789">
        <f>_xlfn.XLOOKUP(TableauRecette[[#This Row],[ID]],TableauProduit[ID],TableauProduit[Total (kg) N4],0,0,1)*TableauRecette[[#This Row],[poids / unite]]</f>
        <v/>
      </c>
      <c r="P246" s="789">
        <f>_xlfn.XLOOKUP(TableauRecette[[#This Row],[ID]],TableauProduit[ID],TableauProduit[Total (kg) N5],0,0,1)*TableauRecette[[#This Row],[poids / unite]]</f>
        <v/>
      </c>
      <c r="Q246" s="789">
        <f>_xlfn.XLOOKUP(TableauRecette[[#This Row],[ID]],TableauProduit[ID],TableauProduit[Total (kg) N6],0,0,1)*TableauRecette[[#This Row],[poids / unite]]</f>
        <v/>
      </c>
      <c r="R246" s="789">
        <f>_xlfn.XLOOKUP(TableauRecette[[#This Row],[ID]],TableauProduit[ID],TableauProduit[Total (kg) N7],0,0,1)*TableauRecette[[#This Row],[poids / unite]]</f>
        <v/>
      </c>
      <c r="S246" s="789">
        <f>_xlfn.XLOOKUP(TableauRecette[[#This Row],[ID]],TableauProduit[ID],TableauProduit[Total (kg) N8],0,0,1)*TableauRecette[[#This Row],[poids / unite]]</f>
        <v/>
      </c>
      <c r="T246" s="789">
        <f>_xlfn.XLOOKUP(TableauRecette[[#This Row],[ID]],TableauProduit[ID],TableauProduit[Total (kg) N9],0,0,1)*TableauRecette[[#This Row],[poids / unite]]</f>
        <v/>
      </c>
    </row>
    <row r="247">
      <c r="A247" s="86" t="inlineStr">
        <is>
          <t>Ketchup</t>
        </is>
      </c>
      <c r="B247" s="86">
        <f>TableauRecette[[#This Row],[Recette]]&amp;TableauRecette[[#This Row],[Conditionnement]]</f>
        <v/>
      </c>
      <c r="C247" s="86" t="inlineStr">
        <is>
          <t>Tomate Rouge</t>
        </is>
      </c>
      <c r="D247" s="210" t="n">
        <v>2000</v>
      </c>
      <c r="E247" s="86" t="inlineStr">
        <is>
          <t>Piment liquide 250ml</t>
        </is>
      </c>
      <c r="F247" s="21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47" s="210">
        <f>IFERROR(_xlfn.XLOOKUP(TableauRecette[[#This Row],[Ingredients]],TableauIngredients[Ingredients],TableauIngredients[Prix d''achat (kg)],0)*TableauRecette[[#This Row],[poids / unite]],0)</f>
        <v/>
      </c>
      <c r="H247" s="210">
        <f>IFERROR(SUMIFS(TableauRecette[Proportion],TableauRecette[Recette],TableauRecette[[#This Row],[Recette]],TableauRecette[Conditionnement],TableauRecette[[#This Row],[Conditionnement]]),0)</f>
        <v/>
      </c>
      <c r="I247" s="210">
        <f>IFERROR(TableauRecette[[#This Row],[Prix d''achat / kg]],0)</f>
        <v/>
      </c>
      <c r="J247" s="210" t="n"/>
      <c r="K247" s="787" t="n"/>
      <c r="L247" s="788">
        <f>_xlfn.XLOOKUP(TableauRecette[[#This Row],[ID]],TableauProduit[ID],TableauProduit[Total (kg) N1],0,0,1)*TableauRecette[[#This Row],[poids / unite]]</f>
        <v/>
      </c>
      <c r="M247" s="789">
        <f>_xlfn.XLOOKUP(TableauRecette[[#This Row],[ID]],TableauProduit[ID],TableauProduit[Total (kg) N2],0,0,1)*TableauRecette[[#This Row],[poids / unite]]</f>
        <v/>
      </c>
      <c r="N247" s="789">
        <f>_xlfn.XLOOKUP(TableauRecette[[#This Row],[ID]],TableauProduit[ID],TableauProduit[Total (kg) N3],0,0,1)*TableauRecette[[#This Row],[poids / unite]]</f>
        <v/>
      </c>
      <c r="O247" s="789">
        <f>_xlfn.XLOOKUP(TableauRecette[[#This Row],[ID]],TableauProduit[ID],TableauProduit[Total (kg) N4],0,0,1)*TableauRecette[[#This Row],[poids / unite]]</f>
        <v/>
      </c>
      <c r="P247" s="789">
        <f>_xlfn.XLOOKUP(TableauRecette[[#This Row],[ID]],TableauProduit[ID],TableauProduit[Total (kg) N5],0,0,1)*TableauRecette[[#This Row],[poids / unite]]</f>
        <v/>
      </c>
      <c r="Q247" s="789">
        <f>_xlfn.XLOOKUP(TableauRecette[[#This Row],[ID]],TableauProduit[ID],TableauProduit[Total (kg) N6],0,0,1)*TableauRecette[[#This Row],[poids / unite]]</f>
        <v/>
      </c>
      <c r="R247" s="789">
        <f>_xlfn.XLOOKUP(TableauRecette[[#This Row],[ID]],TableauProduit[ID],TableauProduit[Total (kg) N7],0,0,1)*TableauRecette[[#This Row],[poids / unite]]</f>
        <v/>
      </c>
      <c r="S247" s="789">
        <f>_xlfn.XLOOKUP(TableauRecette[[#This Row],[ID]],TableauProduit[ID],TableauProduit[Total (kg) N8],0,0,1)*TableauRecette[[#This Row],[poids / unite]]</f>
        <v/>
      </c>
      <c r="T247" s="789">
        <f>_xlfn.XLOOKUP(TableauRecette[[#This Row],[ID]],TableauProduit[ID],TableauProduit[Total (kg) N9],0,0,1)*TableauRecette[[#This Row],[poids / unite]]</f>
        <v/>
      </c>
    </row>
    <row r="248">
      <c r="A248" s="86" t="inlineStr">
        <is>
          <t>Ketchup</t>
        </is>
      </c>
      <c r="B248" s="86">
        <f>TableauRecette[[#This Row],[Recette]]&amp;TableauRecette[[#This Row],[Conditionnement]]</f>
        <v/>
      </c>
      <c r="C248" s="86" t="inlineStr">
        <is>
          <t>Poivre De Timut</t>
        </is>
      </c>
      <c r="D248" s="210" t="n">
        <v>3</v>
      </c>
      <c r="E248" s="86" t="inlineStr">
        <is>
          <t>Piment liquide 250ml</t>
        </is>
      </c>
      <c r="F248" s="21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48" s="210">
        <f>IFERROR(_xlfn.XLOOKUP(TableauRecette[[#This Row],[Ingredients]],TableauIngredients[Ingredients],TableauIngredients[Prix d''achat (kg)],0)*TableauRecette[[#This Row],[poids / unite]],0)</f>
        <v/>
      </c>
      <c r="H248" s="210">
        <f>IFERROR(SUMIFS(TableauRecette[Proportion],TableauRecette[Recette],TableauRecette[[#This Row],[Recette]],TableauRecette[Conditionnement],TableauRecette[[#This Row],[Conditionnement]]),0)</f>
        <v/>
      </c>
      <c r="I248" s="210">
        <f>IFERROR(TableauRecette[[#This Row],[Prix d''achat / kg]],0)</f>
        <v/>
      </c>
      <c r="J248" s="210" t="n"/>
      <c r="K248" s="787" t="n"/>
      <c r="L248" s="788">
        <f>_xlfn.XLOOKUP(TableauRecette[[#This Row],[ID]],TableauProduit[ID],TableauProduit[Total (kg) N1],0,0,1)*TableauRecette[[#This Row],[poids / unite]]</f>
        <v/>
      </c>
      <c r="M248" s="789">
        <f>_xlfn.XLOOKUP(TableauRecette[[#This Row],[ID]],TableauProduit[ID],TableauProduit[Total (kg) N2],0,0,1)*TableauRecette[[#This Row],[poids / unite]]</f>
        <v/>
      </c>
      <c r="N248" s="789">
        <f>_xlfn.XLOOKUP(TableauRecette[[#This Row],[ID]],TableauProduit[ID],TableauProduit[Total (kg) N3],0,0,1)*TableauRecette[[#This Row],[poids / unite]]</f>
        <v/>
      </c>
      <c r="O248" s="789">
        <f>_xlfn.XLOOKUP(TableauRecette[[#This Row],[ID]],TableauProduit[ID],TableauProduit[Total (kg) N4],0,0,1)*TableauRecette[[#This Row],[poids / unite]]</f>
        <v/>
      </c>
      <c r="P248" s="789">
        <f>_xlfn.XLOOKUP(TableauRecette[[#This Row],[ID]],TableauProduit[ID],TableauProduit[Total (kg) N5],0,0,1)*TableauRecette[[#This Row],[poids / unite]]</f>
        <v/>
      </c>
      <c r="Q248" s="789">
        <f>_xlfn.XLOOKUP(TableauRecette[[#This Row],[ID]],TableauProduit[ID],TableauProduit[Total (kg) N6],0,0,1)*TableauRecette[[#This Row],[poids / unite]]</f>
        <v/>
      </c>
      <c r="R248" s="789">
        <f>_xlfn.XLOOKUP(TableauRecette[[#This Row],[ID]],TableauProduit[ID],TableauProduit[Total (kg) N7],0,0,1)*TableauRecette[[#This Row],[poids / unite]]</f>
        <v/>
      </c>
      <c r="S248" s="789">
        <f>_xlfn.XLOOKUP(TableauRecette[[#This Row],[ID]],TableauProduit[ID],TableauProduit[Total (kg) N8],0,0,1)*TableauRecette[[#This Row],[poids / unite]]</f>
        <v/>
      </c>
      <c r="T248" s="789">
        <f>_xlfn.XLOOKUP(TableauRecette[[#This Row],[ID]],TableauProduit[ID],TableauProduit[Total (kg) N9],0,0,1)*TableauRecette[[#This Row],[poids / unite]]</f>
        <v/>
      </c>
    </row>
    <row r="249">
      <c r="A249" s="86" t="inlineStr">
        <is>
          <t>Ketchup</t>
        </is>
      </c>
      <c r="B249" s="86">
        <f>TableauRecette[[#This Row],[Recette]]&amp;TableauRecette[[#This Row],[Conditionnement]]</f>
        <v/>
      </c>
      <c r="C249" s="86" t="inlineStr">
        <is>
          <t>Poivre Des Moines</t>
        </is>
      </c>
      <c r="D249" s="210" t="n">
        <v>3</v>
      </c>
      <c r="E249" s="86" t="inlineStr">
        <is>
          <t>Piment liquide 250ml</t>
        </is>
      </c>
      <c r="F249" s="21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49" s="210">
        <f>IFERROR(_xlfn.XLOOKUP(TableauRecette[[#This Row],[Ingredients]],TableauIngredients[Ingredients],TableauIngredients[Prix d''achat (kg)],0)*TableauRecette[[#This Row],[poids / unite]],0)</f>
        <v/>
      </c>
      <c r="H249" s="210">
        <f>IFERROR(SUMIFS(TableauRecette[Proportion],TableauRecette[Recette],TableauRecette[[#This Row],[Recette]],TableauRecette[Conditionnement],TableauRecette[[#This Row],[Conditionnement]]),0)</f>
        <v/>
      </c>
      <c r="I249" s="210">
        <f>IFERROR(TableauRecette[[#This Row],[Prix d''achat / kg]],0)</f>
        <v/>
      </c>
      <c r="J249" s="210" t="n"/>
      <c r="K249" s="787" t="n"/>
      <c r="L249" s="788">
        <f>_xlfn.XLOOKUP(TableauRecette[[#This Row],[ID]],TableauProduit[ID],TableauProduit[Total (kg) N1],0,0,1)*TableauRecette[[#This Row],[poids / unite]]</f>
        <v/>
      </c>
      <c r="M249" s="789">
        <f>_xlfn.XLOOKUP(TableauRecette[[#This Row],[ID]],TableauProduit[ID],TableauProduit[Total (kg) N2],0,0,1)*TableauRecette[[#This Row],[poids / unite]]</f>
        <v/>
      </c>
      <c r="N249" s="789">
        <f>_xlfn.XLOOKUP(TableauRecette[[#This Row],[ID]],TableauProduit[ID],TableauProduit[Total (kg) N3],0,0,1)*TableauRecette[[#This Row],[poids / unite]]</f>
        <v/>
      </c>
      <c r="O249" s="789">
        <f>_xlfn.XLOOKUP(TableauRecette[[#This Row],[ID]],TableauProduit[ID],TableauProduit[Total (kg) N4],0,0,1)*TableauRecette[[#This Row],[poids / unite]]</f>
        <v/>
      </c>
      <c r="P249" s="789">
        <f>_xlfn.XLOOKUP(TableauRecette[[#This Row],[ID]],TableauProduit[ID],TableauProduit[Total (kg) N5],0,0,1)*TableauRecette[[#This Row],[poids / unite]]</f>
        <v/>
      </c>
      <c r="Q249" s="789">
        <f>_xlfn.XLOOKUP(TableauRecette[[#This Row],[ID]],TableauProduit[ID],TableauProduit[Total (kg) N6],0,0,1)*TableauRecette[[#This Row],[poids / unite]]</f>
        <v/>
      </c>
      <c r="R249" s="789">
        <f>_xlfn.XLOOKUP(TableauRecette[[#This Row],[ID]],TableauProduit[ID],TableauProduit[Total (kg) N7],0,0,1)*TableauRecette[[#This Row],[poids / unite]]</f>
        <v/>
      </c>
      <c r="S249" s="789">
        <f>_xlfn.XLOOKUP(TableauRecette[[#This Row],[ID]],TableauProduit[ID],TableauProduit[Total (kg) N8],0,0,1)*TableauRecette[[#This Row],[poids / unite]]</f>
        <v/>
      </c>
      <c r="T249" s="789">
        <f>_xlfn.XLOOKUP(TableauRecette[[#This Row],[ID]],TableauProduit[ID],TableauProduit[Total (kg) N9],0,0,1)*TableauRecette[[#This Row],[poids / unite]]</f>
        <v/>
      </c>
    </row>
    <row r="250">
      <c r="A250" s="86" t="inlineStr">
        <is>
          <t>Ketchup</t>
        </is>
      </c>
      <c r="B250" s="86">
        <f>TableauRecette[[#This Row],[Recette]]&amp;TableauRecette[[#This Row],[Conditionnement]]</f>
        <v/>
      </c>
      <c r="C250" s="86" t="inlineStr">
        <is>
          <t>Oignon</t>
        </is>
      </c>
      <c r="D250" s="210" t="n">
        <v>140</v>
      </c>
      <c r="E250" s="86" t="inlineStr">
        <is>
          <t>Piment liquide 250ml</t>
        </is>
      </c>
      <c r="F250" s="21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50" s="210">
        <f>IFERROR(_xlfn.XLOOKUP(TableauRecette[[#This Row],[Ingredients]],TableauIngredients[Ingredients],TableauIngredients[Prix d''achat (kg)],0)*TableauRecette[[#This Row],[poids / unite]],0)</f>
        <v/>
      </c>
      <c r="H250" s="210">
        <f>IFERROR(SUMIFS(TableauRecette[Proportion],TableauRecette[Recette],TableauRecette[[#This Row],[Recette]],TableauRecette[Conditionnement],TableauRecette[[#This Row],[Conditionnement]]),0)</f>
        <v/>
      </c>
      <c r="I250" s="210">
        <f>IFERROR(TableauRecette[[#This Row],[Prix d''achat / kg]],0)</f>
        <v/>
      </c>
      <c r="J250" s="210" t="n"/>
      <c r="K250" s="787" t="n"/>
      <c r="L250" s="788">
        <f>_xlfn.XLOOKUP(TableauRecette[[#This Row],[ID]],TableauProduit[ID],TableauProduit[Total (kg) N1],0,0,1)*TableauRecette[[#This Row],[poids / unite]]</f>
        <v/>
      </c>
      <c r="M250" s="789">
        <f>_xlfn.XLOOKUP(TableauRecette[[#This Row],[ID]],TableauProduit[ID],TableauProduit[Total (kg) N2],0,0,1)*TableauRecette[[#This Row],[poids / unite]]</f>
        <v/>
      </c>
      <c r="N250" s="789">
        <f>_xlfn.XLOOKUP(TableauRecette[[#This Row],[ID]],TableauProduit[ID],TableauProduit[Total (kg) N3],0,0,1)*TableauRecette[[#This Row],[poids / unite]]</f>
        <v/>
      </c>
      <c r="O250" s="789">
        <f>_xlfn.XLOOKUP(TableauRecette[[#This Row],[ID]],TableauProduit[ID],TableauProduit[Total (kg) N4],0,0,1)*TableauRecette[[#This Row],[poids / unite]]</f>
        <v/>
      </c>
      <c r="P250" s="789">
        <f>_xlfn.XLOOKUP(TableauRecette[[#This Row],[ID]],TableauProduit[ID],TableauProduit[Total (kg) N5],0,0,1)*TableauRecette[[#This Row],[poids / unite]]</f>
        <v/>
      </c>
      <c r="Q250" s="789">
        <f>_xlfn.XLOOKUP(TableauRecette[[#This Row],[ID]],TableauProduit[ID],TableauProduit[Total (kg) N6],0,0,1)*TableauRecette[[#This Row],[poids / unite]]</f>
        <v/>
      </c>
      <c r="R250" s="789">
        <f>_xlfn.XLOOKUP(TableauRecette[[#This Row],[ID]],TableauProduit[ID],TableauProduit[Total (kg) N7],0,0,1)*TableauRecette[[#This Row],[poids / unite]]</f>
        <v/>
      </c>
      <c r="S250" s="789">
        <f>_xlfn.XLOOKUP(TableauRecette[[#This Row],[ID]],TableauProduit[ID],TableauProduit[Total (kg) N8],0,0,1)*TableauRecette[[#This Row],[poids / unite]]</f>
        <v/>
      </c>
      <c r="T250" s="789">
        <f>_xlfn.XLOOKUP(TableauRecette[[#This Row],[ID]],TableauProduit[ID],TableauProduit[Total (kg) N9],0,0,1)*TableauRecette[[#This Row],[poids / unite]]</f>
        <v/>
      </c>
    </row>
    <row r="251">
      <c r="A251" s="86" t="inlineStr">
        <is>
          <t>Ketchup</t>
        </is>
      </c>
      <c r="B251" s="86">
        <f>TableauRecette[[#This Row],[Recette]]&amp;TableauRecette[[#This Row],[Conditionnement]]</f>
        <v/>
      </c>
      <c r="C251" s="86" t="inlineStr">
        <is>
          <t>Sel</t>
        </is>
      </c>
      <c r="D251" s="210" t="n">
        <v>6</v>
      </c>
      <c r="E251" s="86" t="inlineStr">
        <is>
          <t>Piment liquide 250ml</t>
        </is>
      </c>
      <c r="F251" s="21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51" s="210">
        <f>IFERROR(_xlfn.XLOOKUP(TableauRecette[[#This Row],[Ingredients]],TableauIngredients[Ingredients],TableauIngredients[Prix d''achat (kg)],0)*TableauRecette[[#This Row],[poids / unite]],0)</f>
        <v/>
      </c>
      <c r="H251" s="210">
        <f>IFERROR(SUMIFS(TableauRecette[Proportion],TableauRecette[Recette],TableauRecette[[#This Row],[Recette]],TableauRecette[Conditionnement],TableauRecette[[#This Row],[Conditionnement]]),0)</f>
        <v/>
      </c>
      <c r="I251" s="210">
        <f>IFERROR(TableauRecette[[#This Row],[Prix d''achat / kg]],0)</f>
        <v/>
      </c>
      <c r="J251" s="210" t="n"/>
      <c r="K251" s="787" t="n"/>
      <c r="L251" s="788">
        <f>_xlfn.XLOOKUP(TableauRecette[[#This Row],[ID]],TableauProduit[ID],TableauProduit[Total (kg) N1],0,0,1)*TableauRecette[[#This Row],[poids / unite]]</f>
        <v/>
      </c>
      <c r="M251" s="789">
        <f>_xlfn.XLOOKUP(TableauRecette[[#This Row],[ID]],TableauProduit[ID],TableauProduit[Total (kg) N2],0,0,1)*TableauRecette[[#This Row],[poids / unite]]</f>
        <v/>
      </c>
      <c r="N251" s="789">
        <f>_xlfn.XLOOKUP(TableauRecette[[#This Row],[ID]],TableauProduit[ID],TableauProduit[Total (kg) N3],0,0,1)*TableauRecette[[#This Row],[poids / unite]]</f>
        <v/>
      </c>
      <c r="O251" s="789">
        <f>_xlfn.XLOOKUP(TableauRecette[[#This Row],[ID]],TableauProduit[ID],TableauProduit[Total (kg) N4],0,0,1)*TableauRecette[[#This Row],[poids / unite]]</f>
        <v/>
      </c>
      <c r="P251" s="789">
        <f>_xlfn.XLOOKUP(TableauRecette[[#This Row],[ID]],TableauProduit[ID],TableauProduit[Total (kg) N5],0,0,1)*TableauRecette[[#This Row],[poids / unite]]</f>
        <v/>
      </c>
      <c r="Q251" s="789">
        <f>_xlfn.XLOOKUP(TableauRecette[[#This Row],[ID]],TableauProduit[ID],TableauProduit[Total (kg) N6],0,0,1)*TableauRecette[[#This Row],[poids / unite]]</f>
        <v/>
      </c>
      <c r="R251" s="789">
        <f>_xlfn.XLOOKUP(TableauRecette[[#This Row],[ID]],TableauProduit[ID],TableauProduit[Total (kg) N7],0,0,1)*TableauRecette[[#This Row],[poids / unite]]</f>
        <v/>
      </c>
      <c r="S251" s="789">
        <f>_xlfn.XLOOKUP(TableauRecette[[#This Row],[ID]],TableauProduit[ID],TableauProduit[Total (kg) N8],0,0,1)*TableauRecette[[#This Row],[poids / unite]]</f>
        <v/>
      </c>
      <c r="T251" s="789">
        <f>_xlfn.XLOOKUP(TableauRecette[[#This Row],[ID]],TableauProduit[ID],TableauProduit[Total (kg) N9],0,0,1)*TableauRecette[[#This Row],[poids / unite]]</f>
        <v/>
      </c>
    </row>
    <row r="252">
      <c r="A252" s="86" t="inlineStr">
        <is>
          <t>Ketchup</t>
        </is>
      </c>
      <c r="B252" s="86">
        <f>TableauRecette[[#This Row],[Recette]]&amp;TableauRecette[[#This Row],[Conditionnement]]</f>
        <v/>
      </c>
      <c r="C252" s="86" t="inlineStr">
        <is>
          <t>Vinaigre De Cidre</t>
        </is>
      </c>
      <c r="D252" s="210" t="n">
        <v>15</v>
      </c>
      <c r="E252" s="86" t="inlineStr">
        <is>
          <t>Piment liquide 250ml</t>
        </is>
      </c>
      <c r="F252" s="21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52" s="210">
        <f>IFERROR(_xlfn.XLOOKUP(TableauRecette[[#This Row],[Ingredients]],TableauIngredients[Ingredients],TableauIngredients[Prix d''achat (kg)],0)*TableauRecette[[#This Row],[poids / unite]],0)</f>
        <v/>
      </c>
      <c r="H252" s="210">
        <f>IFERROR(SUMIFS(TableauRecette[Proportion],TableauRecette[Recette],TableauRecette[[#This Row],[Recette]],TableauRecette[Conditionnement],TableauRecette[[#This Row],[Conditionnement]]),0)</f>
        <v/>
      </c>
      <c r="I252" s="210">
        <f>IFERROR(TableauRecette[[#This Row],[Prix d''achat / kg]],0)</f>
        <v/>
      </c>
      <c r="J252" s="210" t="n"/>
      <c r="K252" s="787" t="n"/>
      <c r="L252" s="788">
        <f>_xlfn.XLOOKUP(TableauRecette[[#This Row],[ID]],TableauProduit[ID],TableauProduit[Total (kg) N1],0,0,1)*TableauRecette[[#This Row],[poids / unite]]</f>
        <v/>
      </c>
      <c r="M252" s="789">
        <f>_xlfn.XLOOKUP(TableauRecette[[#This Row],[ID]],TableauProduit[ID],TableauProduit[Total (kg) N2],0,0,1)*TableauRecette[[#This Row],[poids / unite]]</f>
        <v/>
      </c>
      <c r="N252" s="789">
        <f>_xlfn.XLOOKUP(TableauRecette[[#This Row],[ID]],TableauProduit[ID],TableauProduit[Total (kg) N3],0,0,1)*TableauRecette[[#This Row],[poids / unite]]</f>
        <v/>
      </c>
      <c r="O252" s="789">
        <f>_xlfn.XLOOKUP(TableauRecette[[#This Row],[ID]],TableauProduit[ID],TableauProduit[Total (kg) N4],0,0,1)*TableauRecette[[#This Row],[poids / unite]]</f>
        <v/>
      </c>
      <c r="P252" s="789">
        <f>_xlfn.XLOOKUP(TableauRecette[[#This Row],[ID]],TableauProduit[ID],TableauProduit[Total (kg) N5],0,0,1)*TableauRecette[[#This Row],[poids / unite]]</f>
        <v/>
      </c>
      <c r="Q252" s="789">
        <f>_xlfn.XLOOKUP(TableauRecette[[#This Row],[ID]],TableauProduit[ID],TableauProduit[Total (kg) N6],0,0,1)*TableauRecette[[#This Row],[poids / unite]]</f>
        <v/>
      </c>
      <c r="R252" s="789">
        <f>_xlfn.XLOOKUP(TableauRecette[[#This Row],[ID]],TableauProduit[ID],TableauProduit[Total (kg) N7],0,0,1)*TableauRecette[[#This Row],[poids / unite]]</f>
        <v/>
      </c>
      <c r="S252" s="789">
        <f>_xlfn.XLOOKUP(TableauRecette[[#This Row],[ID]],TableauProduit[ID],TableauProduit[Total (kg) N8],0,0,1)*TableauRecette[[#This Row],[poids / unite]]</f>
        <v/>
      </c>
      <c r="T252" s="789">
        <f>_xlfn.XLOOKUP(TableauRecette[[#This Row],[ID]],TableauProduit[ID],TableauProduit[Total (kg) N9],0,0,1)*TableauRecette[[#This Row],[poids / unite]]</f>
        <v/>
      </c>
    </row>
    <row r="253">
      <c r="A253" s="86" t="inlineStr">
        <is>
          <t>Ketchup</t>
        </is>
      </c>
      <c r="B253" s="86">
        <f>TableauRecette[[#This Row],[Recette]]&amp;TableauRecette[[#This Row],[Conditionnement]]</f>
        <v/>
      </c>
      <c r="C253" s="86" t="inlineStr">
        <is>
          <t>Figue</t>
        </is>
      </c>
      <c r="D253" s="210" t="n">
        <v>0</v>
      </c>
      <c r="E253" s="86" t="inlineStr">
        <is>
          <t>Piment liquide 250ml</t>
        </is>
      </c>
      <c r="F253" s="21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53" s="210">
        <f>IFERROR(_xlfn.XLOOKUP(TableauRecette[[#This Row],[Ingredients]],TableauIngredients[Ingredients],TableauIngredients[Prix d''achat (kg)],0)*TableauRecette[[#This Row],[poids / unite]],0)</f>
        <v/>
      </c>
      <c r="H253" s="210">
        <f>IFERROR(SUMIFS(TableauRecette[Proportion],TableauRecette[Recette],TableauRecette[[#This Row],[Recette]],TableauRecette[Conditionnement],TableauRecette[[#This Row],[Conditionnement]]),0)</f>
        <v/>
      </c>
      <c r="I253" s="210">
        <f>IFERROR(TableauRecette[[#This Row],[Prix d''achat / kg]],0)</f>
        <v/>
      </c>
      <c r="J253" s="210" t="n"/>
      <c r="K253" s="787" t="n"/>
      <c r="L253" s="788">
        <f>_xlfn.XLOOKUP(TableauRecette[[#This Row],[ID]],TableauProduit[ID],TableauProduit[Total (kg) N1],0,0,1)*TableauRecette[[#This Row],[poids / unite]]</f>
        <v/>
      </c>
      <c r="M253" s="789">
        <f>_xlfn.XLOOKUP(TableauRecette[[#This Row],[ID]],TableauProduit[ID],TableauProduit[Total (kg) N2],0,0,1)*TableauRecette[[#This Row],[poids / unite]]</f>
        <v/>
      </c>
      <c r="N253" s="789">
        <f>_xlfn.XLOOKUP(TableauRecette[[#This Row],[ID]],TableauProduit[ID],TableauProduit[Total (kg) N3],0,0,1)*TableauRecette[[#This Row],[poids / unite]]</f>
        <v/>
      </c>
      <c r="O253" s="789">
        <f>_xlfn.XLOOKUP(TableauRecette[[#This Row],[ID]],TableauProduit[ID],TableauProduit[Total (kg) N4],0,0,1)*TableauRecette[[#This Row],[poids / unite]]</f>
        <v/>
      </c>
      <c r="P253" s="789">
        <f>_xlfn.XLOOKUP(TableauRecette[[#This Row],[ID]],TableauProduit[ID],TableauProduit[Total (kg) N5],0,0,1)*TableauRecette[[#This Row],[poids / unite]]</f>
        <v/>
      </c>
      <c r="Q253" s="789">
        <f>_xlfn.XLOOKUP(TableauRecette[[#This Row],[ID]],TableauProduit[ID],TableauProduit[Total (kg) N6],0,0,1)*TableauRecette[[#This Row],[poids / unite]]</f>
        <v/>
      </c>
      <c r="R253" s="789">
        <f>_xlfn.XLOOKUP(TableauRecette[[#This Row],[ID]],TableauProduit[ID],TableauProduit[Total (kg) N7],0,0,1)*TableauRecette[[#This Row],[poids / unite]]</f>
        <v/>
      </c>
      <c r="S253" s="789">
        <f>_xlfn.XLOOKUP(TableauRecette[[#This Row],[ID]],TableauProduit[ID],TableauProduit[Total (kg) N8],0,0,1)*TableauRecette[[#This Row],[poids / unite]]</f>
        <v/>
      </c>
      <c r="T253" s="789">
        <f>_xlfn.XLOOKUP(TableauRecette[[#This Row],[ID]],TableauProduit[ID],TableauProduit[Total (kg) N9],0,0,1)*TableauRecette[[#This Row],[poids / unite]]</f>
        <v/>
      </c>
    </row>
    <row r="254">
      <c r="A254" s="87" t="inlineStr">
        <is>
          <t>Moutarde à l'ancienne</t>
        </is>
      </c>
      <c r="B254" s="87">
        <f>TableauRecette[[#This Row],[Recette]]&amp;TableauRecette[[#This Row],[Conditionnement]]</f>
        <v/>
      </c>
      <c r="C254" s="87" t="inlineStr">
        <is>
          <t>Graine De Moutarde</t>
        </is>
      </c>
      <c r="D254" s="211" t="n">
        <v>80</v>
      </c>
      <c r="E254" s="87" t="inlineStr">
        <is>
          <t>Moutarde Pot en grès</t>
        </is>
      </c>
      <c r="F254" s="21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54" s="211">
        <f>IFERROR(_xlfn.XLOOKUP(TableauRecette[[#This Row],[Ingredients]],TableauIngredients[Ingredients],TableauIngredients[Prix d''achat (kg)],0)*TableauRecette[[#This Row],[poids / unite]],0)</f>
        <v/>
      </c>
      <c r="H254" s="211">
        <f>IFERROR(SUMIFS(TableauRecette[Proportion],TableauRecette[Recette],TableauRecette[[#This Row],[Recette]],TableauRecette[Conditionnement],TableauRecette[[#This Row],[Conditionnement]]),0)</f>
        <v/>
      </c>
      <c r="I254" s="211">
        <f>IFERROR(TableauRecette[[#This Row],[Prix d''achat / kg]],0)</f>
        <v/>
      </c>
      <c r="J254" s="211" t="n"/>
      <c r="K254" s="790" t="n"/>
      <c r="L254" s="791">
        <f>_xlfn.XLOOKUP(TableauRecette[[#This Row],[ID]],TableauProduit[ID],TableauProduit[Total (kg) N1],0,0,1)*TableauRecette[[#This Row],[poids / unite]]</f>
        <v/>
      </c>
      <c r="M254" s="792">
        <f>_xlfn.XLOOKUP(TableauRecette[[#This Row],[ID]],TableauProduit[ID],TableauProduit[Total (kg) N2],0,0,1)*TableauRecette[[#This Row],[poids / unite]]</f>
        <v/>
      </c>
      <c r="N254" s="792">
        <f>_xlfn.XLOOKUP(TableauRecette[[#This Row],[ID]],TableauProduit[ID],TableauProduit[Total (kg) N3],0,0,1)*TableauRecette[[#This Row],[poids / unite]]</f>
        <v/>
      </c>
      <c r="O254" s="792">
        <f>_xlfn.XLOOKUP(TableauRecette[[#This Row],[ID]],TableauProduit[ID],TableauProduit[Total (kg) N4],0,0,1)*TableauRecette[[#This Row],[poids / unite]]</f>
        <v/>
      </c>
      <c r="P254" s="792">
        <f>_xlfn.XLOOKUP(TableauRecette[[#This Row],[ID]],TableauProduit[ID],TableauProduit[Total (kg) N5],0,0,1)*TableauRecette[[#This Row],[poids / unite]]</f>
        <v/>
      </c>
      <c r="Q254" s="792">
        <f>_xlfn.XLOOKUP(TableauRecette[[#This Row],[ID]],TableauProduit[ID],TableauProduit[Total (kg) N6],0,0,1)*TableauRecette[[#This Row],[poids / unite]]</f>
        <v/>
      </c>
      <c r="R254" s="792">
        <f>_xlfn.XLOOKUP(TableauRecette[[#This Row],[ID]],TableauProduit[ID],TableauProduit[Total (kg) N7],0,0,1)*TableauRecette[[#This Row],[poids / unite]]</f>
        <v/>
      </c>
      <c r="S254" s="792">
        <f>_xlfn.XLOOKUP(TableauRecette[[#This Row],[ID]],TableauProduit[ID],TableauProduit[Total (kg) N8],0,0,1)*TableauRecette[[#This Row],[poids / unite]]</f>
        <v/>
      </c>
      <c r="T254" s="792">
        <f>_xlfn.XLOOKUP(TableauRecette[[#This Row],[ID]],TableauProduit[ID],TableauProduit[Total (kg) N9],0,0,1)*TableauRecette[[#This Row],[poids / unite]]</f>
        <v/>
      </c>
    </row>
    <row r="255">
      <c r="A255" s="87" t="inlineStr">
        <is>
          <t>Moutarde à l'ancienne</t>
        </is>
      </c>
      <c r="B255" s="87">
        <f>TableauRecette[[#This Row],[Recette]]&amp;TableauRecette[[#This Row],[Conditionnement]]</f>
        <v/>
      </c>
      <c r="C255" s="87" t="inlineStr">
        <is>
          <t>Vinaigre De Cidre</t>
        </is>
      </c>
      <c r="D255" s="211" t="n">
        <v>20</v>
      </c>
      <c r="E255" s="87" t="inlineStr">
        <is>
          <t>Moutarde Pot en grès</t>
        </is>
      </c>
      <c r="F255" s="21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55" s="211">
        <f>IFERROR(_xlfn.XLOOKUP(TableauRecette[[#This Row],[Ingredients]],TableauIngredients[Ingredients],TableauIngredients[Prix d''achat (kg)],0)*TableauRecette[[#This Row],[poids / unite]],0)</f>
        <v/>
      </c>
      <c r="H255" s="211">
        <f>IFERROR(SUMIFS(TableauRecette[Proportion],TableauRecette[Recette],TableauRecette[[#This Row],[Recette]],TableauRecette[Conditionnement],TableauRecette[[#This Row],[Conditionnement]]),0)</f>
        <v/>
      </c>
      <c r="I255" s="211">
        <f>IFERROR(TableauRecette[[#This Row],[Prix d''achat / kg]],0)</f>
        <v/>
      </c>
      <c r="J255" s="211" t="n"/>
      <c r="K255" s="790" t="n"/>
      <c r="L255" s="791">
        <f>_xlfn.XLOOKUP(TableauRecette[[#This Row],[ID]],TableauProduit[ID],TableauProduit[Total (kg) N1],0,0,1)*TableauRecette[[#This Row],[poids / unite]]</f>
        <v/>
      </c>
      <c r="M255" s="792">
        <f>_xlfn.XLOOKUP(TableauRecette[[#This Row],[ID]],TableauProduit[ID],TableauProduit[Total (kg) N2],0,0,1)*TableauRecette[[#This Row],[poids / unite]]</f>
        <v/>
      </c>
      <c r="N255" s="792">
        <f>_xlfn.XLOOKUP(TableauRecette[[#This Row],[ID]],TableauProduit[ID],TableauProduit[Total (kg) N3],0,0,1)*TableauRecette[[#This Row],[poids / unite]]</f>
        <v/>
      </c>
      <c r="O255" s="792">
        <f>_xlfn.XLOOKUP(TableauRecette[[#This Row],[ID]],TableauProduit[ID],TableauProduit[Total (kg) N4],0,0,1)*TableauRecette[[#This Row],[poids / unite]]</f>
        <v/>
      </c>
      <c r="P255" s="792">
        <f>_xlfn.XLOOKUP(TableauRecette[[#This Row],[ID]],TableauProduit[ID],TableauProduit[Total (kg) N5],0,0,1)*TableauRecette[[#This Row],[poids / unite]]</f>
        <v/>
      </c>
      <c r="Q255" s="792">
        <f>_xlfn.XLOOKUP(TableauRecette[[#This Row],[ID]],TableauProduit[ID],TableauProduit[Total (kg) N6],0,0,1)*TableauRecette[[#This Row],[poids / unite]]</f>
        <v/>
      </c>
      <c r="R255" s="792">
        <f>_xlfn.XLOOKUP(TableauRecette[[#This Row],[ID]],TableauProduit[ID],TableauProduit[Total (kg) N7],0,0,1)*TableauRecette[[#This Row],[poids / unite]]</f>
        <v/>
      </c>
      <c r="S255" s="792">
        <f>_xlfn.XLOOKUP(TableauRecette[[#This Row],[ID]],TableauProduit[ID],TableauProduit[Total (kg) N8],0,0,1)*TableauRecette[[#This Row],[poids / unite]]</f>
        <v/>
      </c>
      <c r="T255" s="792">
        <f>_xlfn.XLOOKUP(TableauRecette[[#This Row],[ID]],TableauProduit[ID],TableauProduit[Total (kg) N9],0,0,1)*TableauRecette[[#This Row],[poids / unite]]</f>
        <v/>
      </c>
    </row>
    <row r="256">
      <c r="A256" s="87" t="inlineStr">
        <is>
          <t>Moutarde à l'ancienne</t>
        </is>
      </c>
      <c r="B256" s="87">
        <f>TableauRecette[[#This Row],[Recette]]&amp;TableauRecette[[#This Row],[Conditionnement]]</f>
        <v/>
      </c>
      <c r="C256" s="87" t="inlineStr">
        <is>
          <t>Eau</t>
        </is>
      </c>
      <c r="D256" s="211" t="n">
        <v>20</v>
      </c>
      <c r="E256" s="87" t="inlineStr">
        <is>
          <t>Moutarde Pot en grès</t>
        </is>
      </c>
      <c r="F256" s="21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56" s="211">
        <f>IFERROR(_xlfn.XLOOKUP(TableauRecette[[#This Row],[Ingredients]],TableauIngredients[Ingredients],TableauIngredients[Prix d''achat (kg)],0)*TableauRecette[[#This Row],[poids / unite]],0)</f>
        <v/>
      </c>
      <c r="H256" s="211">
        <f>IFERROR(SUMIFS(TableauRecette[Proportion],TableauRecette[Recette],TableauRecette[[#This Row],[Recette]],TableauRecette[Conditionnement],TableauRecette[[#This Row],[Conditionnement]]),0)</f>
        <v/>
      </c>
      <c r="I256" s="211">
        <f>IFERROR(TableauRecette[[#This Row],[Prix d''achat / kg]],0)</f>
        <v/>
      </c>
      <c r="J256" s="211" t="n"/>
      <c r="K256" s="790" t="n"/>
      <c r="L256" s="791">
        <f>_xlfn.XLOOKUP(TableauRecette[[#This Row],[ID]],TableauProduit[ID],TableauProduit[Total (kg) N1],0,0,1)*TableauRecette[[#This Row],[poids / unite]]</f>
        <v/>
      </c>
      <c r="M256" s="792">
        <f>_xlfn.XLOOKUP(TableauRecette[[#This Row],[ID]],TableauProduit[ID],TableauProduit[Total (kg) N2],0,0,1)*TableauRecette[[#This Row],[poids / unite]]</f>
        <v/>
      </c>
      <c r="N256" s="792">
        <f>_xlfn.XLOOKUP(TableauRecette[[#This Row],[ID]],TableauProduit[ID],TableauProduit[Total (kg) N3],0,0,1)*TableauRecette[[#This Row],[poids / unite]]</f>
        <v/>
      </c>
      <c r="O256" s="792">
        <f>_xlfn.XLOOKUP(TableauRecette[[#This Row],[ID]],TableauProduit[ID],TableauProduit[Total (kg) N4],0,0,1)*TableauRecette[[#This Row],[poids / unite]]</f>
        <v/>
      </c>
      <c r="P256" s="792">
        <f>_xlfn.XLOOKUP(TableauRecette[[#This Row],[ID]],TableauProduit[ID],TableauProduit[Total (kg) N5],0,0,1)*TableauRecette[[#This Row],[poids / unite]]</f>
        <v/>
      </c>
      <c r="Q256" s="792">
        <f>_xlfn.XLOOKUP(TableauRecette[[#This Row],[ID]],TableauProduit[ID],TableauProduit[Total (kg) N6],0,0,1)*TableauRecette[[#This Row],[poids / unite]]</f>
        <v/>
      </c>
      <c r="R256" s="792">
        <f>_xlfn.XLOOKUP(TableauRecette[[#This Row],[ID]],TableauProduit[ID],TableauProduit[Total (kg) N7],0,0,1)*TableauRecette[[#This Row],[poids / unite]]</f>
        <v/>
      </c>
      <c r="S256" s="792">
        <f>_xlfn.XLOOKUP(TableauRecette[[#This Row],[ID]],TableauProduit[ID],TableauProduit[Total (kg) N8],0,0,1)*TableauRecette[[#This Row],[poids / unite]]</f>
        <v/>
      </c>
      <c r="T256" s="792">
        <f>_xlfn.XLOOKUP(TableauRecette[[#This Row],[ID]],TableauProduit[ID],TableauProduit[Total (kg) N9],0,0,1)*TableauRecette[[#This Row],[poids / unite]]</f>
        <v/>
      </c>
    </row>
    <row r="257">
      <c r="A257" s="87" t="inlineStr">
        <is>
          <t>Moutarde à l'ancienne</t>
        </is>
      </c>
      <c r="B257" s="87">
        <f>TableauRecette[[#This Row],[Recette]]&amp;TableauRecette[[#This Row],[Conditionnement]]</f>
        <v/>
      </c>
      <c r="C257" s="87" t="inlineStr">
        <is>
          <t>Sel</t>
        </is>
      </c>
      <c r="D257" s="212" t="n">
        <v>15</v>
      </c>
      <c r="E257" s="87" t="inlineStr">
        <is>
          <t>Moutarde Pot en grès</t>
        </is>
      </c>
      <c r="F257" s="21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57" s="211">
        <f>IFERROR(_xlfn.XLOOKUP(TableauRecette[[#This Row],[Ingredients]],TableauIngredients[Ingredients],TableauIngredients[Prix d''achat (kg)],0)*TableauRecette[[#This Row],[poids / unite]],0)</f>
        <v/>
      </c>
      <c r="H257" s="211">
        <f>IFERROR(SUMIFS(TableauRecette[Proportion],TableauRecette[Recette],TableauRecette[[#This Row],[Recette]],TableauRecette[Conditionnement],TableauRecette[[#This Row],[Conditionnement]]),0)</f>
        <v/>
      </c>
      <c r="I257" s="211">
        <f>IFERROR(TableauRecette[[#This Row],[Prix d''achat / kg]],0)</f>
        <v/>
      </c>
      <c r="J257" s="211" t="n"/>
      <c r="K257" s="790" t="n"/>
      <c r="L257" s="791">
        <f>_xlfn.XLOOKUP(TableauRecette[[#This Row],[ID]],TableauProduit[ID],TableauProduit[Total (kg) N1],0,0,1)*TableauRecette[[#This Row],[poids / unite]]</f>
        <v/>
      </c>
      <c r="M257" s="792">
        <f>_xlfn.XLOOKUP(TableauRecette[[#This Row],[ID]],TableauProduit[ID],TableauProduit[Total (kg) N2],0,0,1)*TableauRecette[[#This Row],[poids / unite]]</f>
        <v/>
      </c>
      <c r="N257" s="792">
        <f>_xlfn.XLOOKUP(TableauRecette[[#This Row],[ID]],TableauProduit[ID],TableauProduit[Total (kg) N3],0,0,1)*TableauRecette[[#This Row],[poids / unite]]</f>
        <v/>
      </c>
      <c r="O257" s="792">
        <f>_xlfn.XLOOKUP(TableauRecette[[#This Row],[ID]],TableauProduit[ID],TableauProduit[Total (kg) N4],0,0,1)*TableauRecette[[#This Row],[poids / unite]]</f>
        <v/>
      </c>
      <c r="P257" s="792">
        <f>_xlfn.XLOOKUP(TableauRecette[[#This Row],[ID]],TableauProduit[ID],TableauProduit[Total (kg) N5],0,0,1)*TableauRecette[[#This Row],[poids / unite]]</f>
        <v/>
      </c>
      <c r="Q257" s="792">
        <f>_xlfn.XLOOKUP(TableauRecette[[#This Row],[ID]],TableauProduit[ID],TableauProduit[Total (kg) N6],0,0,1)*TableauRecette[[#This Row],[poids / unite]]</f>
        <v/>
      </c>
      <c r="R257" s="792">
        <f>_xlfn.XLOOKUP(TableauRecette[[#This Row],[ID]],TableauProduit[ID],TableauProduit[Total (kg) N7],0,0,1)*TableauRecette[[#This Row],[poids / unite]]</f>
        <v/>
      </c>
      <c r="S257" s="792">
        <f>_xlfn.XLOOKUP(TableauRecette[[#This Row],[ID]],TableauProduit[ID],TableauProduit[Total (kg) N8],0,0,1)*TableauRecette[[#This Row],[poids / unite]]</f>
        <v/>
      </c>
      <c r="T257" s="792">
        <f>_xlfn.XLOOKUP(TableauRecette[[#This Row],[ID]],TableauProduit[ID],TableauProduit[Total (kg) N9],0,0,1)*TableauRecette[[#This Row],[poids / unite]]</f>
        <v/>
      </c>
    </row>
    <row r="258">
      <c r="A258" s="539" t="inlineStr">
        <is>
          <t>Moutarde à l'estragon</t>
        </is>
      </c>
      <c r="B258" s="539">
        <f>TableauRecette[[#This Row],[Recette]]&amp;TableauRecette[[#This Row],[Conditionnement]]</f>
        <v/>
      </c>
      <c r="C258" s="539" t="inlineStr">
        <is>
          <t>Graine De Moutarde</t>
        </is>
      </c>
      <c r="D258" s="540" t="n">
        <v>80</v>
      </c>
      <c r="E258" s="539" t="inlineStr">
        <is>
          <t>Moutarde verre 212 ml</t>
        </is>
      </c>
      <c r="F258" s="54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58" s="540">
        <f>IFERROR(_xlfn.XLOOKUP(TableauRecette[[#This Row],[Ingredients]],TableauIngredients[Ingredients],TableauIngredients[Prix d''achat (kg)],0)*TableauRecette[[#This Row],[poids / unite]],0)</f>
        <v/>
      </c>
      <c r="H258" s="540">
        <f>IFERROR(SUMIFS(TableauRecette[Proportion],TableauRecette[Recette],TableauRecette[[#This Row],[Recette]],TableauRecette[Conditionnement],TableauRecette[[#This Row],[Conditionnement]]),0)</f>
        <v/>
      </c>
      <c r="I258" s="540">
        <f>IFERROR(TableauRecette[[#This Row],[Prix d''achat / kg]],0)</f>
        <v/>
      </c>
      <c r="J258" s="540" t="n"/>
      <c r="K258" s="793" t="n"/>
      <c r="L258" s="794">
        <f>_xlfn.XLOOKUP(TableauRecette[[#This Row],[ID]],TableauProduit[ID],TableauProduit[Total (kg) N1],0,0,1)*TableauRecette[[#This Row],[poids / unite]]</f>
        <v/>
      </c>
      <c r="M258" s="795">
        <f>_xlfn.XLOOKUP(TableauRecette[[#This Row],[ID]],TableauProduit[ID],TableauProduit[Total (kg) N2],0,0,1)*TableauRecette[[#This Row],[poids / unite]]</f>
        <v/>
      </c>
      <c r="N258" s="795">
        <f>_xlfn.XLOOKUP(TableauRecette[[#This Row],[ID]],TableauProduit[ID],TableauProduit[Total (kg) N3],0,0,1)*TableauRecette[[#This Row],[poids / unite]]</f>
        <v/>
      </c>
      <c r="O258" s="795">
        <f>_xlfn.XLOOKUP(TableauRecette[[#This Row],[ID]],TableauProduit[ID],TableauProduit[Total (kg) N4],0,0,1)*TableauRecette[[#This Row],[poids / unite]]</f>
        <v/>
      </c>
      <c r="P258" s="795">
        <f>_xlfn.XLOOKUP(TableauRecette[[#This Row],[ID]],TableauProduit[ID],TableauProduit[Total (kg) N5],0,0,1)*TableauRecette[[#This Row],[poids / unite]]</f>
        <v/>
      </c>
      <c r="Q258" s="795">
        <f>_xlfn.XLOOKUP(TableauRecette[[#This Row],[ID]],TableauProduit[ID],TableauProduit[Total (kg) N6],0,0,1)*TableauRecette[[#This Row],[poids / unite]]</f>
        <v/>
      </c>
      <c r="R258" s="795">
        <f>_xlfn.XLOOKUP(TableauRecette[[#This Row],[ID]],TableauProduit[ID],TableauProduit[Total (kg) N7],0,0,1)*TableauRecette[[#This Row],[poids / unite]]</f>
        <v/>
      </c>
      <c r="S258" s="795">
        <f>_xlfn.XLOOKUP(TableauRecette[[#This Row],[ID]],TableauProduit[ID],TableauProduit[Total (kg) N8],0,0,1)*TableauRecette[[#This Row],[poids / unite]]</f>
        <v/>
      </c>
      <c r="T258" s="795">
        <f>_xlfn.XLOOKUP(TableauRecette[[#This Row],[ID]],TableauProduit[ID],TableauProduit[Total (kg) N9],0,0,1)*TableauRecette[[#This Row],[poids / unite]]</f>
        <v/>
      </c>
    </row>
    <row r="259">
      <c r="A259" s="539" t="inlineStr">
        <is>
          <t>Moutarde à l'estragon</t>
        </is>
      </c>
      <c r="B259" s="539">
        <f>TableauRecette[[#This Row],[Recette]]&amp;TableauRecette[[#This Row],[Conditionnement]]</f>
        <v/>
      </c>
      <c r="C259" s="539" t="inlineStr">
        <is>
          <t>Vinaigre De Cidre</t>
        </is>
      </c>
      <c r="D259" s="540" t="n">
        <v>20</v>
      </c>
      <c r="E259" s="539" t="inlineStr">
        <is>
          <t>Moutarde verre 212 ml</t>
        </is>
      </c>
      <c r="F259" s="54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59" s="540">
        <f>IFERROR(_xlfn.XLOOKUP(TableauRecette[[#This Row],[Ingredients]],TableauIngredients[Ingredients],TableauIngredients[Prix d''achat (kg)],0)*TableauRecette[[#This Row],[poids / unite]],0)</f>
        <v/>
      </c>
      <c r="H259" s="540">
        <f>IFERROR(SUMIFS(TableauRecette[Proportion],TableauRecette[Recette],TableauRecette[[#This Row],[Recette]],TableauRecette[Conditionnement],TableauRecette[[#This Row],[Conditionnement]]),0)</f>
        <v/>
      </c>
      <c r="I259" s="540">
        <f>IFERROR(TableauRecette[[#This Row],[Prix d''achat / kg]],0)</f>
        <v/>
      </c>
      <c r="J259" s="540" t="n"/>
      <c r="K259" s="793" t="n"/>
      <c r="L259" s="794">
        <f>_xlfn.XLOOKUP(TableauRecette[[#This Row],[ID]],TableauProduit[ID],TableauProduit[Total (kg) N1],0,0,1)*TableauRecette[[#This Row],[poids / unite]]</f>
        <v/>
      </c>
      <c r="M259" s="795">
        <f>_xlfn.XLOOKUP(TableauRecette[[#This Row],[ID]],TableauProduit[ID],TableauProduit[Total (kg) N2],0,0,1)*TableauRecette[[#This Row],[poids / unite]]</f>
        <v/>
      </c>
      <c r="N259" s="795">
        <f>_xlfn.XLOOKUP(TableauRecette[[#This Row],[ID]],TableauProduit[ID],TableauProduit[Total (kg) N3],0,0,1)*TableauRecette[[#This Row],[poids / unite]]</f>
        <v/>
      </c>
      <c r="O259" s="795">
        <f>_xlfn.XLOOKUP(TableauRecette[[#This Row],[ID]],TableauProduit[ID],TableauProduit[Total (kg) N4],0,0,1)*TableauRecette[[#This Row],[poids / unite]]</f>
        <v/>
      </c>
      <c r="P259" s="795">
        <f>_xlfn.XLOOKUP(TableauRecette[[#This Row],[ID]],TableauProduit[ID],TableauProduit[Total (kg) N5],0,0,1)*TableauRecette[[#This Row],[poids / unite]]</f>
        <v/>
      </c>
      <c r="Q259" s="795">
        <f>_xlfn.XLOOKUP(TableauRecette[[#This Row],[ID]],TableauProduit[ID],TableauProduit[Total (kg) N6],0,0,1)*TableauRecette[[#This Row],[poids / unite]]</f>
        <v/>
      </c>
      <c r="R259" s="795">
        <f>_xlfn.XLOOKUP(TableauRecette[[#This Row],[ID]],TableauProduit[ID],TableauProduit[Total (kg) N7],0,0,1)*TableauRecette[[#This Row],[poids / unite]]</f>
        <v/>
      </c>
      <c r="S259" s="795">
        <f>_xlfn.XLOOKUP(TableauRecette[[#This Row],[ID]],TableauProduit[ID],TableauProduit[Total (kg) N8],0,0,1)*TableauRecette[[#This Row],[poids / unite]]</f>
        <v/>
      </c>
      <c r="T259" s="795">
        <f>_xlfn.XLOOKUP(TableauRecette[[#This Row],[ID]],TableauProduit[ID],TableauProduit[Total (kg) N9],0,0,1)*TableauRecette[[#This Row],[poids / unite]]</f>
        <v/>
      </c>
    </row>
    <row r="260">
      <c r="A260" s="539" t="inlineStr">
        <is>
          <t>Moutarde à l'estragon</t>
        </is>
      </c>
      <c r="B260" s="539">
        <f>TableauRecette[[#This Row],[Recette]]&amp;TableauRecette[[#This Row],[Conditionnement]]</f>
        <v/>
      </c>
      <c r="C260" s="539" t="inlineStr">
        <is>
          <t>Eau</t>
        </is>
      </c>
      <c r="D260" s="540" t="n">
        <v>80</v>
      </c>
      <c r="E260" s="539" t="inlineStr">
        <is>
          <t>Moutarde verre 212 ml</t>
        </is>
      </c>
      <c r="F260" s="54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60" s="540">
        <f>IFERROR(_xlfn.XLOOKUP(TableauRecette[[#This Row],[Ingredients]],TableauIngredients[Ingredients],TableauIngredients[Prix d''achat (kg)],0)*TableauRecette[[#This Row],[poids / unite]],0)</f>
        <v/>
      </c>
      <c r="H260" s="540">
        <f>IFERROR(SUMIFS(TableauRecette[Proportion],TableauRecette[Recette],TableauRecette[[#This Row],[Recette]],TableauRecette[Conditionnement],TableauRecette[[#This Row],[Conditionnement]]),0)</f>
        <v/>
      </c>
      <c r="I260" s="540">
        <f>IFERROR(TableauRecette[[#This Row],[Prix d''achat / kg]],0)</f>
        <v/>
      </c>
      <c r="J260" s="540" t="n"/>
      <c r="K260" s="793" t="n"/>
      <c r="L260" s="794">
        <f>_xlfn.XLOOKUP(TableauRecette[[#This Row],[ID]],TableauProduit[ID],TableauProduit[Total (kg) N1],0,0,1)*TableauRecette[[#This Row],[poids / unite]]</f>
        <v/>
      </c>
      <c r="M260" s="795">
        <f>_xlfn.XLOOKUP(TableauRecette[[#This Row],[ID]],TableauProduit[ID],TableauProduit[Total (kg) N2],0,0,1)*TableauRecette[[#This Row],[poids / unite]]</f>
        <v/>
      </c>
      <c r="N260" s="795">
        <f>_xlfn.XLOOKUP(TableauRecette[[#This Row],[ID]],TableauProduit[ID],TableauProduit[Total (kg) N3],0,0,1)*TableauRecette[[#This Row],[poids / unite]]</f>
        <v/>
      </c>
      <c r="O260" s="795">
        <f>_xlfn.XLOOKUP(TableauRecette[[#This Row],[ID]],TableauProduit[ID],TableauProduit[Total (kg) N4],0,0,1)*TableauRecette[[#This Row],[poids / unite]]</f>
        <v/>
      </c>
      <c r="P260" s="795">
        <f>_xlfn.XLOOKUP(TableauRecette[[#This Row],[ID]],TableauProduit[ID],TableauProduit[Total (kg) N5],0,0,1)*TableauRecette[[#This Row],[poids / unite]]</f>
        <v/>
      </c>
      <c r="Q260" s="795">
        <f>_xlfn.XLOOKUP(TableauRecette[[#This Row],[ID]],TableauProduit[ID],TableauProduit[Total (kg) N6],0,0,1)*TableauRecette[[#This Row],[poids / unite]]</f>
        <v/>
      </c>
      <c r="R260" s="795">
        <f>_xlfn.XLOOKUP(TableauRecette[[#This Row],[ID]],TableauProduit[ID],TableauProduit[Total (kg) N7],0,0,1)*TableauRecette[[#This Row],[poids / unite]]</f>
        <v/>
      </c>
      <c r="S260" s="795">
        <f>_xlfn.XLOOKUP(TableauRecette[[#This Row],[ID]],TableauProduit[ID],TableauProduit[Total (kg) N8],0,0,1)*TableauRecette[[#This Row],[poids / unite]]</f>
        <v/>
      </c>
      <c r="T260" s="795">
        <f>_xlfn.XLOOKUP(TableauRecette[[#This Row],[ID]],TableauProduit[ID],TableauProduit[Total (kg) N9],0,0,1)*TableauRecette[[#This Row],[poids / unite]]</f>
        <v/>
      </c>
    </row>
    <row r="261">
      <c r="A261" s="539" t="inlineStr">
        <is>
          <t>Moutarde à l'estragon</t>
        </is>
      </c>
      <c r="B261" s="539">
        <f>TableauRecette[[#This Row],[Recette]]&amp;TableauRecette[[#This Row],[Conditionnement]]</f>
        <v/>
      </c>
      <c r="C261" s="539" t="inlineStr">
        <is>
          <t>Sel</t>
        </is>
      </c>
      <c r="D261" s="541" t="n">
        <v>15</v>
      </c>
      <c r="E261" s="539" t="inlineStr">
        <is>
          <t>Moutarde verre 212 ml</t>
        </is>
      </c>
      <c r="F261" s="54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61" s="540">
        <f>IFERROR(_xlfn.XLOOKUP(TableauRecette[[#This Row],[Ingredients]],TableauIngredients[Ingredients],TableauIngredients[Prix d''achat (kg)],0)*TableauRecette[[#This Row],[poids / unite]],0)</f>
        <v/>
      </c>
      <c r="H261" s="540">
        <f>IFERROR(SUMIFS(TableauRecette[Proportion],TableauRecette[Recette],TableauRecette[[#This Row],[Recette]],TableauRecette[Conditionnement],TableauRecette[[#This Row],[Conditionnement]]),0)</f>
        <v/>
      </c>
      <c r="I261" s="540">
        <f>IFERROR(TableauRecette[[#This Row],[Prix d''achat / kg]],0)</f>
        <v/>
      </c>
      <c r="J261" s="540" t="n"/>
      <c r="K261" s="793" t="n"/>
      <c r="L261" s="794">
        <f>_xlfn.XLOOKUP(TableauRecette[[#This Row],[ID]],TableauProduit[ID],TableauProduit[Total (kg) N1],0,0,1)*TableauRecette[[#This Row],[poids / unite]]</f>
        <v/>
      </c>
      <c r="M261" s="795">
        <f>_xlfn.XLOOKUP(TableauRecette[[#This Row],[ID]],TableauProduit[ID],TableauProduit[Total (kg) N2],0,0,1)*TableauRecette[[#This Row],[poids / unite]]</f>
        <v/>
      </c>
      <c r="N261" s="795">
        <f>_xlfn.XLOOKUP(TableauRecette[[#This Row],[ID]],TableauProduit[ID],TableauProduit[Total (kg) N3],0,0,1)*TableauRecette[[#This Row],[poids / unite]]</f>
        <v/>
      </c>
      <c r="O261" s="795">
        <f>_xlfn.XLOOKUP(TableauRecette[[#This Row],[ID]],TableauProduit[ID],TableauProduit[Total (kg) N4],0,0,1)*TableauRecette[[#This Row],[poids / unite]]</f>
        <v/>
      </c>
      <c r="P261" s="795">
        <f>_xlfn.XLOOKUP(TableauRecette[[#This Row],[ID]],TableauProduit[ID],TableauProduit[Total (kg) N5],0,0,1)*TableauRecette[[#This Row],[poids / unite]]</f>
        <v/>
      </c>
      <c r="Q261" s="795">
        <f>_xlfn.XLOOKUP(TableauRecette[[#This Row],[ID]],TableauProduit[ID],TableauProduit[Total (kg) N6],0,0,1)*TableauRecette[[#This Row],[poids / unite]]</f>
        <v/>
      </c>
      <c r="R261" s="795">
        <f>_xlfn.XLOOKUP(TableauRecette[[#This Row],[ID]],TableauProduit[ID],TableauProduit[Total (kg) N7],0,0,1)*TableauRecette[[#This Row],[poids / unite]]</f>
        <v/>
      </c>
      <c r="S261" s="795">
        <f>_xlfn.XLOOKUP(TableauRecette[[#This Row],[ID]],TableauProduit[ID],TableauProduit[Total (kg) N8],0,0,1)*TableauRecette[[#This Row],[poids / unite]]</f>
        <v/>
      </c>
      <c r="T261" s="795">
        <f>_xlfn.XLOOKUP(TableauRecette[[#This Row],[ID]],TableauProduit[ID],TableauProduit[Total (kg) N9],0,0,1)*TableauRecette[[#This Row],[poids / unite]]</f>
        <v/>
      </c>
    </row>
    <row r="262">
      <c r="A262" s="539" t="inlineStr">
        <is>
          <t>Moutarde à l'estragon</t>
        </is>
      </c>
      <c r="B262" s="539">
        <f>TableauRecette[[#This Row],[Recette]]&amp;TableauRecette[[#This Row],[Conditionnement]]</f>
        <v/>
      </c>
      <c r="C262" s="539" t="inlineStr">
        <is>
          <t>Estragon</t>
        </is>
      </c>
      <c r="D262" s="541" t="n">
        <v>5</v>
      </c>
      <c r="E262" s="539" t="inlineStr">
        <is>
          <t>Moutarde verre 212 ml</t>
        </is>
      </c>
      <c r="F262" s="54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62" s="540">
        <f>IFERROR(_xlfn.XLOOKUP(TableauRecette[[#This Row],[Ingredients]],TableauIngredients[Ingredients],TableauIngredients[Prix d''achat (kg)],0)*TableauRecette[[#This Row],[poids / unite]],0)</f>
        <v/>
      </c>
      <c r="H262" s="540">
        <f>IFERROR(SUMIFS(TableauRecette[Proportion],TableauRecette[Recette],TableauRecette[[#This Row],[Recette]],TableauRecette[Conditionnement],TableauRecette[[#This Row],[Conditionnement]]),0)</f>
        <v/>
      </c>
      <c r="I262" s="540">
        <f>IFERROR(TableauRecette[[#This Row],[Prix d''achat / kg]],0)</f>
        <v/>
      </c>
      <c r="J262" s="540" t="n"/>
      <c r="K262" s="793" t="n"/>
      <c r="L262" s="794">
        <f>_xlfn.XLOOKUP(TableauRecette[[#This Row],[ID]],TableauProduit[ID],TableauProduit[Total (kg) N1],0,0,1)*TableauRecette[[#This Row],[poids / unite]]</f>
        <v/>
      </c>
      <c r="M262" s="795">
        <f>_xlfn.XLOOKUP(TableauRecette[[#This Row],[ID]],TableauProduit[ID],TableauProduit[Total (kg) N2],0,0,1)*TableauRecette[[#This Row],[poids / unite]]</f>
        <v/>
      </c>
      <c r="N262" s="795">
        <f>_xlfn.XLOOKUP(TableauRecette[[#This Row],[ID]],TableauProduit[ID],TableauProduit[Total (kg) N3],0,0,1)*TableauRecette[[#This Row],[poids / unite]]</f>
        <v/>
      </c>
      <c r="O262" s="795">
        <f>_xlfn.XLOOKUP(TableauRecette[[#This Row],[ID]],TableauProduit[ID],TableauProduit[Total (kg) N4],0,0,1)*TableauRecette[[#This Row],[poids / unite]]</f>
        <v/>
      </c>
      <c r="P262" s="795">
        <f>_xlfn.XLOOKUP(TableauRecette[[#This Row],[ID]],TableauProduit[ID],TableauProduit[Total (kg) N5],0,0,1)*TableauRecette[[#This Row],[poids / unite]]</f>
        <v/>
      </c>
      <c r="Q262" s="795">
        <f>_xlfn.XLOOKUP(TableauRecette[[#This Row],[ID]],TableauProduit[ID],TableauProduit[Total (kg) N6],0,0,1)*TableauRecette[[#This Row],[poids / unite]]</f>
        <v/>
      </c>
      <c r="R262" s="795">
        <f>_xlfn.XLOOKUP(TableauRecette[[#This Row],[ID]],TableauProduit[ID],TableauProduit[Total (kg) N7],0,0,1)*TableauRecette[[#This Row],[poids / unite]]</f>
        <v/>
      </c>
      <c r="S262" s="795">
        <f>_xlfn.XLOOKUP(TableauRecette[[#This Row],[ID]],TableauProduit[ID],TableauProduit[Total (kg) N8],0,0,1)*TableauRecette[[#This Row],[poids / unite]]</f>
        <v/>
      </c>
      <c r="T262" s="795">
        <f>_xlfn.XLOOKUP(TableauRecette[[#This Row],[ID]],TableauProduit[ID],TableauProduit[Total (kg) N9],0,0,1)*TableauRecette[[#This Row],[poids / unite]]</f>
        <v/>
      </c>
    </row>
    <row r="263">
      <c r="A263" s="88" t="inlineStr">
        <is>
          <t>Nuoc chan</t>
        </is>
      </c>
      <c r="B263" s="88">
        <f>TableauRecette[[#This Row],[Recette]]&amp;TableauRecette[[#This Row],[Conditionnement]]</f>
        <v/>
      </c>
      <c r="C263" s="88" t="inlineStr">
        <is>
          <t>Piment Œil D'Oiseau</t>
        </is>
      </c>
      <c r="D263" s="213" t="n">
        <v>2</v>
      </c>
      <c r="E263" s="88" t="inlineStr">
        <is>
          <t>Epice 100ml</t>
        </is>
      </c>
      <c r="F263" s="21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63" s="213">
        <f>IFERROR(_xlfn.XLOOKUP(TableauRecette[[#This Row],[Ingredients]],TableauIngredients[Ingredients],TableauIngredients[Prix d''achat (kg)],0)*TableauRecette[[#This Row],[poids / unite]],0)</f>
        <v/>
      </c>
      <c r="H263" s="213">
        <f>IFERROR(SUMIFS(TableauRecette[Proportion],TableauRecette[Recette],TableauRecette[[#This Row],[Recette]],TableauRecette[Conditionnement],TableauRecette[[#This Row],[Conditionnement]]),0)</f>
        <v/>
      </c>
      <c r="I263" s="213">
        <f>IFERROR(TableauRecette[[#This Row],[Prix d''achat / kg]],0)</f>
        <v/>
      </c>
      <c r="J263" s="213" t="n"/>
      <c r="K263" s="796" t="n"/>
      <c r="L263" s="797">
        <f>_xlfn.XLOOKUP(TableauRecette[[#This Row],[ID]],TableauProduit[ID],TableauProduit[Total (kg) N1],0,0,1)*TableauRecette[[#This Row],[poids / unite]]</f>
        <v/>
      </c>
      <c r="M263" s="798">
        <f>_xlfn.XLOOKUP(TableauRecette[[#This Row],[ID]],TableauProduit[ID],TableauProduit[Total (kg) N2],0,0,1)*TableauRecette[[#This Row],[poids / unite]]</f>
        <v/>
      </c>
      <c r="N263" s="798">
        <f>_xlfn.XLOOKUP(TableauRecette[[#This Row],[ID]],TableauProduit[ID],TableauProduit[Total (kg) N3],0,0,1)*TableauRecette[[#This Row],[poids / unite]]</f>
        <v/>
      </c>
      <c r="O263" s="798">
        <f>_xlfn.XLOOKUP(TableauRecette[[#This Row],[ID]],TableauProduit[ID],TableauProduit[Total (kg) N4],0,0,1)*TableauRecette[[#This Row],[poids / unite]]</f>
        <v/>
      </c>
      <c r="P263" s="798">
        <f>_xlfn.XLOOKUP(TableauRecette[[#This Row],[ID]],TableauProduit[ID],TableauProduit[Total (kg) N5],0,0,1)*TableauRecette[[#This Row],[poids / unite]]</f>
        <v/>
      </c>
      <c r="Q263" s="798">
        <f>_xlfn.XLOOKUP(TableauRecette[[#This Row],[ID]],TableauProduit[ID],TableauProduit[Total (kg) N6],0,0,1)*TableauRecette[[#This Row],[poids / unite]]</f>
        <v/>
      </c>
      <c r="R263" s="798">
        <f>_xlfn.XLOOKUP(TableauRecette[[#This Row],[ID]],TableauProduit[ID],TableauProduit[Total (kg) N7],0,0,1)*TableauRecette[[#This Row],[poids / unite]]</f>
        <v/>
      </c>
      <c r="S263" s="798">
        <f>_xlfn.XLOOKUP(TableauRecette[[#This Row],[ID]],TableauProduit[ID],TableauProduit[Total (kg) N8],0,0,1)*TableauRecette[[#This Row],[poids / unite]]</f>
        <v/>
      </c>
      <c r="T263" s="798">
        <f>_xlfn.XLOOKUP(TableauRecette[[#This Row],[ID]],TableauProduit[ID],TableauProduit[Total (kg) N9],0,0,1)*TableauRecette[[#This Row],[poids / unite]]</f>
        <v/>
      </c>
    </row>
    <row r="264">
      <c r="A264" s="88" t="inlineStr">
        <is>
          <t>Nuoc chan</t>
        </is>
      </c>
      <c r="B264" s="88">
        <f>TableauRecette[[#This Row],[Recette]]&amp;TableauRecette[[#This Row],[Conditionnement]]</f>
        <v/>
      </c>
      <c r="C264" s="88" t="inlineStr">
        <is>
          <t>Gousse D'Ail</t>
        </is>
      </c>
      <c r="D264" s="213" t="n">
        <v>6</v>
      </c>
      <c r="E264" s="88" t="inlineStr">
        <is>
          <t>Epice 100ml</t>
        </is>
      </c>
      <c r="F264" s="21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64" s="213">
        <f>IFERROR(_xlfn.XLOOKUP(TableauRecette[[#This Row],[Ingredients]],TableauIngredients[Ingredients],TableauIngredients[Prix d''achat (kg)],0)*TableauRecette[[#This Row],[poids / unite]],0)</f>
        <v/>
      </c>
      <c r="H264" s="213">
        <f>IFERROR(SUMIFS(TableauRecette[Proportion],TableauRecette[Recette],TableauRecette[[#This Row],[Recette]],TableauRecette[Conditionnement],TableauRecette[[#This Row],[Conditionnement]]),0)</f>
        <v/>
      </c>
      <c r="I264" s="213">
        <f>IFERROR(TableauRecette[[#This Row],[Prix d''achat / kg]],0)</f>
        <v/>
      </c>
      <c r="J264" s="213" t="n"/>
      <c r="K264" s="796" t="n"/>
      <c r="L264" s="797">
        <f>_xlfn.XLOOKUP(TableauRecette[[#This Row],[ID]],TableauProduit[ID],TableauProduit[Total (kg) N1],0,0,1)*TableauRecette[[#This Row],[poids / unite]]</f>
        <v/>
      </c>
      <c r="M264" s="798">
        <f>_xlfn.XLOOKUP(TableauRecette[[#This Row],[ID]],TableauProduit[ID],TableauProduit[Total (kg) N2],0,0,1)*TableauRecette[[#This Row],[poids / unite]]</f>
        <v/>
      </c>
      <c r="N264" s="798">
        <f>_xlfn.XLOOKUP(TableauRecette[[#This Row],[ID]],TableauProduit[ID],TableauProduit[Total (kg) N3],0,0,1)*TableauRecette[[#This Row],[poids / unite]]</f>
        <v/>
      </c>
      <c r="O264" s="798">
        <f>_xlfn.XLOOKUP(TableauRecette[[#This Row],[ID]],TableauProduit[ID],TableauProduit[Total (kg) N4],0,0,1)*TableauRecette[[#This Row],[poids / unite]]</f>
        <v/>
      </c>
      <c r="P264" s="798">
        <f>_xlfn.XLOOKUP(TableauRecette[[#This Row],[ID]],TableauProduit[ID],TableauProduit[Total (kg) N5],0,0,1)*TableauRecette[[#This Row],[poids / unite]]</f>
        <v/>
      </c>
      <c r="Q264" s="798">
        <f>_xlfn.XLOOKUP(TableauRecette[[#This Row],[ID]],TableauProduit[ID],TableauProduit[Total (kg) N6],0,0,1)*TableauRecette[[#This Row],[poids / unite]]</f>
        <v/>
      </c>
      <c r="R264" s="798">
        <f>_xlfn.XLOOKUP(TableauRecette[[#This Row],[ID]],TableauProduit[ID],TableauProduit[Total (kg) N7],0,0,1)*TableauRecette[[#This Row],[poids / unite]]</f>
        <v/>
      </c>
      <c r="S264" s="798">
        <f>_xlfn.XLOOKUP(TableauRecette[[#This Row],[ID]],TableauProduit[ID],TableauProduit[Total (kg) N8],0,0,1)*TableauRecette[[#This Row],[poids / unite]]</f>
        <v/>
      </c>
      <c r="T264" s="798">
        <f>_xlfn.XLOOKUP(TableauRecette[[#This Row],[ID]],TableauProduit[ID],TableauProduit[Total (kg) N9],0,0,1)*TableauRecette[[#This Row],[poids / unite]]</f>
        <v/>
      </c>
    </row>
    <row r="265">
      <c r="A265" s="88" t="inlineStr">
        <is>
          <t>Nuoc chan</t>
        </is>
      </c>
      <c r="B265" s="88">
        <f>TableauRecette[[#This Row],[Recette]]&amp;TableauRecette[[#This Row],[Conditionnement]]</f>
        <v/>
      </c>
      <c r="C265" s="88" t="inlineStr">
        <is>
          <t>Sucre De Palme</t>
        </is>
      </c>
      <c r="D265" s="213" t="n">
        <v>6</v>
      </c>
      <c r="E265" s="88" t="inlineStr">
        <is>
          <t>Epice 100ml</t>
        </is>
      </c>
      <c r="F265" s="21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65" s="213">
        <f>IFERROR(_xlfn.XLOOKUP(TableauRecette[[#This Row],[Ingredients]],TableauIngredients[Ingredients],TableauIngredients[Prix d''achat (kg)],0)*TableauRecette[[#This Row],[poids / unite]],0)</f>
        <v/>
      </c>
      <c r="H265" s="213">
        <f>IFERROR(SUMIFS(TableauRecette[Proportion],TableauRecette[Recette],TableauRecette[[#This Row],[Recette]],TableauRecette[Conditionnement],TableauRecette[[#This Row],[Conditionnement]]),0)</f>
        <v/>
      </c>
      <c r="I265" s="213">
        <f>IFERROR(TableauRecette[[#This Row],[Prix d''achat / kg]],0)</f>
        <v/>
      </c>
      <c r="J265" s="213" t="n"/>
      <c r="K265" s="796" t="n"/>
      <c r="L265" s="797">
        <f>_xlfn.XLOOKUP(TableauRecette[[#This Row],[ID]],TableauProduit[ID],TableauProduit[Total (kg) N1],0,0,1)*TableauRecette[[#This Row],[poids / unite]]</f>
        <v/>
      </c>
      <c r="M265" s="798">
        <f>_xlfn.XLOOKUP(TableauRecette[[#This Row],[ID]],TableauProduit[ID],TableauProduit[Total (kg) N2],0,0,1)*TableauRecette[[#This Row],[poids / unite]]</f>
        <v/>
      </c>
      <c r="N265" s="798">
        <f>_xlfn.XLOOKUP(TableauRecette[[#This Row],[ID]],TableauProduit[ID],TableauProduit[Total (kg) N3],0,0,1)*TableauRecette[[#This Row],[poids / unite]]</f>
        <v/>
      </c>
      <c r="O265" s="798">
        <f>_xlfn.XLOOKUP(TableauRecette[[#This Row],[ID]],TableauProduit[ID],TableauProduit[Total (kg) N4],0,0,1)*TableauRecette[[#This Row],[poids / unite]]</f>
        <v/>
      </c>
      <c r="P265" s="798">
        <f>_xlfn.XLOOKUP(TableauRecette[[#This Row],[ID]],TableauProduit[ID],TableauProduit[Total (kg) N5],0,0,1)*TableauRecette[[#This Row],[poids / unite]]</f>
        <v/>
      </c>
      <c r="Q265" s="798">
        <f>_xlfn.XLOOKUP(TableauRecette[[#This Row],[ID]],TableauProduit[ID],TableauProduit[Total (kg) N6],0,0,1)*TableauRecette[[#This Row],[poids / unite]]</f>
        <v/>
      </c>
      <c r="R265" s="798">
        <f>_xlfn.XLOOKUP(TableauRecette[[#This Row],[ID]],TableauProduit[ID],TableauProduit[Total (kg) N7],0,0,1)*TableauRecette[[#This Row],[poids / unite]]</f>
        <v/>
      </c>
      <c r="S265" s="798">
        <f>_xlfn.XLOOKUP(TableauRecette[[#This Row],[ID]],TableauProduit[ID],TableauProduit[Total (kg) N8],0,0,1)*TableauRecette[[#This Row],[poids / unite]]</f>
        <v/>
      </c>
      <c r="T265" s="798">
        <f>_xlfn.XLOOKUP(TableauRecette[[#This Row],[ID]],TableauProduit[ID],TableauProduit[Total (kg) N9],0,0,1)*TableauRecette[[#This Row],[poids / unite]]</f>
        <v/>
      </c>
    </row>
    <row r="266">
      <c r="A266" s="88" t="inlineStr">
        <is>
          <t>Nuoc chan</t>
        </is>
      </c>
      <c r="B266" s="88">
        <f>TableauRecette[[#This Row],[Recette]]&amp;TableauRecette[[#This Row],[Conditionnement]]</f>
        <v/>
      </c>
      <c r="C266" s="88" t="inlineStr">
        <is>
          <t>Citron Vert</t>
        </is>
      </c>
      <c r="D266" s="213" t="n">
        <v>6</v>
      </c>
      <c r="E266" s="88" t="inlineStr">
        <is>
          <t>Epice 100ml</t>
        </is>
      </c>
      <c r="F266" s="21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66" s="213">
        <f>IFERROR(_xlfn.XLOOKUP(TableauRecette[[#This Row],[Ingredients]],TableauIngredients[Ingredients],TableauIngredients[Prix d''achat (kg)],0)*TableauRecette[[#This Row],[poids / unite]],0)</f>
        <v/>
      </c>
      <c r="H266" s="213">
        <f>IFERROR(SUMIFS(TableauRecette[Proportion],TableauRecette[Recette],TableauRecette[[#This Row],[Recette]],TableauRecette[Conditionnement],TableauRecette[[#This Row],[Conditionnement]]),0)</f>
        <v/>
      </c>
      <c r="I266" s="213">
        <f>IFERROR(TableauRecette[[#This Row],[Prix d''achat / kg]],0)</f>
        <v/>
      </c>
      <c r="J266" s="213" t="n"/>
      <c r="K266" s="796" t="n"/>
      <c r="L266" s="797">
        <f>_xlfn.XLOOKUP(TableauRecette[[#This Row],[ID]],TableauProduit[ID],TableauProduit[Total (kg) N1],0,0,1)*TableauRecette[[#This Row],[poids / unite]]</f>
        <v/>
      </c>
      <c r="M266" s="798">
        <f>_xlfn.XLOOKUP(TableauRecette[[#This Row],[ID]],TableauProduit[ID],TableauProduit[Total (kg) N2],0,0,1)*TableauRecette[[#This Row],[poids / unite]]</f>
        <v/>
      </c>
      <c r="N266" s="798">
        <f>_xlfn.XLOOKUP(TableauRecette[[#This Row],[ID]],TableauProduit[ID],TableauProduit[Total (kg) N3],0,0,1)*TableauRecette[[#This Row],[poids / unite]]</f>
        <v/>
      </c>
      <c r="O266" s="798">
        <f>_xlfn.XLOOKUP(TableauRecette[[#This Row],[ID]],TableauProduit[ID],TableauProduit[Total (kg) N4],0,0,1)*TableauRecette[[#This Row],[poids / unite]]</f>
        <v/>
      </c>
      <c r="P266" s="798">
        <f>_xlfn.XLOOKUP(TableauRecette[[#This Row],[ID]],TableauProduit[ID],TableauProduit[Total (kg) N5],0,0,1)*TableauRecette[[#This Row],[poids / unite]]</f>
        <v/>
      </c>
      <c r="Q266" s="798">
        <f>_xlfn.XLOOKUP(TableauRecette[[#This Row],[ID]],TableauProduit[ID],TableauProduit[Total (kg) N6],0,0,1)*TableauRecette[[#This Row],[poids / unite]]</f>
        <v/>
      </c>
      <c r="R266" s="798">
        <f>_xlfn.XLOOKUP(TableauRecette[[#This Row],[ID]],TableauProduit[ID],TableauProduit[Total (kg) N7],0,0,1)*TableauRecette[[#This Row],[poids / unite]]</f>
        <v/>
      </c>
      <c r="S266" s="798">
        <f>_xlfn.XLOOKUP(TableauRecette[[#This Row],[ID]],TableauProduit[ID],TableauProduit[Total (kg) N8],0,0,1)*TableauRecette[[#This Row],[poids / unite]]</f>
        <v/>
      </c>
      <c r="T266" s="798">
        <f>_xlfn.XLOOKUP(TableauRecette[[#This Row],[ID]],TableauProduit[ID],TableauProduit[Total (kg) N9],0,0,1)*TableauRecette[[#This Row],[poids / unite]]</f>
        <v/>
      </c>
    </row>
    <row r="267">
      <c r="A267" s="88" t="inlineStr">
        <is>
          <t>Nuoc chan</t>
        </is>
      </c>
      <c r="B267" s="88">
        <f>TableauRecette[[#This Row],[Recette]]&amp;TableauRecette[[#This Row],[Conditionnement]]</f>
        <v/>
      </c>
      <c r="C267" s="88" t="inlineStr">
        <is>
          <t>Nuoc-Mâm</t>
        </is>
      </c>
      <c r="D267" s="213" t="n">
        <v>12</v>
      </c>
      <c r="E267" s="88" t="inlineStr">
        <is>
          <t>Epice 100ml</t>
        </is>
      </c>
      <c r="F267" s="21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67" s="213">
        <f>IFERROR(_xlfn.XLOOKUP(TableauRecette[[#This Row],[Ingredients]],TableauIngredients[Ingredients],TableauIngredients[Prix d''achat (kg)],0)*TableauRecette[[#This Row],[poids / unite]],0)</f>
        <v/>
      </c>
      <c r="H267" s="213">
        <f>IFERROR(SUMIFS(TableauRecette[Proportion],TableauRecette[Recette],TableauRecette[[#This Row],[Recette]],TableauRecette[Conditionnement],TableauRecette[[#This Row],[Conditionnement]]),0)</f>
        <v/>
      </c>
      <c r="I267" s="213">
        <f>IFERROR(TableauRecette[[#This Row],[Prix d''achat / kg]],0)</f>
        <v/>
      </c>
      <c r="J267" s="213" t="n"/>
      <c r="K267" s="796" t="n"/>
      <c r="L267" s="797">
        <f>_xlfn.XLOOKUP(TableauRecette[[#This Row],[ID]],TableauProduit[ID],TableauProduit[Total (kg) N1],0,0,1)*TableauRecette[[#This Row],[poids / unite]]</f>
        <v/>
      </c>
      <c r="M267" s="798">
        <f>_xlfn.XLOOKUP(TableauRecette[[#This Row],[ID]],TableauProduit[ID],TableauProduit[Total (kg) N2],0,0,1)*TableauRecette[[#This Row],[poids / unite]]</f>
        <v/>
      </c>
      <c r="N267" s="798">
        <f>_xlfn.XLOOKUP(TableauRecette[[#This Row],[ID]],TableauProduit[ID],TableauProduit[Total (kg) N3],0,0,1)*TableauRecette[[#This Row],[poids / unite]]</f>
        <v/>
      </c>
      <c r="O267" s="798">
        <f>_xlfn.XLOOKUP(TableauRecette[[#This Row],[ID]],TableauProduit[ID],TableauProduit[Total (kg) N4],0,0,1)*TableauRecette[[#This Row],[poids / unite]]</f>
        <v/>
      </c>
      <c r="P267" s="798">
        <f>_xlfn.XLOOKUP(TableauRecette[[#This Row],[ID]],TableauProduit[ID],TableauProduit[Total (kg) N5],0,0,1)*TableauRecette[[#This Row],[poids / unite]]</f>
        <v/>
      </c>
      <c r="Q267" s="798">
        <f>_xlfn.XLOOKUP(TableauRecette[[#This Row],[ID]],TableauProduit[ID],TableauProduit[Total (kg) N6],0,0,1)*TableauRecette[[#This Row],[poids / unite]]</f>
        <v/>
      </c>
      <c r="R267" s="798">
        <f>_xlfn.XLOOKUP(TableauRecette[[#This Row],[ID]],TableauProduit[ID],TableauProduit[Total (kg) N7],0,0,1)*TableauRecette[[#This Row],[poids / unite]]</f>
        <v/>
      </c>
      <c r="S267" s="798">
        <f>_xlfn.XLOOKUP(TableauRecette[[#This Row],[ID]],TableauProduit[ID],TableauProduit[Total (kg) N8],0,0,1)*TableauRecette[[#This Row],[poids / unite]]</f>
        <v/>
      </c>
      <c r="T267" s="798">
        <f>_xlfn.XLOOKUP(TableauRecette[[#This Row],[ID]],TableauProduit[ID],TableauProduit[Total (kg) N9],0,0,1)*TableauRecette[[#This Row],[poids / unite]]</f>
        <v/>
      </c>
    </row>
    <row r="268">
      <c r="A268" s="89" t="inlineStr">
        <is>
          <t>Panch phoron</t>
        </is>
      </c>
      <c r="B268" s="89">
        <f>TableauRecette[[#This Row],[Recette]]&amp;TableauRecette[[#This Row],[Conditionnement]]</f>
        <v/>
      </c>
      <c r="C268" s="665" t="inlineStr">
        <is>
          <t>Graine De Cumin</t>
        </is>
      </c>
      <c r="D268" s="214" t="n">
        <v>2</v>
      </c>
      <c r="E268" s="89" t="inlineStr">
        <is>
          <t>Epice 100ml</t>
        </is>
      </c>
      <c r="F268" s="21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68" s="214">
        <f>IFERROR(_xlfn.XLOOKUP(TableauRecette[[#This Row],[Ingredients]],TableauIngredients[Ingredients],TableauIngredients[Prix d''achat (kg)],0)*TableauRecette[[#This Row],[poids / unite]],0)</f>
        <v/>
      </c>
      <c r="H268" s="214">
        <f>IFERROR(SUMIFS(TableauRecette[Proportion],TableauRecette[Recette],TableauRecette[[#This Row],[Recette]],TableauRecette[Conditionnement],TableauRecette[[#This Row],[Conditionnement]]),0)</f>
        <v/>
      </c>
      <c r="I268" s="214">
        <f>IFERROR(TableauRecette[[#This Row],[Prix d''achat / kg]],0)</f>
        <v/>
      </c>
      <c r="J268" s="214" t="n"/>
      <c r="K268" s="799" t="n"/>
      <c r="L268" s="800">
        <f>_xlfn.XLOOKUP(TableauRecette[[#This Row],[ID]],TableauProduit[ID],TableauProduit[Total (kg) N1],0,0,1)*TableauRecette[[#This Row],[poids / unite]]</f>
        <v/>
      </c>
      <c r="M268" s="801">
        <f>_xlfn.XLOOKUP(TableauRecette[[#This Row],[ID]],TableauProduit[ID],TableauProduit[Total (kg) N2],0,0,1)*TableauRecette[[#This Row],[poids / unite]]</f>
        <v/>
      </c>
      <c r="N268" s="801">
        <f>_xlfn.XLOOKUP(TableauRecette[[#This Row],[ID]],TableauProduit[ID],TableauProduit[Total (kg) N3],0,0,1)*TableauRecette[[#This Row],[poids / unite]]</f>
        <v/>
      </c>
      <c r="O268" s="801">
        <f>_xlfn.XLOOKUP(TableauRecette[[#This Row],[ID]],TableauProduit[ID],TableauProduit[Total (kg) N4],0,0,1)*TableauRecette[[#This Row],[poids / unite]]</f>
        <v/>
      </c>
      <c r="P268" s="801">
        <f>_xlfn.XLOOKUP(TableauRecette[[#This Row],[ID]],TableauProduit[ID],TableauProduit[Total (kg) N5],0,0,1)*TableauRecette[[#This Row],[poids / unite]]</f>
        <v/>
      </c>
      <c r="Q268" s="801">
        <f>_xlfn.XLOOKUP(TableauRecette[[#This Row],[ID]],TableauProduit[ID],TableauProduit[Total (kg) N6],0,0,1)*TableauRecette[[#This Row],[poids / unite]]</f>
        <v/>
      </c>
      <c r="R268" s="801">
        <f>_xlfn.XLOOKUP(TableauRecette[[#This Row],[ID]],TableauProduit[ID],TableauProduit[Total (kg) N7],0,0,1)*TableauRecette[[#This Row],[poids / unite]]</f>
        <v/>
      </c>
      <c r="S268" s="801">
        <f>_xlfn.XLOOKUP(TableauRecette[[#This Row],[ID]],TableauProduit[ID],TableauProduit[Total (kg) N8],0,0,1)*TableauRecette[[#This Row],[poids / unite]]</f>
        <v/>
      </c>
      <c r="T268" s="801">
        <f>_xlfn.XLOOKUP(TableauRecette[[#This Row],[ID]],TableauProduit[ID],TableauProduit[Total (kg) N9],0,0,1)*TableauRecette[[#This Row],[poids / unite]]</f>
        <v/>
      </c>
    </row>
    <row r="269">
      <c r="A269" s="89" t="inlineStr">
        <is>
          <t>Panch phoron</t>
        </is>
      </c>
      <c r="B269" s="89">
        <f>TableauRecette[[#This Row],[Recette]]&amp;TableauRecette[[#This Row],[Conditionnement]]</f>
        <v/>
      </c>
      <c r="C269" s="89" t="inlineStr">
        <is>
          <t>Graine De Moutarde</t>
        </is>
      </c>
      <c r="D269" s="214" t="n">
        <v>2</v>
      </c>
      <c r="E269" s="89" t="inlineStr">
        <is>
          <t>Epice 100ml</t>
        </is>
      </c>
      <c r="F269" s="21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69" s="214">
        <f>IFERROR(_xlfn.XLOOKUP(TableauRecette[[#This Row],[Ingredients]],TableauIngredients[Ingredients],TableauIngredients[Prix d''achat (kg)],0)*TableauRecette[[#This Row],[poids / unite]],0)</f>
        <v/>
      </c>
      <c r="H269" s="214">
        <f>IFERROR(SUMIFS(TableauRecette[Proportion],TableauRecette[Recette],TableauRecette[[#This Row],[Recette]],TableauRecette[Conditionnement],TableauRecette[[#This Row],[Conditionnement]]),0)</f>
        <v/>
      </c>
      <c r="I269" s="214">
        <f>IFERROR(TableauRecette[[#This Row],[Prix d''achat / kg]],0)</f>
        <v/>
      </c>
      <c r="J269" s="214" t="n"/>
      <c r="K269" s="799" t="n"/>
      <c r="L269" s="800">
        <f>_xlfn.XLOOKUP(TableauRecette[[#This Row],[ID]],TableauProduit[ID],TableauProduit[Total (kg) N1],0,0,1)*TableauRecette[[#This Row],[poids / unite]]</f>
        <v/>
      </c>
      <c r="M269" s="801">
        <f>_xlfn.XLOOKUP(TableauRecette[[#This Row],[ID]],TableauProduit[ID],TableauProduit[Total (kg) N2],0,0,1)*TableauRecette[[#This Row],[poids / unite]]</f>
        <v/>
      </c>
      <c r="N269" s="801">
        <f>_xlfn.XLOOKUP(TableauRecette[[#This Row],[ID]],TableauProduit[ID],TableauProduit[Total (kg) N3],0,0,1)*TableauRecette[[#This Row],[poids / unite]]</f>
        <v/>
      </c>
      <c r="O269" s="801">
        <f>_xlfn.XLOOKUP(TableauRecette[[#This Row],[ID]],TableauProduit[ID],TableauProduit[Total (kg) N4],0,0,1)*TableauRecette[[#This Row],[poids / unite]]</f>
        <v/>
      </c>
      <c r="P269" s="801">
        <f>_xlfn.XLOOKUP(TableauRecette[[#This Row],[ID]],TableauProduit[ID],TableauProduit[Total (kg) N5],0,0,1)*TableauRecette[[#This Row],[poids / unite]]</f>
        <v/>
      </c>
      <c r="Q269" s="801">
        <f>_xlfn.XLOOKUP(TableauRecette[[#This Row],[ID]],TableauProduit[ID],TableauProduit[Total (kg) N6],0,0,1)*TableauRecette[[#This Row],[poids / unite]]</f>
        <v/>
      </c>
      <c r="R269" s="801">
        <f>_xlfn.XLOOKUP(TableauRecette[[#This Row],[ID]],TableauProduit[ID],TableauProduit[Total (kg) N7],0,0,1)*TableauRecette[[#This Row],[poids / unite]]</f>
        <v/>
      </c>
      <c r="S269" s="801">
        <f>_xlfn.XLOOKUP(TableauRecette[[#This Row],[ID]],TableauProduit[ID],TableauProduit[Total (kg) N8],0,0,1)*TableauRecette[[#This Row],[poids / unite]]</f>
        <v/>
      </c>
      <c r="T269" s="801">
        <f>_xlfn.XLOOKUP(TableauRecette[[#This Row],[ID]],TableauProduit[ID],TableauProduit[Total (kg) N9],0,0,1)*TableauRecette[[#This Row],[poids / unite]]</f>
        <v/>
      </c>
    </row>
    <row r="270">
      <c r="A270" s="89" t="inlineStr">
        <is>
          <t>Panch phoron</t>
        </is>
      </c>
      <c r="B270" s="89">
        <f>TableauRecette[[#This Row],[Recette]]&amp;TableauRecette[[#This Row],[Conditionnement]]</f>
        <v/>
      </c>
      <c r="C270" s="89" t="inlineStr">
        <is>
          <t>Graine De Fenouil</t>
        </is>
      </c>
      <c r="D270" s="214" t="n">
        <v>2</v>
      </c>
      <c r="E270" s="89" t="inlineStr">
        <is>
          <t>Epice 100ml</t>
        </is>
      </c>
      <c r="F270" s="21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70" s="214">
        <f>IFERROR(_xlfn.XLOOKUP(TableauRecette[[#This Row],[Ingredients]],TableauIngredients[Ingredients],TableauIngredients[Prix d''achat (kg)],0)*TableauRecette[[#This Row],[poids / unite]],0)</f>
        <v/>
      </c>
      <c r="H270" s="214">
        <f>IFERROR(SUMIFS(TableauRecette[Proportion],TableauRecette[Recette],TableauRecette[[#This Row],[Recette]],TableauRecette[Conditionnement],TableauRecette[[#This Row],[Conditionnement]]),0)</f>
        <v/>
      </c>
      <c r="I270" s="214">
        <f>IFERROR(TableauRecette[[#This Row],[Prix d''achat / kg]],0)</f>
        <v/>
      </c>
      <c r="J270" s="214" t="n"/>
      <c r="K270" s="799" t="n"/>
      <c r="L270" s="800">
        <f>_xlfn.XLOOKUP(TableauRecette[[#This Row],[ID]],TableauProduit[ID],TableauProduit[Total (kg) N1],0,0,1)*TableauRecette[[#This Row],[poids / unite]]</f>
        <v/>
      </c>
      <c r="M270" s="801">
        <f>_xlfn.XLOOKUP(TableauRecette[[#This Row],[ID]],TableauProduit[ID],TableauProduit[Total (kg) N2],0,0,1)*TableauRecette[[#This Row],[poids / unite]]</f>
        <v/>
      </c>
      <c r="N270" s="801">
        <f>_xlfn.XLOOKUP(TableauRecette[[#This Row],[ID]],TableauProduit[ID],TableauProduit[Total (kg) N3],0,0,1)*TableauRecette[[#This Row],[poids / unite]]</f>
        <v/>
      </c>
      <c r="O270" s="801">
        <f>_xlfn.XLOOKUP(TableauRecette[[#This Row],[ID]],TableauProduit[ID],TableauProduit[Total (kg) N4],0,0,1)*TableauRecette[[#This Row],[poids / unite]]</f>
        <v/>
      </c>
      <c r="P270" s="801">
        <f>_xlfn.XLOOKUP(TableauRecette[[#This Row],[ID]],TableauProduit[ID],TableauProduit[Total (kg) N5],0,0,1)*TableauRecette[[#This Row],[poids / unite]]</f>
        <v/>
      </c>
      <c r="Q270" s="801">
        <f>_xlfn.XLOOKUP(TableauRecette[[#This Row],[ID]],TableauProduit[ID],TableauProduit[Total (kg) N6],0,0,1)*TableauRecette[[#This Row],[poids / unite]]</f>
        <v/>
      </c>
      <c r="R270" s="801">
        <f>_xlfn.XLOOKUP(TableauRecette[[#This Row],[ID]],TableauProduit[ID],TableauProduit[Total (kg) N7],0,0,1)*TableauRecette[[#This Row],[poids / unite]]</f>
        <v/>
      </c>
      <c r="S270" s="801">
        <f>_xlfn.XLOOKUP(TableauRecette[[#This Row],[ID]],TableauProduit[ID],TableauProduit[Total (kg) N8],0,0,1)*TableauRecette[[#This Row],[poids / unite]]</f>
        <v/>
      </c>
      <c r="T270" s="801">
        <f>_xlfn.XLOOKUP(TableauRecette[[#This Row],[ID]],TableauProduit[ID],TableauProduit[Total (kg) N9],0,0,1)*TableauRecette[[#This Row],[poids / unite]]</f>
        <v/>
      </c>
    </row>
    <row r="271">
      <c r="A271" s="89" t="inlineStr">
        <is>
          <t>Panch phoron</t>
        </is>
      </c>
      <c r="B271" s="89">
        <f>TableauRecette[[#This Row],[Recette]]&amp;TableauRecette[[#This Row],[Conditionnement]]</f>
        <v/>
      </c>
      <c r="C271" s="665" t="inlineStr">
        <is>
          <t>Graine De Nigelle</t>
        </is>
      </c>
      <c r="D271" s="214" t="n">
        <v>1</v>
      </c>
      <c r="E271" s="89" t="inlineStr">
        <is>
          <t>Epice 100ml</t>
        </is>
      </c>
      <c r="F271" s="21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71" s="214">
        <f>IFERROR(_xlfn.XLOOKUP(TableauRecette[[#This Row],[Ingredients]],TableauIngredients[Ingredients],TableauIngredients[Prix d''achat (kg)],0)*TableauRecette[[#This Row],[poids / unite]],0)</f>
        <v/>
      </c>
      <c r="H271" s="214">
        <f>IFERROR(SUMIFS(TableauRecette[Proportion],TableauRecette[Recette],TableauRecette[[#This Row],[Recette]],TableauRecette[Conditionnement],TableauRecette[[#This Row],[Conditionnement]]),0)</f>
        <v/>
      </c>
      <c r="I271" s="214">
        <f>IFERROR(TableauRecette[[#This Row],[Prix d''achat / kg]],0)</f>
        <v/>
      </c>
      <c r="J271" s="214" t="n"/>
      <c r="K271" s="799" t="n"/>
      <c r="L271" s="800">
        <f>_xlfn.XLOOKUP(TableauRecette[[#This Row],[ID]],TableauProduit[ID],TableauProduit[Total (kg) N1],0,0,1)*TableauRecette[[#This Row],[poids / unite]]</f>
        <v/>
      </c>
      <c r="M271" s="801">
        <f>_xlfn.XLOOKUP(TableauRecette[[#This Row],[ID]],TableauProduit[ID],TableauProduit[Total (kg) N2],0,0,1)*TableauRecette[[#This Row],[poids / unite]]</f>
        <v/>
      </c>
      <c r="N271" s="801">
        <f>_xlfn.XLOOKUP(TableauRecette[[#This Row],[ID]],TableauProduit[ID],TableauProduit[Total (kg) N3],0,0,1)*TableauRecette[[#This Row],[poids / unite]]</f>
        <v/>
      </c>
      <c r="O271" s="801">
        <f>_xlfn.XLOOKUP(TableauRecette[[#This Row],[ID]],TableauProduit[ID],TableauProduit[Total (kg) N4],0,0,1)*TableauRecette[[#This Row],[poids / unite]]</f>
        <v/>
      </c>
      <c r="P271" s="801">
        <f>_xlfn.XLOOKUP(TableauRecette[[#This Row],[ID]],TableauProduit[ID],TableauProduit[Total (kg) N5],0,0,1)*TableauRecette[[#This Row],[poids / unite]]</f>
        <v/>
      </c>
      <c r="Q271" s="801">
        <f>_xlfn.XLOOKUP(TableauRecette[[#This Row],[ID]],TableauProduit[ID],TableauProduit[Total (kg) N6],0,0,1)*TableauRecette[[#This Row],[poids / unite]]</f>
        <v/>
      </c>
      <c r="R271" s="801">
        <f>_xlfn.XLOOKUP(TableauRecette[[#This Row],[ID]],TableauProduit[ID],TableauProduit[Total (kg) N7],0,0,1)*TableauRecette[[#This Row],[poids / unite]]</f>
        <v/>
      </c>
      <c r="S271" s="801">
        <f>_xlfn.XLOOKUP(TableauRecette[[#This Row],[ID]],TableauProduit[ID],TableauProduit[Total (kg) N8],0,0,1)*TableauRecette[[#This Row],[poids / unite]]</f>
        <v/>
      </c>
      <c r="T271" s="801">
        <f>_xlfn.XLOOKUP(TableauRecette[[#This Row],[ID]],TableauProduit[ID],TableauProduit[Total (kg) N9],0,0,1)*TableauRecette[[#This Row],[poids / unite]]</f>
        <v/>
      </c>
    </row>
    <row r="272">
      <c r="A272" s="89" t="inlineStr">
        <is>
          <t>Panch phoron</t>
        </is>
      </c>
      <c r="B272" s="89">
        <f>TableauRecette[[#This Row],[Recette]]&amp;TableauRecette[[#This Row],[Conditionnement]]</f>
        <v/>
      </c>
      <c r="C272" s="89" t="inlineStr">
        <is>
          <t>Graine De Fenugrec</t>
        </is>
      </c>
      <c r="D272" s="214" t="n">
        <v>1</v>
      </c>
      <c r="E272" s="89" t="inlineStr">
        <is>
          <t>Epice 100ml</t>
        </is>
      </c>
      <c r="F272" s="21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72" s="214">
        <f>IFERROR(_xlfn.XLOOKUP(TableauRecette[[#This Row],[Ingredients]],TableauIngredients[Ingredients],TableauIngredients[Prix d''achat (kg)],0)*TableauRecette[[#This Row],[poids / unite]],0)</f>
        <v/>
      </c>
      <c r="H272" s="214">
        <f>IFERROR(SUMIFS(TableauRecette[Proportion],TableauRecette[Recette],TableauRecette[[#This Row],[Recette]],TableauRecette[Conditionnement],TableauRecette[[#This Row],[Conditionnement]]),0)</f>
        <v/>
      </c>
      <c r="I272" s="214">
        <f>IFERROR(TableauRecette[[#This Row],[Prix d''achat / kg]],0)</f>
        <v/>
      </c>
      <c r="J272" s="214" t="n"/>
      <c r="K272" s="799" t="n"/>
      <c r="L272" s="800">
        <f>_xlfn.XLOOKUP(TableauRecette[[#This Row],[ID]],TableauProduit[ID],TableauProduit[Total (kg) N1],0,0,1)*TableauRecette[[#This Row],[poids / unite]]</f>
        <v/>
      </c>
      <c r="M272" s="801">
        <f>_xlfn.XLOOKUP(TableauRecette[[#This Row],[ID]],TableauProduit[ID],TableauProduit[Total (kg) N2],0,0,1)*TableauRecette[[#This Row],[poids / unite]]</f>
        <v/>
      </c>
      <c r="N272" s="801">
        <f>_xlfn.XLOOKUP(TableauRecette[[#This Row],[ID]],TableauProduit[ID],TableauProduit[Total (kg) N3],0,0,1)*TableauRecette[[#This Row],[poids / unite]]</f>
        <v/>
      </c>
      <c r="O272" s="801">
        <f>_xlfn.XLOOKUP(TableauRecette[[#This Row],[ID]],TableauProduit[ID],TableauProduit[Total (kg) N4],0,0,1)*TableauRecette[[#This Row],[poids / unite]]</f>
        <v/>
      </c>
      <c r="P272" s="801">
        <f>_xlfn.XLOOKUP(TableauRecette[[#This Row],[ID]],TableauProduit[ID],TableauProduit[Total (kg) N5],0,0,1)*TableauRecette[[#This Row],[poids / unite]]</f>
        <v/>
      </c>
      <c r="Q272" s="801">
        <f>_xlfn.XLOOKUP(TableauRecette[[#This Row],[ID]],TableauProduit[ID],TableauProduit[Total (kg) N6],0,0,1)*TableauRecette[[#This Row],[poids / unite]]</f>
        <v/>
      </c>
      <c r="R272" s="801">
        <f>_xlfn.XLOOKUP(TableauRecette[[#This Row],[ID]],TableauProduit[ID],TableauProduit[Total (kg) N7],0,0,1)*TableauRecette[[#This Row],[poids / unite]]</f>
        <v/>
      </c>
      <c r="S272" s="801">
        <f>_xlfn.XLOOKUP(TableauRecette[[#This Row],[ID]],TableauProduit[ID],TableauProduit[Total (kg) N8],0,0,1)*TableauRecette[[#This Row],[poids / unite]]</f>
        <v/>
      </c>
      <c r="T272" s="801">
        <f>_xlfn.XLOOKUP(TableauRecette[[#This Row],[ID]],TableauProduit[ID],TableauProduit[Total (kg) N9],0,0,1)*TableauRecette[[#This Row],[poids / unite]]</f>
        <v/>
      </c>
      <c r="X272">
        <f>X273*Y272/Y273</f>
        <v/>
      </c>
      <c r="Y272" t="n">
        <v>1</v>
      </c>
    </row>
    <row r="273">
      <c r="A273" s="90" t="inlineStr">
        <is>
          <t>Paprika</t>
        </is>
      </c>
      <c r="B273" s="91">
        <f>TableauRecette[[#This Row],[Recette]]&amp;TableauRecette[[#This Row],[Conditionnement]]</f>
        <v/>
      </c>
      <c r="C273" s="90" t="inlineStr">
        <is>
          <t>Piment Doux Rouge En Poudre</t>
        </is>
      </c>
      <c r="D273" s="215" t="n">
        <v>1</v>
      </c>
      <c r="E273" s="90" t="inlineStr">
        <is>
          <t>Epice 100ml</t>
        </is>
      </c>
      <c r="F273" s="64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73" s="642">
        <f>IFERROR(_xlfn.XLOOKUP(TableauRecette[[#This Row],[Ingredients]],TableauIngredients[Ingredients],TableauIngredients[Prix d''achat (kg)],0)*TableauRecette[[#This Row],[poids / unite]],0)</f>
        <v/>
      </c>
      <c r="H273" s="642">
        <f>IFERROR(SUMIFS(TableauRecette[Proportion],TableauRecette[Recette],TableauRecette[[#This Row],[Recette]],TableauRecette[Conditionnement],TableauRecette[[#This Row],[Conditionnement]]),0)</f>
        <v/>
      </c>
      <c r="I273" s="642">
        <f>IFERROR(TableauRecette[[#This Row],[Prix d''achat / kg]],0)</f>
        <v/>
      </c>
      <c r="J273" s="215" t="n"/>
      <c r="K273" s="802" t="n"/>
      <c r="L273" s="803">
        <f>_xlfn.XLOOKUP(TableauRecette[[#This Row],[ID]],TableauProduit[ID],TableauProduit[Total (kg) N1],0,0,1)*TableauRecette[[#This Row],[poids / unite]]</f>
        <v/>
      </c>
      <c r="M273" s="804">
        <f>_xlfn.XLOOKUP(TableauRecette[[#This Row],[ID]],TableauProduit[ID],TableauProduit[Total (kg) N2],0,0,1)*TableauRecette[[#This Row],[poids / unite]]</f>
        <v/>
      </c>
      <c r="N273" s="804">
        <f>_xlfn.XLOOKUP(TableauRecette[[#This Row],[ID]],TableauProduit[ID],TableauProduit[Total (kg) N3],0,0,1)*TableauRecette[[#This Row],[poids / unite]]</f>
        <v/>
      </c>
      <c r="O273" s="804">
        <f>_xlfn.XLOOKUP(TableauRecette[[#This Row],[ID]],TableauProduit[ID],TableauProduit[Total (kg) N4],0,0,1)*TableauRecette[[#This Row],[poids / unite]]</f>
        <v/>
      </c>
      <c r="P273" s="804">
        <f>_xlfn.XLOOKUP(TableauRecette[[#This Row],[ID]],TableauProduit[ID],TableauProduit[Total (kg) N5],0,0,1)*TableauRecette[[#This Row],[poids / unite]]</f>
        <v/>
      </c>
      <c r="Q273" s="804">
        <f>_xlfn.XLOOKUP(TableauRecette[[#This Row],[ID]],TableauProduit[ID],TableauProduit[Total (kg) N6],0,0,1)*TableauRecette[[#This Row],[poids / unite]]</f>
        <v/>
      </c>
      <c r="R273" s="804">
        <f>_xlfn.XLOOKUP(TableauRecette[[#This Row],[ID]],TableauProduit[ID],TableauProduit[Total (kg) N7],0,0,1)*TableauRecette[[#This Row],[poids / unite]]</f>
        <v/>
      </c>
      <c r="S273" s="804">
        <f>_xlfn.XLOOKUP(TableauRecette[[#This Row],[ID]],TableauProduit[ID],TableauProduit[Total (kg) N8],0,0,1)*TableauRecette[[#This Row],[poids / unite]]</f>
        <v/>
      </c>
      <c r="T273" s="804">
        <f>_xlfn.XLOOKUP(TableauRecette[[#This Row],[ID]],TableauProduit[ID],TableauProduit[Total (kg) N9],0,0,1)*TableauRecette[[#This Row],[poids / unite]]</f>
        <v/>
      </c>
      <c r="X273" t="n">
        <v>36</v>
      </c>
      <c r="Y273" t="n">
        <v>0.2</v>
      </c>
    </row>
    <row r="274">
      <c r="A274" s="92" t="inlineStr">
        <is>
          <t>Paprika fume</t>
        </is>
      </c>
      <c r="B274" s="93">
        <f>TableauRecette[[#This Row],[Recette]]&amp;TableauRecette[[#This Row],[Conditionnement]]</f>
        <v/>
      </c>
      <c r="C274" s="92" t="inlineStr">
        <is>
          <t>Piment Doux Rouge En Poudre</t>
        </is>
      </c>
      <c r="D274" s="216" t="n">
        <v>1</v>
      </c>
      <c r="E274" s="92" t="inlineStr">
        <is>
          <t>Epice 100ml</t>
        </is>
      </c>
      <c r="F274" s="64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74" s="643">
        <f>IFERROR(_xlfn.XLOOKUP(TableauRecette[[#This Row],[Ingredients]],TableauIngredients[Ingredients],TableauIngredients[Prix d''achat (kg)],0)*TableauRecette[[#This Row],[poids / unite]],0)</f>
        <v/>
      </c>
      <c r="H274" s="643">
        <f>IFERROR(SUMIFS(TableauRecette[Proportion],TableauRecette[Recette],TableauRecette[[#This Row],[Recette]],TableauRecette[Conditionnement],TableauRecette[[#This Row],[Conditionnement]]),0)</f>
        <v/>
      </c>
      <c r="I274" s="643">
        <f>IFERROR(TableauRecette[[#This Row],[Prix d''achat / kg]],0)</f>
        <v/>
      </c>
      <c r="J274" s="216" t="n"/>
      <c r="K274" s="805" t="n"/>
      <c r="L274" s="806">
        <f>_xlfn.XLOOKUP(TableauRecette[[#This Row],[ID]],TableauProduit[ID],TableauProduit[Total (kg) N1],0,0,1)*TableauRecette[[#This Row],[poids / unite]]</f>
        <v/>
      </c>
      <c r="M274" s="807">
        <f>_xlfn.XLOOKUP(TableauRecette[[#This Row],[ID]],TableauProduit[ID],TableauProduit[Total (kg) N2],0,0,1)*TableauRecette[[#This Row],[poids / unite]]</f>
        <v/>
      </c>
      <c r="N274" s="807">
        <f>_xlfn.XLOOKUP(TableauRecette[[#This Row],[ID]],TableauProduit[ID],TableauProduit[Total (kg) N3],0,0,1)*TableauRecette[[#This Row],[poids / unite]]</f>
        <v/>
      </c>
      <c r="O274" s="807">
        <f>_xlfn.XLOOKUP(TableauRecette[[#This Row],[ID]],TableauProduit[ID],TableauProduit[Total (kg) N4],0,0,1)*TableauRecette[[#This Row],[poids / unite]]</f>
        <v/>
      </c>
      <c r="P274" s="807">
        <f>_xlfn.XLOOKUP(TableauRecette[[#This Row],[ID]],TableauProduit[ID],TableauProduit[Total (kg) N5],0,0,1)*TableauRecette[[#This Row],[poids / unite]]</f>
        <v/>
      </c>
      <c r="Q274" s="807">
        <f>_xlfn.XLOOKUP(TableauRecette[[#This Row],[ID]],TableauProduit[ID],TableauProduit[Total (kg) N6],0,0,1)*TableauRecette[[#This Row],[poids / unite]]</f>
        <v/>
      </c>
      <c r="R274" s="807">
        <f>_xlfn.XLOOKUP(TableauRecette[[#This Row],[ID]],TableauProduit[ID],TableauProduit[Total (kg) N7],0,0,1)*TableauRecette[[#This Row],[poids / unite]]</f>
        <v/>
      </c>
      <c r="S274" s="807">
        <f>_xlfn.XLOOKUP(TableauRecette[[#This Row],[ID]],TableauProduit[ID],TableauProduit[Total (kg) N8],0,0,1)*TableauRecette[[#This Row],[poids / unite]]</f>
        <v/>
      </c>
      <c r="T274" s="807">
        <f>_xlfn.XLOOKUP(TableauRecette[[#This Row],[ID]],TableauProduit[ID],TableauProduit[Total (kg) N9],0,0,1)*TableauRecette[[#This Row],[poids / unite]]</f>
        <v/>
      </c>
    </row>
    <row r="275">
      <c r="A275" s="94" t="inlineStr">
        <is>
          <t>Pâte vindaloo</t>
        </is>
      </c>
      <c r="B275" s="94">
        <f>TableauRecette[[#This Row],[Recette]]&amp;TableauRecette[[#This Row],[Conditionnement]]</f>
        <v/>
      </c>
      <c r="C275" s="94" t="inlineStr">
        <is>
          <t>Graine De Cumin</t>
        </is>
      </c>
      <c r="D275" s="217" t="n">
        <v>1</v>
      </c>
      <c r="E275" s="94" t="inlineStr">
        <is>
          <t>Epice 100ml</t>
        </is>
      </c>
      <c r="F275" s="21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75" s="217">
        <f>IFERROR(_xlfn.XLOOKUP(TableauRecette[[#This Row],[Ingredients]],TableauIngredients[Ingredients],TableauIngredients[Prix d''achat (kg)],0)*TableauRecette[[#This Row],[poids / unite]],0)</f>
        <v/>
      </c>
      <c r="H275" s="217">
        <f>IFERROR(SUMIFS(TableauRecette[Proportion],TableauRecette[Recette],TableauRecette[[#This Row],[Recette]],TableauRecette[Conditionnement],TableauRecette[[#This Row],[Conditionnement]]),0)</f>
        <v/>
      </c>
      <c r="I275" s="217">
        <f>IFERROR(TableauRecette[[#This Row],[Prix d''achat / kg]],0)</f>
        <v/>
      </c>
      <c r="J275" s="217" t="n"/>
      <c r="K275" s="808" t="n"/>
      <c r="L275" s="809">
        <f>_xlfn.XLOOKUP(TableauRecette[[#This Row],[ID]],TableauProduit[ID],TableauProduit[Total (kg) N1],0,0,1)*TableauRecette[[#This Row],[poids / unite]]</f>
        <v/>
      </c>
      <c r="M275" s="810">
        <f>_xlfn.XLOOKUP(TableauRecette[[#This Row],[ID]],TableauProduit[ID],TableauProduit[Total (kg) N2],0,0,1)*TableauRecette[[#This Row],[poids / unite]]</f>
        <v/>
      </c>
      <c r="N275" s="810">
        <f>_xlfn.XLOOKUP(TableauRecette[[#This Row],[ID]],TableauProduit[ID],TableauProduit[Total (kg) N3],0,0,1)*TableauRecette[[#This Row],[poids / unite]]</f>
        <v/>
      </c>
      <c r="O275" s="810">
        <f>_xlfn.XLOOKUP(TableauRecette[[#This Row],[ID]],TableauProduit[ID],TableauProduit[Total (kg) N4],0,0,1)*TableauRecette[[#This Row],[poids / unite]]</f>
        <v/>
      </c>
      <c r="P275" s="810">
        <f>_xlfn.XLOOKUP(TableauRecette[[#This Row],[ID]],TableauProduit[ID],TableauProduit[Total (kg) N5],0,0,1)*TableauRecette[[#This Row],[poids / unite]]</f>
        <v/>
      </c>
      <c r="Q275" s="810">
        <f>_xlfn.XLOOKUP(TableauRecette[[#This Row],[ID]],TableauProduit[ID],TableauProduit[Total (kg) N6],0,0,1)*TableauRecette[[#This Row],[poids / unite]]</f>
        <v/>
      </c>
      <c r="R275" s="810">
        <f>_xlfn.XLOOKUP(TableauRecette[[#This Row],[ID]],TableauProduit[ID],TableauProduit[Total (kg) N7],0,0,1)*TableauRecette[[#This Row],[poids / unite]]</f>
        <v/>
      </c>
      <c r="S275" s="810">
        <f>_xlfn.XLOOKUP(TableauRecette[[#This Row],[ID]],TableauProduit[ID],TableauProduit[Total (kg) N8],0,0,1)*TableauRecette[[#This Row],[poids / unite]]</f>
        <v/>
      </c>
      <c r="T275" s="810">
        <f>_xlfn.XLOOKUP(TableauRecette[[#This Row],[ID]],TableauProduit[ID],TableauProduit[Total (kg) N9],0,0,1)*TableauRecette[[#This Row],[poids / unite]]</f>
        <v/>
      </c>
    </row>
    <row r="276">
      <c r="A276" s="94" t="inlineStr">
        <is>
          <t>Pâte vindaloo</t>
        </is>
      </c>
      <c r="B276" s="94">
        <f>TableauRecette[[#This Row],[Recette]]&amp;TableauRecette[[#This Row],[Conditionnement]]</f>
        <v/>
      </c>
      <c r="C276" s="94" t="inlineStr">
        <is>
          <t>Piments Kashmiri Séchés Entier</t>
        </is>
      </c>
      <c r="D276" s="217" t="n">
        <v>1</v>
      </c>
      <c r="E276" s="94" t="inlineStr">
        <is>
          <t>Epice 100ml</t>
        </is>
      </c>
      <c r="F276" s="21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76" s="217">
        <f>IFERROR(_xlfn.XLOOKUP(TableauRecette[[#This Row],[Ingredients]],TableauIngredients[Ingredients],TableauIngredients[Prix d''achat (kg)],0)*TableauRecette[[#This Row],[poids / unite]],0)</f>
        <v/>
      </c>
      <c r="H276" s="217">
        <f>IFERROR(SUMIFS(TableauRecette[Proportion],TableauRecette[Recette],TableauRecette[[#This Row],[Recette]],TableauRecette[Conditionnement],TableauRecette[[#This Row],[Conditionnement]]),0)</f>
        <v/>
      </c>
      <c r="I276" s="217">
        <f>IFERROR(TableauRecette[[#This Row],[Prix d''achat / kg]],0)</f>
        <v/>
      </c>
      <c r="J276" s="217" t="n"/>
      <c r="K276" s="808" t="n"/>
      <c r="L276" s="809">
        <f>_xlfn.XLOOKUP(TableauRecette[[#This Row],[ID]],TableauProduit[ID],TableauProduit[Total (kg) N1],0,0,1)*TableauRecette[[#This Row],[poids / unite]]</f>
        <v/>
      </c>
      <c r="M276" s="810">
        <f>_xlfn.XLOOKUP(TableauRecette[[#This Row],[ID]],TableauProduit[ID],TableauProduit[Total (kg) N2],0,0,1)*TableauRecette[[#This Row],[poids / unite]]</f>
        <v/>
      </c>
      <c r="N276" s="810">
        <f>_xlfn.XLOOKUP(TableauRecette[[#This Row],[ID]],TableauProduit[ID],TableauProduit[Total (kg) N3],0,0,1)*TableauRecette[[#This Row],[poids / unite]]</f>
        <v/>
      </c>
      <c r="O276" s="810">
        <f>_xlfn.XLOOKUP(TableauRecette[[#This Row],[ID]],TableauProduit[ID],TableauProduit[Total (kg) N4],0,0,1)*TableauRecette[[#This Row],[poids / unite]]</f>
        <v/>
      </c>
      <c r="P276" s="810">
        <f>_xlfn.XLOOKUP(TableauRecette[[#This Row],[ID]],TableauProduit[ID],TableauProduit[Total (kg) N5],0,0,1)*TableauRecette[[#This Row],[poids / unite]]</f>
        <v/>
      </c>
      <c r="Q276" s="810">
        <f>_xlfn.XLOOKUP(TableauRecette[[#This Row],[ID]],TableauProduit[ID],TableauProduit[Total (kg) N6],0,0,1)*TableauRecette[[#This Row],[poids / unite]]</f>
        <v/>
      </c>
      <c r="R276" s="810">
        <f>_xlfn.XLOOKUP(TableauRecette[[#This Row],[ID]],TableauProduit[ID],TableauProduit[Total (kg) N7],0,0,1)*TableauRecette[[#This Row],[poids / unite]]</f>
        <v/>
      </c>
      <c r="S276" s="810">
        <f>_xlfn.XLOOKUP(TableauRecette[[#This Row],[ID]],TableauProduit[ID],TableauProduit[Total (kg) N8],0,0,1)*TableauRecette[[#This Row],[poids / unite]]</f>
        <v/>
      </c>
      <c r="T276" s="810">
        <f>_xlfn.XLOOKUP(TableauRecette[[#This Row],[ID]],TableauProduit[ID],TableauProduit[Total (kg) N9],0,0,1)*TableauRecette[[#This Row],[poids / unite]]</f>
        <v/>
      </c>
    </row>
    <row r="277">
      <c r="A277" s="94" t="inlineStr">
        <is>
          <t>Pâte vindaloo</t>
        </is>
      </c>
      <c r="B277" s="94">
        <f>TableauRecette[[#This Row],[Recette]]&amp;TableauRecette[[#This Row],[Conditionnement]]</f>
        <v/>
      </c>
      <c r="C277" s="94" t="inlineStr">
        <is>
          <t>Poivre Noir</t>
        </is>
      </c>
      <c r="D277" s="217" t="n">
        <v>1</v>
      </c>
      <c r="E277" s="94" t="inlineStr">
        <is>
          <t>Epice 100ml</t>
        </is>
      </c>
      <c r="F277" s="21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77" s="217">
        <f>IFERROR(_xlfn.XLOOKUP(TableauRecette[[#This Row],[Ingredients]],TableauIngredients[Ingredients],TableauIngredients[Prix d''achat (kg)],0)*TableauRecette[[#This Row],[poids / unite]],0)</f>
        <v/>
      </c>
      <c r="H277" s="217">
        <f>IFERROR(SUMIFS(TableauRecette[Proportion],TableauRecette[Recette],TableauRecette[[#This Row],[Recette]],TableauRecette[Conditionnement],TableauRecette[[#This Row],[Conditionnement]]),0)</f>
        <v/>
      </c>
      <c r="I277" s="217">
        <f>IFERROR(TableauRecette[[#This Row],[Prix d''achat / kg]],0)</f>
        <v/>
      </c>
      <c r="J277" s="217" t="n"/>
      <c r="K277" s="808" t="n"/>
      <c r="L277" s="809">
        <f>_xlfn.XLOOKUP(TableauRecette[[#This Row],[ID]],TableauProduit[ID],TableauProduit[Total (kg) N1],0,0,1)*TableauRecette[[#This Row],[poids / unite]]</f>
        <v/>
      </c>
      <c r="M277" s="810">
        <f>_xlfn.XLOOKUP(TableauRecette[[#This Row],[ID]],TableauProduit[ID],TableauProduit[Total (kg) N2],0,0,1)*TableauRecette[[#This Row],[poids / unite]]</f>
        <v/>
      </c>
      <c r="N277" s="810">
        <f>_xlfn.XLOOKUP(TableauRecette[[#This Row],[ID]],TableauProduit[ID],TableauProduit[Total (kg) N3],0,0,1)*TableauRecette[[#This Row],[poids / unite]]</f>
        <v/>
      </c>
      <c r="O277" s="810">
        <f>_xlfn.XLOOKUP(TableauRecette[[#This Row],[ID]],TableauProduit[ID],TableauProduit[Total (kg) N4],0,0,1)*TableauRecette[[#This Row],[poids / unite]]</f>
        <v/>
      </c>
      <c r="P277" s="810">
        <f>_xlfn.XLOOKUP(TableauRecette[[#This Row],[ID]],TableauProduit[ID],TableauProduit[Total (kg) N5],0,0,1)*TableauRecette[[#This Row],[poids / unite]]</f>
        <v/>
      </c>
      <c r="Q277" s="810">
        <f>_xlfn.XLOOKUP(TableauRecette[[#This Row],[ID]],TableauProduit[ID],TableauProduit[Total (kg) N6],0,0,1)*TableauRecette[[#This Row],[poids / unite]]</f>
        <v/>
      </c>
      <c r="R277" s="810">
        <f>_xlfn.XLOOKUP(TableauRecette[[#This Row],[ID]],TableauProduit[ID],TableauProduit[Total (kg) N7],0,0,1)*TableauRecette[[#This Row],[poids / unite]]</f>
        <v/>
      </c>
      <c r="S277" s="810">
        <f>_xlfn.XLOOKUP(TableauRecette[[#This Row],[ID]],TableauProduit[ID],TableauProduit[Total (kg) N8],0,0,1)*TableauRecette[[#This Row],[poids / unite]]</f>
        <v/>
      </c>
      <c r="T277" s="810">
        <f>_xlfn.XLOOKUP(TableauRecette[[#This Row],[ID]],TableauProduit[ID],TableauProduit[Total (kg) N9],0,0,1)*TableauRecette[[#This Row],[poids / unite]]</f>
        <v/>
      </c>
    </row>
    <row r="278">
      <c r="A278" s="94" t="inlineStr">
        <is>
          <t>Pâte vindaloo</t>
        </is>
      </c>
      <c r="B278" s="94">
        <f>TableauRecette[[#This Row],[Recette]]&amp;TableauRecette[[#This Row],[Conditionnement]]</f>
        <v/>
      </c>
      <c r="C278" s="94" t="inlineStr">
        <is>
          <t>Graine De Moutarde Noire</t>
        </is>
      </c>
      <c r="D278" s="217" t="n">
        <v>1</v>
      </c>
      <c r="E278" s="94" t="inlineStr">
        <is>
          <t>Epice 100ml</t>
        </is>
      </c>
      <c r="F278" s="21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78" s="217">
        <f>IFERROR(_xlfn.XLOOKUP(TableauRecette[[#This Row],[Ingredients]],TableauIngredients[Ingredients],TableauIngredients[Prix d''achat (kg)],0)*TableauRecette[[#This Row],[poids / unite]],0)</f>
        <v/>
      </c>
      <c r="H278" s="217">
        <f>IFERROR(SUMIFS(TableauRecette[Proportion],TableauRecette[Recette],TableauRecette[[#This Row],[Recette]],TableauRecette[Conditionnement],TableauRecette[[#This Row],[Conditionnement]]),0)</f>
        <v/>
      </c>
      <c r="I278" s="217">
        <f>IFERROR(TableauRecette[[#This Row],[Prix d''achat / kg]],0)</f>
        <v/>
      </c>
      <c r="J278" s="217" t="n"/>
      <c r="K278" s="808" t="n"/>
      <c r="L278" s="809">
        <f>_xlfn.XLOOKUP(TableauRecette[[#This Row],[ID]],TableauProduit[ID],TableauProduit[Total (kg) N1],0,0,1)*TableauRecette[[#This Row],[poids / unite]]</f>
        <v/>
      </c>
      <c r="M278" s="810">
        <f>_xlfn.XLOOKUP(TableauRecette[[#This Row],[ID]],TableauProduit[ID],TableauProduit[Total (kg) N2],0,0,1)*TableauRecette[[#This Row],[poids / unite]]</f>
        <v/>
      </c>
      <c r="N278" s="810">
        <f>_xlfn.XLOOKUP(TableauRecette[[#This Row],[ID]],TableauProduit[ID],TableauProduit[Total (kg) N3],0,0,1)*TableauRecette[[#This Row],[poids / unite]]</f>
        <v/>
      </c>
      <c r="O278" s="810">
        <f>_xlfn.XLOOKUP(TableauRecette[[#This Row],[ID]],TableauProduit[ID],TableauProduit[Total (kg) N4],0,0,1)*TableauRecette[[#This Row],[poids / unite]]</f>
        <v/>
      </c>
      <c r="P278" s="810">
        <f>_xlfn.XLOOKUP(TableauRecette[[#This Row],[ID]],TableauProduit[ID],TableauProduit[Total (kg) N5],0,0,1)*TableauRecette[[#This Row],[poids / unite]]</f>
        <v/>
      </c>
      <c r="Q278" s="810">
        <f>_xlfn.XLOOKUP(TableauRecette[[#This Row],[ID]],TableauProduit[ID],TableauProduit[Total (kg) N6],0,0,1)*TableauRecette[[#This Row],[poids / unite]]</f>
        <v/>
      </c>
      <c r="R278" s="810">
        <f>_xlfn.XLOOKUP(TableauRecette[[#This Row],[ID]],TableauProduit[ID],TableauProduit[Total (kg) N7],0,0,1)*TableauRecette[[#This Row],[poids / unite]]</f>
        <v/>
      </c>
      <c r="S278" s="810">
        <f>_xlfn.XLOOKUP(TableauRecette[[#This Row],[ID]],TableauProduit[ID],TableauProduit[Total (kg) N8],0,0,1)*TableauRecette[[#This Row],[poids / unite]]</f>
        <v/>
      </c>
      <c r="T278" s="810">
        <f>_xlfn.XLOOKUP(TableauRecette[[#This Row],[ID]],TableauProduit[ID],TableauProduit[Total (kg) N9],0,0,1)*TableauRecette[[#This Row],[poids / unite]]</f>
        <v/>
      </c>
    </row>
    <row r="279">
      <c r="A279" s="94" t="inlineStr">
        <is>
          <t>Pâte vindaloo</t>
        </is>
      </c>
      <c r="B279" s="94">
        <f>TableauRecette[[#This Row],[Recette]]&amp;TableauRecette[[#This Row],[Conditionnement]]</f>
        <v/>
      </c>
      <c r="C279" s="94" t="inlineStr">
        <is>
          <t>Graine De Fenugrec</t>
        </is>
      </c>
      <c r="D279" s="217" t="n">
        <v>1</v>
      </c>
      <c r="E279" s="94" t="inlineStr">
        <is>
          <t>Epice 100ml</t>
        </is>
      </c>
      <c r="F279" s="21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79" s="217">
        <f>IFERROR(_xlfn.XLOOKUP(TableauRecette[[#This Row],[Ingredients]],TableauIngredients[Ingredients],TableauIngredients[Prix d''achat (kg)],0)*TableauRecette[[#This Row],[poids / unite]],0)</f>
        <v/>
      </c>
      <c r="H279" s="217">
        <f>IFERROR(SUMIFS(TableauRecette[Proportion],TableauRecette[Recette],TableauRecette[[#This Row],[Recette]],TableauRecette[Conditionnement],TableauRecette[[#This Row],[Conditionnement]]),0)</f>
        <v/>
      </c>
      <c r="I279" s="217">
        <f>IFERROR(TableauRecette[[#This Row],[Prix d''achat / kg]],0)</f>
        <v/>
      </c>
      <c r="J279" s="217" t="n"/>
      <c r="K279" s="808" t="n"/>
      <c r="L279" s="809">
        <f>_xlfn.XLOOKUP(TableauRecette[[#This Row],[ID]],TableauProduit[ID],TableauProduit[Total (kg) N1],0,0,1)*TableauRecette[[#This Row],[poids / unite]]</f>
        <v/>
      </c>
      <c r="M279" s="810">
        <f>_xlfn.XLOOKUP(TableauRecette[[#This Row],[ID]],TableauProduit[ID],TableauProduit[Total (kg) N2],0,0,1)*TableauRecette[[#This Row],[poids / unite]]</f>
        <v/>
      </c>
      <c r="N279" s="810">
        <f>_xlfn.XLOOKUP(TableauRecette[[#This Row],[ID]],TableauProduit[ID],TableauProduit[Total (kg) N3],0,0,1)*TableauRecette[[#This Row],[poids / unite]]</f>
        <v/>
      </c>
      <c r="O279" s="810">
        <f>_xlfn.XLOOKUP(TableauRecette[[#This Row],[ID]],TableauProduit[ID],TableauProduit[Total (kg) N4],0,0,1)*TableauRecette[[#This Row],[poids / unite]]</f>
        <v/>
      </c>
      <c r="P279" s="810">
        <f>_xlfn.XLOOKUP(TableauRecette[[#This Row],[ID]],TableauProduit[ID],TableauProduit[Total (kg) N5],0,0,1)*TableauRecette[[#This Row],[poids / unite]]</f>
        <v/>
      </c>
      <c r="Q279" s="810">
        <f>_xlfn.XLOOKUP(TableauRecette[[#This Row],[ID]],TableauProduit[ID],TableauProduit[Total (kg) N6],0,0,1)*TableauRecette[[#This Row],[poids / unite]]</f>
        <v/>
      </c>
      <c r="R279" s="810">
        <f>_xlfn.XLOOKUP(TableauRecette[[#This Row],[ID]],TableauProduit[ID],TableauProduit[Total (kg) N7],0,0,1)*TableauRecette[[#This Row],[poids / unite]]</f>
        <v/>
      </c>
      <c r="S279" s="810">
        <f>_xlfn.XLOOKUP(TableauRecette[[#This Row],[ID]],TableauProduit[ID],TableauProduit[Total (kg) N8],0,0,1)*TableauRecette[[#This Row],[poids / unite]]</f>
        <v/>
      </c>
      <c r="T279" s="810">
        <f>_xlfn.XLOOKUP(TableauRecette[[#This Row],[ID]],TableauProduit[ID],TableauProduit[Total (kg) N9],0,0,1)*TableauRecette[[#This Row],[poids / unite]]</f>
        <v/>
      </c>
    </row>
    <row r="280">
      <c r="A280" s="94" t="inlineStr">
        <is>
          <t>Pâte vindaloo</t>
        </is>
      </c>
      <c r="B280" s="94">
        <f>TableauRecette[[#This Row],[Recette]]&amp;TableauRecette[[#This Row],[Conditionnement]]</f>
        <v/>
      </c>
      <c r="C280" s="94" t="inlineStr">
        <is>
          <t>Clous De Girofle</t>
        </is>
      </c>
      <c r="D280" s="217" t="n">
        <v>1</v>
      </c>
      <c r="E280" s="94" t="inlineStr">
        <is>
          <t>Epice 100ml</t>
        </is>
      </c>
      <c r="F280" s="21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80" s="217">
        <f>IFERROR(_xlfn.XLOOKUP(TableauRecette[[#This Row],[Ingredients]],TableauIngredients[Ingredients],TableauIngredients[Prix d''achat (kg)],0)*TableauRecette[[#This Row],[poids / unite]],0)</f>
        <v/>
      </c>
      <c r="H280" s="217">
        <f>IFERROR(SUMIFS(TableauRecette[Proportion],TableauRecette[Recette],TableauRecette[[#This Row],[Recette]],TableauRecette[Conditionnement],TableauRecette[[#This Row],[Conditionnement]]),0)</f>
        <v/>
      </c>
      <c r="I280" s="217">
        <f>IFERROR(TableauRecette[[#This Row],[Prix d''achat / kg]],0)</f>
        <v/>
      </c>
      <c r="J280" s="217" t="n"/>
      <c r="K280" s="808" t="n"/>
      <c r="L280" s="809">
        <f>_xlfn.XLOOKUP(TableauRecette[[#This Row],[ID]],TableauProduit[ID],TableauProduit[Total (kg) N1],0,0,1)*TableauRecette[[#This Row],[poids / unite]]</f>
        <v/>
      </c>
      <c r="M280" s="810">
        <f>_xlfn.XLOOKUP(TableauRecette[[#This Row],[ID]],TableauProduit[ID],TableauProduit[Total (kg) N2],0,0,1)*TableauRecette[[#This Row],[poids / unite]]</f>
        <v/>
      </c>
      <c r="N280" s="810">
        <f>_xlfn.XLOOKUP(TableauRecette[[#This Row],[ID]],TableauProduit[ID],TableauProduit[Total (kg) N3],0,0,1)*TableauRecette[[#This Row],[poids / unite]]</f>
        <v/>
      </c>
      <c r="O280" s="810">
        <f>_xlfn.XLOOKUP(TableauRecette[[#This Row],[ID]],TableauProduit[ID],TableauProduit[Total (kg) N4],0,0,1)*TableauRecette[[#This Row],[poids / unite]]</f>
        <v/>
      </c>
      <c r="P280" s="810">
        <f>_xlfn.XLOOKUP(TableauRecette[[#This Row],[ID]],TableauProduit[ID],TableauProduit[Total (kg) N5],0,0,1)*TableauRecette[[#This Row],[poids / unite]]</f>
        <v/>
      </c>
      <c r="Q280" s="810">
        <f>_xlfn.XLOOKUP(TableauRecette[[#This Row],[ID]],TableauProduit[ID],TableauProduit[Total (kg) N6],0,0,1)*TableauRecette[[#This Row],[poids / unite]]</f>
        <v/>
      </c>
      <c r="R280" s="810">
        <f>_xlfn.XLOOKUP(TableauRecette[[#This Row],[ID]],TableauProduit[ID],TableauProduit[Total (kg) N7],0,0,1)*TableauRecette[[#This Row],[poids / unite]]</f>
        <v/>
      </c>
      <c r="S280" s="810">
        <f>_xlfn.XLOOKUP(TableauRecette[[#This Row],[ID]],TableauProduit[ID],TableauProduit[Total (kg) N8],0,0,1)*TableauRecette[[#This Row],[poids / unite]]</f>
        <v/>
      </c>
      <c r="T280" s="810">
        <f>_xlfn.XLOOKUP(TableauRecette[[#This Row],[ID]],TableauProduit[ID],TableauProduit[Total (kg) N9],0,0,1)*TableauRecette[[#This Row],[poids / unite]]</f>
        <v/>
      </c>
    </row>
    <row r="281">
      <c r="A281" s="94" t="inlineStr">
        <is>
          <t>Pâte vindaloo</t>
        </is>
      </c>
      <c r="B281" s="94">
        <f>TableauRecette[[#This Row],[Recette]]&amp;TableauRecette[[#This Row],[Conditionnement]]</f>
        <v/>
      </c>
      <c r="C281" s="94" t="inlineStr">
        <is>
          <t>Graine De Cardamone</t>
        </is>
      </c>
      <c r="D281" s="217" t="n">
        <v>1</v>
      </c>
      <c r="E281" s="94" t="inlineStr">
        <is>
          <t>Epice 100ml</t>
        </is>
      </c>
      <c r="F281" s="21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81" s="217">
        <f>IFERROR(_xlfn.XLOOKUP(TableauRecette[[#This Row],[Ingredients]],TableauIngredients[Ingredients],TableauIngredients[Prix d''achat (kg)],0)*TableauRecette[[#This Row],[poids / unite]],0)</f>
        <v/>
      </c>
      <c r="H281" s="217">
        <f>IFERROR(SUMIFS(TableauRecette[Proportion],TableauRecette[Recette],TableauRecette[[#This Row],[Recette]],TableauRecette[Conditionnement],TableauRecette[[#This Row],[Conditionnement]]),0)</f>
        <v/>
      </c>
      <c r="I281" s="217">
        <f>IFERROR(TableauRecette[[#This Row],[Prix d''achat / kg]],0)</f>
        <v/>
      </c>
      <c r="J281" s="217" t="n"/>
      <c r="K281" s="808" t="n"/>
      <c r="L281" s="809">
        <f>_xlfn.XLOOKUP(TableauRecette[[#This Row],[ID]],TableauProduit[ID],TableauProduit[Total (kg) N1],0,0,1)*TableauRecette[[#This Row],[poids / unite]]</f>
        <v/>
      </c>
      <c r="M281" s="810">
        <f>_xlfn.XLOOKUP(TableauRecette[[#This Row],[ID]],TableauProduit[ID],TableauProduit[Total (kg) N2],0,0,1)*TableauRecette[[#This Row],[poids / unite]]</f>
        <v/>
      </c>
      <c r="N281" s="810">
        <f>_xlfn.XLOOKUP(TableauRecette[[#This Row],[ID]],TableauProduit[ID],TableauProduit[Total (kg) N3],0,0,1)*TableauRecette[[#This Row],[poids / unite]]</f>
        <v/>
      </c>
      <c r="O281" s="810">
        <f>_xlfn.XLOOKUP(TableauRecette[[#This Row],[ID]],TableauProduit[ID],TableauProduit[Total (kg) N4],0,0,1)*TableauRecette[[#This Row],[poids / unite]]</f>
        <v/>
      </c>
      <c r="P281" s="810">
        <f>_xlfn.XLOOKUP(TableauRecette[[#This Row],[ID]],TableauProduit[ID],TableauProduit[Total (kg) N5],0,0,1)*TableauRecette[[#This Row],[poids / unite]]</f>
        <v/>
      </c>
      <c r="Q281" s="810">
        <f>_xlfn.XLOOKUP(TableauRecette[[#This Row],[ID]],TableauProduit[ID],TableauProduit[Total (kg) N6],0,0,1)*TableauRecette[[#This Row],[poids / unite]]</f>
        <v/>
      </c>
      <c r="R281" s="810">
        <f>_xlfn.XLOOKUP(TableauRecette[[#This Row],[ID]],TableauProduit[ID],TableauProduit[Total (kg) N7],0,0,1)*TableauRecette[[#This Row],[poids / unite]]</f>
        <v/>
      </c>
      <c r="S281" s="810">
        <f>_xlfn.XLOOKUP(TableauRecette[[#This Row],[ID]],TableauProduit[ID],TableauProduit[Total (kg) N8],0,0,1)*TableauRecette[[#This Row],[poids / unite]]</f>
        <v/>
      </c>
      <c r="T281" s="810">
        <f>_xlfn.XLOOKUP(TableauRecette[[#This Row],[ID]],TableauProduit[ID],TableauProduit[Total (kg) N9],0,0,1)*TableauRecette[[#This Row],[poids / unite]]</f>
        <v/>
      </c>
    </row>
    <row r="282">
      <c r="A282" s="94" t="inlineStr">
        <is>
          <t>Pâte vindaloo</t>
        </is>
      </c>
      <c r="B282" s="94">
        <f>TableauRecette[[#This Row],[Recette]]&amp;TableauRecette[[#This Row],[Conditionnement]]</f>
        <v/>
      </c>
      <c r="C282" s="94" t="inlineStr">
        <is>
          <t>Casse Concassée</t>
        </is>
      </c>
      <c r="D282" s="217" t="n">
        <v>1</v>
      </c>
      <c r="E282" s="94" t="inlineStr">
        <is>
          <t>Epice 100ml</t>
        </is>
      </c>
      <c r="F282" s="21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82" s="217">
        <f>IFERROR(_xlfn.XLOOKUP(TableauRecette[[#This Row],[Ingredients]],TableauIngredients[Ingredients],TableauIngredients[Prix d''achat (kg)],0)*TableauRecette[[#This Row],[poids / unite]],0)</f>
        <v/>
      </c>
      <c r="H282" s="217">
        <f>IFERROR(SUMIFS(TableauRecette[Proportion],TableauRecette[Recette],TableauRecette[[#This Row],[Recette]],TableauRecette[Conditionnement],TableauRecette[[#This Row],[Conditionnement]]),0)</f>
        <v/>
      </c>
      <c r="I282" s="217">
        <f>IFERROR(TableauRecette[[#This Row],[Prix d''achat / kg]],0)</f>
        <v/>
      </c>
      <c r="J282" s="217" t="n"/>
      <c r="K282" s="808" t="n"/>
      <c r="L282" s="809">
        <f>_xlfn.XLOOKUP(TableauRecette[[#This Row],[ID]],TableauProduit[ID],TableauProduit[Total (kg) N1],0,0,1)*TableauRecette[[#This Row],[poids / unite]]</f>
        <v/>
      </c>
      <c r="M282" s="810">
        <f>_xlfn.XLOOKUP(TableauRecette[[#This Row],[ID]],TableauProduit[ID],TableauProduit[Total (kg) N2],0,0,1)*TableauRecette[[#This Row],[poids / unite]]</f>
        <v/>
      </c>
      <c r="N282" s="810">
        <f>_xlfn.XLOOKUP(TableauRecette[[#This Row],[ID]],TableauProduit[ID],TableauProduit[Total (kg) N3],0,0,1)*TableauRecette[[#This Row],[poids / unite]]</f>
        <v/>
      </c>
      <c r="O282" s="810">
        <f>_xlfn.XLOOKUP(TableauRecette[[#This Row],[ID]],TableauProduit[ID],TableauProduit[Total (kg) N4],0,0,1)*TableauRecette[[#This Row],[poids / unite]]</f>
        <v/>
      </c>
      <c r="P282" s="810">
        <f>_xlfn.XLOOKUP(TableauRecette[[#This Row],[ID]],TableauProduit[ID],TableauProduit[Total (kg) N5],0,0,1)*TableauRecette[[#This Row],[poids / unite]]</f>
        <v/>
      </c>
      <c r="Q282" s="810">
        <f>_xlfn.XLOOKUP(TableauRecette[[#This Row],[ID]],TableauProduit[ID],TableauProduit[Total (kg) N6],0,0,1)*TableauRecette[[#This Row],[poids / unite]]</f>
        <v/>
      </c>
      <c r="R282" s="810">
        <f>_xlfn.XLOOKUP(TableauRecette[[#This Row],[ID]],TableauProduit[ID],TableauProduit[Total (kg) N7],0,0,1)*TableauRecette[[#This Row],[poids / unite]]</f>
        <v/>
      </c>
      <c r="S282" s="810">
        <f>_xlfn.XLOOKUP(TableauRecette[[#This Row],[ID]],TableauProduit[ID],TableauProduit[Total (kg) N8],0,0,1)*TableauRecette[[#This Row],[poids / unite]]</f>
        <v/>
      </c>
      <c r="T282" s="810">
        <f>_xlfn.XLOOKUP(TableauRecette[[#This Row],[ID]],TableauProduit[ID],TableauProduit[Total (kg) N9],0,0,1)*TableauRecette[[#This Row],[poids / unite]]</f>
        <v/>
      </c>
    </row>
    <row r="283">
      <c r="A283" s="94" t="inlineStr">
        <is>
          <t>Pâte vindaloo</t>
        </is>
      </c>
      <c r="B283" s="94">
        <f>TableauRecette[[#This Row],[Recette]]&amp;TableauRecette[[#This Row],[Conditionnement]]</f>
        <v/>
      </c>
      <c r="C283" s="94" t="inlineStr">
        <is>
          <t>Anis Étoilé</t>
        </is>
      </c>
      <c r="D283" s="217" t="n">
        <v>1</v>
      </c>
      <c r="E283" s="94" t="inlineStr">
        <is>
          <t>Epice 100ml</t>
        </is>
      </c>
      <c r="F283" s="21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83" s="217">
        <f>IFERROR(_xlfn.XLOOKUP(TableauRecette[[#This Row],[Ingredients]],TableauIngredients[Ingredients],TableauIngredients[Prix d''achat (kg)],0)*TableauRecette[[#This Row],[poids / unite]],0)</f>
        <v/>
      </c>
      <c r="H283" s="217">
        <f>IFERROR(SUMIFS(TableauRecette[Proportion],TableauRecette[Recette],TableauRecette[[#This Row],[Recette]],TableauRecette[Conditionnement],TableauRecette[[#This Row],[Conditionnement]]),0)</f>
        <v/>
      </c>
      <c r="I283" s="217">
        <f>IFERROR(TableauRecette[[#This Row],[Prix d''achat / kg]],0)</f>
        <v/>
      </c>
      <c r="J283" s="217" t="n"/>
      <c r="K283" s="808" t="n"/>
      <c r="L283" s="809">
        <f>_xlfn.XLOOKUP(TableauRecette[[#This Row],[ID]],TableauProduit[ID],TableauProduit[Total (kg) N1],0,0,1)*TableauRecette[[#This Row],[poids / unite]]</f>
        <v/>
      </c>
      <c r="M283" s="810">
        <f>_xlfn.XLOOKUP(TableauRecette[[#This Row],[ID]],TableauProduit[ID],TableauProduit[Total (kg) N2],0,0,1)*TableauRecette[[#This Row],[poids / unite]]</f>
        <v/>
      </c>
      <c r="N283" s="810">
        <f>_xlfn.XLOOKUP(TableauRecette[[#This Row],[ID]],TableauProduit[ID],TableauProduit[Total (kg) N3],0,0,1)*TableauRecette[[#This Row],[poids / unite]]</f>
        <v/>
      </c>
      <c r="O283" s="810">
        <f>_xlfn.XLOOKUP(TableauRecette[[#This Row],[ID]],TableauProduit[ID],TableauProduit[Total (kg) N4],0,0,1)*TableauRecette[[#This Row],[poids / unite]]</f>
        <v/>
      </c>
      <c r="P283" s="810">
        <f>_xlfn.XLOOKUP(TableauRecette[[#This Row],[ID]],TableauProduit[ID],TableauProduit[Total (kg) N5],0,0,1)*TableauRecette[[#This Row],[poids / unite]]</f>
        <v/>
      </c>
      <c r="Q283" s="810">
        <f>_xlfn.XLOOKUP(TableauRecette[[#This Row],[ID]],TableauProduit[ID],TableauProduit[Total (kg) N6],0,0,1)*TableauRecette[[#This Row],[poids / unite]]</f>
        <v/>
      </c>
      <c r="R283" s="810">
        <f>_xlfn.XLOOKUP(TableauRecette[[#This Row],[ID]],TableauProduit[ID],TableauProduit[Total (kg) N7],0,0,1)*TableauRecette[[#This Row],[poids / unite]]</f>
        <v/>
      </c>
      <c r="S283" s="810">
        <f>_xlfn.XLOOKUP(TableauRecette[[#This Row],[ID]],TableauProduit[ID],TableauProduit[Total (kg) N8],0,0,1)*TableauRecette[[#This Row],[poids / unite]]</f>
        <v/>
      </c>
      <c r="T283" s="810">
        <f>_xlfn.XLOOKUP(TableauRecette[[#This Row],[ID]],TableauProduit[ID],TableauProduit[Total (kg) N9],0,0,1)*TableauRecette[[#This Row],[poids / unite]]</f>
        <v/>
      </c>
    </row>
    <row r="284">
      <c r="A284" s="94" t="inlineStr">
        <is>
          <t>Pâte vindaloo</t>
        </is>
      </c>
      <c r="B284" s="94">
        <f>TableauRecette[[#This Row],[Recette]]&amp;TableauRecette[[#This Row],[Conditionnement]]</f>
        <v/>
      </c>
      <c r="C284" s="94" t="inlineStr">
        <is>
          <t>Vinaigre De Cidre</t>
        </is>
      </c>
      <c r="D284" s="217" t="n">
        <v>1</v>
      </c>
      <c r="E284" s="94" t="inlineStr">
        <is>
          <t>Epice 100ml</t>
        </is>
      </c>
      <c r="F284" s="21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84" s="217">
        <f>IFERROR(_xlfn.XLOOKUP(TableauRecette[[#This Row],[Ingredients]],TableauIngredients[Ingredients],TableauIngredients[Prix d''achat (kg)],0)*TableauRecette[[#This Row],[poids / unite]],0)</f>
        <v/>
      </c>
      <c r="H284" s="217">
        <f>IFERROR(SUMIFS(TableauRecette[Proportion],TableauRecette[Recette],TableauRecette[[#This Row],[Recette]],TableauRecette[Conditionnement],TableauRecette[[#This Row],[Conditionnement]]),0)</f>
        <v/>
      </c>
      <c r="I284" s="217">
        <f>IFERROR(TableauRecette[[#This Row],[Prix d''achat / kg]],0)</f>
        <v/>
      </c>
      <c r="J284" s="217" t="n"/>
      <c r="K284" s="808" t="n"/>
      <c r="L284" s="809">
        <f>_xlfn.XLOOKUP(TableauRecette[[#This Row],[ID]],TableauProduit[ID],TableauProduit[Total (kg) N1],0,0,1)*TableauRecette[[#This Row],[poids / unite]]</f>
        <v/>
      </c>
      <c r="M284" s="810">
        <f>_xlfn.XLOOKUP(TableauRecette[[#This Row],[ID]],TableauProduit[ID],TableauProduit[Total (kg) N2],0,0,1)*TableauRecette[[#This Row],[poids / unite]]</f>
        <v/>
      </c>
      <c r="N284" s="810">
        <f>_xlfn.XLOOKUP(TableauRecette[[#This Row],[ID]],TableauProduit[ID],TableauProduit[Total (kg) N3],0,0,1)*TableauRecette[[#This Row],[poids / unite]]</f>
        <v/>
      </c>
      <c r="O284" s="810">
        <f>_xlfn.XLOOKUP(TableauRecette[[#This Row],[ID]],TableauProduit[ID],TableauProduit[Total (kg) N4],0,0,1)*TableauRecette[[#This Row],[poids / unite]]</f>
        <v/>
      </c>
      <c r="P284" s="810">
        <f>_xlfn.XLOOKUP(TableauRecette[[#This Row],[ID]],TableauProduit[ID],TableauProduit[Total (kg) N5],0,0,1)*TableauRecette[[#This Row],[poids / unite]]</f>
        <v/>
      </c>
      <c r="Q284" s="810">
        <f>_xlfn.XLOOKUP(TableauRecette[[#This Row],[ID]],TableauProduit[ID],TableauProduit[Total (kg) N6],0,0,1)*TableauRecette[[#This Row],[poids / unite]]</f>
        <v/>
      </c>
      <c r="R284" s="810">
        <f>_xlfn.XLOOKUP(TableauRecette[[#This Row],[ID]],TableauProduit[ID],TableauProduit[Total (kg) N7],0,0,1)*TableauRecette[[#This Row],[poids / unite]]</f>
        <v/>
      </c>
      <c r="S284" s="810">
        <f>_xlfn.XLOOKUP(TableauRecette[[#This Row],[ID]],TableauProduit[ID],TableauProduit[Total (kg) N8],0,0,1)*TableauRecette[[#This Row],[poids / unite]]</f>
        <v/>
      </c>
      <c r="T284" s="810">
        <f>_xlfn.XLOOKUP(TableauRecette[[#This Row],[ID]],TableauProduit[ID],TableauProduit[Total (kg) N9],0,0,1)*TableauRecette[[#This Row],[poids / unite]]</f>
        <v/>
      </c>
    </row>
    <row r="285">
      <c r="A285" s="94" t="inlineStr">
        <is>
          <t>Pâte vindaloo</t>
        </is>
      </c>
      <c r="B285" s="94">
        <f>TableauRecette[[#This Row],[Recette]]&amp;TableauRecette[[#This Row],[Conditionnement]]</f>
        <v/>
      </c>
      <c r="C285" s="94" t="inlineStr">
        <is>
          <t>Sel</t>
        </is>
      </c>
      <c r="D285" s="217" t="n">
        <v>1</v>
      </c>
      <c r="E285" s="94" t="inlineStr">
        <is>
          <t>Epice 100ml</t>
        </is>
      </c>
      <c r="F285" s="21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85" s="217">
        <f>IFERROR(_xlfn.XLOOKUP(TableauRecette[[#This Row],[Ingredients]],TableauIngredients[Ingredients],TableauIngredients[Prix d''achat (kg)],0)*TableauRecette[[#This Row],[poids / unite]],0)</f>
        <v/>
      </c>
      <c r="H285" s="217">
        <f>IFERROR(SUMIFS(TableauRecette[Proportion],TableauRecette[Recette],TableauRecette[[#This Row],[Recette]],TableauRecette[Conditionnement],TableauRecette[[#This Row],[Conditionnement]]),0)</f>
        <v/>
      </c>
      <c r="I285" s="217">
        <f>IFERROR(TableauRecette[[#This Row],[Prix d''achat / kg]],0)</f>
        <v/>
      </c>
      <c r="J285" s="217" t="n"/>
      <c r="K285" s="808" t="n"/>
      <c r="L285" s="809">
        <f>_xlfn.XLOOKUP(TableauRecette[[#This Row],[ID]],TableauProduit[ID],TableauProduit[Total (kg) N1],0,0,1)*TableauRecette[[#This Row],[poids / unite]]</f>
        <v/>
      </c>
      <c r="M285" s="810">
        <f>_xlfn.XLOOKUP(TableauRecette[[#This Row],[ID]],TableauProduit[ID],TableauProduit[Total (kg) N2],0,0,1)*TableauRecette[[#This Row],[poids / unite]]</f>
        <v/>
      </c>
      <c r="N285" s="810">
        <f>_xlfn.XLOOKUP(TableauRecette[[#This Row],[ID]],TableauProduit[ID],TableauProduit[Total (kg) N3],0,0,1)*TableauRecette[[#This Row],[poids / unite]]</f>
        <v/>
      </c>
      <c r="O285" s="810">
        <f>_xlfn.XLOOKUP(TableauRecette[[#This Row],[ID]],TableauProduit[ID],TableauProduit[Total (kg) N4],0,0,1)*TableauRecette[[#This Row],[poids / unite]]</f>
        <v/>
      </c>
      <c r="P285" s="810">
        <f>_xlfn.XLOOKUP(TableauRecette[[#This Row],[ID]],TableauProduit[ID],TableauProduit[Total (kg) N5],0,0,1)*TableauRecette[[#This Row],[poids / unite]]</f>
        <v/>
      </c>
      <c r="Q285" s="810">
        <f>_xlfn.XLOOKUP(TableauRecette[[#This Row],[ID]],TableauProduit[ID],TableauProduit[Total (kg) N6],0,0,1)*TableauRecette[[#This Row],[poids / unite]]</f>
        <v/>
      </c>
      <c r="R285" s="810">
        <f>_xlfn.XLOOKUP(TableauRecette[[#This Row],[ID]],TableauProduit[ID],TableauProduit[Total (kg) N7],0,0,1)*TableauRecette[[#This Row],[poids / unite]]</f>
        <v/>
      </c>
      <c r="S285" s="810">
        <f>_xlfn.XLOOKUP(TableauRecette[[#This Row],[ID]],TableauProduit[ID],TableauProduit[Total (kg) N8],0,0,1)*TableauRecette[[#This Row],[poids / unite]]</f>
        <v/>
      </c>
      <c r="T285" s="810">
        <f>_xlfn.XLOOKUP(TableauRecette[[#This Row],[ID]],TableauProduit[ID],TableauProduit[Total (kg) N9],0,0,1)*TableauRecette[[#This Row],[poids / unite]]</f>
        <v/>
      </c>
    </row>
    <row r="286">
      <c r="A286" s="94" t="inlineStr">
        <is>
          <t>Pâte vindaloo</t>
        </is>
      </c>
      <c r="B286" s="94">
        <f>TableauRecette[[#This Row],[Recette]]&amp;TableauRecette[[#This Row],[Conditionnement]]</f>
        <v/>
      </c>
      <c r="C286" s="94" t="inlineStr">
        <is>
          <t>Jaggery</t>
        </is>
      </c>
      <c r="D286" s="217" t="n">
        <v>1</v>
      </c>
      <c r="E286" s="94" t="inlineStr">
        <is>
          <t>Epice 100ml</t>
        </is>
      </c>
      <c r="F286" s="21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86" s="217">
        <f>IFERROR(_xlfn.XLOOKUP(TableauRecette[[#This Row],[Ingredients]],TableauIngredients[Ingredients],TableauIngredients[Prix d''achat (kg)],0)*TableauRecette[[#This Row],[poids / unite]],0)</f>
        <v/>
      </c>
      <c r="H286" s="217">
        <f>IFERROR(SUMIFS(TableauRecette[Proportion],TableauRecette[Recette],TableauRecette[[#This Row],[Recette]],TableauRecette[Conditionnement],TableauRecette[[#This Row],[Conditionnement]]),0)</f>
        <v/>
      </c>
      <c r="I286" s="217">
        <f>IFERROR(TableauRecette[[#This Row],[Prix d''achat / kg]],0)</f>
        <v/>
      </c>
      <c r="J286" s="217" t="n"/>
      <c r="K286" s="808" t="n"/>
      <c r="L286" s="809">
        <f>_xlfn.XLOOKUP(TableauRecette[[#This Row],[ID]],TableauProduit[ID],TableauProduit[Total (kg) N1],0,0,1)*TableauRecette[[#This Row],[poids / unite]]</f>
        <v/>
      </c>
      <c r="M286" s="810">
        <f>_xlfn.XLOOKUP(TableauRecette[[#This Row],[ID]],TableauProduit[ID],TableauProduit[Total (kg) N2],0,0,1)*TableauRecette[[#This Row],[poids / unite]]</f>
        <v/>
      </c>
      <c r="N286" s="810">
        <f>_xlfn.XLOOKUP(TableauRecette[[#This Row],[ID]],TableauProduit[ID],TableauProduit[Total (kg) N3],0,0,1)*TableauRecette[[#This Row],[poids / unite]]</f>
        <v/>
      </c>
      <c r="O286" s="810">
        <f>_xlfn.XLOOKUP(TableauRecette[[#This Row],[ID]],TableauProduit[ID],TableauProduit[Total (kg) N4],0,0,1)*TableauRecette[[#This Row],[poids / unite]]</f>
        <v/>
      </c>
      <c r="P286" s="810">
        <f>_xlfn.XLOOKUP(TableauRecette[[#This Row],[ID]],TableauProduit[ID],TableauProduit[Total (kg) N5],0,0,1)*TableauRecette[[#This Row],[poids / unite]]</f>
        <v/>
      </c>
      <c r="Q286" s="810">
        <f>_xlfn.XLOOKUP(TableauRecette[[#This Row],[ID]],TableauProduit[ID],TableauProduit[Total (kg) N6],0,0,1)*TableauRecette[[#This Row],[poids / unite]]</f>
        <v/>
      </c>
      <c r="R286" s="810">
        <f>_xlfn.XLOOKUP(TableauRecette[[#This Row],[ID]],TableauProduit[ID],TableauProduit[Total (kg) N7],0,0,1)*TableauRecette[[#This Row],[poids / unite]]</f>
        <v/>
      </c>
      <c r="S286" s="810">
        <f>_xlfn.XLOOKUP(TableauRecette[[#This Row],[ID]],TableauProduit[ID],TableauProduit[Total (kg) N8],0,0,1)*TableauRecette[[#This Row],[poids / unite]]</f>
        <v/>
      </c>
      <c r="T286" s="810">
        <f>_xlfn.XLOOKUP(TableauRecette[[#This Row],[ID]],TableauProduit[ID],TableauProduit[Total (kg) N9],0,0,1)*TableauRecette[[#This Row],[poids / unite]]</f>
        <v/>
      </c>
    </row>
    <row r="287">
      <c r="A287" s="95" t="inlineStr">
        <is>
          <t>Quatre epices</t>
        </is>
      </c>
      <c r="B287" s="95">
        <f>TableauRecette[[#This Row],[Recette]]&amp;TableauRecette[[#This Row],[Conditionnement]]</f>
        <v/>
      </c>
      <c r="C287" s="95" t="inlineStr">
        <is>
          <t>Poivre Noir</t>
        </is>
      </c>
      <c r="D287" s="218" t="n">
        <v>20</v>
      </c>
      <c r="E287" s="95" t="inlineStr">
        <is>
          <t>Epice 100ml</t>
        </is>
      </c>
      <c r="F287" s="21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87" s="218">
        <f>IFERROR(_xlfn.XLOOKUP(TableauRecette[[#This Row],[Ingredients]],TableauIngredients[Ingredients],TableauIngredients[Prix d''achat (kg)],0)*TableauRecette[[#This Row],[poids / unite]],0)</f>
        <v/>
      </c>
      <c r="H287" s="218">
        <f>IFERROR(SUMIFS(TableauRecette[Proportion],TableauRecette[Recette],TableauRecette[[#This Row],[Recette]],TableauRecette[Conditionnement],TableauRecette[[#This Row],[Conditionnement]]),0)</f>
        <v/>
      </c>
      <c r="I287" s="218">
        <f>IFERROR(TableauRecette[[#This Row],[Prix d''achat / kg]],0)</f>
        <v/>
      </c>
      <c r="J287" s="218" t="n"/>
      <c r="K287" s="811" t="n"/>
      <c r="L287" s="812">
        <f>_xlfn.XLOOKUP(TableauRecette[[#This Row],[ID]],TableauProduit[ID],TableauProduit[Total (kg) N1],0,0,1)*TableauRecette[[#This Row],[poids / unite]]</f>
        <v/>
      </c>
      <c r="M287" s="813">
        <f>_xlfn.XLOOKUP(TableauRecette[[#This Row],[ID]],TableauProduit[ID],TableauProduit[Total (kg) N2],0,0,1)*TableauRecette[[#This Row],[poids / unite]]</f>
        <v/>
      </c>
      <c r="N287" s="813">
        <f>_xlfn.XLOOKUP(TableauRecette[[#This Row],[ID]],TableauProduit[ID],TableauProduit[Total (kg) N3],0,0,1)*TableauRecette[[#This Row],[poids / unite]]</f>
        <v/>
      </c>
      <c r="O287" s="813">
        <f>_xlfn.XLOOKUP(TableauRecette[[#This Row],[ID]],TableauProduit[ID],TableauProduit[Total (kg) N4],0,0,1)*TableauRecette[[#This Row],[poids / unite]]</f>
        <v/>
      </c>
      <c r="P287" s="813">
        <f>_xlfn.XLOOKUP(TableauRecette[[#This Row],[ID]],TableauProduit[ID],TableauProduit[Total (kg) N5],0,0,1)*TableauRecette[[#This Row],[poids / unite]]</f>
        <v/>
      </c>
      <c r="Q287" s="813">
        <f>_xlfn.XLOOKUP(TableauRecette[[#This Row],[ID]],TableauProduit[ID],TableauProduit[Total (kg) N6],0,0,1)*TableauRecette[[#This Row],[poids / unite]]</f>
        <v/>
      </c>
      <c r="R287" s="813">
        <f>_xlfn.XLOOKUP(TableauRecette[[#This Row],[ID]],TableauProduit[ID],TableauProduit[Total (kg) N7],0,0,1)*TableauRecette[[#This Row],[poids / unite]]</f>
        <v/>
      </c>
      <c r="S287" s="813">
        <f>_xlfn.XLOOKUP(TableauRecette[[#This Row],[ID]],TableauProduit[ID],TableauProduit[Total (kg) N8],0,0,1)*TableauRecette[[#This Row],[poids / unite]]</f>
        <v/>
      </c>
      <c r="T287" s="813">
        <f>_xlfn.XLOOKUP(TableauRecette[[#This Row],[ID]],TableauProduit[ID],TableauProduit[Total (kg) N9],0,0,1)*TableauRecette[[#This Row],[poids / unite]]</f>
        <v/>
      </c>
    </row>
    <row r="288">
      <c r="A288" s="95" t="inlineStr">
        <is>
          <t>Quatre epices</t>
        </is>
      </c>
      <c r="B288" s="95">
        <f>TableauRecette[[#This Row],[Recette]]&amp;TableauRecette[[#This Row],[Conditionnement]]</f>
        <v/>
      </c>
      <c r="C288" s="95" t="inlineStr">
        <is>
          <t>Muscade Moulue</t>
        </is>
      </c>
      <c r="D288" s="218" t="n">
        <v>6</v>
      </c>
      <c r="E288" s="95" t="inlineStr">
        <is>
          <t>Epice 100ml</t>
        </is>
      </c>
      <c r="F288" s="21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88" s="218">
        <f>IFERROR(_xlfn.XLOOKUP(TableauRecette[[#This Row],[Ingredients]],TableauIngredients[Ingredients],TableauIngredients[Prix d''achat (kg)],0)*TableauRecette[[#This Row],[poids / unite]],0)</f>
        <v/>
      </c>
      <c r="H288" s="218">
        <f>IFERROR(SUMIFS(TableauRecette[Proportion],TableauRecette[Recette],TableauRecette[[#This Row],[Recette]],TableauRecette[Conditionnement],TableauRecette[[#This Row],[Conditionnement]]),0)</f>
        <v/>
      </c>
      <c r="I288" s="218">
        <f>IFERROR(TableauRecette[[#This Row],[Prix d''achat / kg]],0)</f>
        <v/>
      </c>
      <c r="J288" s="218" t="n"/>
      <c r="K288" s="811" t="n"/>
      <c r="L288" s="812">
        <f>_xlfn.XLOOKUP(TableauRecette[[#This Row],[ID]],TableauProduit[ID],TableauProduit[Total (kg) N1],0,0,1)*TableauRecette[[#This Row],[poids / unite]]</f>
        <v/>
      </c>
      <c r="M288" s="813">
        <f>_xlfn.XLOOKUP(TableauRecette[[#This Row],[ID]],TableauProduit[ID],TableauProduit[Total (kg) N2],0,0,1)*TableauRecette[[#This Row],[poids / unite]]</f>
        <v/>
      </c>
      <c r="N288" s="813">
        <f>_xlfn.XLOOKUP(TableauRecette[[#This Row],[ID]],TableauProduit[ID],TableauProduit[Total (kg) N3],0,0,1)*TableauRecette[[#This Row],[poids / unite]]</f>
        <v/>
      </c>
      <c r="O288" s="813">
        <f>_xlfn.XLOOKUP(TableauRecette[[#This Row],[ID]],TableauProduit[ID],TableauProduit[Total (kg) N4],0,0,1)*TableauRecette[[#This Row],[poids / unite]]</f>
        <v/>
      </c>
      <c r="P288" s="813">
        <f>_xlfn.XLOOKUP(TableauRecette[[#This Row],[ID]],TableauProduit[ID],TableauProduit[Total (kg) N5],0,0,1)*TableauRecette[[#This Row],[poids / unite]]</f>
        <v/>
      </c>
      <c r="Q288" s="813">
        <f>_xlfn.XLOOKUP(TableauRecette[[#This Row],[ID]],TableauProduit[ID],TableauProduit[Total (kg) N6],0,0,1)*TableauRecette[[#This Row],[poids / unite]]</f>
        <v/>
      </c>
      <c r="R288" s="813">
        <f>_xlfn.XLOOKUP(TableauRecette[[#This Row],[ID]],TableauProduit[ID],TableauProduit[Total (kg) N7],0,0,1)*TableauRecette[[#This Row],[poids / unite]]</f>
        <v/>
      </c>
      <c r="S288" s="813">
        <f>_xlfn.XLOOKUP(TableauRecette[[#This Row],[ID]],TableauProduit[ID],TableauProduit[Total (kg) N8],0,0,1)*TableauRecette[[#This Row],[poids / unite]]</f>
        <v/>
      </c>
      <c r="T288" s="813">
        <f>_xlfn.XLOOKUP(TableauRecette[[#This Row],[ID]],TableauProduit[ID],TableauProduit[Total (kg) N9],0,0,1)*TableauRecette[[#This Row],[poids / unite]]</f>
        <v/>
      </c>
    </row>
    <row r="289">
      <c r="A289" s="95" t="inlineStr">
        <is>
          <t>Quatre epices</t>
        </is>
      </c>
      <c r="B289" s="95">
        <f>TableauRecette[[#This Row],[Recette]]&amp;TableauRecette[[#This Row],[Conditionnement]]</f>
        <v/>
      </c>
      <c r="C289" s="95" t="inlineStr">
        <is>
          <t>Clous De Girofle</t>
        </is>
      </c>
      <c r="D289" s="218" t="n">
        <v>6</v>
      </c>
      <c r="E289" s="95" t="inlineStr">
        <is>
          <t>Epice 100ml</t>
        </is>
      </c>
      <c r="F289" s="21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89" s="218">
        <f>IFERROR(_xlfn.XLOOKUP(TableauRecette[[#This Row],[Ingredients]],TableauIngredients[Ingredients],TableauIngredients[Prix d''achat (kg)],0)*TableauRecette[[#This Row],[poids / unite]],0)</f>
        <v/>
      </c>
      <c r="H289" s="218">
        <f>IFERROR(SUMIFS(TableauRecette[Proportion],TableauRecette[Recette],TableauRecette[[#This Row],[Recette]],TableauRecette[Conditionnement],TableauRecette[[#This Row],[Conditionnement]]),0)</f>
        <v/>
      </c>
      <c r="I289" s="218">
        <f>IFERROR(TableauRecette[[#This Row],[Prix d''achat / kg]],0)</f>
        <v/>
      </c>
      <c r="J289" s="218" t="n"/>
      <c r="K289" s="811" t="n"/>
      <c r="L289" s="812">
        <f>_xlfn.XLOOKUP(TableauRecette[[#This Row],[ID]],TableauProduit[ID],TableauProduit[Total (kg) N1],0,0,1)*TableauRecette[[#This Row],[poids / unite]]</f>
        <v/>
      </c>
      <c r="M289" s="813">
        <f>_xlfn.XLOOKUP(TableauRecette[[#This Row],[ID]],TableauProduit[ID],TableauProduit[Total (kg) N2],0,0,1)*TableauRecette[[#This Row],[poids / unite]]</f>
        <v/>
      </c>
      <c r="N289" s="813">
        <f>_xlfn.XLOOKUP(TableauRecette[[#This Row],[ID]],TableauProduit[ID],TableauProduit[Total (kg) N3],0,0,1)*TableauRecette[[#This Row],[poids / unite]]</f>
        <v/>
      </c>
      <c r="O289" s="813">
        <f>_xlfn.XLOOKUP(TableauRecette[[#This Row],[ID]],TableauProduit[ID],TableauProduit[Total (kg) N4],0,0,1)*TableauRecette[[#This Row],[poids / unite]]</f>
        <v/>
      </c>
      <c r="P289" s="813">
        <f>_xlfn.XLOOKUP(TableauRecette[[#This Row],[ID]],TableauProduit[ID],TableauProduit[Total (kg) N5],0,0,1)*TableauRecette[[#This Row],[poids / unite]]</f>
        <v/>
      </c>
      <c r="Q289" s="813">
        <f>_xlfn.XLOOKUP(TableauRecette[[#This Row],[ID]],TableauProduit[ID],TableauProduit[Total (kg) N6],0,0,1)*TableauRecette[[#This Row],[poids / unite]]</f>
        <v/>
      </c>
      <c r="R289" s="813">
        <f>_xlfn.XLOOKUP(TableauRecette[[#This Row],[ID]],TableauProduit[ID],TableauProduit[Total (kg) N7],0,0,1)*TableauRecette[[#This Row],[poids / unite]]</f>
        <v/>
      </c>
      <c r="S289" s="813">
        <f>_xlfn.XLOOKUP(TableauRecette[[#This Row],[ID]],TableauProduit[ID],TableauProduit[Total (kg) N8],0,0,1)*TableauRecette[[#This Row],[poids / unite]]</f>
        <v/>
      </c>
      <c r="T289" s="813">
        <f>_xlfn.XLOOKUP(TableauRecette[[#This Row],[ID]],TableauProduit[ID],TableauProduit[Total (kg) N9],0,0,1)*TableauRecette[[#This Row],[poids / unite]]</f>
        <v/>
      </c>
    </row>
    <row r="290">
      <c r="A290" s="95" t="inlineStr">
        <is>
          <t>Quatre epices</t>
        </is>
      </c>
      <c r="B290" s="95">
        <f>TableauRecette[[#This Row],[Recette]]&amp;TableauRecette[[#This Row],[Conditionnement]]</f>
        <v/>
      </c>
      <c r="C290" s="95" t="inlineStr">
        <is>
          <t>Cannelle Moulue</t>
        </is>
      </c>
      <c r="D290" s="218" t="n">
        <v>6</v>
      </c>
      <c r="E290" s="95" t="inlineStr">
        <is>
          <t>Epice 100ml</t>
        </is>
      </c>
      <c r="F290" s="21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90" s="218">
        <f>IFERROR(_xlfn.XLOOKUP(TableauRecette[[#This Row],[Ingredients]],TableauIngredients[Ingredients],TableauIngredients[Prix d''achat (kg)],0)*TableauRecette[[#This Row],[poids / unite]],0)</f>
        <v/>
      </c>
      <c r="H290" s="218">
        <f>IFERROR(SUMIFS(TableauRecette[Proportion],TableauRecette[Recette],TableauRecette[[#This Row],[Recette]],TableauRecette[Conditionnement],TableauRecette[[#This Row],[Conditionnement]]),0)</f>
        <v/>
      </c>
      <c r="I290" s="218">
        <f>IFERROR(TableauRecette[[#This Row],[Prix d''achat / kg]],0)</f>
        <v/>
      </c>
      <c r="J290" s="218" t="n"/>
      <c r="K290" s="811" t="n"/>
      <c r="L290" s="812">
        <f>_xlfn.XLOOKUP(TableauRecette[[#This Row],[ID]],TableauProduit[ID],TableauProduit[Total (kg) N1],0,0,1)*TableauRecette[[#This Row],[poids / unite]]</f>
        <v/>
      </c>
      <c r="M290" s="813">
        <f>_xlfn.XLOOKUP(TableauRecette[[#This Row],[ID]],TableauProduit[ID],TableauProduit[Total (kg) N2],0,0,1)*TableauRecette[[#This Row],[poids / unite]]</f>
        <v/>
      </c>
      <c r="N290" s="813">
        <f>_xlfn.XLOOKUP(TableauRecette[[#This Row],[ID]],TableauProduit[ID],TableauProduit[Total (kg) N3],0,0,1)*TableauRecette[[#This Row],[poids / unite]]</f>
        <v/>
      </c>
      <c r="O290" s="813">
        <f>_xlfn.XLOOKUP(TableauRecette[[#This Row],[ID]],TableauProduit[ID],TableauProduit[Total (kg) N4],0,0,1)*TableauRecette[[#This Row],[poids / unite]]</f>
        <v/>
      </c>
      <c r="P290" s="813">
        <f>_xlfn.XLOOKUP(TableauRecette[[#This Row],[ID]],TableauProduit[ID],TableauProduit[Total (kg) N5],0,0,1)*TableauRecette[[#This Row],[poids / unite]]</f>
        <v/>
      </c>
      <c r="Q290" s="813">
        <f>_xlfn.XLOOKUP(TableauRecette[[#This Row],[ID]],TableauProduit[ID],TableauProduit[Total (kg) N6],0,0,1)*TableauRecette[[#This Row],[poids / unite]]</f>
        <v/>
      </c>
      <c r="R290" s="813">
        <f>_xlfn.XLOOKUP(TableauRecette[[#This Row],[ID]],TableauProduit[ID],TableauProduit[Total (kg) N7],0,0,1)*TableauRecette[[#This Row],[poids / unite]]</f>
        <v/>
      </c>
      <c r="S290" s="813">
        <f>_xlfn.XLOOKUP(TableauRecette[[#This Row],[ID]],TableauProduit[ID],TableauProduit[Total (kg) N8],0,0,1)*TableauRecette[[#This Row],[poids / unite]]</f>
        <v/>
      </c>
      <c r="T290" s="813">
        <f>_xlfn.XLOOKUP(TableauRecette[[#This Row],[ID]],TableauProduit[ID],TableauProduit[Total (kg) N9],0,0,1)*TableauRecette[[#This Row],[poids / unite]]</f>
        <v/>
      </c>
    </row>
    <row r="291">
      <c r="A291" s="95" t="inlineStr">
        <is>
          <t>Quatre epices</t>
        </is>
      </c>
      <c r="B291" s="95">
        <f>TableauRecette[[#This Row],[Recette]]&amp;TableauRecette[[#This Row],[Conditionnement]]</f>
        <v/>
      </c>
      <c r="C291" s="667" t="inlineStr">
        <is>
          <t>Gingembre Sec</t>
        </is>
      </c>
      <c r="D291" s="218" t="n">
        <v>6</v>
      </c>
      <c r="E291" s="95" t="inlineStr">
        <is>
          <t>Epice 100ml</t>
        </is>
      </c>
      <c r="F291" s="21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91" s="218">
        <f>IFERROR(_xlfn.XLOOKUP(TableauRecette[[#This Row],[Ingredients]],TableauIngredients[Ingredients],TableauIngredients[Prix d''achat (kg)],0)*TableauRecette[[#This Row],[poids / unite]],0)</f>
        <v/>
      </c>
      <c r="H291" s="218">
        <f>IFERROR(SUMIFS(TableauRecette[Proportion],TableauRecette[Recette],TableauRecette[[#This Row],[Recette]],TableauRecette[Conditionnement],TableauRecette[[#This Row],[Conditionnement]]),0)</f>
        <v/>
      </c>
      <c r="I291" s="218">
        <f>IFERROR(TableauRecette[[#This Row],[Prix d''achat / kg]],0)</f>
        <v/>
      </c>
      <c r="J291" s="218" t="n"/>
      <c r="K291" s="811" t="n"/>
      <c r="L291" s="812">
        <f>_xlfn.XLOOKUP(TableauRecette[[#This Row],[ID]],TableauProduit[ID],TableauProduit[Total (kg) N1],0,0,1)*TableauRecette[[#This Row],[poids / unite]]</f>
        <v/>
      </c>
      <c r="M291" s="813">
        <f>_xlfn.XLOOKUP(TableauRecette[[#This Row],[ID]],TableauProduit[ID],TableauProduit[Total (kg) N2],0,0,1)*TableauRecette[[#This Row],[poids / unite]]</f>
        <v/>
      </c>
      <c r="N291" s="813">
        <f>_xlfn.XLOOKUP(TableauRecette[[#This Row],[ID]],TableauProduit[ID],TableauProduit[Total (kg) N3],0,0,1)*TableauRecette[[#This Row],[poids / unite]]</f>
        <v/>
      </c>
      <c r="O291" s="813">
        <f>_xlfn.XLOOKUP(TableauRecette[[#This Row],[ID]],TableauProduit[ID],TableauProduit[Total (kg) N4],0,0,1)*TableauRecette[[#This Row],[poids / unite]]</f>
        <v/>
      </c>
      <c r="P291" s="813">
        <f>_xlfn.XLOOKUP(TableauRecette[[#This Row],[ID]],TableauProduit[ID],TableauProduit[Total (kg) N5],0,0,1)*TableauRecette[[#This Row],[poids / unite]]</f>
        <v/>
      </c>
      <c r="Q291" s="813">
        <f>_xlfn.XLOOKUP(TableauRecette[[#This Row],[ID]],TableauProduit[ID],TableauProduit[Total (kg) N6],0,0,1)*TableauRecette[[#This Row],[poids / unite]]</f>
        <v/>
      </c>
      <c r="R291" s="813">
        <f>_xlfn.XLOOKUP(TableauRecette[[#This Row],[ID]],TableauProduit[ID],TableauProduit[Total (kg) N7],0,0,1)*TableauRecette[[#This Row],[poids / unite]]</f>
        <v/>
      </c>
      <c r="S291" s="813">
        <f>_xlfn.XLOOKUP(TableauRecette[[#This Row],[ID]],TableauProduit[ID],TableauProduit[Total (kg) N8],0,0,1)*TableauRecette[[#This Row],[poids / unite]]</f>
        <v/>
      </c>
      <c r="T291" s="813">
        <f>_xlfn.XLOOKUP(TableauRecette[[#This Row],[ID]],TableauProduit[ID],TableauProduit[Total (kg) N9],0,0,1)*TableauRecette[[#This Row],[poids / unite]]</f>
        <v/>
      </c>
    </row>
    <row r="292">
      <c r="A292" s="96" t="inlineStr">
        <is>
          <t>Ras el hanout</t>
        </is>
      </c>
      <c r="B292" s="96">
        <f>TableauRecette[[#This Row],[Recette]]&amp;TableauRecette[[#This Row],[Conditionnement]]</f>
        <v/>
      </c>
      <c r="C292" s="96" t="inlineStr">
        <is>
          <t>Sel</t>
        </is>
      </c>
      <c r="D292" s="219" t="n">
        <v>1</v>
      </c>
      <c r="E292" s="96" t="inlineStr">
        <is>
          <t>Epice 100ml</t>
        </is>
      </c>
      <c r="F292" s="21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92" s="219">
        <f>IFERROR(_xlfn.XLOOKUP(TableauRecette[[#This Row],[Ingredients]],TableauIngredients[Ingredients],TableauIngredients[Prix d''achat (kg)],0)*TableauRecette[[#This Row],[poids / unite]],0)</f>
        <v/>
      </c>
      <c r="H292" s="219">
        <f>IFERROR(SUMIFS(TableauRecette[Proportion],TableauRecette[Recette],TableauRecette[[#This Row],[Recette]],TableauRecette[Conditionnement],TableauRecette[[#This Row],[Conditionnement]]),0)</f>
        <v/>
      </c>
      <c r="I292" s="219">
        <f>IFERROR(TableauRecette[[#This Row],[Prix d''achat / kg]],0)</f>
        <v/>
      </c>
      <c r="J292" s="219" t="n"/>
      <c r="K292" s="814" t="n"/>
      <c r="L292" s="815">
        <f>_xlfn.XLOOKUP(TableauRecette[[#This Row],[ID]],TableauProduit[ID],TableauProduit[Total (kg) N1],0,0,1)*TableauRecette[[#This Row],[poids / unite]]</f>
        <v/>
      </c>
      <c r="M292" s="816">
        <f>_xlfn.XLOOKUP(TableauRecette[[#This Row],[ID]],TableauProduit[ID],TableauProduit[Total (kg) N2],0,0,1)*TableauRecette[[#This Row],[poids / unite]]</f>
        <v/>
      </c>
      <c r="N292" s="816">
        <f>_xlfn.XLOOKUP(TableauRecette[[#This Row],[ID]],TableauProduit[ID],TableauProduit[Total (kg) N3],0,0,1)*TableauRecette[[#This Row],[poids / unite]]</f>
        <v/>
      </c>
      <c r="O292" s="816">
        <f>_xlfn.XLOOKUP(TableauRecette[[#This Row],[ID]],TableauProduit[ID],TableauProduit[Total (kg) N4],0,0,1)*TableauRecette[[#This Row],[poids / unite]]</f>
        <v/>
      </c>
      <c r="P292" s="816">
        <f>_xlfn.XLOOKUP(TableauRecette[[#This Row],[ID]],TableauProduit[ID],TableauProduit[Total (kg) N5],0,0,1)*TableauRecette[[#This Row],[poids / unite]]</f>
        <v/>
      </c>
      <c r="Q292" s="816">
        <f>_xlfn.XLOOKUP(TableauRecette[[#This Row],[ID]],TableauProduit[ID],TableauProduit[Total (kg) N6],0,0,1)*TableauRecette[[#This Row],[poids / unite]]</f>
        <v/>
      </c>
      <c r="R292" s="816">
        <f>_xlfn.XLOOKUP(TableauRecette[[#This Row],[ID]],TableauProduit[ID],TableauProduit[Total (kg) N7],0,0,1)*TableauRecette[[#This Row],[poids / unite]]</f>
        <v/>
      </c>
      <c r="S292" s="816">
        <f>_xlfn.XLOOKUP(TableauRecette[[#This Row],[ID]],TableauProduit[ID],TableauProduit[Total (kg) N8],0,0,1)*TableauRecette[[#This Row],[poids / unite]]</f>
        <v/>
      </c>
      <c r="T292" s="816">
        <f>_xlfn.XLOOKUP(TableauRecette[[#This Row],[ID]],TableauProduit[ID],TableauProduit[Total (kg) N9],0,0,1)*TableauRecette[[#This Row],[poids / unite]]</f>
        <v/>
      </c>
    </row>
    <row r="293">
      <c r="A293" s="96" t="inlineStr">
        <is>
          <t>Ras el hanout</t>
        </is>
      </c>
      <c r="B293" s="96">
        <f>TableauRecette[[#This Row],[Recette]]&amp;TableauRecette[[#This Row],[Conditionnement]]</f>
        <v/>
      </c>
      <c r="C293" s="96" t="inlineStr">
        <is>
          <t>Cumin Moulu</t>
        </is>
      </c>
      <c r="D293" s="219" t="n">
        <v>1</v>
      </c>
      <c r="E293" s="96" t="inlineStr">
        <is>
          <t>Epice 100ml</t>
        </is>
      </c>
      <c r="F293" s="21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93" s="219">
        <f>IFERROR(_xlfn.XLOOKUP(TableauRecette[[#This Row],[Ingredients]],TableauIngredients[Ingredients],TableauIngredients[Prix d''achat (kg)],0)*TableauRecette[[#This Row],[poids / unite]],0)</f>
        <v/>
      </c>
      <c r="H293" s="219">
        <f>IFERROR(SUMIFS(TableauRecette[Proportion],TableauRecette[Recette],TableauRecette[[#This Row],[Recette]],TableauRecette[Conditionnement],TableauRecette[[#This Row],[Conditionnement]]),0)</f>
        <v/>
      </c>
      <c r="I293" s="219">
        <f>IFERROR(TableauRecette[[#This Row],[Prix d''achat / kg]],0)</f>
        <v/>
      </c>
      <c r="J293" s="219" t="n"/>
      <c r="K293" s="814" t="n"/>
      <c r="L293" s="815">
        <f>_xlfn.XLOOKUP(TableauRecette[[#This Row],[ID]],TableauProduit[ID],TableauProduit[Total (kg) N1],0,0,1)*TableauRecette[[#This Row],[poids / unite]]</f>
        <v/>
      </c>
      <c r="M293" s="816">
        <f>_xlfn.XLOOKUP(TableauRecette[[#This Row],[ID]],TableauProduit[ID],TableauProduit[Total (kg) N2],0,0,1)*TableauRecette[[#This Row],[poids / unite]]</f>
        <v/>
      </c>
      <c r="N293" s="816">
        <f>_xlfn.XLOOKUP(TableauRecette[[#This Row],[ID]],TableauProduit[ID],TableauProduit[Total (kg) N3],0,0,1)*TableauRecette[[#This Row],[poids / unite]]</f>
        <v/>
      </c>
      <c r="O293" s="816">
        <f>_xlfn.XLOOKUP(TableauRecette[[#This Row],[ID]],TableauProduit[ID],TableauProduit[Total (kg) N4],0,0,1)*TableauRecette[[#This Row],[poids / unite]]</f>
        <v/>
      </c>
      <c r="P293" s="816">
        <f>_xlfn.XLOOKUP(TableauRecette[[#This Row],[ID]],TableauProduit[ID],TableauProduit[Total (kg) N5],0,0,1)*TableauRecette[[#This Row],[poids / unite]]</f>
        <v/>
      </c>
      <c r="Q293" s="816">
        <f>_xlfn.XLOOKUP(TableauRecette[[#This Row],[ID]],TableauProduit[ID],TableauProduit[Total (kg) N6],0,0,1)*TableauRecette[[#This Row],[poids / unite]]</f>
        <v/>
      </c>
      <c r="R293" s="816">
        <f>_xlfn.XLOOKUP(TableauRecette[[#This Row],[ID]],TableauProduit[ID],TableauProduit[Total (kg) N7],0,0,1)*TableauRecette[[#This Row],[poids / unite]]</f>
        <v/>
      </c>
      <c r="S293" s="816">
        <f>_xlfn.XLOOKUP(TableauRecette[[#This Row],[ID]],TableauProduit[ID],TableauProduit[Total (kg) N8],0,0,1)*TableauRecette[[#This Row],[poids / unite]]</f>
        <v/>
      </c>
      <c r="T293" s="816">
        <f>_xlfn.XLOOKUP(TableauRecette[[#This Row],[ID]],TableauProduit[ID],TableauProduit[Total (kg) N9],0,0,1)*TableauRecette[[#This Row],[poids / unite]]</f>
        <v/>
      </c>
    </row>
    <row r="294">
      <c r="A294" s="96" t="inlineStr">
        <is>
          <t>Ras el hanout</t>
        </is>
      </c>
      <c r="B294" s="96">
        <f>TableauRecette[[#This Row],[Recette]]&amp;TableauRecette[[#This Row],[Conditionnement]]</f>
        <v/>
      </c>
      <c r="C294" s="664" t="inlineStr">
        <is>
          <t>Gingembre Sec</t>
        </is>
      </c>
      <c r="D294" s="219" t="n">
        <v>1</v>
      </c>
      <c r="E294" s="96" t="inlineStr">
        <is>
          <t>Epice 100ml</t>
        </is>
      </c>
      <c r="F294" s="21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94" s="219">
        <f>IFERROR(_xlfn.XLOOKUP(TableauRecette[[#This Row],[Ingredients]],TableauIngredients[Ingredients],TableauIngredients[Prix d''achat (kg)],0)*TableauRecette[[#This Row],[poids / unite]],0)</f>
        <v/>
      </c>
      <c r="H294" s="219">
        <f>IFERROR(SUMIFS(TableauRecette[Proportion],TableauRecette[Recette],TableauRecette[[#This Row],[Recette]],TableauRecette[Conditionnement],TableauRecette[[#This Row],[Conditionnement]]),0)</f>
        <v/>
      </c>
      <c r="I294" s="219">
        <f>IFERROR(TableauRecette[[#This Row],[Prix d''achat / kg]],0)</f>
        <v/>
      </c>
      <c r="J294" s="219" t="n"/>
      <c r="K294" s="814" t="n"/>
      <c r="L294" s="815">
        <f>_xlfn.XLOOKUP(TableauRecette[[#This Row],[ID]],TableauProduit[ID],TableauProduit[Total (kg) N1],0,0,1)*TableauRecette[[#This Row],[poids / unite]]</f>
        <v/>
      </c>
      <c r="M294" s="816">
        <f>_xlfn.XLOOKUP(TableauRecette[[#This Row],[ID]],TableauProduit[ID],TableauProduit[Total (kg) N2],0,0,1)*TableauRecette[[#This Row],[poids / unite]]</f>
        <v/>
      </c>
      <c r="N294" s="816">
        <f>_xlfn.XLOOKUP(TableauRecette[[#This Row],[ID]],TableauProduit[ID],TableauProduit[Total (kg) N3],0,0,1)*TableauRecette[[#This Row],[poids / unite]]</f>
        <v/>
      </c>
      <c r="O294" s="816">
        <f>_xlfn.XLOOKUP(TableauRecette[[#This Row],[ID]],TableauProduit[ID],TableauProduit[Total (kg) N4],0,0,1)*TableauRecette[[#This Row],[poids / unite]]</f>
        <v/>
      </c>
      <c r="P294" s="816">
        <f>_xlfn.XLOOKUP(TableauRecette[[#This Row],[ID]],TableauProduit[ID],TableauProduit[Total (kg) N5],0,0,1)*TableauRecette[[#This Row],[poids / unite]]</f>
        <v/>
      </c>
      <c r="Q294" s="816">
        <f>_xlfn.XLOOKUP(TableauRecette[[#This Row],[ID]],TableauProduit[ID],TableauProduit[Total (kg) N6],0,0,1)*TableauRecette[[#This Row],[poids / unite]]</f>
        <v/>
      </c>
      <c r="R294" s="816">
        <f>_xlfn.XLOOKUP(TableauRecette[[#This Row],[ID]],TableauProduit[ID],TableauProduit[Total (kg) N7],0,0,1)*TableauRecette[[#This Row],[poids / unite]]</f>
        <v/>
      </c>
      <c r="S294" s="816">
        <f>_xlfn.XLOOKUP(TableauRecette[[#This Row],[ID]],TableauProduit[ID],TableauProduit[Total (kg) N8],0,0,1)*TableauRecette[[#This Row],[poids / unite]]</f>
        <v/>
      </c>
      <c r="T294" s="816">
        <f>_xlfn.XLOOKUP(TableauRecette[[#This Row],[ID]],TableauProduit[ID],TableauProduit[Total (kg) N9],0,0,1)*TableauRecette[[#This Row],[poids / unite]]</f>
        <v/>
      </c>
    </row>
    <row r="295">
      <c r="A295" s="96" t="inlineStr">
        <is>
          <t>Ras el hanout</t>
        </is>
      </c>
      <c r="B295" s="96">
        <f>TableauRecette[[#This Row],[Recette]]&amp;TableauRecette[[#This Row],[Conditionnement]]</f>
        <v/>
      </c>
      <c r="C295" s="663" t="inlineStr">
        <is>
          <t>Curcuma Moulu</t>
        </is>
      </c>
      <c r="D295" s="219" t="n">
        <v>1</v>
      </c>
      <c r="E295" s="96" t="inlineStr">
        <is>
          <t>Epice 100ml</t>
        </is>
      </c>
      <c r="F295" s="21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95" s="219">
        <f>IFERROR(_xlfn.XLOOKUP(TableauRecette[[#This Row],[Ingredients]],TableauIngredients[Ingredients],TableauIngredients[Prix d''achat (kg)],0)*TableauRecette[[#This Row],[poids / unite]],0)</f>
        <v/>
      </c>
      <c r="H295" s="219">
        <f>IFERROR(SUMIFS(TableauRecette[Proportion],TableauRecette[Recette],TableauRecette[[#This Row],[Recette]],TableauRecette[Conditionnement],TableauRecette[[#This Row],[Conditionnement]]),0)</f>
        <v/>
      </c>
      <c r="I295" s="219">
        <f>IFERROR(TableauRecette[[#This Row],[Prix d''achat / kg]],0)</f>
        <v/>
      </c>
      <c r="J295" s="219" t="n"/>
      <c r="K295" s="814" t="n"/>
      <c r="L295" s="815">
        <f>_xlfn.XLOOKUP(TableauRecette[[#This Row],[ID]],TableauProduit[ID],TableauProduit[Total (kg) N1],0,0,1)*TableauRecette[[#This Row],[poids / unite]]</f>
        <v/>
      </c>
      <c r="M295" s="816">
        <f>_xlfn.XLOOKUP(TableauRecette[[#This Row],[ID]],TableauProduit[ID],TableauProduit[Total (kg) N2],0,0,1)*TableauRecette[[#This Row],[poids / unite]]</f>
        <v/>
      </c>
      <c r="N295" s="816">
        <f>_xlfn.XLOOKUP(TableauRecette[[#This Row],[ID]],TableauProduit[ID],TableauProduit[Total (kg) N3],0,0,1)*TableauRecette[[#This Row],[poids / unite]]</f>
        <v/>
      </c>
      <c r="O295" s="816">
        <f>_xlfn.XLOOKUP(TableauRecette[[#This Row],[ID]],TableauProduit[ID],TableauProduit[Total (kg) N4],0,0,1)*TableauRecette[[#This Row],[poids / unite]]</f>
        <v/>
      </c>
      <c r="P295" s="816">
        <f>_xlfn.XLOOKUP(TableauRecette[[#This Row],[ID]],TableauProduit[ID],TableauProduit[Total (kg) N5],0,0,1)*TableauRecette[[#This Row],[poids / unite]]</f>
        <v/>
      </c>
      <c r="Q295" s="816">
        <f>_xlfn.XLOOKUP(TableauRecette[[#This Row],[ID]],TableauProduit[ID],TableauProduit[Total (kg) N6],0,0,1)*TableauRecette[[#This Row],[poids / unite]]</f>
        <v/>
      </c>
      <c r="R295" s="816">
        <f>_xlfn.XLOOKUP(TableauRecette[[#This Row],[ID]],TableauProduit[ID],TableauProduit[Total (kg) N7],0,0,1)*TableauRecette[[#This Row],[poids / unite]]</f>
        <v/>
      </c>
      <c r="S295" s="816">
        <f>_xlfn.XLOOKUP(TableauRecette[[#This Row],[ID]],TableauProduit[ID],TableauProduit[Total (kg) N8],0,0,1)*TableauRecette[[#This Row],[poids / unite]]</f>
        <v/>
      </c>
      <c r="T295" s="816">
        <f>_xlfn.XLOOKUP(TableauRecette[[#This Row],[ID]],TableauProduit[ID],TableauProduit[Total (kg) N9],0,0,1)*TableauRecette[[#This Row],[poids / unite]]</f>
        <v/>
      </c>
    </row>
    <row r="296">
      <c r="A296" s="96" t="inlineStr">
        <is>
          <t>Ras el hanout</t>
        </is>
      </c>
      <c r="B296" s="96">
        <f>TableauRecette[[#This Row],[Recette]]&amp;TableauRecette[[#This Row],[Conditionnement]]</f>
        <v/>
      </c>
      <c r="C296" s="96" t="inlineStr">
        <is>
          <t>Cannelle Moulue</t>
        </is>
      </c>
      <c r="D296" s="219">
        <f>3/4</f>
        <v/>
      </c>
      <c r="E296" s="96" t="inlineStr">
        <is>
          <t>Epice 100ml</t>
        </is>
      </c>
      <c r="F296" s="21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96" s="219">
        <f>IFERROR(_xlfn.XLOOKUP(TableauRecette[[#This Row],[Ingredients]],TableauIngredients[Ingredients],TableauIngredients[Prix d''achat (kg)],0)*TableauRecette[[#This Row],[poids / unite]],0)</f>
        <v/>
      </c>
      <c r="H296" s="219">
        <f>IFERROR(SUMIFS(TableauRecette[Proportion],TableauRecette[Recette],TableauRecette[[#This Row],[Recette]],TableauRecette[Conditionnement],TableauRecette[[#This Row],[Conditionnement]]),0)</f>
        <v/>
      </c>
      <c r="I296" s="219">
        <f>IFERROR(TableauRecette[[#This Row],[Prix d''achat / kg]],0)</f>
        <v/>
      </c>
      <c r="J296" s="219" t="n"/>
      <c r="K296" s="814" t="n"/>
      <c r="L296" s="815">
        <f>_xlfn.XLOOKUP(TableauRecette[[#This Row],[ID]],TableauProduit[ID],TableauProduit[Total (kg) N1],0,0,1)*TableauRecette[[#This Row],[poids / unite]]</f>
        <v/>
      </c>
      <c r="M296" s="816">
        <f>_xlfn.XLOOKUP(TableauRecette[[#This Row],[ID]],TableauProduit[ID],TableauProduit[Total (kg) N2],0,0,1)*TableauRecette[[#This Row],[poids / unite]]</f>
        <v/>
      </c>
      <c r="N296" s="816">
        <f>_xlfn.XLOOKUP(TableauRecette[[#This Row],[ID]],TableauProduit[ID],TableauProduit[Total (kg) N3],0,0,1)*TableauRecette[[#This Row],[poids / unite]]</f>
        <v/>
      </c>
      <c r="O296" s="816">
        <f>_xlfn.XLOOKUP(TableauRecette[[#This Row],[ID]],TableauProduit[ID],TableauProduit[Total (kg) N4],0,0,1)*TableauRecette[[#This Row],[poids / unite]]</f>
        <v/>
      </c>
      <c r="P296" s="816">
        <f>_xlfn.XLOOKUP(TableauRecette[[#This Row],[ID]],TableauProduit[ID],TableauProduit[Total (kg) N5],0,0,1)*TableauRecette[[#This Row],[poids / unite]]</f>
        <v/>
      </c>
      <c r="Q296" s="816">
        <f>_xlfn.XLOOKUP(TableauRecette[[#This Row],[ID]],TableauProduit[ID],TableauProduit[Total (kg) N6],0,0,1)*TableauRecette[[#This Row],[poids / unite]]</f>
        <v/>
      </c>
      <c r="R296" s="816">
        <f>_xlfn.XLOOKUP(TableauRecette[[#This Row],[ID]],TableauProduit[ID],TableauProduit[Total (kg) N7],0,0,1)*TableauRecette[[#This Row],[poids / unite]]</f>
        <v/>
      </c>
      <c r="S296" s="816">
        <f>_xlfn.XLOOKUP(TableauRecette[[#This Row],[ID]],TableauProduit[ID],TableauProduit[Total (kg) N8],0,0,1)*TableauRecette[[#This Row],[poids / unite]]</f>
        <v/>
      </c>
      <c r="T296" s="816">
        <f>_xlfn.XLOOKUP(TableauRecette[[#This Row],[ID]],TableauProduit[ID],TableauProduit[Total (kg) N9],0,0,1)*TableauRecette[[#This Row],[poids / unite]]</f>
        <v/>
      </c>
    </row>
    <row r="297">
      <c r="A297" s="96" t="inlineStr">
        <is>
          <t>Ras el hanout</t>
        </is>
      </c>
      <c r="B297" s="96">
        <f>TableauRecette[[#This Row],[Recette]]&amp;TableauRecette[[#This Row],[Conditionnement]]</f>
        <v/>
      </c>
      <c r="C297" s="96" t="inlineStr">
        <is>
          <t>Poivre Noir</t>
        </is>
      </c>
      <c r="D297" s="219">
        <f>3/4</f>
        <v/>
      </c>
      <c r="E297" s="96" t="inlineStr">
        <is>
          <t>Epice 100ml</t>
        </is>
      </c>
      <c r="F297" s="21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97" s="219">
        <f>IFERROR(_xlfn.XLOOKUP(TableauRecette[[#This Row],[Ingredients]],TableauIngredients[Ingredients],TableauIngredients[Prix d''achat (kg)],0)*TableauRecette[[#This Row],[poids / unite]],0)</f>
        <v/>
      </c>
      <c r="H297" s="219">
        <f>IFERROR(SUMIFS(TableauRecette[Proportion],TableauRecette[Recette],TableauRecette[[#This Row],[Recette]],TableauRecette[Conditionnement],TableauRecette[[#This Row],[Conditionnement]]),0)</f>
        <v/>
      </c>
      <c r="I297" s="219">
        <f>IFERROR(TableauRecette[[#This Row],[Prix d''achat / kg]],0)</f>
        <v/>
      </c>
      <c r="J297" s="219" t="n"/>
      <c r="K297" s="814" t="n"/>
      <c r="L297" s="815">
        <f>_xlfn.XLOOKUP(TableauRecette[[#This Row],[ID]],TableauProduit[ID],TableauProduit[Total (kg) N1],0,0,1)*TableauRecette[[#This Row],[poids / unite]]</f>
        <v/>
      </c>
      <c r="M297" s="816">
        <f>_xlfn.XLOOKUP(TableauRecette[[#This Row],[ID]],TableauProduit[ID],TableauProduit[Total (kg) N2],0,0,1)*TableauRecette[[#This Row],[poids / unite]]</f>
        <v/>
      </c>
      <c r="N297" s="816">
        <f>_xlfn.XLOOKUP(TableauRecette[[#This Row],[ID]],TableauProduit[ID],TableauProduit[Total (kg) N3],0,0,1)*TableauRecette[[#This Row],[poids / unite]]</f>
        <v/>
      </c>
      <c r="O297" s="816">
        <f>_xlfn.XLOOKUP(TableauRecette[[#This Row],[ID]],TableauProduit[ID],TableauProduit[Total (kg) N4],0,0,1)*TableauRecette[[#This Row],[poids / unite]]</f>
        <v/>
      </c>
      <c r="P297" s="816">
        <f>_xlfn.XLOOKUP(TableauRecette[[#This Row],[ID]],TableauProduit[ID],TableauProduit[Total (kg) N5],0,0,1)*TableauRecette[[#This Row],[poids / unite]]</f>
        <v/>
      </c>
      <c r="Q297" s="816">
        <f>_xlfn.XLOOKUP(TableauRecette[[#This Row],[ID]],TableauProduit[ID],TableauProduit[Total (kg) N6],0,0,1)*TableauRecette[[#This Row],[poids / unite]]</f>
        <v/>
      </c>
      <c r="R297" s="816">
        <f>_xlfn.XLOOKUP(TableauRecette[[#This Row],[ID]],TableauProduit[ID],TableauProduit[Total (kg) N7],0,0,1)*TableauRecette[[#This Row],[poids / unite]]</f>
        <v/>
      </c>
      <c r="S297" s="816">
        <f>_xlfn.XLOOKUP(TableauRecette[[#This Row],[ID]],TableauProduit[ID],TableauProduit[Total (kg) N8],0,0,1)*TableauRecette[[#This Row],[poids / unite]]</f>
        <v/>
      </c>
      <c r="T297" s="816">
        <f>_xlfn.XLOOKUP(TableauRecette[[#This Row],[ID]],TableauProduit[ID],TableauProduit[Total (kg) N9],0,0,1)*TableauRecette[[#This Row],[poids / unite]]</f>
        <v/>
      </c>
    </row>
    <row r="298">
      <c r="A298" s="96" t="inlineStr">
        <is>
          <t>Ras el hanout</t>
        </is>
      </c>
      <c r="B298" s="96">
        <f>TableauRecette[[#This Row],[Recette]]&amp;TableauRecette[[#This Row],[Conditionnement]]</f>
        <v/>
      </c>
      <c r="C298" s="96" t="inlineStr">
        <is>
          <t>Poivre Blanc</t>
        </is>
      </c>
      <c r="D298" s="219" t="n">
        <v>0.5</v>
      </c>
      <c r="E298" s="96" t="inlineStr">
        <is>
          <t>Epice 100ml</t>
        </is>
      </c>
      <c r="F298" s="21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98" s="219">
        <f>IFERROR(_xlfn.XLOOKUP(TableauRecette[[#This Row],[Ingredients]],TableauIngredients[Ingredients],TableauIngredients[Prix d''achat (kg)],0)*TableauRecette[[#This Row],[poids / unite]],0)</f>
        <v/>
      </c>
      <c r="H298" s="219">
        <f>IFERROR(SUMIFS(TableauRecette[Proportion],TableauRecette[Recette],TableauRecette[[#This Row],[Recette]],TableauRecette[Conditionnement],TableauRecette[[#This Row],[Conditionnement]]),0)</f>
        <v/>
      </c>
      <c r="I298" s="219">
        <f>IFERROR(TableauRecette[[#This Row],[Prix d''achat / kg]],0)</f>
        <v/>
      </c>
      <c r="J298" s="219" t="n"/>
      <c r="K298" s="814" t="n"/>
      <c r="L298" s="815">
        <f>_xlfn.XLOOKUP(TableauRecette[[#This Row],[ID]],TableauProduit[ID],TableauProduit[Total (kg) N1],0,0,1)*TableauRecette[[#This Row],[poids / unite]]</f>
        <v/>
      </c>
      <c r="M298" s="816">
        <f>_xlfn.XLOOKUP(TableauRecette[[#This Row],[ID]],TableauProduit[ID],TableauProduit[Total (kg) N2],0,0,1)*TableauRecette[[#This Row],[poids / unite]]</f>
        <v/>
      </c>
      <c r="N298" s="816">
        <f>_xlfn.XLOOKUP(TableauRecette[[#This Row],[ID]],TableauProduit[ID],TableauProduit[Total (kg) N3],0,0,1)*TableauRecette[[#This Row],[poids / unite]]</f>
        <v/>
      </c>
      <c r="O298" s="816">
        <f>_xlfn.XLOOKUP(TableauRecette[[#This Row],[ID]],TableauProduit[ID],TableauProduit[Total (kg) N4],0,0,1)*TableauRecette[[#This Row],[poids / unite]]</f>
        <v/>
      </c>
      <c r="P298" s="816">
        <f>_xlfn.XLOOKUP(TableauRecette[[#This Row],[ID]],TableauProduit[ID],TableauProduit[Total (kg) N5],0,0,1)*TableauRecette[[#This Row],[poids / unite]]</f>
        <v/>
      </c>
      <c r="Q298" s="816">
        <f>_xlfn.XLOOKUP(TableauRecette[[#This Row],[ID]],TableauProduit[ID],TableauProduit[Total (kg) N6],0,0,1)*TableauRecette[[#This Row],[poids / unite]]</f>
        <v/>
      </c>
      <c r="R298" s="816">
        <f>_xlfn.XLOOKUP(TableauRecette[[#This Row],[ID]],TableauProduit[ID],TableauProduit[Total (kg) N7],0,0,1)*TableauRecette[[#This Row],[poids / unite]]</f>
        <v/>
      </c>
      <c r="S298" s="816">
        <f>_xlfn.XLOOKUP(TableauRecette[[#This Row],[ID]],TableauProduit[ID],TableauProduit[Total (kg) N8],0,0,1)*TableauRecette[[#This Row],[poids / unite]]</f>
        <v/>
      </c>
      <c r="T298" s="816">
        <f>_xlfn.XLOOKUP(TableauRecette[[#This Row],[ID]],TableauProduit[ID],TableauProduit[Total (kg) N9],0,0,1)*TableauRecette[[#This Row],[poids / unite]]</f>
        <v/>
      </c>
    </row>
    <row r="299">
      <c r="A299" s="96" t="inlineStr">
        <is>
          <t>Ras el hanout</t>
        </is>
      </c>
      <c r="B299" s="96">
        <f>TableauRecette[[#This Row],[Recette]]&amp;TableauRecette[[#This Row],[Conditionnement]]</f>
        <v/>
      </c>
      <c r="C299" s="96" t="inlineStr">
        <is>
          <t>Coriandre Graine</t>
        </is>
      </c>
      <c r="D299" s="219" t="n">
        <v>0.5</v>
      </c>
      <c r="E299" s="96" t="inlineStr">
        <is>
          <t>Epice 100ml</t>
        </is>
      </c>
      <c r="F299" s="21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299" s="219">
        <f>IFERROR(_xlfn.XLOOKUP(TableauRecette[[#This Row],[Ingredients]],TableauIngredients[Ingredients],TableauIngredients[Prix d''achat (kg)],0)*TableauRecette[[#This Row],[poids / unite]],0)</f>
        <v/>
      </c>
      <c r="H299" s="219">
        <f>IFERROR(SUMIFS(TableauRecette[Proportion],TableauRecette[Recette],TableauRecette[[#This Row],[Recette]],TableauRecette[Conditionnement],TableauRecette[[#This Row],[Conditionnement]]),0)</f>
        <v/>
      </c>
      <c r="I299" s="219">
        <f>IFERROR(TableauRecette[[#This Row],[Prix d''achat / kg]],0)</f>
        <v/>
      </c>
      <c r="J299" s="219" t="n"/>
      <c r="K299" s="814" t="n"/>
      <c r="L299" s="815">
        <f>_xlfn.XLOOKUP(TableauRecette[[#This Row],[ID]],TableauProduit[ID],TableauProduit[Total (kg) N1],0,0,1)*TableauRecette[[#This Row],[poids / unite]]</f>
        <v/>
      </c>
      <c r="M299" s="816">
        <f>_xlfn.XLOOKUP(TableauRecette[[#This Row],[ID]],TableauProduit[ID],TableauProduit[Total (kg) N2],0,0,1)*TableauRecette[[#This Row],[poids / unite]]</f>
        <v/>
      </c>
      <c r="N299" s="816">
        <f>_xlfn.XLOOKUP(TableauRecette[[#This Row],[ID]],TableauProduit[ID],TableauProduit[Total (kg) N3],0,0,1)*TableauRecette[[#This Row],[poids / unite]]</f>
        <v/>
      </c>
      <c r="O299" s="816">
        <f>_xlfn.XLOOKUP(TableauRecette[[#This Row],[ID]],TableauProduit[ID],TableauProduit[Total (kg) N4],0,0,1)*TableauRecette[[#This Row],[poids / unite]]</f>
        <v/>
      </c>
      <c r="P299" s="816">
        <f>_xlfn.XLOOKUP(TableauRecette[[#This Row],[ID]],TableauProduit[ID],TableauProduit[Total (kg) N5],0,0,1)*TableauRecette[[#This Row],[poids / unite]]</f>
        <v/>
      </c>
      <c r="Q299" s="816">
        <f>_xlfn.XLOOKUP(TableauRecette[[#This Row],[ID]],TableauProduit[ID],TableauProduit[Total (kg) N6],0,0,1)*TableauRecette[[#This Row],[poids / unite]]</f>
        <v/>
      </c>
      <c r="R299" s="816">
        <f>_xlfn.XLOOKUP(TableauRecette[[#This Row],[ID]],TableauProduit[ID],TableauProduit[Total (kg) N7],0,0,1)*TableauRecette[[#This Row],[poids / unite]]</f>
        <v/>
      </c>
      <c r="S299" s="816">
        <f>_xlfn.XLOOKUP(TableauRecette[[#This Row],[ID]],TableauProduit[ID],TableauProduit[Total (kg) N8],0,0,1)*TableauRecette[[#This Row],[poids / unite]]</f>
        <v/>
      </c>
      <c r="T299" s="816">
        <f>_xlfn.XLOOKUP(TableauRecette[[#This Row],[ID]],TableauProduit[ID],TableauProduit[Total (kg) N9],0,0,1)*TableauRecette[[#This Row],[poids / unite]]</f>
        <v/>
      </c>
    </row>
    <row r="300">
      <c r="A300" s="96" t="inlineStr">
        <is>
          <t>Ras el hanout</t>
        </is>
      </c>
      <c r="B300" s="96">
        <f>TableauRecette[[#This Row],[Recette]]&amp;TableauRecette[[#This Row],[Conditionnement]]</f>
        <v/>
      </c>
      <c r="C300" s="96" t="inlineStr">
        <is>
          <t>Piment De Cayenne Jaune SEC</t>
        </is>
      </c>
      <c r="D300" s="219" t="n">
        <v>0.5</v>
      </c>
      <c r="E300" s="96" t="inlineStr">
        <is>
          <t>Epice 100ml</t>
        </is>
      </c>
      <c r="F300" s="21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00" s="219">
        <f>IFERROR(_xlfn.XLOOKUP(TableauRecette[[#This Row],[Ingredients]],TableauIngredients[Ingredients],TableauIngredients[Prix d''achat (kg)],0)*TableauRecette[[#This Row],[poids / unite]],0)</f>
        <v/>
      </c>
      <c r="H300" s="219">
        <f>IFERROR(SUMIFS(TableauRecette[Proportion],TableauRecette[Recette],TableauRecette[[#This Row],[Recette]],TableauRecette[Conditionnement],TableauRecette[[#This Row],[Conditionnement]]),0)</f>
        <v/>
      </c>
      <c r="I300" s="219">
        <f>IFERROR(TableauRecette[[#This Row],[Prix d''achat / kg]],0)</f>
        <v/>
      </c>
      <c r="J300" s="219" t="n"/>
      <c r="K300" s="814" t="n"/>
      <c r="L300" s="815">
        <f>_xlfn.XLOOKUP(TableauRecette[[#This Row],[ID]],TableauProduit[ID],TableauProduit[Total (kg) N1],0,0,1)*TableauRecette[[#This Row],[poids / unite]]</f>
        <v/>
      </c>
      <c r="M300" s="816">
        <f>_xlfn.XLOOKUP(TableauRecette[[#This Row],[ID]],TableauProduit[ID],TableauProduit[Total (kg) N2],0,0,1)*TableauRecette[[#This Row],[poids / unite]]</f>
        <v/>
      </c>
      <c r="N300" s="816">
        <f>_xlfn.XLOOKUP(TableauRecette[[#This Row],[ID]],TableauProduit[ID],TableauProduit[Total (kg) N3],0,0,1)*TableauRecette[[#This Row],[poids / unite]]</f>
        <v/>
      </c>
      <c r="O300" s="816">
        <f>_xlfn.XLOOKUP(TableauRecette[[#This Row],[ID]],TableauProduit[ID],TableauProduit[Total (kg) N4],0,0,1)*TableauRecette[[#This Row],[poids / unite]]</f>
        <v/>
      </c>
      <c r="P300" s="816">
        <f>_xlfn.XLOOKUP(TableauRecette[[#This Row],[ID]],TableauProduit[ID],TableauProduit[Total (kg) N5],0,0,1)*TableauRecette[[#This Row],[poids / unite]]</f>
        <v/>
      </c>
      <c r="Q300" s="816">
        <f>_xlfn.XLOOKUP(TableauRecette[[#This Row],[ID]],TableauProduit[ID],TableauProduit[Total (kg) N6],0,0,1)*TableauRecette[[#This Row],[poids / unite]]</f>
        <v/>
      </c>
      <c r="R300" s="816">
        <f>_xlfn.XLOOKUP(TableauRecette[[#This Row],[ID]],TableauProduit[ID],TableauProduit[Total (kg) N7],0,0,1)*TableauRecette[[#This Row],[poids / unite]]</f>
        <v/>
      </c>
      <c r="S300" s="816">
        <f>_xlfn.XLOOKUP(TableauRecette[[#This Row],[ID]],TableauProduit[ID],TableauProduit[Total (kg) N8],0,0,1)*TableauRecette[[#This Row],[poids / unite]]</f>
        <v/>
      </c>
      <c r="T300" s="816">
        <f>_xlfn.XLOOKUP(TableauRecette[[#This Row],[ID]],TableauProduit[ID],TableauProduit[Total (kg) N9],0,0,1)*TableauRecette[[#This Row],[poids / unite]]</f>
        <v/>
      </c>
    </row>
    <row r="301">
      <c r="A301" s="96" t="inlineStr">
        <is>
          <t>Ras el hanout</t>
        </is>
      </c>
      <c r="B301" s="96">
        <f>TableauRecette[[#This Row],[Recette]]&amp;TableauRecette[[#This Row],[Conditionnement]]</f>
        <v/>
      </c>
      <c r="C301" s="96" t="inlineStr">
        <is>
          <t>Poivre De Jamaïque</t>
        </is>
      </c>
      <c r="D301" s="219" t="n">
        <v>0.5</v>
      </c>
      <c r="E301" s="96" t="inlineStr">
        <is>
          <t>Epice 100ml</t>
        </is>
      </c>
      <c r="F301" s="21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01" s="219">
        <f>IFERROR(_xlfn.XLOOKUP(TableauRecette[[#This Row],[Ingredients]],TableauIngredients[Ingredients],TableauIngredients[Prix d''achat (kg)],0)*TableauRecette[[#This Row],[poids / unite]],0)</f>
        <v/>
      </c>
      <c r="H301" s="219">
        <f>IFERROR(SUMIFS(TableauRecette[Proportion],TableauRecette[Recette],TableauRecette[[#This Row],[Recette]],TableauRecette[Conditionnement],TableauRecette[[#This Row],[Conditionnement]]),0)</f>
        <v/>
      </c>
      <c r="I301" s="219">
        <f>IFERROR(TableauRecette[[#This Row],[Prix d''achat / kg]],0)</f>
        <v/>
      </c>
      <c r="J301" s="219" t="n"/>
      <c r="K301" s="814" t="n"/>
      <c r="L301" s="815">
        <f>_xlfn.XLOOKUP(TableauRecette[[#This Row],[ID]],TableauProduit[ID],TableauProduit[Total (kg) N1],0,0,1)*TableauRecette[[#This Row],[poids / unite]]</f>
        <v/>
      </c>
      <c r="M301" s="816">
        <f>_xlfn.XLOOKUP(TableauRecette[[#This Row],[ID]],TableauProduit[ID],TableauProduit[Total (kg) N2],0,0,1)*TableauRecette[[#This Row],[poids / unite]]</f>
        <v/>
      </c>
      <c r="N301" s="816">
        <f>_xlfn.XLOOKUP(TableauRecette[[#This Row],[ID]],TableauProduit[ID],TableauProduit[Total (kg) N3],0,0,1)*TableauRecette[[#This Row],[poids / unite]]</f>
        <v/>
      </c>
      <c r="O301" s="816">
        <f>_xlfn.XLOOKUP(TableauRecette[[#This Row],[ID]],TableauProduit[ID],TableauProduit[Total (kg) N4],0,0,1)*TableauRecette[[#This Row],[poids / unite]]</f>
        <v/>
      </c>
      <c r="P301" s="816">
        <f>_xlfn.XLOOKUP(TableauRecette[[#This Row],[ID]],TableauProduit[ID],TableauProduit[Total (kg) N5],0,0,1)*TableauRecette[[#This Row],[poids / unite]]</f>
        <v/>
      </c>
      <c r="Q301" s="816">
        <f>_xlfn.XLOOKUP(TableauRecette[[#This Row],[ID]],TableauProduit[ID],TableauProduit[Total (kg) N6],0,0,1)*TableauRecette[[#This Row],[poids / unite]]</f>
        <v/>
      </c>
      <c r="R301" s="816">
        <f>_xlfn.XLOOKUP(TableauRecette[[#This Row],[ID]],TableauProduit[ID],TableauProduit[Total (kg) N7],0,0,1)*TableauRecette[[#This Row],[poids / unite]]</f>
        <v/>
      </c>
      <c r="S301" s="816">
        <f>_xlfn.XLOOKUP(TableauRecette[[#This Row],[ID]],TableauProduit[ID],TableauProduit[Total (kg) N8],0,0,1)*TableauRecette[[#This Row],[poids / unite]]</f>
        <v/>
      </c>
      <c r="T301" s="816">
        <f>_xlfn.XLOOKUP(TableauRecette[[#This Row],[ID]],TableauProduit[ID],TableauProduit[Total (kg) N9],0,0,1)*TableauRecette[[#This Row],[poids / unite]]</f>
        <v/>
      </c>
    </row>
    <row r="302">
      <c r="A302" s="96" t="inlineStr">
        <is>
          <t>Ras el hanout</t>
        </is>
      </c>
      <c r="B302" s="96">
        <f>TableauRecette[[#This Row],[Recette]]&amp;TableauRecette[[#This Row],[Conditionnement]]</f>
        <v/>
      </c>
      <c r="C302" s="96" t="inlineStr">
        <is>
          <t>Muscade Moulue</t>
        </is>
      </c>
      <c r="D302" s="219" t="n">
        <v>0.5</v>
      </c>
      <c r="E302" s="96" t="inlineStr">
        <is>
          <t>Epice 100ml</t>
        </is>
      </c>
      <c r="F302" s="21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02" s="219">
        <f>IFERROR(_xlfn.XLOOKUP(TableauRecette[[#This Row],[Ingredients]],TableauIngredients[Ingredients],TableauIngredients[Prix d''achat (kg)],0)*TableauRecette[[#This Row],[poids / unite]],0)</f>
        <v/>
      </c>
      <c r="H302" s="219">
        <f>IFERROR(SUMIFS(TableauRecette[Proportion],TableauRecette[Recette],TableauRecette[[#This Row],[Recette]],TableauRecette[Conditionnement],TableauRecette[[#This Row],[Conditionnement]]),0)</f>
        <v/>
      </c>
      <c r="I302" s="219">
        <f>IFERROR(TableauRecette[[#This Row],[Prix d''achat / kg]],0)</f>
        <v/>
      </c>
      <c r="J302" s="219" t="n"/>
      <c r="K302" s="814" t="n"/>
      <c r="L302" s="815">
        <f>_xlfn.XLOOKUP(TableauRecette[[#This Row],[ID]],TableauProduit[ID],TableauProduit[Total (kg) N1],0,0,1)*TableauRecette[[#This Row],[poids / unite]]</f>
        <v/>
      </c>
      <c r="M302" s="816">
        <f>_xlfn.XLOOKUP(TableauRecette[[#This Row],[ID]],TableauProduit[ID],TableauProduit[Total (kg) N2],0,0,1)*TableauRecette[[#This Row],[poids / unite]]</f>
        <v/>
      </c>
      <c r="N302" s="816">
        <f>_xlfn.XLOOKUP(TableauRecette[[#This Row],[ID]],TableauProduit[ID],TableauProduit[Total (kg) N3],0,0,1)*TableauRecette[[#This Row],[poids / unite]]</f>
        <v/>
      </c>
      <c r="O302" s="816">
        <f>_xlfn.XLOOKUP(TableauRecette[[#This Row],[ID]],TableauProduit[ID],TableauProduit[Total (kg) N4],0,0,1)*TableauRecette[[#This Row],[poids / unite]]</f>
        <v/>
      </c>
      <c r="P302" s="816">
        <f>_xlfn.XLOOKUP(TableauRecette[[#This Row],[ID]],TableauProduit[ID],TableauProduit[Total (kg) N5],0,0,1)*TableauRecette[[#This Row],[poids / unite]]</f>
        <v/>
      </c>
      <c r="Q302" s="816">
        <f>_xlfn.XLOOKUP(TableauRecette[[#This Row],[ID]],TableauProduit[ID],TableauProduit[Total (kg) N6],0,0,1)*TableauRecette[[#This Row],[poids / unite]]</f>
        <v/>
      </c>
      <c r="R302" s="816">
        <f>_xlfn.XLOOKUP(TableauRecette[[#This Row],[ID]],TableauProduit[ID],TableauProduit[Total (kg) N7],0,0,1)*TableauRecette[[#This Row],[poids / unite]]</f>
        <v/>
      </c>
      <c r="S302" s="816">
        <f>_xlfn.XLOOKUP(TableauRecette[[#This Row],[ID]],TableauProduit[ID],TableauProduit[Total (kg) N8],0,0,1)*TableauRecette[[#This Row],[poids / unite]]</f>
        <v/>
      </c>
      <c r="T302" s="816">
        <f>_xlfn.XLOOKUP(TableauRecette[[#This Row],[ID]],TableauProduit[ID],TableauProduit[Total (kg) N9],0,0,1)*TableauRecette[[#This Row],[poids / unite]]</f>
        <v/>
      </c>
    </row>
    <row r="303">
      <c r="A303" s="96" t="inlineStr">
        <is>
          <t>Ras el hanout</t>
        </is>
      </c>
      <c r="B303" s="96">
        <f>TableauRecette[[#This Row],[Recette]]&amp;TableauRecette[[#This Row],[Conditionnement]]</f>
        <v/>
      </c>
      <c r="C303" s="96" t="inlineStr">
        <is>
          <t>Clous De Girofle</t>
        </is>
      </c>
      <c r="D303" s="219" t="n">
        <v>0.25</v>
      </c>
      <c r="E303" s="96" t="inlineStr">
        <is>
          <t>Epice 100ml</t>
        </is>
      </c>
      <c r="F303" s="21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03" s="219">
        <f>IFERROR(_xlfn.XLOOKUP(TableauRecette[[#This Row],[Ingredients]],TableauIngredients[Ingredients],TableauIngredients[Prix d''achat (kg)],0)*TableauRecette[[#This Row],[poids / unite]],0)</f>
        <v/>
      </c>
      <c r="H303" s="219">
        <f>IFERROR(SUMIFS(TableauRecette[Proportion],TableauRecette[Recette],TableauRecette[[#This Row],[Recette]],TableauRecette[Conditionnement],TableauRecette[[#This Row],[Conditionnement]]),0)</f>
        <v/>
      </c>
      <c r="I303" s="219">
        <f>IFERROR(TableauRecette[[#This Row],[Prix d''achat / kg]],0)</f>
        <v/>
      </c>
      <c r="J303" s="219" t="n"/>
      <c r="K303" s="814" t="n"/>
      <c r="L303" s="815">
        <f>_xlfn.XLOOKUP(TableauRecette[[#This Row],[ID]],TableauProduit[ID],TableauProduit[Total (kg) N1],0,0,1)*TableauRecette[[#This Row],[poids / unite]]</f>
        <v/>
      </c>
      <c r="M303" s="816">
        <f>_xlfn.XLOOKUP(TableauRecette[[#This Row],[ID]],TableauProduit[ID],TableauProduit[Total (kg) N2],0,0,1)*TableauRecette[[#This Row],[poids / unite]]</f>
        <v/>
      </c>
      <c r="N303" s="816">
        <f>_xlfn.XLOOKUP(TableauRecette[[#This Row],[ID]],TableauProduit[ID],TableauProduit[Total (kg) N3],0,0,1)*TableauRecette[[#This Row],[poids / unite]]</f>
        <v/>
      </c>
      <c r="O303" s="816">
        <f>_xlfn.XLOOKUP(TableauRecette[[#This Row],[ID]],TableauProduit[ID],TableauProduit[Total (kg) N4],0,0,1)*TableauRecette[[#This Row],[poids / unite]]</f>
        <v/>
      </c>
      <c r="P303" s="816">
        <f>_xlfn.XLOOKUP(TableauRecette[[#This Row],[ID]],TableauProduit[ID],TableauProduit[Total (kg) N5],0,0,1)*TableauRecette[[#This Row],[poids / unite]]</f>
        <v/>
      </c>
      <c r="Q303" s="816">
        <f>_xlfn.XLOOKUP(TableauRecette[[#This Row],[ID]],TableauProduit[ID],TableauProduit[Total (kg) N6],0,0,1)*TableauRecette[[#This Row],[poids / unite]]</f>
        <v/>
      </c>
      <c r="R303" s="816">
        <f>_xlfn.XLOOKUP(TableauRecette[[#This Row],[ID]],TableauProduit[ID],TableauProduit[Total (kg) N7],0,0,1)*TableauRecette[[#This Row],[poids / unite]]</f>
        <v/>
      </c>
      <c r="S303" s="816">
        <f>_xlfn.XLOOKUP(TableauRecette[[#This Row],[ID]],TableauProduit[ID],TableauProduit[Total (kg) N8],0,0,1)*TableauRecette[[#This Row],[poids / unite]]</f>
        <v/>
      </c>
      <c r="T303" s="816">
        <f>_xlfn.XLOOKUP(TableauRecette[[#This Row],[ID]],TableauProduit[ID],TableauProduit[Total (kg) N9],0,0,1)*TableauRecette[[#This Row],[poids / unite]]</f>
        <v/>
      </c>
    </row>
    <row r="304">
      <c r="A304" s="97" t="inlineStr">
        <is>
          <t>Sans sel</t>
        </is>
      </c>
      <c r="B304" s="97">
        <f>TableauRecette[[#This Row],[Recette]]&amp;TableauRecette[[#This Row],[Conditionnement]]</f>
        <v/>
      </c>
      <c r="C304" s="97" t="inlineStr">
        <is>
          <t>Paprika</t>
        </is>
      </c>
      <c r="D304" s="220" t="n">
        <v>1</v>
      </c>
      <c r="E304" s="97" t="inlineStr">
        <is>
          <t>Epice 100ml</t>
        </is>
      </c>
      <c r="F304" s="22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04" s="220">
        <f>IFERROR(_xlfn.XLOOKUP(TableauRecette[[#This Row],[Ingredients]],TableauIngredients[Ingredients],TableauIngredients[Prix d''achat (kg)],0)*TableauRecette[[#This Row],[poids / unite]],0)</f>
        <v/>
      </c>
      <c r="H304" s="220">
        <f>IFERROR(SUMIFS(TableauRecette[Proportion],TableauRecette[Recette],TableauRecette[[#This Row],[Recette]],TableauRecette[Conditionnement],TableauRecette[[#This Row],[Conditionnement]]),0)</f>
        <v/>
      </c>
      <c r="I304" s="220">
        <f>IFERROR(TableauRecette[[#This Row],[Prix d''achat / kg]],0)</f>
        <v/>
      </c>
      <c r="J304" s="220" t="n"/>
      <c r="K304" s="817" t="n"/>
      <c r="L304" s="818">
        <f>_xlfn.XLOOKUP(TableauRecette[[#This Row],[ID]],TableauProduit[ID],TableauProduit[Total (kg) N1],0,0,1)*TableauRecette[[#This Row],[poids / unite]]</f>
        <v/>
      </c>
      <c r="M304" s="819">
        <f>_xlfn.XLOOKUP(TableauRecette[[#This Row],[ID]],TableauProduit[ID],TableauProduit[Total (kg) N2],0,0,1)*TableauRecette[[#This Row],[poids / unite]]</f>
        <v/>
      </c>
      <c r="N304" s="819">
        <f>_xlfn.XLOOKUP(TableauRecette[[#This Row],[ID]],TableauProduit[ID],TableauProduit[Total (kg) N3],0,0,1)*TableauRecette[[#This Row],[poids / unite]]</f>
        <v/>
      </c>
      <c r="O304" s="819">
        <f>_xlfn.XLOOKUP(TableauRecette[[#This Row],[ID]],TableauProduit[ID],TableauProduit[Total (kg) N4],0,0,1)*TableauRecette[[#This Row],[poids / unite]]</f>
        <v/>
      </c>
      <c r="P304" s="819">
        <f>_xlfn.XLOOKUP(TableauRecette[[#This Row],[ID]],TableauProduit[ID],TableauProduit[Total (kg) N5],0,0,1)*TableauRecette[[#This Row],[poids / unite]]</f>
        <v/>
      </c>
      <c r="Q304" s="819">
        <f>_xlfn.XLOOKUP(TableauRecette[[#This Row],[ID]],TableauProduit[ID],TableauProduit[Total (kg) N6],0,0,1)*TableauRecette[[#This Row],[poids / unite]]</f>
        <v/>
      </c>
      <c r="R304" s="819">
        <f>_xlfn.XLOOKUP(TableauRecette[[#This Row],[ID]],TableauProduit[ID],TableauProduit[Total (kg) N7],0,0,1)*TableauRecette[[#This Row],[poids / unite]]</f>
        <v/>
      </c>
      <c r="S304" s="819">
        <f>_xlfn.XLOOKUP(TableauRecette[[#This Row],[ID]],TableauProduit[ID],TableauProduit[Total (kg) N8],0,0,1)*TableauRecette[[#This Row],[poids / unite]]</f>
        <v/>
      </c>
      <c r="T304" s="819">
        <f>_xlfn.XLOOKUP(TableauRecette[[#This Row],[ID]],TableauProduit[ID],TableauProduit[Total (kg) N9],0,0,1)*TableauRecette[[#This Row],[poids / unite]]</f>
        <v/>
      </c>
    </row>
    <row r="305">
      <c r="A305" s="97" t="inlineStr">
        <is>
          <t>Sans sel</t>
        </is>
      </c>
      <c r="B305" s="97">
        <f>TableauRecette[[#This Row],[Recette]]&amp;TableauRecette[[#This Row],[Conditionnement]]</f>
        <v/>
      </c>
      <c r="C305" s="97" t="inlineStr">
        <is>
          <t>Basilic SEC</t>
        </is>
      </c>
      <c r="D305" s="220" t="n">
        <v>2</v>
      </c>
      <c r="E305" s="97" t="inlineStr">
        <is>
          <t>Epice 100ml</t>
        </is>
      </c>
      <c r="F305" s="22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05" s="220">
        <f>IFERROR(_xlfn.XLOOKUP(TableauRecette[[#This Row],[Ingredients]],TableauIngredients[Ingredients],TableauIngredients[Prix d''achat (kg)],0)*TableauRecette[[#This Row],[poids / unite]],0)</f>
        <v/>
      </c>
      <c r="H305" s="220">
        <f>IFERROR(SUMIFS(TableauRecette[Proportion],TableauRecette[Recette],TableauRecette[[#This Row],[Recette]],TableauRecette[Conditionnement],TableauRecette[[#This Row],[Conditionnement]]),0)</f>
        <v/>
      </c>
      <c r="I305" s="220">
        <f>IFERROR(TableauRecette[[#This Row],[Prix d''achat / kg]],0)</f>
        <v/>
      </c>
      <c r="J305" s="220" t="n"/>
      <c r="K305" s="817" t="n"/>
      <c r="L305" s="818">
        <f>_xlfn.XLOOKUP(TableauRecette[[#This Row],[ID]],TableauProduit[ID],TableauProduit[Total (kg) N1],0,0,1)*TableauRecette[[#This Row],[poids / unite]]</f>
        <v/>
      </c>
      <c r="M305" s="819">
        <f>_xlfn.XLOOKUP(TableauRecette[[#This Row],[ID]],TableauProduit[ID],TableauProduit[Total (kg) N2],0,0,1)*TableauRecette[[#This Row],[poids / unite]]</f>
        <v/>
      </c>
      <c r="N305" s="819">
        <f>_xlfn.XLOOKUP(TableauRecette[[#This Row],[ID]],TableauProduit[ID],TableauProduit[Total (kg) N3],0,0,1)*TableauRecette[[#This Row],[poids / unite]]</f>
        <v/>
      </c>
      <c r="O305" s="819">
        <f>_xlfn.XLOOKUP(TableauRecette[[#This Row],[ID]],TableauProduit[ID],TableauProduit[Total (kg) N4],0,0,1)*TableauRecette[[#This Row],[poids / unite]]</f>
        <v/>
      </c>
      <c r="P305" s="819">
        <f>_xlfn.XLOOKUP(TableauRecette[[#This Row],[ID]],TableauProduit[ID],TableauProduit[Total (kg) N5],0,0,1)*TableauRecette[[#This Row],[poids / unite]]</f>
        <v/>
      </c>
      <c r="Q305" s="819">
        <f>_xlfn.XLOOKUP(TableauRecette[[#This Row],[ID]],TableauProduit[ID],TableauProduit[Total (kg) N6],0,0,1)*TableauRecette[[#This Row],[poids / unite]]</f>
        <v/>
      </c>
      <c r="R305" s="819">
        <f>_xlfn.XLOOKUP(TableauRecette[[#This Row],[ID]],TableauProduit[ID],TableauProduit[Total (kg) N7],0,0,1)*TableauRecette[[#This Row],[poids / unite]]</f>
        <v/>
      </c>
      <c r="S305" s="819">
        <f>_xlfn.XLOOKUP(TableauRecette[[#This Row],[ID]],TableauProduit[ID],TableauProduit[Total (kg) N8],0,0,1)*TableauRecette[[#This Row],[poids / unite]]</f>
        <v/>
      </c>
      <c r="T305" s="819">
        <f>_xlfn.XLOOKUP(TableauRecette[[#This Row],[ID]],TableauProduit[ID],TableauProduit[Total (kg) N9],0,0,1)*TableauRecette[[#This Row],[poids / unite]]</f>
        <v/>
      </c>
    </row>
    <row r="306">
      <c r="A306" s="97" t="inlineStr">
        <is>
          <t>Sans sel</t>
        </is>
      </c>
      <c r="B306" s="97">
        <f>TableauRecette[[#This Row],[Recette]]&amp;TableauRecette[[#This Row],[Conditionnement]]</f>
        <v/>
      </c>
      <c r="C306" s="97" t="inlineStr">
        <is>
          <t>Poivre Blanc</t>
        </is>
      </c>
      <c r="D306" s="220" t="n">
        <v>2</v>
      </c>
      <c r="E306" s="97" t="inlineStr">
        <is>
          <t>Epice 100ml</t>
        </is>
      </c>
      <c r="F306" s="22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06" s="220">
        <f>IFERROR(_xlfn.XLOOKUP(TableauRecette[[#This Row],[Ingredients]],TableauIngredients[Ingredients],TableauIngredients[Prix d''achat (kg)],0)*TableauRecette[[#This Row],[poids / unite]],0)</f>
        <v/>
      </c>
      <c r="H306" s="220">
        <f>IFERROR(SUMIFS(TableauRecette[Proportion],TableauRecette[Recette],TableauRecette[[#This Row],[Recette]],TableauRecette[Conditionnement],TableauRecette[[#This Row],[Conditionnement]]),0)</f>
        <v/>
      </c>
      <c r="I306" s="220">
        <f>IFERROR(TableauRecette[[#This Row],[Prix d''achat / kg]],0)</f>
        <v/>
      </c>
      <c r="J306" s="220" t="n"/>
      <c r="K306" s="817" t="n"/>
      <c r="L306" s="818">
        <f>_xlfn.XLOOKUP(TableauRecette[[#This Row],[ID]],TableauProduit[ID],TableauProduit[Total (kg) N1],0,0,1)*TableauRecette[[#This Row],[poids / unite]]</f>
        <v/>
      </c>
      <c r="M306" s="819">
        <f>_xlfn.XLOOKUP(TableauRecette[[#This Row],[ID]],TableauProduit[ID],TableauProduit[Total (kg) N2],0,0,1)*TableauRecette[[#This Row],[poids / unite]]</f>
        <v/>
      </c>
      <c r="N306" s="819">
        <f>_xlfn.XLOOKUP(TableauRecette[[#This Row],[ID]],TableauProduit[ID],TableauProduit[Total (kg) N3],0,0,1)*TableauRecette[[#This Row],[poids / unite]]</f>
        <v/>
      </c>
      <c r="O306" s="819">
        <f>_xlfn.XLOOKUP(TableauRecette[[#This Row],[ID]],TableauProduit[ID],TableauProduit[Total (kg) N4],0,0,1)*TableauRecette[[#This Row],[poids / unite]]</f>
        <v/>
      </c>
      <c r="P306" s="819">
        <f>_xlfn.XLOOKUP(TableauRecette[[#This Row],[ID]],TableauProduit[ID],TableauProduit[Total (kg) N5],0,0,1)*TableauRecette[[#This Row],[poids / unite]]</f>
        <v/>
      </c>
      <c r="Q306" s="819">
        <f>_xlfn.XLOOKUP(TableauRecette[[#This Row],[ID]],TableauProduit[ID],TableauProduit[Total (kg) N6],0,0,1)*TableauRecette[[#This Row],[poids / unite]]</f>
        <v/>
      </c>
      <c r="R306" s="819">
        <f>_xlfn.XLOOKUP(TableauRecette[[#This Row],[ID]],TableauProduit[ID],TableauProduit[Total (kg) N7],0,0,1)*TableauRecette[[#This Row],[poids / unite]]</f>
        <v/>
      </c>
      <c r="S306" s="819">
        <f>_xlfn.XLOOKUP(TableauRecette[[#This Row],[ID]],TableauProduit[ID],TableauProduit[Total (kg) N8],0,0,1)*TableauRecette[[#This Row],[poids / unite]]</f>
        <v/>
      </c>
      <c r="T306" s="819">
        <f>_xlfn.XLOOKUP(TableauRecette[[#This Row],[ID]],TableauProduit[ID],TableauProduit[Total (kg) N9],0,0,1)*TableauRecette[[#This Row],[poids / unite]]</f>
        <v/>
      </c>
    </row>
    <row r="307">
      <c r="A307" s="97" t="inlineStr">
        <is>
          <t>Sans sel</t>
        </is>
      </c>
      <c r="B307" s="97">
        <f>TableauRecette[[#This Row],[Recette]]&amp;TableauRecette[[#This Row],[Conditionnement]]</f>
        <v/>
      </c>
      <c r="C307" s="97" t="inlineStr">
        <is>
          <t>Sumac</t>
        </is>
      </c>
      <c r="D307" s="220" t="n">
        <v>1</v>
      </c>
      <c r="E307" s="97" t="inlineStr">
        <is>
          <t>Epice 100ml</t>
        </is>
      </c>
      <c r="F307" s="22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07" s="220">
        <f>IFERROR(_xlfn.XLOOKUP(TableauRecette[[#This Row],[Ingredients]],TableauIngredients[Ingredients],TableauIngredients[Prix d''achat (kg)],0)*TableauRecette[[#This Row],[poids / unite]],0)</f>
        <v/>
      </c>
      <c r="H307" s="220">
        <f>IFERROR(SUMIFS(TableauRecette[Proportion],TableauRecette[Recette],TableauRecette[[#This Row],[Recette]],TableauRecette[Conditionnement],TableauRecette[[#This Row],[Conditionnement]]),0)</f>
        <v/>
      </c>
      <c r="I307" s="220">
        <f>IFERROR(TableauRecette[[#This Row],[Prix d''achat / kg]],0)</f>
        <v/>
      </c>
      <c r="J307" s="220" t="n"/>
      <c r="K307" s="817" t="n"/>
      <c r="L307" s="818">
        <f>_xlfn.XLOOKUP(TableauRecette[[#This Row],[ID]],TableauProduit[ID],TableauProduit[Total (kg) N1],0,0,1)*TableauRecette[[#This Row],[poids / unite]]</f>
        <v/>
      </c>
      <c r="M307" s="819">
        <f>_xlfn.XLOOKUP(TableauRecette[[#This Row],[ID]],TableauProduit[ID],TableauProduit[Total (kg) N2],0,0,1)*TableauRecette[[#This Row],[poids / unite]]</f>
        <v/>
      </c>
      <c r="N307" s="819">
        <f>_xlfn.XLOOKUP(TableauRecette[[#This Row],[ID]],TableauProduit[ID],TableauProduit[Total (kg) N3],0,0,1)*TableauRecette[[#This Row],[poids / unite]]</f>
        <v/>
      </c>
      <c r="O307" s="819">
        <f>_xlfn.XLOOKUP(TableauRecette[[#This Row],[ID]],TableauProduit[ID],TableauProduit[Total (kg) N4],0,0,1)*TableauRecette[[#This Row],[poids / unite]]</f>
        <v/>
      </c>
      <c r="P307" s="819">
        <f>_xlfn.XLOOKUP(TableauRecette[[#This Row],[ID]],TableauProduit[ID],TableauProduit[Total (kg) N5],0,0,1)*TableauRecette[[#This Row],[poids / unite]]</f>
        <v/>
      </c>
      <c r="Q307" s="819">
        <f>_xlfn.XLOOKUP(TableauRecette[[#This Row],[ID]],TableauProduit[ID],TableauProduit[Total (kg) N6],0,0,1)*TableauRecette[[#This Row],[poids / unite]]</f>
        <v/>
      </c>
      <c r="R307" s="819">
        <f>_xlfn.XLOOKUP(TableauRecette[[#This Row],[ID]],TableauProduit[ID],TableauProduit[Total (kg) N7],0,0,1)*TableauRecette[[#This Row],[poids / unite]]</f>
        <v/>
      </c>
      <c r="S307" s="819">
        <f>_xlfn.XLOOKUP(TableauRecette[[#This Row],[ID]],TableauProduit[ID],TableauProduit[Total (kg) N8],0,0,1)*TableauRecette[[#This Row],[poids / unite]]</f>
        <v/>
      </c>
      <c r="T307" s="819">
        <f>_xlfn.XLOOKUP(TableauRecette[[#This Row],[ID]],TableauProduit[ID],TableauProduit[Total (kg) N9],0,0,1)*TableauRecette[[#This Row],[poids / unite]]</f>
        <v/>
      </c>
    </row>
    <row r="308">
      <c r="A308" s="97" t="inlineStr">
        <is>
          <t>Sans sel</t>
        </is>
      </c>
      <c r="B308" s="97">
        <f>TableauRecette[[#This Row],[Recette]]&amp;TableauRecette[[#This Row],[Conditionnement]]</f>
        <v/>
      </c>
      <c r="C308" s="97" t="inlineStr">
        <is>
          <t>Oignon Séché</t>
        </is>
      </c>
      <c r="D308" s="220" t="n">
        <v>2</v>
      </c>
      <c r="E308" s="97" t="inlineStr">
        <is>
          <t>Epice 100ml</t>
        </is>
      </c>
      <c r="F308" s="22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08" s="220">
        <f>IFERROR(_xlfn.XLOOKUP(TableauRecette[[#This Row],[Ingredients]],TableauIngredients[Ingredients],TableauIngredients[Prix d''achat (kg)],0)*TableauRecette[[#This Row],[poids / unite]],0)</f>
        <v/>
      </c>
      <c r="H308" s="220">
        <f>IFERROR(SUMIFS(TableauRecette[Proportion],TableauRecette[Recette],TableauRecette[[#This Row],[Recette]],TableauRecette[Conditionnement],TableauRecette[[#This Row],[Conditionnement]]),0)</f>
        <v/>
      </c>
      <c r="I308" s="220">
        <f>IFERROR(TableauRecette[[#This Row],[Prix d''achat / kg]],0)</f>
        <v/>
      </c>
      <c r="J308" s="220" t="n"/>
      <c r="K308" s="817" t="n"/>
      <c r="L308" s="818">
        <f>_xlfn.XLOOKUP(TableauRecette[[#This Row],[ID]],TableauProduit[ID],TableauProduit[Total (kg) N1],0,0,1)*TableauRecette[[#This Row],[poids / unite]]</f>
        <v/>
      </c>
      <c r="M308" s="819">
        <f>_xlfn.XLOOKUP(TableauRecette[[#This Row],[ID]],TableauProduit[ID],TableauProduit[Total (kg) N2],0,0,1)*TableauRecette[[#This Row],[poids / unite]]</f>
        <v/>
      </c>
      <c r="N308" s="819">
        <f>_xlfn.XLOOKUP(TableauRecette[[#This Row],[ID]],TableauProduit[ID],TableauProduit[Total (kg) N3],0,0,1)*TableauRecette[[#This Row],[poids / unite]]</f>
        <v/>
      </c>
      <c r="O308" s="819">
        <f>_xlfn.XLOOKUP(TableauRecette[[#This Row],[ID]],TableauProduit[ID],TableauProduit[Total (kg) N4],0,0,1)*TableauRecette[[#This Row],[poids / unite]]</f>
        <v/>
      </c>
      <c r="P308" s="819">
        <f>_xlfn.XLOOKUP(TableauRecette[[#This Row],[ID]],TableauProduit[ID],TableauProduit[Total (kg) N5],0,0,1)*TableauRecette[[#This Row],[poids / unite]]</f>
        <v/>
      </c>
      <c r="Q308" s="819">
        <f>_xlfn.XLOOKUP(TableauRecette[[#This Row],[ID]],TableauProduit[ID],TableauProduit[Total (kg) N6],0,0,1)*TableauRecette[[#This Row],[poids / unite]]</f>
        <v/>
      </c>
      <c r="R308" s="819">
        <f>_xlfn.XLOOKUP(TableauRecette[[#This Row],[ID]],TableauProduit[ID],TableauProduit[Total (kg) N7],0,0,1)*TableauRecette[[#This Row],[poids / unite]]</f>
        <v/>
      </c>
      <c r="S308" s="819">
        <f>_xlfn.XLOOKUP(TableauRecette[[#This Row],[ID]],TableauProduit[ID],TableauProduit[Total (kg) N8],0,0,1)*TableauRecette[[#This Row],[poids / unite]]</f>
        <v/>
      </c>
      <c r="T308" s="819">
        <f>_xlfn.XLOOKUP(TableauRecette[[#This Row],[ID]],TableauProduit[ID],TableauProduit[Total (kg) N9],0,0,1)*TableauRecette[[#This Row],[poids / unite]]</f>
        <v/>
      </c>
    </row>
    <row r="309">
      <c r="A309" s="97" t="inlineStr">
        <is>
          <t>Sans sel</t>
        </is>
      </c>
      <c r="B309" s="97">
        <f>TableauRecette[[#This Row],[Recette]]&amp;TableauRecette[[#This Row],[Conditionnement]]</f>
        <v/>
      </c>
      <c r="C309" s="97" t="inlineStr">
        <is>
          <t>Persil</t>
        </is>
      </c>
      <c r="D309" s="220" t="n">
        <v>2</v>
      </c>
      <c r="E309" s="97" t="inlineStr">
        <is>
          <t>Epice 100ml</t>
        </is>
      </c>
      <c r="F309" s="22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09" s="220">
        <f>IFERROR(_xlfn.XLOOKUP(TableauRecette[[#This Row],[Ingredients]],TableauIngredients[Ingredients],TableauIngredients[Prix d''achat (kg)],0)*TableauRecette[[#This Row],[poids / unite]],0)</f>
        <v/>
      </c>
      <c r="H309" s="220">
        <f>IFERROR(SUMIFS(TableauRecette[Proportion],TableauRecette[Recette],TableauRecette[[#This Row],[Recette]],TableauRecette[Conditionnement],TableauRecette[[#This Row],[Conditionnement]]),0)</f>
        <v/>
      </c>
      <c r="I309" s="220">
        <f>IFERROR(TableauRecette[[#This Row],[Prix d''achat / kg]],0)</f>
        <v/>
      </c>
      <c r="J309" s="220" t="n"/>
      <c r="K309" s="817" t="n"/>
      <c r="L309" s="818">
        <f>_xlfn.XLOOKUP(TableauRecette[[#This Row],[ID]],TableauProduit[ID],TableauProduit[Total (kg) N1],0,0,1)*TableauRecette[[#This Row],[poids / unite]]</f>
        <v/>
      </c>
      <c r="M309" s="819">
        <f>_xlfn.XLOOKUP(TableauRecette[[#This Row],[ID]],TableauProduit[ID],TableauProduit[Total (kg) N2],0,0,1)*TableauRecette[[#This Row],[poids / unite]]</f>
        <v/>
      </c>
      <c r="N309" s="819">
        <f>_xlfn.XLOOKUP(TableauRecette[[#This Row],[ID]],TableauProduit[ID],TableauProduit[Total (kg) N3],0,0,1)*TableauRecette[[#This Row],[poids / unite]]</f>
        <v/>
      </c>
      <c r="O309" s="819">
        <f>_xlfn.XLOOKUP(TableauRecette[[#This Row],[ID]],TableauProduit[ID],TableauProduit[Total (kg) N4],0,0,1)*TableauRecette[[#This Row],[poids / unite]]</f>
        <v/>
      </c>
      <c r="P309" s="819">
        <f>_xlfn.XLOOKUP(TableauRecette[[#This Row],[ID]],TableauProduit[ID],TableauProduit[Total (kg) N5],0,0,1)*TableauRecette[[#This Row],[poids / unite]]</f>
        <v/>
      </c>
      <c r="Q309" s="819">
        <f>_xlfn.XLOOKUP(TableauRecette[[#This Row],[ID]],TableauProduit[ID],TableauProduit[Total (kg) N6],0,0,1)*TableauRecette[[#This Row],[poids / unite]]</f>
        <v/>
      </c>
      <c r="R309" s="819">
        <f>_xlfn.XLOOKUP(TableauRecette[[#This Row],[ID]],TableauProduit[ID],TableauProduit[Total (kg) N7],0,0,1)*TableauRecette[[#This Row],[poids / unite]]</f>
        <v/>
      </c>
      <c r="S309" s="819">
        <f>_xlfn.XLOOKUP(TableauRecette[[#This Row],[ID]],TableauProduit[ID],TableauProduit[Total (kg) N8],0,0,1)*TableauRecette[[#This Row],[poids / unite]]</f>
        <v/>
      </c>
      <c r="T309" s="819">
        <f>_xlfn.XLOOKUP(TableauRecette[[#This Row],[ID]],TableauProduit[ID],TableauProduit[Total (kg) N9],0,0,1)*TableauRecette[[#This Row],[poids / unite]]</f>
        <v/>
      </c>
    </row>
    <row r="310">
      <c r="A310" s="97" t="inlineStr">
        <is>
          <t>Sans sel</t>
        </is>
      </c>
      <c r="B310" s="97">
        <f>TableauRecette[[#This Row],[Recette]]&amp;TableauRecette[[#This Row],[Conditionnement]]</f>
        <v/>
      </c>
      <c r="C310" s="97" t="inlineStr">
        <is>
          <t>Ail Sec</t>
        </is>
      </c>
      <c r="D310" s="220" t="n">
        <v>1</v>
      </c>
      <c r="E310" s="97" t="inlineStr">
        <is>
          <t>Epice 100ml</t>
        </is>
      </c>
      <c r="F310" s="22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10" s="220">
        <f>IFERROR(_xlfn.XLOOKUP(TableauRecette[[#This Row],[Ingredients]],TableauIngredients[Ingredients],TableauIngredients[Prix d''achat (kg)],0)*TableauRecette[[#This Row],[poids / unite]],0)</f>
        <v/>
      </c>
      <c r="H310" s="220">
        <f>IFERROR(SUMIFS(TableauRecette[Proportion],TableauRecette[Recette],TableauRecette[[#This Row],[Recette]],TableauRecette[Conditionnement],TableauRecette[[#This Row],[Conditionnement]]),0)</f>
        <v/>
      </c>
      <c r="I310" s="220">
        <f>IFERROR(TableauRecette[[#This Row],[Prix d''achat / kg]],0)</f>
        <v/>
      </c>
      <c r="J310" s="220" t="n"/>
      <c r="K310" s="817" t="n"/>
      <c r="L310" s="818">
        <f>_xlfn.XLOOKUP(TableauRecette[[#This Row],[ID]],TableauProduit[ID],TableauProduit[Total (kg) N1],0,0,1)*TableauRecette[[#This Row],[poids / unite]]</f>
        <v/>
      </c>
      <c r="M310" s="819">
        <f>_xlfn.XLOOKUP(TableauRecette[[#This Row],[ID]],TableauProduit[ID],TableauProduit[Total (kg) N2],0,0,1)*TableauRecette[[#This Row],[poids / unite]]</f>
        <v/>
      </c>
      <c r="N310" s="819">
        <f>_xlfn.XLOOKUP(TableauRecette[[#This Row],[ID]],TableauProduit[ID],TableauProduit[Total (kg) N3],0,0,1)*TableauRecette[[#This Row],[poids / unite]]</f>
        <v/>
      </c>
      <c r="O310" s="819">
        <f>_xlfn.XLOOKUP(TableauRecette[[#This Row],[ID]],TableauProduit[ID],TableauProduit[Total (kg) N4],0,0,1)*TableauRecette[[#This Row],[poids / unite]]</f>
        <v/>
      </c>
      <c r="P310" s="819">
        <f>_xlfn.XLOOKUP(TableauRecette[[#This Row],[ID]],TableauProduit[ID],TableauProduit[Total (kg) N5],0,0,1)*TableauRecette[[#This Row],[poids / unite]]</f>
        <v/>
      </c>
      <c r="Q310" s="819">
        <f>_xlfn.XLOOKUP(TableauRecette[[#This Row],[ID]],TableauProduit[ID],TableauProduit[Total (kg) N6],0,0,1)*TableauRecette[[#This Row],[poids / unite]]</f>
        <v/>
      </c>
      <c r="R310" s="819">
        <f>_xlfn.XLOOKUP(TableauRecette[[#This Row],[ID]],TableauProduit[ID],TableauProduit[Total (kg) N7],0,0,1)*TableauRecette[[#This Row],[poids / unite]]</f>
        <v/>
      </c>
      <c r="S310" s="819">
        <f>_xlfn.XLOOKUP(TableauRecette[[#This Row],[ID]],TableauProduit[ID],TableauProduit[Total (kg) N8],0,0,1)*TableauRecette[[#This Row],[poids / unite]]</f>
        <v/>
      </c>
      <c r="T310" s="819">
        <f>_xlfn.XLOOKUP(TableauRecette[[#This Row],[ID]],TableauProduit[ID],TableauProduit[Total (kg) N9],0,0,1)*TableauRecette[[#This Row],[poids / unite]]</f>
        <v/>
      </c>
    </row>
    <row r="311">
      <c r="A311" s="98" t="inlineStr">
        <is>
          <t>Shichimi togarashi</t>
        </is>
      </c>
      <c r="B311" s="98">
        <f>TableauRecette[[#This Row],[Recette]]&amp;TableauRecette[[#This Row],[Conditionnement]]</f>
        <v/>
      </c>
      <c r="C311" s="98" t="inlineStr">
        <is>
          <t>½ Feuille D’Algue Nori Sechee</t>
        </is>
      </c>
      <c r="D311" s="221" t="n">
        <v>0</v>
      </c>
      <c r="E311" s="98" t="inlineStr">
        <is>
          <t>Epice 100ml</t>
        </is>
      </c>
      <c r="F311" s="22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11" s="221">
        <f>IFERROR(_xlfn.XLOOKUP(TableauRecette[[#This Row],[Ingredients]],TableauIngredients[Ingredients],TableauIngredients[Prix d''achat (kg)],0)*TableauRecette[[#This Row],[poids / unite]],0)</f>
        <v/>
      </c>
      <c r="H311" s="221">
        <f>IFERROR(SUMIFS(TableauRecette[Proportion],TableauRecette[Recette],TableauRecette[[#This Row],[Recette]],TableauRecette[Conditionnement],TableauRecette[[#This Row],[Conditionnement]]),0)</f>
        <v/>
      </c>
      <c r="I311" s="221">
        <f>IFERROR(TableauRecette[[#This Row],[Prix d''achat / kg]],0)</f>
        <v/>
      </c>
      <c r="J311" s="221" t="n"/>
      <c r="K311" s="820" t="n"/>
      <c r="L311" s="821">
        <f>_xlfn.XLOOKUP(TableauRecette[[#This Row],[ID]],TableauProduit[ID],TableauProduit[Total (kg) N1],0,0,1)*TableauRecette[[#This Row],[poids / unite]]</f>
        <v/>
      </c>
      <c r="M311" s="822">
        <f>_xlfn.XLOOKUP(TableauRecette[[#This Row],[ID]],TableauProduit[ID],TableauProduit[Total (kg) N2],0,0,1)*TableauRecette[[#This Row],[poids / unite]]</f>
        <v/>
      </c>
      <c r="N311" s="822">
        <f>_xlfn.XLOOKUP(TableauRecette[[#This Row],[ID]],TableauProduit[ID],TableauProduit[Total (kg) N3],0,0,1)*TableauRecette[[#This Row],[poids / unite]]</f>
        <v/>
      </c>
      <c r="O311" s="822">
        <f>_xlfn.XLOOKUP(TableauRecette[[#This Row],[ID]],TableauProduit[ID],TableauProduit[Total (kg) N4],0,0,1)*TableauRecette[[#This Row],[poids / unite]]</f>
        <v/>
      </c>
      <c r="P311" s="822">
        <f>_xlfn.XLOOKUP(TableauRecette[[#This Row],[ID]],TableauProduit[ID],TableauProduit[Total (kg) N5],0,0,1)*TableauRecette[[#This Row],[poids / unite]]</f>
        <v/>
      </c>
      <c r="Q311" s="822">
        <f>_xlfn.XLOOKUP(TableauRecette[[#This Row],[ID]],TableauProduit[ID],TableauProduit[Total (kg) N6],0,0,1)*TableauRecette[[#This Row],[poids / unite]]</f>
        <v/>
      </c>
      <c r="R311" s="822">
        <f>_xlfn.XLOOKUP(TableauRecette[[#This Row],[ID]],TableauProduit[ID],TableauProduit[Total (kg) N7],0,0,1)*TableauRecette[[#This Row],[poids / unite]]</f>
        <v/>
      </c>
      <c r="S311" s="822">
        <f>_xlfn.XLOOKUP(TableauRecette[[#This Row],[ID]],TableauProduit[ID],TableauProduit[Total (kg) N8],0,0,1)*TableauRecette[[#This Row],[poids / unite]]</f>
        <v/>
      </c>
      <c r="T311" s="822">
        <f>_xlfn.XLOOKUP(TableauRecette[[#This Row],[ID]],TableauProduit[ID],TableauProduit[Total (kg) N9],0,0,1)*TableauRecette[[#This Row],[poids / unite]]</f>
        <v/>
      </c>
    </row>
    <row r="312">
      <c r="A312" s="98" t="inlineStr">
        <is>
          <t>Shichimi togarashi</t>
        </is>
      </c>
      <c r="B312" s="98">
        <f>TableauRecette[[#This Row],[Recette]]&amp;TableauRecette[[#This Row],[Conditionnement]]</f>
        <v/>
      </c>
      <c r="C312" s="98" t="inlineStr">
        <is>
          <t>Piment De Cayenne Jaune</t>
        </is>
      </c>
      <c r="D312" s="221" t="n">
        <v>6</v>
      </c>
      <c r="E312" s="98" t="inlineStr">
        <is>
          <t>Epice 100ml</t>
        </is>
      </c>
      <c r="F312" s="22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12" s="221">
        <f>IFERROR(_xlfn.XLOOKUP(TableauRecette[[#This Row],[Ingredients]],TableauIngredients[Ingredients],TableauIngredients[Prix d''achat (kg)],0)*TableauRecette[[#This Row],[poids / unite]],0)</f>
        <v/>
      </c>
      <c r="H312" s="221">
        <f>IFERROR(SUMIFS(TableauRecette[Proportion],TableauRecette[Recette],TableauRecette[[#This Row],[Recette]],TableauRecette[Conditionnement],TableauRecette[[#This Row],[Conditionnement]]),0)</f>
        <v/>
      </c>
      <c r="I312" s="221">
        <f>IFERROR(TableauRecette[[#This Row],[Prix d''achat / kg]],0)</f>
        <v/>
      </c>
      <c r="J312" s="221" t="n"/>
      <c r="K312" s="820" t="n"/>
      <c r="L312" s="821">
        <f>_xlfn.XLOOKUP(TableauRecette[[#This Row],[ID]],TableauProduit[ID],TableauProduit[Total (kg) N1],0,0,1)*TableauRecette[[#This Row],[poids / unite]]</f>
        <v/>
      </c>
      <c r="M312" s="822">
        <f>_xlfn.XLOOKUP(TableauRecette[[#This Row],[ID]],TableauProduit[ID],TableauProduit[Total (kg) N2],0,0,1)*TableauRecette[[#This Row],[poids / unite]]</f>
        <v/>
      </c>
      <c r="N312" s="822">
        <f>_xlfn.XLOOKUP(TableauRecette[[#This Row],[ID]],TableauProduit[ID],TableauProduit[Total (kg) N3],0,0,1)*TableauRecette[[#This Row],[poids / unite]]</f>
        <v/>
      </c>
      <c r="O312" s="822">
        <f>_xlfn.XLOOKUP(TableauRecette[[#This Row],[ID]],TableauProduit[ID],TableauProduit[Total (kg) N4],0,0,1)*TableauRecette[[#This Row],[poids / unite]]</f>
        <v/>
      </c>
      <c r="P312" s="822">
        <f>_xlfn.XLOOKUP(TableauRecette[[#This Row],[ID]],TableauProduit[ID],TableauProduit[Total (kg) N5],0,0,1)*TableauRecette[[#This Row],[poids / unite]]</f>
        <v/>
      </c>
      <c r="Q312" s="822">
        <f>_xlfn.XLOOKUP(TableauRecette[[#This Row],[ID]],TableauProduit[ID],TableauProduit[Total (kg) N6],0,0,1)*TableauRecette[[#This Row],[poids / unite]]</f>
        <v/>
      </c>
      <c r="R312" s="822">
        <f>_xlfn.XLOOKUP(TableauRecette[[#This Row],[ID]],TableauProduit[ID],TableauProduit[Total (kg) N7],0,0,1)*TableauRecette[[#This Row],[poids / unite]]</f>
        <v/>
      </c>
      <c r="S312" s="822">
        <f>_xlfn.XLOOKUP(TableauRecette[[#This Row],[ID]],TableauProduit[ID],TableauProduit[Total (kg) N8],0,0,1)*TableauRecette[[#This Row],[poids / unite]]</f>
        <v/>
      </c>
      <c r="T312" s="822">
        <f>_xlfn.XLOOKUP(TableauRecette[[#This Row],[ID]],TableauProduit[ID],TableauProduit[Total (kg) N9],0,0,1)*TableauRecette[[#This Row],[poids / unite]]</f>
        <v/>
      </c>
    </row>
    <row r="313">
      <c r="A313" s="98" t="inlineStr">
        <is>
          <t>Shichimi togarashi</t>
        </is>
      </c>
      <c r="B313" s="98">
        <f>TableauRecette[[#This Row],[Recette]]&amp;TableauRecette[[#This Row],[Conditionnement]]</f>
        <v/>
      </c>
      <c r="C313" s="98" t="inlineStr">
        <is>
          <t>Graines De Pavot</t>
        </is>
      </c>
      <c r="D313" s="221" t="n">
        <v>3</v>
      </c>
      <c r="E313" s="98" t="inlineStr">
        <is>
          <t>Epice 100ml</t>
        </is>
      </c>
      <c r="F313" s="22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13" s="221">
        <f>IFERROR(_xlfn.XLOOKUP(TableauRecette[[#This Row],[Ingredients]],TableauIngredients[Ingredients],TableauIngredients[Prix d''achat (kg)],0)*TableauRecette[[#This Row],[poids / unite]],0)</f>
        <v/>
      </c>
      <c r="H313" s="221">
        <f>IFERROR(SUMIFS(TableauRecette[Proportion],TableauRecette[Recette],TableauRecette[[#This Row],[Recette]],TableauRecette[Conditionnement],TableauRecette[[#This Row],[Conditionnement]]),0)</f>
        <v/>
      </c>
      <c r="I313" s="221">
        <f>IFERROR(TableauRecette[[#This Row],[Prix d''achat / kg]],0)</f>
        <v/>
      </c>
      <c r="J313" s="221" t="n"/>
      <c r="K313" s="820" t="n"/>
      <c r="L313" s="821">
        <f>_xlfn.XLOOKUP(TableauRecette[[#This Row],[ID]],TableauProduit[ID],TableauProduit[Total (kg) N1],0,0,1)*TableauRecette[[#This Row],[poids / unite]]</f>
        <v/>
      </c>
      <c r="M313" s="822">
        <f>_xlfn.XLOOKUP(TableauRecette[[#This Row],[ID]],TableauProduit[ID],TableauProduit[Total (kg) N2],0,0,1)*TableauRecette[[#This Row],[poids / unite]]</f>
        <v/>
      </c>
      <c r="N313" s="822">
        <f>_xlfn.XLOOKUP(TableauRecette[[#This Row],[ID]],TableauProduit[ID],TableauProduit[Total (kg) N3],0,0,1)*TableauRecette[[#This Row],[poids / unite]]</f>
        <v/>
      </c>
      <c r="O313" s="822">
        <f>_xlfn.XLOOKUP(TableauRecette[[#This Row],[ID]],TableauProduit[ID],TableauProduit[Total (kg) N4],0,0,1)*TableauRecette[[#This Row],[poids / unite]]</f>
        <v/>
      </c>
      <c r="P313" s="822">
        <f>_xlfn.XLOOKUP(TableauRecette[[#This Row],[ID]],TableauProduit[ID],TableauProduit[Total (kg) N5],0,0,1)*TableauRecette[[#This Row],[poids / unite]]</f>
        <v/>
      </c>
      <c r="Q313" s="822">
        <f>_xlfn.XLOOKUP(TableauRecette[[#This Row],[ID]],TableauProduit[ID],TableauProduit[Total (kg) N6],0,0,1)*TableauRecette[[#This Row],[poids / unite]]</f>
        <v/>
      </c>
      <c r="R313" s="822">
        <f>_xlfn.XLOOKUP(TableauRecette[[#This Row],[ID]],TableauProduit[ID],TableauProduit[Total (kg) N7],0,0,1)*TableauRecette[[#This Row],[poids / unite]]</f>
        <v/>
      </c>
      <c r="S313" s="822">
        <f>_xlfn.XLOOKUP(TableauRecette[[#This Row],[ID]],TableauProduit[ID],TableauProduit[Total (kg) N8],0,0,1)*TableauRecette[[#This Row],[poids / unite]]</f>
        <v/>
      </c>
      <c r="T313" s="822">
        <f>_xlfn.XLOOKUP(TableauRecette[[#This Row],[ID]],TableauProduit[ID],TableauProduit[Total (kg) N9],0,0,1)*TableauRecette[[#This Row],[poids / unite]]</f>
        <v/>
      </c>
    </row>
    <row r="314">
      <c r="A314" s="98" t="inlineStr">
        <is>
          <t>Shichimi togarashi</t>
        </is>
      </c>
      <c r="B314" s="98">
        <f>TableauRecette[[#This Row],[Recette]]&amp;TableauRecette[[#This Row],[Conditionnement]]</f>
        <v/>
      </c>
      <c r="C314" s="98" t="inlineStr">
        <is>
          <t>Poivre De Sichuan</t>
        </is>
      </c>
      <c r="D314" s="221" t="n">
        <v>1.5</v>
      </c>
      <c r="E314" s="98" t="inlineStr">
        <is>
          <t>Epice 100ml</t>
        </is>
      </c>
      <c r="F314" s="22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14" s="221">
        <f>IFERROR(_xlfn.XLOOKUP(TableauRecette[[#This Row],[Ingredients]],TableauIngredients[Ingredients],TableauIngredients[Prix d''achat (kg)],0)*TableauRecette[[#This Row],[poids / unite]],0)</f>
        <v/>
      </c>
      <c r="H314" s="221">
        <f>IFERROR(SUMIFS(TableauRecette[Proportion],TableauRecette[Recette],TableauRecette[[#This Row],[Recette]],TableauRecette[Conditionnement],TableauRecette[[#This Row],[Conditionnement]]),0)</f>
        <v/>
      </c>
      <c r="I314" s="221">
        <f>IFERROR(TableauRecette[[#This Row],[Prix d''achat / kg]],0)</f>
        <v/>
      </c>
      <c r="J314" s="221" t="n"/>
      <c r="K314" s="820" t="n"/>
      <c r="L314" s="821">
        <f>_xlfn.XLOOKUP(TableauRecette[[#This Row],[ID]],TableauProduit[ID],TableauProduit[Total (kg) N1],0,0,1)*TableauRecette[[#This Row],[poids / unite]]</f>
        <v/>
      </c>
      <c r="M314" s="822">
        <f>_xlfn.XLOOKUP(TableauRecette[[#This Row],[ID]],TableauProduit[ID],TableauProduit[Total (kg) N2],0,0,1)*TableauRecette[[#This Row],[poids / unite]]</f>
        <v/>
      </c>
      <c r="N314" s="822">
        <f>_xlfn.XLOOKUP(TableauRecette[[#This Row],[ID]],TableauProduit[ID],TableauProduit[Total (kg) N3],0,0,1)*TableauRecette[[#This Row],[poids / unite]]</f>
        <v/>
      </c>
      <c r="O314" s="822">
        <f>_xlfn.XLOOKUP(TableauRecette[[#This Row],[ID]],TableauProduit[ID],TableauProduit[Total (kg) N4],0,0,1)*TableauRecette[[#This Row],[poids / unite]]</f>
        <v/>
      </c>
      <c r="P314" s="822">
        <f>_xlfn.XLOOKUP(TableauRecette[[#This Row],[ID]],TableauProduit[ID],TableauProduit[Total (kg) N5],0,0,1)*TableauRecette[[#This Row],[poids / unite]]</f>
        <v/>
      </c>
      <c r="Q314" s="822">
        <f>_xlfn.XLOOKUP(TableauRecette[[#This Row],[ID]],TableauProduit[ID],TableauProduit[Total (kg) N6],0,0,1)*TableauRecette[[#This Row],[poids / unite]]</f>
        <v/>
      </c>
      <c r="R314" s="822">
        <f>_xlfn.XLOOKUP(TableauRecette[[#This Row],[ID]],TableauProduit[ID],TableauProduit[Total (kg) N7],0,0,1)*TableauRecette[[#This Row],[poids / unite]]</f>
        <v/>
      </c>
      <c r="S314" s="822">
        <f>_xlfn.XLOOKUP(TableauRecette[[#This Row],[ID]],TableauProduit[ID],TableauProduit[Total (kg) N8],0,0,1)*TableauRecette[[#This Row],[poids / unite]]</f>
        <v/>
      </c>
      <c r="T314" s="822">
        <f>_xlfn.XLOOKUP(TableauRecette[[#This Row],[ID]],TableauProduit[ID],TableauProduit[Total (kg) N9],0,0,1)*TableauRecette[[#This Row],[poids / unite]]</f>
        <v/>
      </c>
    </row>
    <row r="315">
      <c r="A315" s="98" t="inlineStr">
        <is>
          <t>Shichimi togarashi</t>
        </is>
      </c>
      <c r="B315" s="98">
        <f>TableauRecette[[#This Row],[Recette]]&amp;TableauRecette[[#This Row],[Conditionnement]]</f>
        <v/>
      </c>
      <c r="C315" s="98" t="inlineStr">
        <is>
          <t>Poivre De Timut</t>
        </is>
      </c>
      <c r="D315" s="221" t="n">
        <v>1.5</v>
      </c>
      <c r="E315" s="98" t="inlineStr">
        <is>
          <t>Epice 100ml</t>
        </is>
      </c>
      <c r="F315" s="22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15" s="221">
        <f>IFERROR(_xlfn.XLOOKUP(TableauRecette[[#This Row],[Ingredients]],TableauIngredients[Ingredients],TableauIngredients[Prix d''achat (kg)],0)*TableauRecette[[#This Row],[poids / unite]],0)</f>
        <v/>
      </c>
      <c r="H315" s="221">
        <f>IFERROR(SUMIFS(TableauRecette[Proportion],TableauRecette[Recette],TableauRecette[[#This Row],[Recette]],TableauRecette[Conditionnement],TableauRecette[[#This Row],[Conditionnement]]),0)</f>
        <v/>
      </c>
      <c r="I315" s="221">
        <f>IFERROR(TableauRecette[[#This Row],[Prix d''achat / kg]],0)</f>
        <v/>
      </c>
      <c r="J315" s="221" t="n"/>
      <c r="K315" s="820" t="n"/>
      <c r="L315" s="821">
        <f>_xlfn.XLOOKUP(TableauRecette[[#This Row],[ID]],TableauProduit[ID],TableauProduit[Total (kg) N1],0,0,1)*TableauRecette[[#This Row],[poids / unite]]</f>
        <v/>
      </c>
      <c r="M315" s="822">
        <f>_xlfn.XLOOKUP(TableauRecette[[#This Row],[ID]],TableauProduit[ID],TableauProduit[Total (kg) N2],0,0,1)*TableauRecette[[#This Row],[poids / unite]]</f>
        <v/>
      </c>
      <c r="N315" s="822">
        <f>_xlfn.XLOOKUP(TableauRecette[[#This Row],[ID]],TableauProduit[ID],TableauProduit[Total (kg) N3],0,0,1)*TableauRecette[[#This Row],[poids / unite]]</f>
        <v/>
      </c>
      <c r="O315" s="822">
        <f>_xlfn.XLOOKUP(TableauRecette[[#This Row],[ID]],TableauProduit[ID],TableauProduit[Total (kg) N4],0,0,1)*TableauRecette[[#This Row],[poids / unite]]</f>
        <v/>
      </c>
      <c r="P315" s="822">
        <f>_xlfn.XLOOKUP(TableauRecette[[#This Row],[ID]],TableauProduit[ID],TableauProduit[Total (kg) N5],0,0,1)*TableauRecette[[#This Row],[poids / unite]]</f>
        <v/>
      </c>
      <c r="Q315" s="822">
        <f>_xlfn.XLOOKUP(TableauRecette[[#This Row],[ID]],TableauProduit[ID],TableauProduit[Total (kg) N6],0,0,1)*TableauRecette[[#This Row],[poids / unite]]</f>
        <v/>
      </c>
      <c r="R315" s="822">
        <f>_xlfn.XLOOKUP(TableauRecette[[#This Row],[ID]],TableauProduit[ID],TableauProduit[Total (kg) N7],0,0,1)*TableauRecette[[#This Row],[poids / unite]]</f>
        <v/>
      </c>
      <c r="S315" s="822">
        <f>_xlfn.XLOOKUP(TableauRecette[[#This Row],[ID]],TableauProduit[ID],TableauProduit[Total (kg) N8],0,0,1)*TableauRecette[[#This Row],[poids / unite]]</f>
        <v/>
      </c>
      <c r="T315" s="822">
        <f>_xlfn.XLOOKUP(TableauRecette[[#This Row],[ID]],TableauProduit[ID],TableauProduit[Total (kg) N9],0,0,1)*TableauRecette[[#This Row],[poids / unite]]</f>
        <v/>
      </c>
    </row>
    <row r="316">
      <c r="A316" s="98" t="inlineStr">
        <is>
          <t>Shichimi togarashi</t>
        </is>
      </c>
      <c r="B316" s="98">
        <f>TableauRecette[[#This Row],[Recette]]&amp;TableauRecette[[#This Row],[Conditionnement]]</f>
        <v/>
      </c>
      <c r="C316" s="98" t="inlineStr">
        <is>
          <t>Chenpi (Peau De Mandarine Séchée)</t>
        </is>
      </c>
      <c r="D316" s="221" t="n">
        <v>3</v>
      </c>
      <c r="E316" s="98" t="inlineStr">
        <is>
          <t>Epice 100ml</t>
        </is>
      </c>
      <c r="F316" s="22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16" s="221">
        <f>IFERROR(_xlfn.XLOOKUP(TableauRecette[[#This Row],[Ingredients]],TableauIngredients[Ingredients],TableauIngredients[Prix d''achat (kg)],0)*TableauRecette[[#This Row],[poids / unite]],0)</f>
        <v/>
      </c>
      <c r="H316" s="221">
        <f>IFERROR(SUMIFS(TableauRecette[Proportion],TableauRecette[Recette],TableauRecette[[#This Row],[Recette]],TableauRecette[Conditionnement],TableauRecette[[#This Row],[Conditionnement]]),0)</f>
        <v/>
      </c>
      <c r="I316" s="221">
        <f>IFERROR(TableauRecette[[#This Row],[Prix d''achat / kg]],0)</f>
        <v/>
      </c>
      <c r="J316" s="221" t="n"/>
      <c r="K316" s="820" t="n"/>
      <c r="L316" s="821">
        <f>_xlfn.XLOOKUP(TableauRecette[[#This Row],[ID]],TableauProduit[ID],TableauProduit[Total (kg) N1],0,0,1)*TableauRecette[[#This Row],[poids / unite]]</f>
        <v/>
      </c>
      <c r="M316" s="822">
        <f>_xlfn.XLOOKUP(TableauRecette[[#This Row],[ID]],TableauProduit[ID],TableauProduit[Total (kg) N2],0,0,1)*TableauRecette[[#This Row],[poids / unite]]</f>
        <v/>
      </c>
      <c r="N316" s="822">
        <f>_xlfn.XLOOKUP(TableauRecette[[#This Row],[ID]],TableauProduit[ID],TableauProduit[Total (kg) N3],0,0,1)*TableauRecette[[#This Row],[poids / unite]]</f>
        <v/>
      </c>
      <c r="O316" s="822">
        <f>_xlfn.XLOOKUP(TableauRecette[[#This Row],[ID]],TableauProduit[ID],TableauProduit[Total (kg) N4],0,0,1)*TableauRecette[[#This Row],[poids / unite]]</f>
        <v/>
      </c>
      <c r="P316" s="822">
        <f>_xlfn.XLOOKUP(TableauRecette[[#This Row],[ID]],TableauProduit[ID],TableauProduit[Total (kg) N5],0,0,1)*TableauRecette[[#This Row],[poids / unite]]</f>
        <v/>
      </c>
      <c r="Q316" s="822">
        <f>_xlfn.XLOOKUP(TableauRecette[[#This Row],[ID]],TableauProduit[ID],TableauProduit[Total (kg) N6],0,0,1)*TableauRecette[[#This Row],[poids / unite]]</f>
        <v/>
      </c>
      <c r="R316" s="822">
        <f>_xlfn.XLOOKUP(TableauRecette[[#This Row],[ID]],TableauProduit[ID],TableauProduit[Total (kg) N7],0,0,1)*TableauRecette[[#This Row],[poids / unite]]</f>
        <v/>
      </c>
      <c r="S316" s="822">
        <f>_xlfn.XLOOKUP(TableauRecette[[#This Row],[ID]],TableauProduit[ID],TableauProduit[Total (kg) N8],0,0,1)*TableauRecette[[#This Row],[poids / unite]]</f>
        <v/>
      </c>
      <c r="T316" s="822">
        <f>_xlfn.XLOOKUP(TableauRecette[[#This Row],[ID]],TableauProduit[ID],TableauProduit[Total (kg) N9],0,0,1)*TableauRecette[[#This Row],[poids / unite]]</f>
        <v/>
      </c>
    </row>
    <row r="317">
      <c r="A317" s="98" t="inlineStr">
        <is>
          <t>Shichimi togarashi</t>
        </is>
      </c>
      <c r="B317" s="98">
        <f>TableauRecette[[#This Row],[Recette]]&amp;TableauRecette[[#This Row],[Conditionnement]]</f>
        <v/>
      </c>
      <c r="C317" s="98" t="inlineStr">
        <is>
          <t>Graines De Sésame</t>
        </is>
      </c>
      <c r="D317" s="221" t="n">
        <v>3</v>
      </c>
      <c r="E317" s="98" t="inlineStr">
        <is>
          <t>Epice 100ml</t>
        </is>
      </c>
      <c r="F317" s="22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17" s="221">
        <f>IFERROR(_xlfn.XLOOKUP(TableauRecette[[#This Row],[Ingredients]],TableauIngredients[Ingredients],TableauIngredients[Prix d''achat (kg)],0)*TableauRecette[[#This Row],[poids / unite]],0)</f>
        <v/>
      </c>
      <c r="H317" s="221">
        <f>IFERROR(SUMIFS(TableauRecette[Proportion],TableauRecette[Recette],TableauRecette[[#This Row],[Recette]],TableauRecette[Conditionnement],TableauRecette[[#This Row],[Conditionnement]]),0)</f>
        <v/>
      </c>
      <c r="I317" s="221">
        <f>IFERROR(TableauRecette[[#This Row],[Prix d''achat / kg]],0)</f>
        <v/>
      </c>
      <c r="J317" s="221" t="n"/>
      <c r="K317" s="820" t="n"/>
      <c r="L317" s="821">
        <f>_xlfn.XLOOKUP(TableauRecette[[#This Row],[ID]],TableauProduit[ID],TableauProduit[Total (kg) N1],0,0,1)*TableauRecette[[#This Row],[poids / unite]]</f>
        <v/>
      </c>
      <c r="M317" s="822">
        <f>_xlfn.XLOOKUP(TableauRecette[[#This Row],[ID]],TableauProduit[ID],TableauProduit[Total (kg) N2],0,0,1)*TableauRecette[[#This Row],[poids / unite]]</f>
        <v/>
      </c>
      <c r="N317" s="822">
        <f>_xlfn.XLOOKUP(TableauRecette[[#This Row],[ID]],TableauProduit[ID],TableauProduit[Total (kg) N3],0,0,1)*TableauRecette[[#This Row],[poids / unite]]</f>
        <v/>
      </c>
      <c r="O317" s="822">
        <f>_xlfn.XLOOKUP(TableauRecette[[#This Row],[ID]],TableauProduit[ID],TableauProduit[Total (kg) N4],0,0,1)*TableauRecette[[#This Row],[poids / unite]]</f>
        <v/>
      </c>
      <c r="P317" s="822">
        <f>_xlfn.XLOOKUP(TableauRecette[[#This Row],[ID]],TableauProduit[ID],TableauProduit[Total (kg) N5],0,0,1)*TableauRecette[[#This Row],[poids / unite]]</f>
        <v/>
      </c>
      <c r="Q317" s="822">
        <f>_xlfn.XLOOKUP(TableauRecette[[#This Row],[ID]],TableauProduit[ID],TableauProduit[Total (kg) N6],0,0,1)*TableauRecette[[#This Row],[poids / unite]]</f>
        <v/>
      </c>
      <c r="R317" s="822">
        <f>_xlfn.XLOOKUP(TableauRecette[[#This Row],[ID]],TableauProduit[ID],TableauProduit[Total (kg) N7],0,0,1)*TableauRecette[[#This Row],[poids / unite]]</f>
        <v/>
      </c>
      <c r="S317" s="822">
        <f>_xlfn.XLOOKUP(TableauRecette[[#This Row],[ID]],TableauProduit[ID],TableauProduit[Total (kg) N8],0,0,1)*TableauRecette[[#This Row],[poids / unite]]</f>
        <v/>
      </c>
      <c r="T317" s="822">
        <f>_xlfn.XLOOKUP(TableauRecette[[#This Row],[ID]],TableauProduit[ID],TableauProduit[Total (kg) N9],0,0,1)*TableauRecette[[#This Row],[poids / unite]]</f>
        <v/>
      </c>
    </row>
    <row r="318">
      <c r="A318" s="98" t="inlineStr">
        <is>
          <t>Shichimi togarashi</t>
        </is>
      </c>
      <c r="B318" s="98">
        <f>TableauRecette[[#This Row],[Recette]]&amp;TableauRecette[[#This Row],[Conditionnement]]</f>
        <v/>
      </c>
      <c r="C318" s="662" t="inlineStr">
        <is>
          <t>Gingembre Sec</t>
        </is>
      </c>
      <c r="D318" s="221" t="n">
        <v>2</v>
      </c>
      <c r="E318" s="98" t="inlineStr">
        <is>
          <t>Epice 100ml</t>
        </is>
      </c>
      <c r="F318" s="22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18" s="221">
        <f>IFERROR(_xlfn.XLOOKUP(TableauRecette[[#This Row],[Ingredients]],TableauIngredients[Ingredients],TableauIngredients[Prix d''achat (kg)],0)*TableauRecette[[#This Row],[poids / unite]],0)</f>
        <v/>
      </c>
      <c r="H318" s="221">
        <f>IFERROR(SUMIFS(TableauRecette[Proportion],TableauRecette[Recette],TableauRecette[[#This Row],[Recette]],TableauRecette[Conditionnement],TableauRecette[[#This Row],[Conditionnement]]),0)</f>
        <v/>
      </c>
      <c r="I318" s="221">
        <f>IFERROR(TableauRecette[[#This Row],[Prix d''achat / kg]],0)</f>
        <v/>
      </c>
      <c r="J318" s="221" t="n"/>
      <c r="K318" s="820" t="n"/>
      <c r="L318" s="821">
        <f>_xlfn.XLOOKUP(TableauRecette[[#This Row],[ID]],TableauProduit[ID],TableauProduit[Total (kg) N1],0,0,1)*TableauRecette[[#This Row],[poids / unite]]</f>
        <v/>
      </c>
      <c r="M318" s="822">
        <f>_xlfn.XLOOKUP(TableauRecette[[#This Row],[ID]],TableauProduit[ID],TableauProduit[Total (kg) N2],0,0,1)*TableauRecette[[#This Row],[poids / unite]]</f>
        <v/>
      </c>
      <c r="N318" s="822">
        <f>_xlfn.XLOOKUP(TableauRecette[[#This Row],[ID]],TableauProduit[ID],TableauProduit[Total (kg) N3],0,0,1)*TableauRecette[[#This Row],[poids / unite]]</f>
        <v/>
      </c>
      <c r="O318" s="822">
        <f>_xlfn.XLOOKUP(TableauRecette[[#This Row],[ID]],TableauProduit[ID],TableauProduit[Total (kg) N4],0,0,1)*TableauRecette[[#This Row],[poids / unite]]</f>
        <v/>
      </c>
      <c r="P318" s="822">
        <f>_xlfn.XLOOKUP(TableauRecette[[#This Row],[ID]],TableauProduit[ID],TableauProduit[Total (kg) N5],0,0,1)*TableauRecette[[#This Row],[poids / unite]]</f>
        <v/>
      </c>
      <c r="Q318" s="822">
        <f>_xlfn.XLOOKUP(TableauRecette[[#This Row],[ID]],TableauProduit[ID],TableauProduit[Total (kg) N6],0,0,1)*TableauRecette[[#This Row],[poids / unite]]</f>
        <v/>
      </c>
      <c r="R318" s="822">
        <f>_xlfn.XLOOKUP(TableauRecette[[#This Row],[ID]],TableauProduit[ID],TableauProduit[Total (kg) N7],0,0,1)*TableauRecette[[#This Row],[poids / unite]]</f>
        <v/>
      </c>
      <c r="S318" s="822">
        <f>_xlfn.XLOOKUP(TableauRecette[[#This Row],[ID]],TableauProduit[ID],TableauProduit[Total (kg) N8],0,0,1)*TableauRecette[[#This Row],[poids / unite]]</f>
        <v/>
      </c>
      <c r="T318" s="822">
        <f>_xlfn.XLOOKUP(TableauRecette[[#This Row],[ID]],TableauProduit[ID],TableauProduit[Total (kg) N9],0,0,1)*TableauRecette[[#This Row],[poids / unite]]</f>
        <v/>
      </c>
    </row>
    <row r="319">
      <c r="A319" s="534" t="inlineStr">
        <is>
          <t>Sirop aux fleures</t>
        </is>
      </c>
      <c r="B319" s="534">
        <f>TableauRecette[[#This Row],[Recette]]&amp;TableauRecette[[#This Row],[Conditionnement]]</f>
        <v/>
      </c>
      <c r="C319" s="661" t="inlineStr">
        <is>
          <t xml:space="preserve">Sucre Blanc </t>
        </is>
      </c>
      <c r="D319" s="535" t="n">
        <v>610.5</v>
      </c>
      <c r="E319" s="534" t="inlineStr">
        <is>
          <t>Sirop 500 ml</t>
        </is>
      </c>
      <c r="F319" s="53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19" s="535">
        <f>IFERROR(_xlfn.XLOOKUP(TableauRecette[[#This Row],[Ingredients]],TableauIngredients[Ingredients],TableauIngredients[Prix d''achat (kg)],0)*TableauRecette[[#This Row],[poids / unite]],0)</f>
        <v/>
      </c>
      <c r="H319" s="535">
        <f>IFERROR(SUMIFS(TableauRecette[Proportion],TableauRecette[Recette],TableauRecette[[#This Row],[Recette]],TableauRecette[Conditionnement],TableauRecette[[#This Row],[Conditionnement]]),0)</f>
        <v/>
      </c>
      <c r="I319" s="535">
        <f>IFERROR(TableauRecette[[#This Row],[Prix d''achat / kg]],0)</f>
        <v/>
      </c>
      <c r="J319" s="535" t="n"/>
      <c r="K319" s="823" t="n"/>
      <c r="L319" s="824">
        <f>_xlfn.XLOOKUP(TableauRecette[[#This Row],[ID]],TableauProduit[ID],TableauProduit[Total (kg) N1],0,0,1)*TableauRecette[[#This Row],[poids / unite]]</f>
        <v/>
      </c>
      <c r="M319" s="825">
        <f>_xlfn.XLOOKUP(TableauRecette[[#This Row],[ID]],TableauProduit[ID],TableauProduit[Total (kg) N2],0,0,1)*TableauRecette[[#This Row],[poids / unite]]</f>
        <v/>
      </c>
      <c r="N319" s="825">
        <f>_xlfn.XLOOKUP(TableauRecette[[#This Row],[ID]],TableauProduit[ID],TableauProduit[Total (kg) N3],0,0,1)*TableauRecette[[#This Row],[poids / unite]]</f>
        <v/>
      </c>
      <c r="O319" s="825">
        <f>_xlfn.XLOOKUP(TableauRecette[[#This Row],[ID]],TableauProduit[ID],TableauProduit[Total (kg) N4],0,0,1)*TableauRecette[[#This Row],[poids / unite]]</f>
        <v/>
      </c>
      <c r="P319" s="825">
        <f>_xlfn.XLOOKUP(TableauRecette[[#This Row],[ID]],TableauProduit[ID],TableauProduit[Total (kg) N5],0,0,1)*TableauRecette[[#This Row],[poids / unite]]</f>
        <v/>
      </c>
      <c r="Q319" s="825">
        <f>_xlfn.XLOOKUP(TableauRecette[[#This Row],[ID]],TableauProduit[ID],TableauProduit[Total (kg) N6],0,0,1)*TableauRecette[[#This Row],[poids / unite]]</f>
        <v/>
      </c>
      <c r="R319" s="825">
        <f>_xlfn.XLOOKUP(TableauRecette[[#This Row],[ID]],TableauProduit[ID],TableauProduit[Total (kg) N7],0,0,1)*TableauRecette[[#This Row],[poids / unite]]</f>
        <v/>
      </c>
      <c r="S319" s="825">
        <f>_xlfn.XLOOKUP(TableauRecette[[#This Row],[ID]],TableauProduit[ID],TableauProduit[Total (kg) N8],0,0,1)*TableauRecette[[#This Row],[poids / unite]]</f>
        <v/>
      </c>
      <c r="T319" s="825">
        <f>_xlfn.XLOOKUP(TableauRecette[[#This Row],[ID]],TableauProduit[ID],TableauProduit[Total (kg) N9],0,0,1)*TableauRecette[[#This Row],[poids / unite]]</f>
        <v/>
      </c>
    </row>
    <row r="320">
      <c r="A320" s="534" t="inlineStr">
        <is>
          <t>Sirop aux fleures</t>
        </is>
      </c>
      <c r="B320" s="534">
        <f>TableauRecette[[#This Row],[Recette]]&amp;TableauRecette[[#This Row],[Conditionnement]]</f>
        <v/>
      </c>
      <c r="C320" s="534" t="inlineStr">
        <is>
          <t>Eau</t>
        </is>
      </c>
      <c r="D320" s="535" t="n">
        <v>1000</v>
      </c>
      <c r="E320" s="534" t="inlineStr">
        <is>
          <t>Sirop 500 ml</t>
        </is>
      </c>
      <c r="F320" s="53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20" s="535">
        <f>IFERROR(_xlfn.XLOOKUP(TableauRecette[[#This Row],[Ingredients]],TableauIngredients[Ingredients],TableauIngredients[Prix d''achat (kg)],0)*TableauRecette[[#This Row],[poids / unite]],0)</f>
        <v/>
      </c>
      <c r="H320" s="535">
        <f>IFERROR(SUMIFS(TableauRecette[Proportion],TableauRecette[Recette],TableauRecette[[#This Row],[Recette]],TableauRecette[Conditionnement],TableauRecette[[#This Row],[Conditionnement]]),0)</f>
        <v/>
      </c>
      <c r="I320" s="535">
        <f>IFERROR(TableauRecette[[#This Row],[Prix d''achat / kg]],0)</f>
        <v/>
      </c>
      <c r="J320" s="535" t="n"/>
      <c r="K320" s="823" t="n"/>
      <c r="L320" s="824">
        <f>_xlfn.XLOOKUP(TableauRecette[[#This Row],[ID]],TableauProduit[ID],TableauProduit[Total (kg) N1],0,0,1)*TableauRecette[[#This Row],[poids / unite]]</f>
        <v/>
      </c>
      <c r="M320" s="825">
        <f>_xlfn.XLOOKUP(TableauRecette[[#This Row],[ID]],TableauProduit[ID],TableauProduit[Total (kg) N2],0,0,1)*TableauRecette[[#This Row],[poids / unite]]</f>
        <v/>
      </c>
      <c r="N320" s="825">
        <f>_xlfn.XLOOKUP(TableauRecette[[#This Row],[ID]],TableauProduit[ID],TableauProduit[Total (kg) N3],0,0,1)*TableauRecette[[#This Row],[poids / unite]]</f>
        <v/>
      </c>
      <c r="O320" s="825">
        <f>_xlfn.XLOOKUP(TableauRecette[[#This Row],[ID]],TableauProduit[ID],TableauProduit[Total (kg) N4],0,0,1)*TableauRecette[[#This Row],[poids / unite]]</f>
        <v/>
      </c>
      <c r="P320" s="825">
        <f>_xlfn.XLOOKUP(TableauRecette[[#This Row],[ID]],TableauProduit[ID],TableauProduit[Total (kg) N5],0,0,1)*TableauRecette[[#This Row],[poids / unite]]</f>
        <v/>
      </c>
      <c r="Q320" s="825">
        <f>_xlfn.XLOOKUP(TableauRecette[[#This Row],[ID]],TableauProduit[ID],TableauProduit[Total (kg) N6],0,0,1)*TableauRecette[[#This Row],[poids / unite]]</f>
        <v/>
      </c>
      <c r="R320" s="825">
        <f>_xlfn.XLOOKUP(TableauRecette[[#This Row],[ID]],TableauProduit[ID],TableauProduit[Total (kg) N7],0,0,1)*TableauRecette[[#This Row],[poids / unite]]</f>
        <v/>
      </c>
      <c r="S320" s="825">
        <f>_xlfn.XLOOKUP(TableauRecette[[#This Row],[ID]],TableauProduit[ID],TableauProduit[Total (kg) N8],0,0,1)*TableauRecette[[#This Row],[poids / unite]]</f>
        <v/>
      </c>
      <c r="T320" s="825">
        <f>_xlfn.XLOOKUP(TableauRecette[[#This Row],[ID]],TableauProduit[ID],TableauProduit[Total (kg) N9],0,0,1)*TableauRecette[[#This Row],[poids / unite]]</f>
        <v/>
      </c>
    </row>
    <row r="321">
      <c r="A321" s="534" t="inlineStr">
        <is>
          <t>Sirop aux fleures</t>
        </is>
      </c>
      <c r="B321" s="534">
        <f>TableauRecette[[#This Row],[Recette]]&amp;TableauRecette[[#This Row],[Conditionnement]]</f>
        <v/>
      </c>
      <c r="C321" s="534" t="inlineStr">
        <is>
          <t>Monarde SEC</t>
        </is>
      </c>
      <c r="D321" s="535" t="n">
        <v>40</v>
      </c>
      <c r="E321" s="534" t="inlineStr">
        <is>
          <t>Sirop 500 ml</t>
        </is>
      </c>
      <c r="F321" s="53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21" s="535">
        <f>IFERROR(_xlfn.XLOOKUP(TableauRecette[[#This Row],[Ingredients]],TableauIngredients[Ingredients],TableauIngredients[Prix d''achat (kg)],0)*TableauRecette[[#This Row],[poids / unite]],0)</f>
        <v/>
      </c>
      <c r="H321" s="535">
        <f>IFERROR(SUMIFS(TableauRecette[Proportion],TableauRecette[Recette],TableauRecette[[#This Row],[Recette]],TableauRecette[Conditionnement],TableauRecette[[#This Row],[Conditionnement]]),0)</f>
        <v/>
      </c>
      <c r="I321" s="535">
        <f>IFERROR(TableauRecette[[#This Row],[Prix d''achat / kg]],0)</f>
        <v/>
      </c>
      <c r="J321" s="535" t="n"/>
      <c r="K321" s="823" t="n"/>
      <c r="L321" s="824">
        <f>_xlfn.XLOOKUP(TableauRecette[[#This Row],[ID]],TableauProduit[ID],TableauProduit[Total (kg) N1],0,0,1)*TableauRecette[[#This Row],[poids / unite]]</f>
        <v/>
      </c>
      <c r="M321" s="825">
        <f>_xlfn.XLOOKUP(TableauRecette[[#This Row],[ID]],TableauProduit[ID],TableauProduit[Total (kg) N2],0,0,1)*TableauRecette[[#This Row],[poids / unite]]</f>
        <v/>
      </c>
      <c r="N321" s="825">
        <f>_xlfn.XLOOKUP(TableauRecette[[#This Row],[ID]],TableauProduit[ID],TableauProduit[Total (kg) N3],0,0,1)*TableauRecette[[#This Row],[poids / unite]]</f>
        <v/>
      </c>
      <c r="O321" s="825">
        <f>_xlfn.XLOOKUP(TableauRecette[[#This Row],[ID]],TableauProduit[ID],TableauProduit[Total (kg) N4],0,0,1)*TableauRecette[[#This Row],[poids / unite]]</f>
        <v/>
      </c>
      <c r="P321" s="825">
        <f>_xlfn.XLOOKUP(TableauRecette[[#This Row],[ID]],TableauProduit[ID],TableauProduit[Total (kg) N5],0,0,1)*TableauRecette[[#This Row],[poids / unite]]</f>
        <v/>
      </c>
      <c r="Q321" s="825">
        <f>_xlfn.XLOOKUP(TableauRecette[[#This Row],[ID]],TableauProduit[ID],TableauProduit[Total (kg) N6],0,0,1)*TableauRecette[[#This Row],[poids / unite]]</f>
        <v/>
      </c>
      <c r="R321" s="825">
        <f>_xlfn.XLOOKUP(TableauRecette[[#This Row],[ID]],TableauProduit[ID],TableauProduit[Total (kg) N7],0,0,1)*TableauRecette[[#This Row],[poids / unite]]</f>
        <v/>
      </c>
      <c r="S321" s="825">
        <f>_xlfn.XLOOKUP(TableauRecette[[#This Row],[ID]],TableauProduit[ID],TableauProduit[Total (kg) N8],0,0,1)*TableauRecette[[#This Row],[poids / unite]]</f>
        <v/>
      </c>
      <c r="T321" s="825">
        <f>_xlfn.XLOOKUP(TableauRecette[[#This Row],[ID]],TableauProduit[ID],TableauProduit[Total (kg) N9],0,0,1)*TableauRecette[[#This Row],[poids / unite]]</f>
        <v/>
      </c>
    </row>
    <row r="322">
      <c r="A322" s="534" t="inlineStr">
        <is>
          <t>Sirop aux fleures</t>
        </is>
      </c>
      <c r="B322" s="534">
        <f>TableauRecette[[#This Row],[Recette]]&amp;TableauRecette[[#This Row],[Conditionnement]]</f>
        <v/>
      </c>
      <c r="C322" s="534" t="inlineStr">
        <is>
          <t>Mauve SEC</t>
        </is>
      </c>
      <c r="D322" s="535" t="n">
        <v>40</v>
      </c>
      <c r="E322" s="534" t="inlineStr">
        <is>
          <t>Sirop 500 ml</t>
        </is>
      </c>
      <c r="F322" s="53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22" s="535">
        <f>IFERROR(_xlfn.XLOOKUP(TableauRecette[[#This Row],[Ingredients]],TableauIngredients[Ingredients],TableauIngredients[Prix d''achat (kg)],0)*TableauRecette[[#This Row],[poids / unite]],0)</f>
        <v/>
      </c>
      <c r="H322" s="535">
        <f>IFERROR(SUMIFS(TableauRecette[Proportion],TableauRecette[Recette],TableauRecette[[#This Row],[Recette]],TableauRecette[Conditionnement],TableauRecette[[#This Row],[Conditionnement]]),0)</f>
        <v/>
      </c>
      <c r="I322" s="535">
        <f>IFERROR(TableauRecette[[#This Row],[Prix d''achat / kg]],0)</f>
        <v/>
      </c>
      <c r="J322" s="535" t="n"/>
      <c r="K322" s="823" t="n"/>
      <c r="L322" s="824">
        <f>_xlfn.XLOOKUP(TableauRecette[[#This Row],[ID]],TableauProduit[ID],TableauProduit[Total (kg) N1],0,0,1)*TableauRecette[[#This Row],[poids / unite]]</f>
        <v/>
      </c>
      <c r="M322" s="825">
        <f>_xlfn.XLOOKUP(TableauRecette[[#This Row],[ID]],TableauProduit[ID],TableauProduit[Total (kg) N2],0,0,1)*TableauRecette[[#This Row],[poids / unite]]</f>
        <v/>
      </c>
      <c r="N322" s="825">
        <f>_xlfn.XLOOKUP(TableauRecette[[#This Row],[ID]],TableauProduit[ID],TableauProduit[Total (kg) N3],0,0,1)*TableauRecette[[#This Row],[poids / unite]]</f>
        <v/>
      </c>
      <c r="O322" s="825">
        <f>_xlfn.XLOOKUP(TableauRecette[[#This Row],[ID]],TableauProduit[ID],TableauProduit[Total (kg) N4],0,0,1)*TableauRecette[[#This Row],[poids / unite]]</f>
        <v/>
      </c>
      <c r="P322" s="825">
        <f>_xlfn.XLOOKUP(TableauRecette[[#This Row],[ID]],TableauProduit[ID],TableauProduit[Total (kg) N5],0,0,1)*TableauRecette[[#This Row],[poids / unite]]</f>
        <v/>
      </c>
      <c r="Q322" s="825">
        <f>_xlfn.XLOOKUP(TableauRecette[[#This Row],[ID]],TableauProduit[ID],TableauProduit[Total (kg) N6],0,0,1)*TableauRecette[[#This Row],[poids / unite]]</f>
        <v/>
      </c>
      <c r="R322" s="825">
        <f>_xlfn.XLOOKUP(TableauRecette[[#This Row],[ID]],TableauProduit[ID],TableauProduit[Total (kg) N7],0,0,1)*TableauRecette[[#This Row],[poids / unite]]</f>
        <v/>
      </c>
      <c r="S322" s="825">
        <f>_xlfn.XLOOKUP(TableauRecette[[#This Row],[ID]],TableauProduit[ID],TableauProduit[Total (kg) N8],0,0,1)*TableauRecette[[#This Row],[poids / unite]]</f>
        <v/>
      </c>
      <c r="T322" s="825">
        <f>_xlfn.XLOOKUP(TableauRecette[[#This Row],[ID]],TableauProduit[ID],TableauProduit[Total (kg) N9],0,0,1)*TableauRecette[[#This Row],[poids / unite]]</f>
        <v/>
      </c>
    </row>
    <row r="323">
      <c r="A323" s="534" t="inlineStr">
        <is>
          <t>Sirop aux fleures</t>
        </is>
      </c>
      <c r="B323" s="534">
        <f>TableauRecette[[#This Row],[Recette]]&amp;TableauRecette[[#This Row],[Conditionnement]]</f>
        <v/>
      </c>
      <c r="C323" s="534" t="inlineStr">
        <is>
          <t>Pelargonium (Géranium)</t>
        </is>
      </c>
      <c r="D323" s="535" t="n">
        <v>20</v>
      </c>
      <c r="E323" s="534" t="inlineStr">
        <is>
          <t>Sirop 500 ml</t>
        </is>
      </c>
      <c r="F323" s="53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23" s="535">
        <f>IFERROR(_xlfn.XLOOKUP(TableauRecette[[#This Row],[Ingredients]],TableauIngredients[Ingredients],TableauIngredients[Prix d''achat (kg)],0)*TableauRecette[[#This Row],[poids / unite]],0)</f>
        <v/>
      </c>
      <c r="H323" s="535">
        <f>IFERROR(SUMIFS(TableauRecette[Proportion],TableauRecette[Recette],TableauRecette[[#This Row],[Recette]],TableauRecette[Conditionnement],TableauRecette[[#This Row],[Conditionnement]]),0)</f>
        <v/>
      </c>
      <c r="I323" s="535">
        <f>IFERROR(TableauRecette[[#This Row],[Prix d''achat / kg]],0)</f>
        <v/>
      </c>
      <c r="J323" s="535" t="n"/>
      <c r="K323" s="823" t="n"/>
      <c r="L323" s="824">
        <f>_xlfn.XLOOKUP(TableauRecette[[#This Row],[ID]],TableauProduit[ID],TableauProduit[Total (kg) N1],0,0,1)*TableauRecette[[#This Row],[poids / unite]]</f>
        <v/>
      </c>
      <c r="M323" s="825">
        <f>_xlfn.XLOOKUP(TableauRecette[[#This Row],[ID]],TableauProduit[ID],TableauProduit[Total (kg) N2],0,0,1)*TableauRecette[[#This Row],[poids / unite]]</f>
        <v/>
      </c>
      <c r="N323" s="825">
        <f>_xlfn.XLOOKUP(TableauRecette[[#This Row],[ID]],TableauProduit[ID],TableauProduit[Total (kg) N3],0,0,1)*TableauRecette[[#This Row],[poids / unite]]</f>
        <v/>
      </c>
      <c r="O323" s="825">
        <f>_xlfn.XLOOKUP(TableauRecette[[#This Row],[ID]],TableauProduit[ID],TableauProduit[Total (kg) N4],0,0,1)*TableauRecette[[#This Row],[poids / unite]]</f>
        <v/>
      </c>
      <c r="P323" s="825">
        <f>_xlfn.XLOOKUP(TableauRecette[[#This Row],[ID]],TableauProduit[ID],TableauProduit[Total (kg) N5],0,0,1)*TableauRecette[[#This Row],[poids / unite]]</f>
        <v/>
      </c>
      <c r="Q323" s="825">
        <f>_xlfn.XLOOKUP(TableauRecette[[#This Row],[ID]],TableauProduit[ID],TableauProduit[Total (kg) N6],0,0,1)*TableauRecette[[#This Row],[poids / unite]]</f>
        <v/>
      </c>
      <c r="R323" s="825">
        <f>_xlfn.XLOOKUP(TableauRecette[[#This Row],[ID]],TableauProduit[ID],TableauProduit[Total (kg) N7],0,0,1)*TableauRecette[[#This Row],[poids / unite]]</f>
        <v/>
      </c>
      <c r="S323" s="825">
        <f>_xlfn.XLOOKUP(TableauRecette[[#This Row],[ID]],TableauProduit[ID],TableauProduit[Total (kg) N8],0,0,1)*TableauRecette[[#This Row],[poids / unite]]</f>
        <v/>
      </c>
      <c r="T323" s="825">
        <f>_xlfn.XLOOKUP(TableauRecette[[#This Row],[ID]],TableauProduit[ID],TableauProduit[Total (kg) N9],0,0,1)*TableauRecette[[#This Row],[poids / unite]]</f>
        <v/>
      </c>
    </row>
    <row r="324">
      <c r="A324" s="551" t="inlineStr">
        <is>
          <t>Sirop de basilic</t>
        </is>
      </c>
      <c r="B324" s="551">
        <f>TableauRecette[[#This Row],[Recette]]&amp;TableauRecette[[#This Row],[Conditionnement]]</f>
        <v/>
      </c>
      <c r="C324" s="551" t="inlineStr">
        <is>
          <t xml:space="preserve">Sucre Blanc </t>
        </is>
      </c>
      <c r="D324" s="552" t="n">
        <v>616</v>
      </c>
      <c r="E324" s="534" t="inlineStr">
        <is>
          <t>Sirop 500 ml</t>
        </is>
      </c>
      <c r="F324" s="55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24" s="552">
        <f>IFERROR(_xlfn.XLOOKUP(TableauRecette[[#This Row],[Ingredients]],TableauIngredients[Ingredients],TableauIngredients[Prix d''achat (kg)],0)*TableauRecette[[#This Row],[poids / unite]],0)</f>
        <v/>
      </c>
      <c r="H324" s="552">
        <f>IFERROR(SUMIFS(TableauRecette[Proportion],TableauRecette[Recette],TableauRecette[[#This Row],[Recette]],TableauRecette[Conditionnement],TableauRecette[[#This Row],[Conditionnement]]),0)</f>
        <v/>
      </c>
      <c r="I324" s="552">
        <f>IFERROR(TableauRecette[[#This Row],[Prix d''achat / kg]],0)</f>
        <v/>
      </c>
      <c r="J324" s="552" t="n"/>
      <c r="K324" s="826" t="n"/>
      <c r="L324" s="827">
        <f>_xlfn.XLOOKUP(TableauRecette[[#This Row],[ID]],TableauProduit[ID],TableauProduit[Total (kg) N1],0,0,1)*TableauRecette[[#This Row],[poids / unite]]</f>
        <v/>
      </c>
      <c r="M324" s="828">
        <f>_xlfn.XLOOKUP(TableauRecette[[#This Row],[ID]],TableauProduit[ID],TableauProduit[Total (kg) N2],0,0,1)*TableauRecette[[#This Row],[poids / unite]]</f>
        <v/>
      </c>
      <c r="N324" s="828">
        <f>_xlfn.XLOOKUP(TableauRecette[[#This Row],[ID]],TableauProduit[ID],TableauProduit[Total (kg) N3],0,0,1)*TableauRecette[[#This Row],[poids / unite]]</f>
        <v/>
      </c>
      <c r="O324" s="828">
        <f>_xlfn.XLOOKUP(TableauRecette[[#This Row],[ID]],TableauProduit[ID],TableauProduit[Total (kg) N4],0,0,1)*TableauRecette[[#This Row],[poids / unite]]</f>
        <v/>
      </c>
      <c r="P324" s="828">
        <f>_xlfn.XLOOKUP(TableauRecette[[#This Row],[ID]],TableauProduit[ID],TableauProduit[Total (kg) N5],0,0,1)*TableauRecette[[#This Row],[poids / unite]]</f>
        <v/>
      </c>
      <c r="Q324" s="828">
        <f>_xlfn.XLOOKUP(TableauRecette[[#This Row],[ID]],TableauProduit[ID],TableauProduit[Total (kg) N6],0,0,1)*TableauRecette[[#This Row],[poids / unite]]</f>
        <v/>
      </c>
      <c r="R324" s="828">
        <f>_xlfn.XLOOKUP(TableauRecette[[#This Row],[ID]],TableauProduit[ID],TableauProduit[Total (kg) N7],0,0,1)*TableauRecette[[#This Row],[poids / unite]]</f>
        <v/>
      </c>
      <c r="S324" s="828">
        <f>_xlfn.XLOOKUP(TableauRecette[[#This Row],[ID]],TableauProduit[ID],TableauProduit[Total (kg) N8],0,0,1)*TableauRecette[[#This Row],[poids / unite]]</f>
        <v/>
      </c>
      <c r="T324" s="828">
        <f>_xlfn.XLOOKUP(TableauRecette[[#This Row],[ID]],TableauProduit[ID],TableauProduit[Total (kg) N9],0,0,1)*TableauRecette[[#This Row],[poids / unite]]</f>
        <v/>
      </c>
    </row>
    <row r="325">
      <c r="A325" s="551" t="inlineStr">
        <is>
          <t>Sirop de basilic</t>
        </is>
      </c>
      <c r="B325" s="551">
        <f>TableauRecette[[#This Row],[Recette]]&amp;TableauRecette[[#This Row],[Conditionnement]]</f>
        <v/>
      </c>
      <c r="C325" s="551" t="inlineStr">
        <is>
          <t>Basilic Thaï</t>
        </is>
      </c>
      <c r="D325" s="552" t="n">
        <v>100</v>
      </c>
      <c r="E325" s="534" t="inlineStr">
        <is>
          <t>Sirop 500 ml</t>
        </is>
      </c>
      <c r="F325" s="55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25" s="552">
        <f>IFERROR(_xlfn.XLOOKUP(TableauRecette[[#This Row],[Ingredients]],TableauIngredients[Ingredients],TableauIngredients[Prix d''achat (kg)],0)*TableauRecette[[#This Row],[poids / unite]],0)</f>
        <v/>
      </c>
      <c r="H325" s="552">
        <f>IFERROR(SUMIFS(TableauRecette[Proportion],TableauRecette[Recette],TableauRecette[[#This Row],[Recette]],TableauRecette[Conditionnement],TableauRecette[[#This Row],[Conditionnement]]),0)</f>
        <v/>
      </c>
      <c r="I325" s="552">
        <f>IFERROR(TableauRecette[[#This Row],[Prix d''achat / kg]],0)</f>
        <v/>
      </c>
      <c r="J325" s="552" t="n"/>
      <c r="K325" s="826" t="n"/>
      <c r="L325" s="827">
        <f>_xlfn.XLOOKUP(TableauRecette[[#This Row],[ID]],TableauProduit[ID],TableauProduit[Total (kg) N1],0,0,1)*TableauRecette[[#This Row],[poids / unite]]</f>
        <v/>
      </c>
      <c r="M325" s="828">
        <f>_xlfn.XLOOKUP(TableauRecette[[#This Row],[ID]],TableauProduit[ID],TableauProduit[Total (kg) N2],0,0,1)*TableauRecette[[#This Row],[poids / unite]]</f>
        <v/>
      </c>
      <c r="N325" s="828">
        <f>_xlfn.XLOOKUP(TableauRecette[[#This Row],[ID]],TableauProduit[ID],TableauProduit[Total (kg) N3],0,0,1)*TableauRecette[[#This Row],[poids / unite]]</f>
        <v/>
      </c>
      <c r="O325" s="828">
        <f>_xlfn.XLOOKUP(TableauRecette[[#This Row],[ID]],TableauProduit[ID],TableauProduit[Total (kg) N4],0,0,1)*TableauRecette[[#This Row],[poids / unite]]</f>
        <v/>
      </c>
      <c r="P325" s="828">
        <f>_xlfn.XLOOKUP(TableauRecette[[#This Row],[ID]],TableauProduit[ID],TableauProduit[Total (kg) N5],0,0,1)*TableauRecette[[#This Row],[poids / unite]]</f>
        <v/>
      </c>
      <c r="Q325" s="828">
        <f>_xlfn.XLOOKUP(TableauRecette[[#This Row],[ID]],TableauProduit[ID],TableauProduit[Total (kg) N6],0,0,1)*TableauRecette[[#This Row],[poids / unite]]</f>
        <v/>
      </c>
      <c r="R325" s="828">
        <f>_xlfn.XLOOKUP(TableauRecette[[#This Row],[ID]],TableauProduit[ID],TableauProduit[Total (kg) N7],0,0,1)*TableauRecette[[#This Row],[poids / unite]]</f>
        <v/>
      </c>
      <c r="S325" s="828">
        <f>_xlfn.XLOOKUP(TableauRecette[[#This Row],[ID]],TableauProduit[ID],TableauProduit[Total (kg) N8],0,0,1)*TableauRecette[[#This Row],[poids / unite]]</f>
        <v/>
      </c>
      <c r="T325" s="828">
        <f>_xlfn.XLOOKUP(TableauRecette[[#This Row],[ID]],TableauProduit[ID],TableauProduit[Total (kg) N9],0,0,1)*TableauRecette[[#This Row],[poids / unite]]</f>
        <v/>
      </c>
    </row>
    <row r="326">
      <c r="A326" s="551" t="inlineStr">
        <is>
          <t>Sirop de basilic</t>
        </is>
      </c>
      <c r="B326" s="551">
        <f>TableauRecette[[#This Row],[Recette]]&amp;TableauRecette[[#This Row],[Conditionnement]]</f>
        <v/>
      </c>
      <c r="C326" s="551" t="inlineStr">
        <is>
          <t>Eau</t>
        </is>
      </c>
      <c r="D326" s="552" t="n">
        <v>1000</v>
      </c>
      <c r="E326" s="534" t="inlineStr">
        <is>
          <t>Sirop 500 ml</t>
        </is>
      </c>
      <c r="F326" s="55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26" s="552">
        <f>IFERROR(_xlfn.XLOOKUP(TableauRecette[[#This Row],[Ingredients]],TableauIngredients[Ingredients],TableauIngredients[Prix d''achat (kg)],0)*TableauRecette[[#This Row],[poids / unite]],0)</f>
        <v/>
      </c>
      <c r="H326" s="552">
        <f>IFERROR(SUMIFS(TableauRecette[Proportion],TableauRecette[Recette],TableauRecette[[#This Row],[Recette]],TableauRecette[Conditionnement],TableauRecette[[#This Row],[Conditionnement]]),0)</f>
        <v/>
      </c>
      <c r="I326" s="552">
        <f>IFERROR(TableauRecette[[#This Row],[Prix d''achat / kg]],0)</f>
        <v/>
      </c>
      <c r="J326" s="552" t="n"/>
      <c r="K326" s="826" t="n"/>
      <c r="L326" s="827">
        <f>_xlfn.XLOOKUP(TableauRecette[[#This Row],[ID]],TableauProduit[ID],TableauProduit[Total (kg) N1],0,0,1)*TableauRecette[[#This Row],[poids / unite]]</f>
        <v/>
      </c>
      <c r="M326" s="828">
        <f>_xlfn.XLOOKUP(TableauRecette[[#This Row],[ID]],TableauProduit[ID],TableauProduit[Total (kg) N2],0,0,1)*TableauRecette[[#This Row],[poids / unite]]</f>
        <v/>
      </c>
      <c r="N326" s="828">
        <f>_xlfn.XLOOKUP(TableauRecette[[#This Row],[ID]],TableauProduit[ID],TableauProduit[Total (kg) N3],0,0,1)*TableauRecette[[#This Row],[poids / unite]]</f>
        <v/>
      </c>
      <c r="O326" s="828">
        <f>_xlfn.XLOOKUP(TableauRecette[[#This Row],[ID]],TableauProduit[ID],TableauProduit[Total (kg) N4],0,0,1)*TableauRecette[[#This Row],[poids / unite]]</f>
        <v/>
      </c>
      <c r="P326" s="828">
        <f>_xlfn.XLOOKUP(TableauRecette[[#This Row],[ID]],TableauProduit[ID],TableauProduit[Total (kg) N5],0,0,1)*TableauRecette[[#This Row],[poids / unite]]</f>
        <v/>
      </c>
      <c r="Q326" s="828">
        <f>_xlfn.XLOOKUP(TableauRecette[[#This Row],[ID]],TableauProduit[ID],TableauProduit[Total (kg) N6],0,0,1)*TableauRecette[[#This Row],[poids / unite]]</f>
        <v/>
      </c>
      <c r="R326" s="828">
        <f>_xlfn.XLOOKUP(TableauRecette[[#This Row],[ID]],TableauProduit[ID],TableauProduit[Total (kg) N7],0,0,1)*TableauRecette[[#This Row],[poids / unite]]</f>
        <v/>
      </c>
      <c r="S326" s="828">
        <f>_xlfn.XLOOKUP(TableauRecette[[#This Row],[ID]],TableauProduit[ID],TableauProduit[Total (kg) N8],0,0,1)*TableauRecette[[#This Row],[poids / unite]]</f>
        <v/>
      </c>
      <c r="T326" s="828">
        <f>_xlfn.XLOOKUP(TableauRecette[[#This Row],[ID]],TableauProduit[ID],TableauProduit[Total (kg) N9],0,0,1)*TableauRecette[[#This Row],[poids / unite]]</f>
        <v/>
      </c>
    </row>
    <row r="327">
      <c r="A327" s="551" t="inlineStr">
        <is>
          <t>Sirop de basilic</t>
        </is>
      </c>
      <c r="B327" s="551">
        <f>TableauRecette[[#This Row],[Recette]]&amp;TableauRecette[[#This Row],[Conditionnement]]</f>
        <v/>
      </c>
      <c r="C327" s="551" t="inlineStr">
        <is>
          <t>Citron Jaune</t>
        </is>
      </c>
      <c r="D327" s="552" t="n">
        <v>20</v>
      </c>
      <c r="E327" s="534" t="inlineStr">
        <is>
          <t>Sirop 500 ml</t>
        </is>
      </c>
      <c r="F327" s="55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27" s="552">
        <f>IFERROR(_xlfn.XLOOKUP(TableauRecette[[#This Row],[Ingredients]],TableauIngredients[Ingredients],TableauIngredients[Prix d''achat (kg)],0)*TableauRecette[[#This Row],[poids / unite]],0)</f>
        <v/>
      </c>
      <c r="H327" s="552">
        <f>IFERROR(SUMIFS(TableauRecette[Proportion],TableauRecette[Recette],TableauRecette[[#This Row],[Recette]],TableauRecette[Conditionnement],TableauRecette[[#This Row],[Conditionnement]]),0)</f>
        <v/>
      </c>
      <c r="I327" s="552">
        <f>IFERROR(TableauRecette[[#This Row],[Prix d''achat / kg]],0)</f>
        <v/>
      </c>
      <c r="J327" s="552" t="n"/>
      <c r="K327" s="826" t="n"/>
      <c r="L327" s="827">
        <f>_xlfn.XLOOKUP(TableauRecette[[#This Row],[ID]],TableauProduit[ID],TableauProduit[Total (kg) N1],0,0,1)*TableauRecette[[#This Row],[poids / unite]]</f>
        <v/>
      </c>
      <c r="M327" s="828">
        <f>_xlfn.XLOOKUP(TableauRecette[[#This Row],[ID]],TableauProduit[ID],TableauProduit[Total (kg) N2],0,0,1)*TableauRecette[[#This Row],[poids / unite]]</f>
        <v/>
      </c>
      <c r="N327" s="828">
        <f>_xlfn.XLOOKUP(TableauRecette[[#This Row],[ID]],TableauProduit[ID],TableauProduit[Total (kg) N3],0,0,1)*TableauRecette[[#This Row],[poids / unite]]</f>
        <v/>
      </c>
      <c r="O327" s="828">
        <f>_xlfn.XLOOKUP(TableauRecette[[#This Row],[ID]],TableauProduit[ID],TableauProduit[Total (kg) N4],0,0,1)*TableauRecette[[#This Row],[poids / unite]]</f>
        <v/>
      </c>
      <c r="P327" s="828">
        <f>_xlfn.XLOOKUP(TableauRecette[[#This Row],[ID]],TableauProduit[ID],TableauProduit[Total (kg) N5],0,0,1)*TableauRecette[[#This Row],[poids / unite]]</f>
        <v/>
      </c>
      <c r="Q327" s="828">
        <f>_xlfn.XLOOKUP(TableauRecette[[#This Row],[ID]],TableauProduit[ID],TableauProduit[Total (kg) N6],0,0,1)*TableauRecette[[#This Row],[poids / unite]]</f>
        <v/>
      </c>
      <c r="R327" s="828">
        <f>_xlfn.XLOOKUP(TableauRecette[[#This Row],[ID]],TableauProduit[ID],TableauProduit[Total (kg) N7],0,0,1)*TableauRecette[[#This Row],[poids / unite]]</f>
        <v/>
      </c>
      <c r="S327" s="828">
        <f>_xlfn.XLOOKUP(TableauRecette[[#This Row],[ID]],TableauProduit[ID],TableauProduit[Total (kg) N8],0,0,1)*TableauRecette[[#This Row],[poids / unite]]</f>
        <v/>
      </c>
      <c r="T327" s="828">
        <f>_xlfn.XLOOKUP(TableauRecette[[#This Row],[ID]],TableauProduit[ID],TableauProduit[Total (kg) N9],0,0,1)*TableauRecette[[#This Row],[poids / unite]]</f>
        <v/>
      </c>
    </row>
    <row r="328">
      <c r="A328" s="549" t="inlineStr">
        <is>
          <t>Sirop de menthe</t>
        </is>
      </c>
      <c r="B328" s="549">
        <f>TableauRecette[[#This Row],[Recette]]&amp;TableauRecette[[#This Row],[Conditionnement]]</f>
        <v/>
      </c>
      <c r="C328" s="549" t="inlineStr">
        <is>
          <t>Citron Vert</t>
        </is>
      </c>
      <c r="D328" s="550" t="n">
        <v>10</v>
      </c>
      <c r="E328" s="534" t="inlineStr">
        <is>
          <t>Sirop 500 ml</t>
        </is>
      </c>
      <c r="F328" s="55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28" s="550">
        <f>IFERROR(_xlfn.XLOOKUP(TableauRecette[[#This Row],[Ingredients]],TableauIngredients[Ingredients],TableauIngredients[Prix d''achat (kg)],0)*TableauRecette[[#This Row],[poids / unite]],0)</f>
        <v/>
      </c>
      <c r="H328" s="550">
        <f>IFERROR(SUMIFS(TableauRecette[Proportion],TableauRecette[Recette],TableauRecette[[#This Row],[Recette]],TableauRecette[Conditionnement],TableauRecette[[#This Row],[Conditionnement]]),0)</f>
        <v/>
      </c>
      <c r="I328" s="550">
        <f>IFERROR(TableauRecette[[#This Row],[Prix d''achat / kg]],0)</f>
        <v/>
      </c>
      <c r="J328" s="550" t="n"/>
      <c r="K328" s="829" t="n"/>
      <c r="L328" s="830">
        <f>_xlfn.XLOOKUP(TableauRecette[[#This Row],[ID]],TableauProduit[ID],TableauProduit[Total (kg) N1],0,0,1)*TableauRecette[[#This Row],[poids / unite]]</f>
        <v/>
      </c>
      <c r="M328" s="831">
        <f>_xlfn.XLOOKUP(TableauRecette[[#This Row],[ID]],TableauProduit[ID],TableauProduit[Total (kg) N2],0,0,1)*TableauRecette[[#This Row],[poids / unite]]</f>
        <v/>
      </c>
      <c r="N328" s="831">
        <f>_xlfn.XLOOKUP(TableauRecette[[#This Row],[ID]],TableauProduit[ID],TableauProduit[Total (kg) N3],0,0,1)*TableauRecette[[#This Row],[poids / unite]]</f>
        <v/>
      </c>
      <c r="O328" s="831">
        <f>_xlfn.XLOOKUP(TableauRecette[[#This Row],[ID]],TableauProduit[ID],TableauProduit[Total (kg) N4],0,0,1)*TableauRecette[[#This Row],[poids / unite]]</f>
        <v/>
      </c>
      <c r="P328" s="831">
        <f>_xlfn.XLOOKUP(TableauRecette[[#This Row],[ID]],TableauProduit[ID],TableauProduit[Total (kg) N5],0,0,1)*TableauRecette[[#This Row],[poids / unite]]</f>
        <v/>
      </c>
      <c r="Q328" s="831">
        <f>_xlfn.XLOOKUP(TableauRecette[[#This Row],[ID]],TableauProduit[ID],TableauProduit[Total (kg) N6],0,0,1)*TableauRecette[[#This Row],[poids / unite]]</f>
        <v/>
      </c>
      <c r="R328" s="831">
        <f>_xlfn.XLOOKUP(TableauRecette[[#This Row],[ID]],TableauProduit[ID],TableauProduit[Total (kg) N7],0,0,1)*TableauRecette[[#This Row],[poids / unite]]</f>
        <v/>
      </c>
      <c r="S328" s="831">
        <f>_xlfn.XLOOKUP(TableauRecette[[#This Row],[ID]],TableauProduit[ID],TableauProduit[Total (kg) N8],0,0,1)*TableauRecette[[#This Row],[poids / unite]]</f>
        <v/>
      </c>
      <c r="T328" s="831">
        <f>_xlfn.XLOOKUP(TableauRecette[[#This Row],[ID]],TableauProduit[ID],TableauProduit[Total (kg) N9],0,0,1)*TableauRecette[[#This Row],[poids / unite]]</f>
        <v/>
      </c>
    </row>
    <row r="329">
      <c r="A329" s="549" t="inlineStr">
        <is>
          <t>Sirop de menthe</t>
        </is>
      </c>
      <c r="B329" s="549">
        <f>TableauRecette[[#This Row],[Recette]]&amp;TableauRecette[[#This Row],[Conditionnement]]</f>
        <v/>
      </c>
      <c r="C329" s="549" t="inlineStr">
        <is>
          <t xml:space="preserve">Sucre Blanc </t>
        </is>
      </c>
      <c r="D329" s="550" t="n">
        <v>610.5</v>
      </c>
      <c r="E329" s="534" t="inlineStr">
        <is>
          <t>Sirop 500 ml</t>
        </is>
      </c>
      <c r="F329" s="55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29" s="550">
        <f>IFERROR(_xlfn.XLOOKUP(TableauRecette[[#This Row],[Ingredients]],TableauIngredients[Ingredients],TableauIngredients[Prix d''achat (kg)],0)*TableauRecette[[#This Row],[poids / unite]],0)</f>
        <v/>
      </c>
      <c r="H329" s="550">
        <f>IFERROR(SUMIFS(TableauRecette[Proportion],TableauRecette[Recette],TableauRecette[[#This Row],[Recette]],TableauRecette[Conditionnement],TableauRecette[[#This Row],[Conditionnement]]),0)</f>
        <v/>
      </c>
      <c r="I329" s="550">
        <f>IFERROR(TableauRecette[[#This Row],[Prix d''achat / kg]],0)</f>
        <v/>
      </c>
      <c r="J329" s="550" t="n"/>
      <c r="K329" s="829" t="n"/>
      <c r="L329" s="830">
        <f>_xlfn.XLOOKUP(TableauRecette[[#This Row],[ID]],TableauProduit[ID],TableauProduit[Total (kg) N1],0,0,1)*TableauRecette[[#This Row],[poids / unite]]</f>
        <v/>
      </c>
      <c r="M329" s="831">
        <f>_xlfn.XLOOKUP(TableauRecette[[#This Row],[ID]],TableauProduit[ID],TableauProduit[Total (kg) N2],0,0,1)*TableauRecette[[#This Row],[poids / unite]]</f>
        <v/>
      </c>
      <c r="N329" s="831">
        <f>_xlfn.XLOOKUP(TableauRecette[[#This Row],[ID]],TableauProduit[ID],TableauProduit[Total (kg) N3],0,0,1)*TableauRecette[[#This Row],[poids / unite]]</f>
        <v/>
      </c>
      <c r="O329" s="831">
        <f>_xlfn.XLOOKUP(TableauRecette[[#This Row],[ID]],TableauProduit[ID],TableauProduit[Total (kg) N4],0,0,1)*TableauRecette[[#This Row],[poids / unite]]</f>
        <v/>
      </c>
      <c r="P329" s="831">
        <f>_xlfn.XLOOKUP(TableauRecette[[#This Row],[ID]],TableauProduit[ID],TableauProduit[Total (kg) N5],0,0,1)*TableauRecette[[#This Row],[poids / unite]]</f>
        <v/>
      </c>
      <c r="Q329" s="831">
        <f>_xlfn.XLOOKUP(TableauRecette[[#This Row],[ID]],TableauProduit[ID],TableauProduit[Total (kg) N6],0,0,1)*TableauRecette[[#This Row],[poids / unite]]</f>
        <v/>
      </c>
      <c r="R329" s="831">
        <f>_xlfn.XLOOKUP(TableauRecette[[#This Row],[ID]],TableauProduit[ID],TableauProduit[Total (kg) N7],0,0,1)*TableauRecette[[#This Row],[poids / unite]]</f>
        <v/>
      </c>
      <c r="S329" s="831">
        <f>_xlfn.XLOOKUP(TableauRecette[[#This Row],[ID]],TableauProduit[ID],TableauProduit[Total (kg) N8],0,0,1)*TableauRecette[[#This Row],[poids / unite]]</f>
        <v/>
      </c>
      <c r="T329" s="831">
        <f>_xlfn.XLOOKUP(TableauRecette[[#This Row],[ID]],TableauProduit[ID],TableauProduit[Total (kg) N9],0,0,1)*TableauRecette[[#This Row],[poids / unite]]</f>
        <v/>
      </c>
    </row>
    <row r="330">
      <c r="A330" s="549" t="inlineStr">
        <is>
          <t>Sirop de menthe</t>
        </is>
      </c>
      <c r="B330" s="549">
        <f>TableauRecette[[#This Row],[Recette]]&amp;TableauRecette[[#This Row],[Conditionnement]]</f>
        <v/>
      </c>
      <c r="C330" s="549" t="inlineStr">
        <is>
          <t>Menthe Verte</t>
        </is>
      </c>
      <c r="D330" s="550" t="n">
        <v>100</v>
      </c>
      <c r="E330" s="534" t="inlineStr">
        <is>
          <t>Sirop 500 ml</t>
        </is>
      </c>
      <c r="F330" s="55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30" s="550">
        <f>IFERROR(_xlfn.XLOOKUP(TableauRecette[[#This Row],[Ingredients]],TableauIngredients[Ingredients],TableauIngredients[Prix d''achat (kg)],0)*TableauRecette[[#This Row],[poids / unite]],0)</f>
        <v/>
      </c>
      <c r="H330" s="550">
        <f>IFERROR(SUMIFS(TableauRecette[Proportion],TableauRecette[Recette],TableauRecette[[#This Row],[Recette]],TableauRecette[Conditionnement],TableauRecette[[#This Row],[Conditionnement]]),0)</f>
        <v/>
      </c>
      <c r="I330" s="550">
        <f>IFERROR(TableauRecette[[#This Row],[Prix d''achat / kg]],0)</f>
        <v/>
      </c>
      <c r="J330" s="550" t="n"/>
      <c r="K330" s="829" t="n"/>
      <c r="L330" s="830">
        <f>_xlfn.XLOOKUP(TableauRecette[[#This Row],[ID]],TableauProduit[ID],TableauProduit[Total (kg) N1],0,0,1)*TableauRecette[[#This Row],[poids / unite]]</f>
        <v/>
      </c>
      <c r="M330" s="831">
        <f>_xlfn.XLOOKUP(TableauRecette[[#This Row],[ID]],TableauProduit[ID],TableauProduit[Total (kg) N2],0,0,1)*TableauRecette[[#This Row],[poids / unite]]</f>
        <v/>
      </c>
      <c r="N330" s="831">
        <f>_xlfn.XLOOKUP(TableauRecette[[#This Row],[ID]],TableauProduit[ID],TableauProduit[Total (kg) N3],0,0,1)*TableauRecette[[#This Row],[poids / unite]]</f>
        <v/>
      </c>
      <c r="O330" s="831">
        <f>_xlfn.XLOOKUP(TableauRecette[[#This Row],[ID]],TableauProduit[ID],TableauProduit[Total (kg) N4],0,0,1)*TableauRecette[[#This Row],[poids / unite]]</f>
        <v/>
      </c>
      <c r="P330" s="831">
        <f>_xlfn.XLOOKUP(TableauRecette[[#This Row],[ID]],TableauProduit[ID],TableauProduit[Total (kg) N5],0,0,1)*TableauRecette[[#This Row],[poids / unite]]</f>
        <v/>
      </c>
      <c r="Q330" s="831">
        <f>_xlfn.XLOOKUP(TableauRecette[[#This Row],[ID]],TableauProduit[ID],TableauProduit[Total (kg) N6],0,0,1)*TableauRecette[[#This Row],[poids / unite]]</f>
        <v/>
      </c>
      <c r="R330" s="831">
        <f>_xlfn.XLOOKUP(TableauRecette[[#This Row],[ID]],TableauProduit[ID],TableauProduit[Total (kg) N7],0,0,1)*TableauRecette[[#This Row],[poids / unite]]</f>
        <v/>
      </c>
      <c r="S330" s="831">
        <f>_xlfn.XLOOKUP(TableauRecette[[#This Row],[ID]],TableauProduit[ID],TableauProduit[Total (kg) N8],0,0,1)*TableauRecette[[#This Row],[poids / unite]]</f>
        <v/>
      </c>
      <c r="T330" s="831">
        <f>_xlfn.XLOOKUP(TableauRecette[[#This Row],[ID]],TableauProduit[ID],TableauProduit[Total (kg) N9],0,0,1)*TableauRecette[[#This Row],[poids / unite]]</f>
        <v/>
      </c>
    </row>
    <row r="331">
      <c r="A331" s="549" t="inlineStr">
        <is>
          <t>Sirop de menthe</t>
        </is>
      </c>
      <c r="B331" s="549">
        <f>TableauRecette[[#This Row],[Recette]]&amp;TableauRecette[[#This Row],[Conditionnement]]</f>
        <v/>
      </c>
      <c r="C331" s="549" t="inlineStr">
        <is>
          <t>Eau</t>
        </is>
      </c>
      <c r="D331" s="550" t="n">
        <v>1000</v>
      </c>
      <c r="E331" s="534" t="inlineStr">
        <is>
          <t>Sirop 500 ml</t>
        </is>
      </c>
      <c r="F331" s="55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31" s="550">
        <f>IFERROR(_xlfn.XLOOKUP(TableauRecette[[#This Row],[Ingredients]],TableauIngredients[Ingredients],TableauIngredients[Prix d''achat (kg)],0)*TableauRecette[[#This Row],[poids / unite]],0)</f>
        <v/>
      </c>
      <c r="H331" s="550">
        <f>IFERROR(SUMIFS(TableauRecette[Proportion],TableauRecette[Recette],TableauRecette[[#This Row],[Recette]],TableauRecette[Conditionnement],TableauRecette[[#This Row],[Conditionnement]]),0)</f>
        <v/>
      </c>
      <c r="I331" s="550">
        <f>IFERROR(TableauRecette[[#This Row],[Prix d''achat / kg]],0)</f>
        <v/>
      </c>
      <c r="J331" s="550" t="n"/>
      <c r="K331" s="829" t="n"/>
      <c r="L331" s="830">
        <f>_xlfn.XLOOKUP(TableauRecette[[#This Row],[ID]],TableauProduit[ID],TableauProduit[Total (kg) N1],0,0,1)*TableauRecette[[#This Row],[poids / unite]]</f>
        <v/>
      </c>
      <c r="M331" s="831">
        <f>_xlfn.XLOOKUP(TableauRecette[[#This Row],[ID]],TableauProduit[ID],TableauProduit[Total (kg) N2],0,0,1)*TableauRecette[[#This Row],[poids / unite]]</f>
        <v/>
      </c>
      <c r="N331" s="831">
        <f>_xlfn.XLOOKUP(TableauRecette[[#This Row],[ID]],TableauProduit[ID],TableauProduit[Total (kg) N3],0,0,1)*TableauRecette[[#This Row],[poids / unite]]</f>
        <v/>
      </c>
      <c r="O331" s="831">
        <f>_xlfn.XLOOKUP(TableauRecette[[#This Row],[ID]],TableauProduit[ID],TableauProduit[Total (kg) N4],0,0,1)*TableauRecette[[#This Row],[poids / unite]]</f>
        <v/>
      </c>
      <c r="P331" s="831">
        <f>_xlfn.XLOOKUP(TableauRecette[[#This Row],[ID]],TableauProduit[ID],TableauProduit[Total (kg) N5],0,0,1)*TableauRecette[[#This Row],[poids / unite]]</f>
        <v/>
      </c>
      <c r="Q331" s="831">
        <f>_xlfn.XLOOKUP(TableauRecette[[#This Row],[ID]],TableauProduit[ID],TableauProduit[Total (kg) N6],0,0,1)*TableauRecette[[#This Row],[poids / unite]]</f>
        <v/>
      </c>
      <c r="R331" s="831">
        <f>_xlfn.XLOOKUP(TableauRecette[[#This Row],[ID]],TableauProduit[ID],TableauProduit[Total (kg) N7],0,0,1)*TableauRecette[[#This Row],[poids / unite]]</f>
        <v/>
      </c>
      <c r="S331" s="831">
        <f>_xlfn.XLOOKUP(TableauRecette[[#This Row],[ID]],TableauProduit[ID],TableauProduit[Total (kg) N8],0,0,1)*TableauRecette[[#This Row],[poids / unite]]</f>
        <v/>
      </c>
      <c r="T331" s="831">
        <f>_xlfn.XLOOKUP(TableauRecette[[#This Row],[ID]],TableauProduit[ID],TableauProduit[Total (kg) N9],0,0,1)*TableauRecette[[#This Row],[poids / unite]]</f>
        <v/>
      </c>
    </row>
    <row r="332">
      <c r="A332" s="532" t="inlineStr">
        <is>
          <t>Sirop de thym</t>
        </is>
      </c>
      <c r="B332" s="532">
        <f>TableauRecette[[#This Row],[Recette]]&amp;TableauRecette[[#This Row],[Conditionnement]]</f>
        <v/>
      </c>
      <c r="C332" s="532" t="inlineStr">
        <is>
          <t xml:space="preserve">Sucre Blanc </t>
        </is>
      </c>
      <c r="D332" s="533" t="n">
        <v>610.5</v>
      </c>
      <c r="E332" s="534" t="inlineStr">
        <is>
          <t>Sirop 500 ml</t>
        </is>
      </c>
      <c r="F332" s="53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32" s="533">
        <f>IFERROR(_xlfn.XLOOKUP(TableauRecette[[#This Row],[Ingredients]],TableauIngredients[Ingredients],TableauIngredients[Prix d''achat (kg)],0)*TableauRecette[[#This Row],[poids / unite]],0)</f>
        <v/>
      </c>
      <c r="H332" s="533">
        <f>IFERROR(SUMIFS(TableauRecette[Proportion],TableauRecette[Recette],TableauRecette[[#This Row],[Recette]],TableauRecette[Conditionnement],TableauRecette[[#This Row],[Conditionnement]]),0)</f>
        <v/>
      </c>
      <c r="I332" s="533">
        <f>IFERROR(TableauRecette[[#This Row],[Prix d''achat / kg]],0)</f>
        <v/>
      </c>
      <c r="J332" s="533" t="n"/>
      <c r="K332" s="832" t="n"/>
      <c r="L332" s="833">
        <f>_xlfn.XLOOKUP(TableauRecette[[#This Row],[ID]],TableauProduit[ID],TableauProduit[Total (kg) N1],0,0,1)*TableauRecette[[#This Row],[poids / unite]]</f>
        <v/>
      </c>
      <c r="M332" s="834">
        <f>_xlfn.XLOOKUP(TableauRecette[[#This Row],[ID]],TableauProduit[ID],TableauProduit[Total (kg) N2],0,0,1)*TableauRecette[[#This Row],[poids / unite]]</f>
        <v/>
      </c>
      <c r="N332" s="834">
        <f>_xlfn.XLOOKUP(TableauRecette[[#This Row],[ID]],TableauProduit[ID],TableauProduit[Total (kg) N3],0,0,1)*TableauRecette[[#This Row],[poids / unite]]</f>
        <v/>
      </c>
      <c r="O332" s="834">
        <f>_xlfn.XLOOKUP(TableauRecette[[#This Row],[ID]],TableauProduit[ID],TableauProduit[Total (kg) N4],0,0,1)*TableauRecette[[#This Row],[poids / unite]]</f>
        <v/>
      </c>
      <c r="P332" s="834">
        <f>_xlfn.XLOOKUP(TableauRecette[[#This Row],[ID]],TableauProduit[ID],TableauProduit[Total (kg) N5],0,0,1)*TableauRecette[[#This Row],[poids / unite]]</f>
        <v/>
      </c>
      <c r="Q332" s="834">
        <f>_xlfn.XLOOKUP(TableauRecette[[#This Row],[ID]],TableauProduit[ID],TableauProduit[Total (kg) N6],0,0,1)*TableauRecette[[#This Row],[poids / unite]]</f>
        <v/>
      </c>
      <c r="R332" s="834">
        <f>_xlfn.XLOOKUP(TableauRecette[[#This Row],[ID]],TableauProduit[ID],TableauProduit[Total (kg) N7],0,0,1)*TableauRecette[[#This Row],[poids / unite]]</f>
        <v/>
      </c>
      <c r="S332" s="834">
        <f>_xlfn.XLOOKUP(TableauRecette[[#This Row],[ID]],TableauProduit[ID],TableauProduit[Total (kg) N8],0,0,1)*TableauRecette[[#This Row],[poids / unite]]</f>
        <v/>
      </c>
      <c r="T332" s="834">
        <f>_xlfn.XLOOKUP(TableauRecette[[#This Row],[ID]],TableauProduit[ID],TableauProduit[Total (kg) N9],0,0,1)*TableauRecette[[#This Row],[poids / unite]]</f>
        <v/>
      </c>
    </row>
    <row r="333">
      <c r="A333" s="532" t="inlineStr">
        <is>
          <t>Sirop de thym</t>
        </is>
      </c>
      <c r="B333" s="532">
        <f>TableauRecette[[#This Row],[Recette]]&amp;TableauRecette[[#This Row],[Conditionnement]]</f>
        <v/>
      </c>
      <c r="C333" s="532" t="inlineStr">
        <is>
          <t>Thym</t>
        </is>
      </c>
      <c r="D333" s="533" t="n">
        <v>100</v>
      </c>
      <c r="E333" s="534" t="inlineStr">
        <is>
          <t>Sirop 500 ml</t>
        </is>
      </c>
      <c r="F333" s="53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33" s="533">
        <f>IFERROR(_xlfn.XLOOKUP(TableauRecette[[#This Row],[Ingredients]],TableauIngredients[Ingredients],TableauIngredients[Prix d''achat (kg)],0)*TableauRecette[[#This Row],[poids / unite]],0)</f>
        <v/>
      </c>
      <c r="H333" s="533">
        <f>IFERROR(SUMIFS(TableauRecette[Proportion],TableauRecette[Recette],TableauRecette[[#This Row],[Recette]],TableauRecette[Conditionnement],TableauRecette[[#This Row],[Conditionnement]]),0)</f>
        <v/>
      </c>
      <c r="I333" s="533">
        <f>IFERROR(TableauRecette[[#This Row],[Prix d''achat / kg]],0)</f>
        <v/>
      </c>
      <c r="J333" s="533" t="n"/>
      <c r="K333" s="832" t="n"/>
      <c r="L333" s="833">
        <f>_xlfn.XLOOKUP(TableauRecette[[#This Row],[ID]],TableauProduit[ID],TableauProduit[Total (kg) N1],0,0,1)*TableauRecette[[#This Row],[poids / unite]]</f>
        <v/>
      </c>
      <c r="M333" s="834">
        <f>_xlfn.XLOOKUP(TableauRecette[[#This Row],[ID]],TableauProduit[ID],TableauProduit[Total (kg) N2],0,0,1)*TableauRecette[[#This Row],[poids / unite]]</f>
        <v/>
      </c>
      <c r="N333" s="834">
        <f>_xlfn.XLOOKUP(TableauRecette[[#This Row],[ID]],TableauProduit[ID],TableauProduit[Total (kg) N3],0,0,1)*TableauRecette[[#This Row],[poids / unite]]</f>
        <v/>
      </c>
      <c r="O333" s="834">
        <f>_xlfn.XLOOKUP(TableauRecette[[#This Row],[ID]],TableauProduit[ID],TableauProduit[Total (kg) N4],0,0,1)*TableauRecette[[#This Row],[poids / unite]]</f>
        <v/>
      </c>
      <c r="P333" s="834">
        <f>_xlfn.XLOOKUP(TableauRecette[[#This Row],[ID]],TableauProduit[ID],TableauProduit[Total (kg) N5],0,0,1)*TableauRecette[[#This Row],[poids / unite]]</f>
        <v/>
      </c>
      <c r="Q333" s="834">
        <f>_xlfn.XLOOKUP(TableauRecette[[#This Row],[ID]],TableauProduit[ID],TableauProduit[Total (kg) N6],0,0,1)*TableauRecette[[#This Row],[poids / unite]]</f>
        <v/>
      </c>
      <c r="R333" s="834">
        <f>_xlfn.XLOOKUP(TableauRecette[[#This Row],[ID]],TableauProduit[ID],TableauProduit[Total (kg) N7],0,0,1)*TableauRecette[[#This Row],[poids / unite]]</f>
        <v/>
      </c>
      <c r="S333" s="834">
        <f>_xlfn.XLOOKUP(TableauRecette[[#This Row],[ID]],TableauProduit[ID],TableauProduit[Total (kg) N8],0,0,1)*TableauRecette[[#This Row],[poids / unite]]</f>
        <v/>
      </c>
      <c r="T333" s="834">
        <f>_xlfn.XLOOKUP(TableauRecette[[#This Row],[ID]],TableauProduit[ID],TableauProduit[Total (kg) N9],0,0,1)*TableauRecette[[#This Row],[poids / unite]]</f>
        <v/>
      </c>
    </row>
    <row r="334">
      <c r="A334" s="532" t="inlineStr">
        <is>
          <t>Sirop de thym</t>
        </is>
      </c>
      <c r="B334" s="532">
        <f>TableauRecette[[#This Row],[Recette]]&amp;TableauRecette[[#This Row],[Conditionnement]]</f>
        <v/>
      </c>
      <c r="C334" s="532" t="inlineStr">
        <is>
          <t>Citron Vert</t>
        </is>
      </c>
      <c r="D334" s="533" t="n">
        <v>10</v>
      </c>
      <c r="E334" s="534" t="inlineStr">
        <is>
          <t>Sirop 500 ml</t>
        </is>
      </c>
      <c r="F334" s="53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34" s="533">
        <f>IFERROR(_xlfn.XLOOKUP(TableauRecette[[#This Row],[Ingredients]],TableauIngredients[Ingredients],TableauIngredients[Prix d''achat (kg)],0)*TableauRecette[[#This Row],[poids / unite]],0)</f>
        <v/>
      </c>
      <c r="H334" s="533">
        <f>IFERROR(SUMIFS(TableauRecette[Proportion],TableauRecette[Recette],TableauRecette[[#This Row],[Recette]],TableauRecette[Conditionnement],TableauRecette[[#This Row],[Conditionnement]]),0)</f>
        <v/>
      </c>
      <c r="I334" s="533">
        <f>IFERROR(TableauRecette[[#This Row],[Prix d''achat / kg]],0)</f>
        <v/>
      </c>
      <c r="J334" s="533" t="n"/>
      <c r="K334" s="832" t="n"/>
      <c r="L334" s="833">
        <f>_xlfn.XLOOKUP(TableauRecette[[#This Row],[ID]],TableauProduit[ID],TableauProduit[Total (kg) N1],0,0,1)*TableauRecette[[#This Row],[poids / unite]]</f>
        <v/>
      </c>
      <c r="M334" s="834">
        <f>_xlfn.XLOOKUP(TableauRecette[[#This Row],[ID]],TableauProduit[ID],TableauProduit[Total (kg) N2],0,0,1)*TableauRecette[[#This Row],[poids / unite]]</f>
        <v/>
      </c>
      <c r="N334" s="834">
        <f>_xlfn.XLOOKUP(TableauRecette[[#This Row],[ID]],TableauProduit[ID],TableauProduit[Total (kg) N3],0,0,1)*TableauRecette[[#This Row],[poids / unite]]</f>
        <v/>
      </c>
      <c r="O334" s="834">
        <f>_xlfn.XLOOKUP(TableauRecette[[#This Row],[ID]],TableauProduit[ID],TableauProduit[Total (kg) N4],0,0,1)*TableauRecette[[#This Row],[poids / unite]]</f>
        <v/>
      </c>
      <c r="P334" s="834">
        <f>_xlfn.XLOOKUP(TableauRecette[[#This Row],[ID]],TableauProduit[ID],TableauProduit[Total (kg) N5],0,0,1)*TableauRecette[[#This Row],[poids / unite]]</f>
        <v/>
      </c>
      <c r="Q334" s="834">
        <f>_xlfn.XLOOKUP(TableauRecette[[#This Row],[ID]],TableauProduit[ID],TableauProduit[Total (kg) N6],0,0,1)*TableauRecette[[#This Row],[poids / unite]]</f>
        <v/>
      </c>
      <c r="R334" s="834">
        <f>_xlfn.XLOOKUP(TableauRecette[[#This Row],[ID]],TableauProduit[ID],TableauProduit[Total (kg) N7],0,0,1)*TableauRecette[[#This Row],[poids / unite]]</f>
        <v/>
      </c>
      <c r="S334" s="834">
        <f>_xlfn.XLOOKUP(TableauRecette[[#This Row],[ID]],TableauProduit[ID],TableauProduit[Total (kg) N8],0,0,1)*TableauRecette[[#This Row],[poids / unite]]</f>
        <v/>
      </c>
      <c r="T334" s="834">
        <f>_xlfn.XLOOKUP(TableauRecette[[#This Row],[ID]],TableauProduit[ID],TableauProduit[Total (kg) N9],0,0,1)*TableauRecette[[#This Row],[poids / unite]]</f>
        <v/>
      </c>
    </row>
    <row r="335">
      <c r="A335" s="532" t="inlineStr">
        <is>
          <t>Sirop de thym</t>
        </is>
      </c>
      <c r="B335" s="532">
        <f>TableauRecette[[#This Row],[Recette]]&amp;TableauRecette[[#This Row],[Conditionnement]]</f>
        <v/>
      </c>
      <c r="C335" s="532" t="inlineStr">
        <is>
          <t>Eau</t>
        </is>
      </c>
      <c r="D335" s="533" t="n">
        <v>1000</v>
      </c>
      <c r="E335" s="534" t="inlineStr">
        <is>
          <t>Sirop 500 ml</t>
        </is>
      </c>
      <c r="F335" s="53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35" s="533">
        <f>IFERROR(_xlfn.XLOOKUP(TableauRecette[[#This Row],[Ingredients]],TableauIngredients[Ingredients],TableauIngredients[Prix d''achat (kg)],0)*TableauRecette[[#This Row],[poids / unite]],0)</f>
        <v/>
      </c>
      <c r="H335" s="533">
        <f>IFERROR(SUMIFS(TableauRecette[Proportion],TableauRecette[Recette],TableauRecette[[#This Row],[Recette]],TableauRecette[Conditionnement],TableauRecette[[#This Row],[Conditionnement]]),0)</f>
        <v/>
      </c>
      <c r="I335" s="533">
        <f>IFERROR(TableauRecette[[#This Row],[Prix d''achat / kg]],0)</f>
        <v/>
      </c>
      <c r="J335" s="533" t="n"/>
      <c r="K335" s="832" t="n"/>
      <c r="L335" s="833">
        <f>_xlfn.XLOOKUP(TableauRecette[[#This Row],[ID]],TableauProduit[ID],TableauProduit[Total (kg) N1],0,0,1)*TableauRecette[[#This Row],[poids / unite]]</f>
        <v/>
      </c>
      <c r="M335" s="834">
        <f>_xlfn.XLOOKUP(TableauRecette[[#This Row],[ID]],TableauProduit[ID],TableauProduit[Total (kg) N2],0,0,1)*TableauRecette[[#This Row],[poids / unite]]</f>
        <v/>
      </c>
      <c r="N335" s="834">
        <f>_xlfn.XLOOKUP(TableauRecette[[#This Row],[ID]],TableauProduit[ID],TableauProduit[Total (kg) N3],0,0,1)*TableauRecette[[#This Row],[poids / unite]]</f>
        <v/>
      </c>
      <c r="O335" s="834">
        <f>_xlfn.XLOOKUP(TableauRecette[[#This Row],[ID]],TableauProduit[ID],TableauProduit[Total (kg) N4],0,0,1)*TableauRecette[[#This Row],[poids / unite]]</f>
        <v/>
      </c>
      <c r="P335" s="834">
        <f>_xlfn.XLOOKUP(TableauRecette[[#This Row],[ID]],TableauProduit[ID],TableauProduit[Total (kg) N5],0,0,1)*TableauRecette[[#This Row],[poids / unite]]</f>
        <v/>
      </c>
      <c r="Q335" s="834">
        <f>_xlfn.XLOOKUP(TableauRecette[[#This Row],[ID]],TableauProduit[ID],TableauProduit[Total (kg) N6],0,0,1)*TableauRecette[[#This Row],[poids / unite]]</f>
        <v/>
      </c>
      <c r="R335" s="834">
        <f>_xlfn.XLOOKUP(TableauRecette[[#This Row],[ID]],TableauProduit[ID],TableauProduit[Total (kg) N7],0,0,1)*TableauRecette[[#This Row],[poids / unite]]</f>
        <v/>
      </c>
      <c r="S335" s="834">
        <f>_xlfn.XLOOKUP(TableauRecette[[#This Row],[ID]],TableauProduit[ID],TableauProduit[Total (kg) N8],0,0,1)*TableauRecette[[#This Row],[poids / unite]]</f>
        <v/>
      </c>
      <c r="T335" s="834">
        <f>_xlfn.XLOOKUP(TableauRecette[[#This Row],[ID]],TableauProduit[ID],TableauProduit[Total (kg) N9],0,0,1)*TableauRecette[[#This Row],[poids / unite]]</f>
        <v/>
      </c>
    </row>
    <row r="336">
      <c r="A336" s="99" t="inlineStr">
        <is>
          <t>Sriratcha</t>
        </is>
      </c>
      <c r="B336" s="99">
        <f>TableauRecette[[#This Row],[Recette]]&amp;TableauRecette[[#This Row],[Conditionnement]]</f>
        <v/>
      </c>
      <c r="C336" s="99" t="inlineStr">
        <is>
          <t>Piments Rouge</t>
        </is>
      </c>
      <c r="D336" s="222" t="n">
        <v>9</v>
      </c>
      <c r="E336" s="99" t="inlineStr">
        <is>
          <t>Epice 100ml</t>
        </is>
      </c>
      <c r="F336" s="22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36" s="222">
        <f>IFERROR(_xlfn.XLOOKUP(TableauRecette[[#This Row],[Ingredients]],TableauIngredients[Ingredients],TableauIngredients[Prix d''achat (kg)],0)*TableauRecette[[#This Row],[poids / unite]],0)</f>
        <v/>
      </c>
      <c r="H336" s="222">
        <f>IFERROR(SUMIFS(TableauRecette[Proportion],TableauRecette[Recette],TableauRecette[[#This Row],[Recette]],TableauRecette[Conditionnement],TableauRecette[[#This Row],[Conditionnement]]),0)</f>
        <v/>
      </c>
      <c r="I336" s="222">
        <f>IFERROR(TableauRecette[[#This Row],[Prix d''achat / kg]],0)</f>
        <v/>
      </c>
      <c r="J336" s="222" t="n"/>
      <c r="K336" s="835" t="n"/>
      <c r="L336" s="836">
        <f>_xlfn.XLOOKUP(TableauRecette[[#This Row],[ID]],TableauProduit[ID],TableauProduit[Total (kg) N1],0,0,1)*TableauRecette[[#This Row],[poids / unite]]</f>
        <v/>
      </c>
      <c r="M336" s="837">
        <f>_xlfn.XLOOKUP(TableauRecette[[#This Row],[ID]],TableauProduit[ID],TableauProduit[Total (kg) N2],0,0,1)*TableauRecette[[#This Row],[poids / unite]]</f>
        <v/>
      </c>
      <c r="N336" s="837">
        <f>_xlfn.XLOOKUP(TableauRecette[[#This Row],[ID]],TableauProduit[ID],TableauProduit[Total (kg) N3],0,0,1)*TableauRecette[[#This Row],[poids / unite]]</f>
        <v/>
      </c>
      <c r="O336" s="837">
        <f>_xlfn.XLOOKUP(TableauRecette[[#This Row],[ID]],TableauProduit[ID],TableauProduit[Total (kg) N4],0,0,1)*TableauRecette[[#This Row],[poids / unite]]</f>
        <v/>
      </c>
      <c r="P336" s="837">
        <f>_xlfn.XLOOKUP(TableauRecette[[#This Row],[ID]],TableauProduit[ID],TableauProduit[Total (kg) N5],0,0,1)*TableauRecette[[#This Row],[poids / unite]]</f>
        <v/>
      </c>
      <c r="Q336" s="837">
        <f>_xlfn.XLOOKUP(TableauRecette[[#This Row],[ID]],TableauProduit[ID],TableauProduit[Total (kg) N6],0,0,1)*TableauRecette[[#This Row],[poids / unite]]</f>
        <v/>
      </c>
      <c r="R336" s="837">
        <f>_xlfn.XLOOKUP(TableauRecette[[#This Row],[ID]],TableauProduit[ID],TableauProduit[Total (kg) N7],0,0,1)*TableauRecette[[#This Row],[poids / unite]]</f>
        <v/>
      </c>
      <c r="S336" s="837">
        <f>_xlfn.XLOOKUP(TableauRecette[[#This Row],[ID]],TableauProduit[ID],TableauProduit[Total (kg) N8],0,0,1)*TableauRecette[[#This Row],[poids / unite]]</f>
        <v/>
      </c>
      <c r="T336" s="837">
        <f>_xlfn.XLOOKUP(TableauRecette[[#This Row],[ID]],TableauProduit[ID],TableauProduit[Total (kg) N9],0,0,1)*TableauRecette[[#This Row],[poids / unite]]</f>
        <v/>
      </c>
    </row>
    <row r="337">
      <c r="A337" s="99" t="inlineStr">
        <is>
          <t>Sriratcha</t>
        </is>
      </c>
      <c r="B337" s="99">
        <f>TableauRecette[[#This Row],[Recette]]&amp;TableauRecette[[#This Row],[Conditionnement]]</f>
        <v/>
      </c>
      <c r="C337" s="99" t="inlineStr">
        <is>
          <t>Piment Ancho</t>
        </is>
      </c>
      <c r="D337" s="222" t="n">
        <v>3</v>
      </c>
      <c r="E337" s="99" t="inlineStr">
        <is>
          <t>Epice 100ml</t>
        </is>
      </c>
      <c r="F337" s="22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37" s="222">
        <f>IFERROR(_xlfn.XLOOKUP(TableauRecette[[#This Row],[Ingredients]],TableauIngredients[Ingredients],TableauIngredients[Prix d''achat (kg)],0)*TableauRecette[[#This Row],[poids / unite]],0)</f>
        <v/>
      </c>
      <c r="H337" s="222">
        <f>IFERROR(SUMIFS(TableauRecette[Proportion],TableauRecette[Recette],TableauRecette[[#This Row],[Recette]],TableauRecette[Conditionnement],TableauRecette[[#This Row],[Conditionnement]]),0)</f>
        <v/>
      </c>
      <c r="I337" s="222">
        <f>IFERROR(TableauRecette[[#This Row],[Prix d''achat / kg]],0)</f>
        <v/>
      </c>
      <c r="J337" s="222" t="n"/>
      <c r="K337" s="835" t="n"/>
      <c r="L337" s="836">
        <f>_xlfn.XLOOKUP(TableauRecette[[#This Row],[ID]],TableauProduit[ID],TableauProduit[Total (kg) N1],0,0,1)*TableauRecette[[#This Row],[poids / unite]]</f>
        <v/>
      </c>
      <c r="M337" s="837">
        <f>_xlfn.XLOOKUP(TableauRecette[[#This Row],[ID]],TableauProduit[ID],TableauProduit[Total (kg) N2],0,0,1)*TableauRecette[[#This Row],[poids / unite]]</f>
        <v/>
      </c>
      <c r="N337" s="837">
        <f>_xlfn.XLOOKUP(TableauRecette[[#This Row],[ID]],TableauProduit[ID],TableauProduit[Total (kg) N3],0,0,1)*TableauRecette[[#This Row],[poids / unite]]</f>
        <v/>
      </c>
      <c r="O337" s="837">
        <f>_xlfn.XLOOKUP(TableauRecette[[#This Row],[ID]],TableauProduit[ID],TableauProduit[Total (kg) N4],0,0,1)*TableauRecette[[#This Row],[poids / unite]]</f>
        <v/>
      </c>
      <c r="P337" s="837">
        <f>_xlfn.XLOOKUP(TableauRecette[[#This Row],[ID]],TableauProduit[ID],TableauProduit[Total (kg) N5],0,0,1)*TableauRecette[[#This Row],[poids / unite]]</f>
        <v/>
      </c>
      <c r="Q337" s="837">
        <f>_xlfn.XLOOKUP(TableauRecette[[#This Row],[ID]],TableauProduit[ID],TableauProduit[Total (kg) N6],0,0,1)*TableauRecette[[#This Row],[poids / unite]]</f>
        <v/>
      </c>
      <c r="R337" s="837">
        <f>_xlfn.XLOOKUP(TableauRecette[[#This Row],[ID]],TableauProduit[ID],TableauProduit[Total (kg) N7],0,0,1)*TableauRecette[[#This Row],[poids / unite]]</f>
        <v/>
      </c>
      <c r="S337" s="837">
        <f>_xlfn.XLOOKUP(TableauRecette[[#This Row],[ID]],TableauProduit[ID],TableauProduit[Total (kg) N8],0,0,1)*TableauRecette[[#This Row],[poids / unite]]</f>
        <v/>
      </c>
      <c r="T337" s="837">
        <f>_xlfn.XLOOKUP(TableauRecette[[#This Row],[ID]],TableauProduit[ID],TableauProduit[Total (kg) N9],0,0,1)*TableauRecette[[#This Row],[poids / unite]]</f>
        <v/>
      </c>
    </row>
    <row r="338">
      <c r="A338" s="99" t="inlineStr">
        <is>
          <t>Sriratcha</t>
        </is>
      </c>
      <c r="B338" s="99">
        <f>TableauRecette[[#This Row],[Recette]]&amp;TableauRecette[[#This Row],[Conditionnement]]</f>
        <v/>
      </c>
      <c r="C338" s="99" t="inlineStr">
        <is>
          <t>Figue</t>
        </is>
      </c>
      <c r="D338" s="222" t="n">
        <v>8</v>
      </c>
      <c r="E338" s="99" t="inlineStr">
        <is>
          <t>Epice 100ml</t>
        </is>
      </c>
      <c r="F338" s="22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38" s="222">
        <f>IFERROR(_xlfn.XLOOKUP(TableauRecette[[#This Row],[Ingredients]],TableauIngredients[Ingredients],TableauIngredients[Prix d''achat (kg)],0)*TableauRecette[[#This Row],[poids / unite]],0)</f>
        <v/>
      </c>
      <c r="H338" s="222">
        <f>IFERROR(SUMIFS(TableauRecette[Proportion],TableauRecette[Recette],TableauRecette[[#This Row],[Recette]],TableauRecette[Conditionnement],TableauRecette[[#This Row],[Conditionnement]]),0)</f>
        <v/>
      </c>
      <c r="I338" s="222">
        <f>IFERROR(TableauRecette[[#This Row],[Prix d''achat / kg]],0)</f>
        <v/>
      </c>
      <c r="J338" s="222" t="n"/>
      <c r="K338" s="835" t="n"/>
      <c r="L338" s="836">
        <f>_xlfn.XLOOKUP(TableauRecette[[#This Row],[ID]],TableauProduit[ID],TableauProduit[Total (kg) N1],0,0,1)*TableauRecette[[#This Row],[poids / unite]]</f>
        <v/>
      </c>
      <c r="M338" s="837">
        <f>_xlfn.XLOOKUP(TableauRecette[[#This Row],[ID]],TableauProduit[ID],TableauProduit[Total (kg) N2],0,0,1)*TableauRecette[[#This Row],[poids / unite]]</f>
        <v/>
      </c>
      <c r="N338" s="837">
        <f>_xlfn.XLOOKUP(TableauRecette[[#This Row],[ID]],TableauProduit[ID],TableauProduit[Total (kg) N3],0,0,1)*TableauRecette[[#This Row],[poids / unite]]</f>
        <v/>
      </c>
      <c r="O338" s="837">
        <f>_xlfn.XLOOKUP(TableauRecette[[#This Row],[ID]],TableauProduit[ID],TableauProduit[Total (kg) N4],0,0,1)*TableauRecette[[#This Row],[poids / unite]]</f>
        <v/>
      </c>
      <c r="P338" s="837">
        <f>_xlfn.XLOOKUP(TableauRecette[[#This Row],[ID]],TableauProduit[ID],TableauProduit[Total (kg) N5],0,0,1)*TableauRecette[[#This Row],[poids / unite]]</f>
        <v/>
      </c>
      <c r="Q338" s="837">
        <f>_xlfn.XLOOKUP(TableauRecette[[#This Row],[ID]],TableauProduit[ID],TableauProduit[Total (kg) N6],0,0,1)*TableauRecette[[#This Row],[poids / unite]]</f>
        <v/>
      </c>
      <c r="R338" s="837">
        <f>_xlfn.XLOOKUP(TableauRecette[[#This Row],[ID]],TableauProduit[ID],TableauProduit[Total (kg) N7],0,0,1)*TableauRecette[[#This Row],[poids / unite]]</f>
        <v/>
      </c>
      <c r="S338" s="837">
        <f>_xlfn.XLOOKUP(TableauRecette[[#This Row],[ID]],TableauProduit[ID],TableauProduit[Total (kg) N8],0,0,1)*TableauRecette[[#This Row],[poids / unite]]</f>
        <v/>
      </c>
      <c r="T338" s="837">
        <f>_xlfn.XLOOKUP(TableauRecette[[#This Row],[ID]],TableauProduit[ID],TableauProduit[Total (kg) N9],0,0,1)*TableauRecette[[#This Row],[poids / unite]]</f>
        <v/>
      </c>
    </row>
    <row r="339">
      <c r="A339" s="99" t="inlineStr">
        <is>
          <t>Sriratcha</t>
        </is>
      </c>
      <c r="B339" s="99">
        <f>TableauRecette[[#This Row],[Recette]]&amp;TableauRecette[[#This Row],[Conditionnement]]</f>
        <v/>
      </c>
      <c r="C339" s="99" t="inlineStr">
        <is>
          <t>Concentré De Tomate</t>
        </is>
      </c>
      <c r="D339" s="222" t="n">
        <v>7</v>
      </c>
      <c r="E339" s="99" t="inlineStr">
        <is>
          <t>Epice 100ml</t>
        </is>
      </c>
      <c r="F339" s="22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39" s="222">
        <f>IFERROR(_xlfn.XLOOKUP(TableauRecette[[#This Row],[Ingredients]],TableauIngredients[Ingredients],TableauIngredients[Prix d''achat (kg)],0)*TableauRecette[[#This Row],[poids / unite]],0)</f>
        <v/>
      </c>
      <c r="H339" s="222">
        <f>IFERROR(SUMIFS(TableauRecette[Proportion],TableauRecette[Recette],TableauRecette[[#This Row],[Recette]],TableauRecette[Conditionnement],TableauRecette[[#This Row],[Conditionnement]]),0)</f>
        <v/>
      </c>
      <c r="I339" s="222">
        <f>IFERROR(TableauRecette[[#This Row],[Prix d''achat / kg]],0)</f>
        <v/>
      </c>
      <c r="J339" s="222" t="n"/>
      <c r="K339" s="835" t="n"/>
      <c r="L339" s="836">
        <f>_xlfn.XLOOKUP(TableauRecette[[#This Row],[ID]],TableauProduit[ID],TableauProduit[Total (kg) N1],0,0,1)*TableauRecette[[#This Row],[poids / unite]]</f>
        <v/>
      </c>
      <c r="M339" s="837">
        <f>_xlfn.XLOOKUP(TableauRecette[[#This Row],[ID]],TableauProduit[ID],TableauProduit[Total (kg) N2],0,0,1)*TableauRecette[[#This Row],[poids / unite]]</f>
        <v/>
      </c>
      <c r="N339" s="837">
        <f>_xlfn.XLOOKUP(TableauRecette[[#This Row],[ID]],TableauProduit[ID],TableauProduit[Total (kg) N3],0,0,1)*TableauRecette[[#This Row],[poids / unite]]</f>
        <v/>
      </c>
      <c r="O339" s="837">
        <f>_xlfn.XLOOKUP(TableauRecette[[#This Row],[ID]],TableauProduit[ID],TableauProduit[Total (kg) N4],0,0,1)*TableauRecette[[#This Row],[poids / unite]]</f>
        <v/>
      </c>
      <c r="P339" s="837">
        <f>_xlfn.XLOOKUP(TableauRecette[[#This Row],[ID]],TableauProduit[ID],TableauProduit[Total (kg) N5],0,0,1)*TableauRecette[[#This Row],[poids / unite]]</f>
        <v/>
      </c>
      <c r="Q339" s="837">
        <f>_xlfn.XLOOKUP(TableauRecette[[#This Row],[ID]],TableauProduit[ID],TableauProduit[Total (kg) N6],0,0,1)*TableauRecette[[#This Row],[poids / unite]]</f>
        <v/>
      </c>
      <c r="R339" s="837">
        <f>_xlfn.XLOOKUP(TableauRecette[[#This Row],[ID]],TableauProduit[ID],TableauProduit[Total (kg) N7],0,0,1)*TableauRecette[[#This Row],[poids / unite]]</f>
        <v/>
      </c>
      <c r="S339" s="837">
        <f>_xlfn.XLOOKUP(TableauRecette[[#This Row],[ID]],TableauProduit[ID],TableauProduit[Total (kg) N8],0,0,1)*TableauRecette[[#This Row],[poids / unite]]</f>
        <v/>
      </c>
      <c r="T339" s="837">
        <f>_xlfn.XLOOKUP(TableauRecette[[#This Row],[ID]],TableauProduit[ID],TableauProduit[Total (kg) N9],0,0,1)*TableauRecette[[#This Row],[poids / unite]]</f>
        <v/>
      </c>
    </row>
    <row r="340">
      <c r="A340" s="99" t="inlineStr">
        <is>
          <t>Sriratcha</t>
        </is>
      </c>
      <c r="B340" s="99">
        <f>TableauRecette[[#This Row],[Recette]]&amp;TableauRecette[[#This Row],[Conditionnement]]</f>
        <v/>
      </c>
      <c r="C340" s="99" t="inlineStr">
        <is>
          <t>Huile De Sesame Grillé</t>
        </is>
      </c>
      <c r="D340" s="222" t="n">
        <v>15</v>
      </c>
      <c r="E340" s="99" t="inlineStr">
        <is>
          <t>Epice 100ml</t>
        </is>
      </c>
      <c r="F340" s="22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40" s="222">
        <f>IFERROR(_xlfn.XLOOKUP(TableauRecette[[#This Row],[Ingredients]],TableauIngredients[Ingredients],TableauIngredients[Prix d''achat (kg)],0)*TableauRecette[[#This Row],[poids / unite]],0)</f>
        <v/>
      </c>
      <c r="H340" s="222">
        <f>IFERROR(SUMIFS(TableauRecette[Proportion],TableauRecette[Recette],TableauRecette[[#This Row],[Recette]],TableauRecette[Conditionnement],TableauRecette[[#This Row],[Conditionnement]]),0)</f>
        <v/>
      </c>
      <c r="I340" s="222">
        <f>IFERROR(TableauRecette[[#This Row],[Prix d''achat / kg]],0)</f>
        <v/>
      </c>
      <c r="J340" s="222" t="n"/>
      <c r="K340" s="835" t="n"/>
      <c r="L340" s="836">
        <f>_xlfn.XLOOKUP(TableauRecette[[#This Row],[ID]],TableauProduit[ID],TableauProduit[Total (kg) N1],0,0,1)*TableauRecette[[#This Row],[poids / unite]]</f>
        <v/>
      </c>
      <c r="M340" s="837">
        <f>_xlfn.XLOOKUP(TableauRecette[[#This Row],[ID]],TableauProduit[ID],TableauProduit[Total (kg) N2],0,0,1)*TableauRecette[[#This Row],[poids / unite]]</f>
        <v/>
      </c>
      <c r="N340" s="837">
        <f>_xlfn.XLOOKUP(TableauRecette[[#This Row],[ID]],TableauProduit[ID],TableauProduit[Total (kg) N3],0,0,1)*TableauRecette[[#This Row],[poids / unite]]</f>
        <v/>
      </c>
      <c r="O340" s="837">
        <f>_xlfn.XLOOKUP(TableauRecette[[#This Row],[ID]],TableauProduit[ID],TableauProduit[Total (kg) N4],0,0,1)*TableauRecette[[#This Row],[poids / unite]]</f>
        <v/>
      </c>
      <c r="P340" s="837">
        <f>_xlfn.XLOOKUP(TableauRecette[[#This Row],[ID]],TableauProduit[ID],TableauProduit[Total (kg) N5],0,0,1)*TableauRecette[[#This Row],[poids / unite]]</f>
        <v/>
      </c>
      <c r="Q340" s="837">
        <f>_xlfn.XLOOKUP(TableauRecette[[#This Row],[ID]],TableauProduit[ID],TableauProduit[Total (kg) N6],0,0,1)*TableauRecette[[#This Row],[poids / unite]]</f>
        <v/>
      </c>
      <c r="R340" s="837">
        <f>_xlfn.XLOOKUP(TableauRecette[[#This Row],[ID]],TableauProduit[ID],TableauProduit[Total (kg) N7],0,0,1)*TableauRecette[[#This Row],[poids / unite]]</f>
        <v/>
      </c>
      <c r="S340" s="837">
        <f>_xlfn.XLOOKUP(TableauRecette[[#This Row],[ID]],TableauProduit[ID],TableauProduit[Total (kg) N8],0,0,1)*TableauRecette[[#This Row],[poids / unite]]</f>
        <v/>
      </c>
      <c r="T340" s="837">
        <f>_xlfn.XLOOKUP(TableauRecette[[#This Row],[ID]],TableauProduit[ID],TableauProduit[Total (kg) N9],0,0,1)*TableauRecette[[#This Row],[poids / unite]]</f>
        <v/>
      </c>
    </row>
    <row r="341">
      <c r="A341" s="99" t="inlineStr">
        <is>
          <t>Sriratcha</t>
        </is>
      </c>
      <c r="B341" s="99">
        <f>TableauRecette[[#This Row],[Recette]]&amp;TableauRecette[[#This Row],[Conditionnement]]</f>
        <v/>
      </c>
      <c r="C341" s="99" t="inlineStr">
        <is>
          <t>Huile D'Olive</t>
        </is>
      </c>
      <c r="D341" s="222" t="n">
        <v>10</v>
      </c>
      <c r="E341" s="99" t="inlineStr">
        <is>
          <t>Epice 100ml</t>
        </is>
      </c>
      <c r="F341" s="22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41" s="222">
        <f>IFERROR(_xlfn.XLOOKUP(TableauRecette[[#This Row],[Ingredients]],TableauIngredients[Ingredients],TableauIngredients[Prix d''achat (kg)],0)*TableauRecette[[#This Row],[poids / unite]],0)</f>
        <v/>
      </c>
      <c r="H341" s="222">
        <f>IFERROR(SUMIFS(TableauRecette[Proportion],TableauRecette[Recette],TableauRecette[[#This Row],[Recette]],TableauRecette[Conditionnement],TableauRecette[[#This Row],[Conditionnement]]),0)</f>
        <v/>
      </c>
      <c r="I341" s="222">
        <f>IFERROR(TableauRecette[[#This Row],[Prix d''achat / kg]],0)</f>
        <v/>
      </c>
      <c r="J341" s="222" t="n"/>
      <c r="K341" s="835" t="n"/>
      <c r="L341" s="836">
        <f>_xlfn.XLOOKUP(TableauRecette[[#This Row],[ID]],TableauProduit[ID],TableauProduit[Total (kg) N1],0,0,1)*TableauRecette[[#This Row],[poids / unite]]</f>
        <v/>
      </c>
      <c r="M341" s="837">
        <f>_xlfn.XLOOKUP(TableauRecette[[#This Row],[ID]],TableauProduit[ID],TableauProduit[Total (kg) N2],0,0,1)*TableauRecette[[#This Row],[poids / unite]]</f>
        <v/>
      </c>
      <c r="N341" s="837">
        <f>_xlfn.XLOOKUP(TableauRecette[[#This Row],[ID]],TableauProduit[ID],TableauProduit[Total (kg) N3],0,0,1)*TableauRecette[[#This Row],[poids / unite]]</f>
        <v/>
      </c>
      <c r="O341" s="837">
        <f>_xlfn.XLOOKUP(TableauRecette[[#This Row],[ID]],TableauProduit[ID],TableauProduit[Total (kg) N4],0,0,1)*TableauRecette[[#This Row],[poids / unite]]</f>
        <v/>
      </c>
      <c r="P341" s="837">
        <f>_xlfn.XLOOKUP(TableauRecette[[#This Row],[ID]],TableauProduit[ID],TableauProduit[Total (kg) N5],0,0,1)*TableauRecette[[#This Row],[poids / unite]]</f>
        <v/>
      </c>
      <c r="Q341" s="837">
        <f>_xlfn.XLOOKUP(TableauRecette[[#This Row],[ID]],TableauProduit[ID],TableauProduit[Total (kg) N6],0,0,1)*TableauRecette[[#This Row],[poids / unite]]</f>
        <v/>
      </c>
      <c r="R341" s="837">
        <f>_xlfn.XLOOKUP(TableauRecette[[#This Row],[ID]],TableauProduit[ID],TableauProduit[Total (kg) N7],0,0,1)*TableauRecette[[#This Row],[poids / unite]]</f>
        <v/>
      </c>
      <c r="S341" s="837">
        <f>_xlfn.XLOOKUP(TableauRecette[[#This Row],[ID]],TableauProduit[ID],TableauProduit[Total (kg) N8],0,0,1)*TableauRecette[[#This Row],[poids / unite]]</f>
        <v/>
      </c>
      <c r="T341" s="837">
        <f>_xlfn.XLOOKUP(TableauRecette[[#This Row],[ID]],TableauProduit[ID],TableauProduit[Total (kg) N9],0,0,1)*TableauRecette[[#This Row],[poids / unite]]</f>
        <v/>
      </c>
    </row>
    <row r="342">
      <c r="A342" s="99" t="inlineStr">
        <is>
          <t>Sriratcha</t>
        </is>
      </c>
      <c r="B342" s="99">
        <f>TableauRecette[[#This Row],[Recette]]&amp;TableauRecette[[#This Row],[Conditionnement]]</f>
        <v/>
      </c>
      <c r="C342" s="99" t="inlineStr">
        <is>
          <t>Vinaigre De Cidre</t>
        </is>
      </c>
      <c r="D342" s="222" t="n">
        <v>15</v>
      </c>
      <c r="E342" s="99" t="inlineStr">
        <is>
          <t>Epice 100ml</t>
        </is>
      </c>
      <c r="F342" s="22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42" s="222">
        <f>IFERROR(_xlfn.XLOOKUP(TableauRecette[[#This Row],[Ingredients]],TableauIngredients[Ingredients],TableauIngredients[Prix d''achat (kg)],0)*TableauRecette[[#This Row],[poids / unite]],0)</f>
        <v/>
      </c>
      <c r="H342" s="222">
        <f>IFERROR(SUMIFS(TableauRecette[Proportion],TableauRecette[Recette],TableauRecette[[#This Row],[Recette]],TableauRecette[Conditionnement],TableauRecette[[#This Row],[Conditionnement]]),0)</f>
        <v/>
      </c>
      <c r="I342" s="222">
        <f>IFERROR(TableauRecette[[#This Row],[Prix d''achat / kg]],0)</f>
        <v/>
      </c>
      <c r="J342" s="222" t="n"/>
      <c r="K342" s="835" t="n"/>
      <c r="L342" s="836">
        <f>_xlfn.XLOOKUP(TableauRecette[[#This Row],[ID]],TableauProduit[ID],TableauProduit[Total (kg) N1],0,0,1)*TableauRecette[[#This Row],[poids / unite]]</f>
        <v/>
      </c>
      <c r="M342" s="837">
        <f>_xlfn.XLOOKUP(TableauRecette[[#This Row],[ID]],TableauProduit[ID],TableauProduit[Total (kg) N2],0,0,1)*TableauRecette[[#This Row],[poids / unite]]</f>
        <v/>
      </c>
      <c r="N342" s="837">
        <f>_xlfn.XLOOKUP(TableauRecette[[#This Row],[ID]],TableauProduit[ID],TableauProduit[Total (kg) N3],0,0,1)*TableauRecette[[#This Row],[poids / unite]]</f>
        <v/>
      </c>
      <c r="O342" s="837">
        <f>_xlfn.XLOOKUP(TableauRecette[[#This Row],[ID]],TableauProduit[ID],TableauProduit[Total (kg) N4],0,0,1)*TableauRecette[[#This Row],[poids / unite]]</f>
        <v/>
      </c>
      <c r="P342" s="837">
        <f>_xlfn.XLOOKUP(TableauRecette[[#This Row],[ID]],TableauProduit[ID],TableauProduit[Total (kg) N5],0,0,1)*TableauRecette[[#This Row],[poids / unite]]</f>
        <v/>
      </c>
      <c r="Q342" s="837">
        <f>_xlfn.XLOOKUP(TableauRecette[[#This Row],[ID]],TableauProduit[ID],TableauProduit[Total (kg) N6],0,0,1)*TableauRecette[[#This Row],[poids / unite]]</f>
        <v/>
      </c>
      <c r="R342" s="837">
        <f>_xlfn.XLOOKUP(TableauRecette[[#This Row],[ID]],TableauProduit[ID],TableauProduit[Total (kg) N7],0,0,1)*TableauRecette[[#This Row],[poids / unite]]</f>
        <v/>
      </c>
      <c r="S342" s="837">
        <f>_xlfn.XLOOKUP(TableauRecette[[#This Row],[ID]],TableauProduit[ID],TableauProduit[Total (kg) N8],0,0,1)*TableauRecette[[#This Row],[poids / unite]]</f>
        <v/>
      </c>
      <c r="T342" s="837">
        <f>_xlfn.XLOOKUP(TableauRecette[[#This Row],[ID]],TableauProduit[ID],TableauProduit[Total (kg) N9],0,0,1)*TableauRecette[[#This Row],[poids / unite]]</f>
        <v/>
      </c>
    </row>
    <row r="343">
      <c r="A343" s="99" t="inlineStr">
        <is>
          <t>Sriratcha</t>
        </is>
      </c>
      <c r="B343" s="99">
        <f>TableauRecette[[#This Row],[Recette]]&amp;TableauRecette[[#This Row],[Conditionnement]]</f>
        <v/>
      </c>
      <c r="C343" s="99" t="inlineStr">
        <is>
          <t>Sauce Soja</t>
        </is>
      </c>
      <c r="D343" s="222" t="n">
        <v>5</v>
      </c>
      <c r="E343" s="99" t="inlineStr">
        <is>
          <t>Epice 100ml</t>
        </is>
      </c>
      <c r="F343" s="22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43" s="222">
        <f>IFERROR(_xlfn.XLOOKUP(TableauRecette[[#This Row],[Ingredients]],TableauIngredients[Ingredients],TableauIngredients[Prix d''achat (kg)],0)*TableauRecette[[#This Row],[poids / unite]],0)</f>
        <v/>
      </c>
      <c r="H343" s="222">
        <f>IFERROR(SUMIFS(TableauRecette[Proportion],TableauRecette[Recette],TableauRecette[[#This Row],[Recette]],TableauRecette[Conditionnement],TableauRecette[[#This Row],[Conditionnement]]),0)</f>
        <v/>
      </c>
      <c r="I343" s="222">
        <f>IFERROR(TableauRecette[[#This Row],[Prix d''achat / kg]],0)</f>
        <v/>
      </c>
      <c r="J343" s="222" t="n"/>
      <c r="K343" s="835" t="n"/>
      <c r="L343" s="836">
        <f>_xlfn.XLOOKUP(TableauRecette[[#This Row],[ID]],TableauProduit[ID],TableauProduit[Total (kg) N1],0,0,1)*TableauRecette[[#This Row],[poids / unite]]</f>
        <v/>
      </c>
      <c r="M343" s="837">
        <f>_xlfn.XLOOKUP(TableauRecette[[#This Row],[ID]],TableauProduit[ID],TableauProduit[Total (kg) N2],0,0,1)*TableauRecette[[#This Row],[poids / unite]]</f>
        <v/>
      </c>
      <c r="N343" s="837">
        <f>_xlfn.XLOOKUP(TableauRecette[[#This Row],[ID]],TableauProduit[ID],TableauProduit[Total (kg) N3],0,0,1)*TableauRecette[[#This Row],[poids / unite]]</f>
        <v/>
      </c>
      <c r="O343" s="837">
        <f>_xlfn.XLOOKUP(TableauRecette[[#This Row],[ID]],TableauProduit[ID],TableauProduit[Total (kg) N4],0,0,1)*TableauRecette[[#This Row],[poids / unite]]</f>
        <v/>
      </c>
      <c r="P343" s="837">
        <f>_xlfn.XLOOKUP(TableauRecette[[#This Row],[ID]],TableauProduit[ID],TableauProduit[Total (kg) N5],0,0,1)*TableauRecette[[#This Row],[poids / unite]]</f>
        <v/>
      </c>
      <c r="Q343" s="837">
        <f>_xlfn.XLOOKUP(TableauRecette[[#This Row],[ID]],TableauProduit[ID],TableauProduit[Total (kg) N6],0,0,1)*TableauRecette[[#This Row],[poids / unite]]</f>
        <v/>
      </c>
      <c r="R343" s="837">
        <f>_xlfn.XLOOKUP(TableauRecette[[#This Row],[ID]],TableauProduit[ID],TableauProduit[Total (kg) N7],0,0,1)*TableauRecette[[#This Row],[poids / unite]]</f>
        <v/>
      </c>
      <c r="S343" s="837">
        <f>_xlfn.XLOOKUP(TableauRecette[[#This Row],[ID]],TableauProduit[ID],TableauProduit[Total (kg) N8],0,0,1)*TableauRecette[[#This Row],[poids / unite]]</f>
        <v/>
      </c>
      <c r="T343" s="837">
        <f>_xlfn.XLOOKUP(TableauRecette[[#This Row],[ID]],TableauProduit[ID],TableauProduit[Total (kg) N9],0,0,1)*TableauRecette[[#This Row],[poids / unite]]</f>
        <v/>
      </c>
    </row>
    <row r="344">
      <c r="A344" s="99" t="inlineStr">
        <is>
          <t>Sriratcha</t>
        </is>
      </c>
      <c r="B344" s="99">
        <f>TableauRecette[[#This Row],[Recette]]&amp;TableauRecette[[#This Row],[Conditionnement]]</f>
        <v/>
      </c>
      <c r="C344" s="99" t="inlineStr">
        <is>
          <t>Miel</t>
        </is>
      </c>
      <c r="D344" s="222" t="n">
        <v>7</v>
      </c>
      <c r="E344" s="99" t="inlineStr">
        <is>
          <t>Epice 100ml</t>
        </is>
      </c>
      <c r="F344" s="22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44" s="222">
        <f>IFERROR(_xlfn.XLOOKUP(TableauRecette[[#This Row],[Ingredients]],TableauIngredients[Ingredients],TableauIngredients[Prix d''achat (kg)],0)*TableauRecette[[#This Row],[poids / unite]],0)</f>
        <v/>
      </c>
      <c r="H344" s="222">
        <f>IFERROR(SUMIFS(TableauRecette[Proportion],TableauRecette[Recette],TableauRecette[[#This Row],[Recette]],TableauRecette[Conditionnement],TableauRecette[[#This Row],[Conditionnement]]),0)</f>
        <v/>
      </c>
      <c r="I344" s="222">
        <f>IFERROR(TableauRecette[[#This Row],[Prix d''achat / kg]],0)</f>
        <v/>
      </c>
      <c r="J344" s="222" t="n"/>
      <c r="K344" s="835" t="n"/>
      <c r="L344" s="836">
        <f>_xlfn.XLOOKUP(TableauRecette[[#This Row],[ID]],TableauProduit[ID],TableauProduit[Total (kg) N1],0,0,1)*TableauRecette[[#This Row],[poids / unite]]</f>
        <v/>
      </c>
      <c r="M344" s="837">
        <f>_xlfn.XLOOKUP(TableauRecette[[#This Row],[ID]],TableauProduit[ID],TableauProduit[Total (kg) N2],0,0,1)*TableauRecette[[#This Row],[poids / unite]]</f>
        <v/>
      </c>
      <c r="N344" s="837">
        <f>_xlfn.XLOOKUP(TableauRecette[[#This Row],[ID]],TableauProduit[ID],TableauProduit[Total (kg) N3],0,0,1)*TableauRecette[[#This Row],[poids / unite]]</f>
        <v/>
      </c>
      <c r="O344" s="837">
        <f>_xlfn.XLOOKUP(TableauRecette[[#This Row],[ID]],TableauProduit[ID],TableauProduit[Total (kg) N4],0,0,1)*TableauRecette[[#This Row],[poids / unite]]</f>
        <v/>
      </c>
      <c r="P344" s="837">
        <f>_xlfn.XLOOKUP(TableauRecette[[#This Row],[ID]],TableauProduit[ID],TableauProduit[Total (kg) N5],0,0,1)*TableauRecette[[#This Row],[poids / unite]]</f>
        <v/>
      </c>
      <c r="Q344" s="837">
        <f>_xlfn.XLOOKUP(TableauRecette[[#This Row],[ID]],TableauProduit[ID],TableauProduit[Total (kg) N6],0,0,1)*TableauRecette[[#This Row],[poids / unite]]</f>
        <v/>
      </c>
      <c r="R344" s="837">
        <f>_xlfn.XLOOKUP(TableauRecette[[#This Row],[ID]],TableauProduit[ID],TableauProduit[Total (kg) N7],0,0,1)*TableauRecette[[#This Row],[poids / unite]]</f>
        <v/>
      </c>
      <c r="S344" s="837">
        <f>_xlfn.XLOOKUP(TableauRecette[[#This Row],[ID]],TableauProduit[ID],TableauProduit[Total (kg) N8],0,0,1)*TableauRecette[[#This Row],[poids / unite]]</f>
        <v/>
      </c>
      <c r="T344" s="837">
        <f>_xlfn.XLOOKUP(TableauRecette[[#This Row],[ID]],TableauProduit[ID],TableauProduit[Total (kg) N9],0,0,1)*TableauRecette[[#This Row],[poids / unite]]</f>
        <v/>
      </c>
    </row>
    <row r="345">
      <c r="A345" s="100" t="inlineStr">
        <is>
          <t>Steak de Montreal</t>
        </is>
      </c>
      <c r="B345" s="100">
        <f>TableauRecette[[#This Row],[Recette]]&amp;TableauRecette[[#This Row],[Conditionnement]]</f>
        <v/>
      </c>
      <c r="C345" s="100" t="inlineStr">
        <is>
          <t>Paprika</t>
        </is>
      </c>
      <c r="D345" s="223" t="n">
        <v>1</v>
      </c>
      <c r="E345" s="100" t="inlineStr">
        <is>
          <t>Epice 100ml</t>
        </is>
      </c>
      <c r="F345" s="22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45" s="223">
        <f>IFERROR(_xlfn.XLOOKUP(TableauRecette[[#This Row],[Ingredients]],TableauIngredients[Ingredients],TableauIngredients[Prix d''achat (kg)],0)*TableauRecette[[#This Row],[poids / unite]],0)</f>
        <v/>
      </c>
      <c r="H345" s="223">
        <f>IFERROR(SUMIFS(TableauRecette[Proportion],TableauRecette[Recette],TableauRecette[[#This Row],[Recette]],TableauRecette[Conditionnement],TableauRecette[[#This Row],[Conditionnement]]),0)</f>
        <v/>
      </c>
      <c r="I345" s="223">
        <f>IFERROR(TableauRecette[[#This Row],[Prix d''achat / kg]],0)</f>
        <v/>
      </c>
      <c r="J345" s="223" t="n"/>
      <c r="K345" s="838" t="n"/>
      <c r="L345" s="839">
        <f>_xlfn.XLOOKUP(TableauRecette[[#This Row],[ID]],TableauProduit[ID],TableauProduit[Total (kg) N1],0,0,1)*TableauRecette[[#This Row],[poids / unite]]</f>
        <v/>
      </c>
      <c r="M345" s="840">
        <f>_xlfn.XLOOKUP(TableauRecette[[#This Row],[ID]],TableauProduit[ID],TableauProduit[Total (kg) N2],0,0,1)*TableauRecette[[#This Row],[poids / unite]]</f>
        <v/>
      </c>
      <c r="N345" s="840">
        <f>_xlfn.XLOOKUP(TableauRecette[[#This Row],[ID]],TableauProduit[ID],TableauProduit[Total (kg) N3],0,0,1)*TableauRecette[[#This Row],[poids / unite]]</f>
        <v/>
      </c>
      <c r="O345" s="840">
        <f>_xlfn.XLOOKUP(TableauRecette[[#This Row],[ID]],TableauProduit[ID],TableauProduit[Total (kg) N4],0,0,1)*TableauRecette[[#This Row],[poids / unite]]</f>
        <v/>
      </c>
      <c r="P345" s="840">
        <f>_xlfn.XLOOKUP(TableauRecette[[#This Row],[ID]],TableauProduit[ID],TableauProduit[Total (kg) N5],0,0,1)*TableauRecette[[#This Row],[poids / unite]]</f>
        <v/>
      </c>
      <c r="Q345" s="840">
        <f>_xlfn.XLOOKUP(TableauRecette[[#This Row],[ID]],TableauProduit[ID],TableauProduit[Total (kg) N6],0,0,1)*TableauRecette[[#This Row],[poids / unite]]</f>
        <v/>
      </c>
      <c r="R345" s="840">
        <f>_xlfn.XLOOKUP(TableauRecette[[#This Row],[ID]],TableauProduit[ID],TableauProduit[Total (kg) N7],0,0,1)*TableauRecette[[#This Row],[poids / unite]]</f>
        <v/>
      </c>
      <c r="S345" s="840">
        <f>_xlfn.XLOOKUP(TableauRecette[[#This Row],[ID]],TableauProduit[ID],TableauProduit[Total (kg) N8],0,0,1)*TableauRecette[[#This Row],[poids / unite]]</f>
        <v/>
      </c>
      <c r="T345" s="840">
        <f>_xlfn.XLOOKUP(TableauRecette[[#This Row],[ID]],TableauProduit[ID],TableauProduit[Total (kg) N9],0,0,1)*TableauRecette[[#This Row],[poids / unite]]</f>
        <v/>
      </c>
    </row>
    <row r="346">
      <c r="A346" s="100" t="inlineStr">
        <is>
          <t>Steak de Montreal</t>
        </is>
      </c>
      <c r="B346" s="100">
        <f>TableauRecette[[#This Row],[Recette]]&amp;TableauRecette[[#This Row],[Conditionnement]]</f>
        <v/>
      </c>
      <c r="C346" s="100" t="inlineStr">
        <is>
          <t>Poivre Noir</t>
        </is>
      </c>
      <c r="D346" s="223" t="n">
        <v>4</v>
      </c>
      <c r="E346" s="100" t="inlineStr">
        <is>
          <t>Epice 100ml</t>
        </is>
      </c>
      <c r="F346" s="22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46" s="223">
        <f>IFERROR(_xlfn.XLOOKUP(TableauRecette[[#This Row],[Ingredients]],TableauIngredients[Ingredients],TableauIngredients[Prix d''achat (kg)],0)*TableauRecette[[#This Row],[poids / unite]],0)</f>
        <v/>
      </c>
      <c r="H346" s="223">
        <f>IFERROR(SUMIFS(TableauRecette[Proportion],TableauRecette[Recette],TableauRecette[[#This Row],[Recette]],TableauRecette[Conditionnement],TableauRecette[[#This Row],[Conditionnement]]),0)</f>
        <v/>
      </c>
      <c r="I346" s="223">
        <f>IFERROR(TableauRecette[[#This Row],[Prix d''achat / kg]],0)</f>
        <v/>
      </c>
      <c r="J346" s="223" t="n"/>
      <c r="K346" s="838" t="n"/>
      <c r="L346" s="839">
        <f>_xlfn.XLOOKUP(TableauRecette[[#This Row],[ID]],TableauProduit[ID],TableauProduit[Total (kg) N1],0,0,1)*TableauRecette[[#This Row],[poids / unite]]</f>
        <v/>
      </c>
      <c r="M346" s="840">
        <f>_xlfn.XLOOKUP(TableauRecette[[#This Row],[ID]],TableauProduit[ID],TableauProduit[Total (kg) N2],0,0,1)*TableauRecette[[#This Row],[poids / unite]]</f>
        <v/>
      </c>
      <c r="N346" s="840">
        <f>_xlfn.XLOOKUP(TableauRecette[[#This Row],[ID]],TableauProduit[ID],TableauProduit[Total (kg) N3],0,0,1)*TableauRecette[[#This Row],[poids / unite]]</f>
        <v/>
      </c>
      <c r="O346" s="840">
        <f>_xlfn.XLOOKUP(TableauRecette[[#This Row],[ID]],TableauProduit[ID],TableauProduit[Total (kg) N4],0,0,1)*TableauRecette[[#This Row],[poids / unite]]</f>
        <v/>
      </c>
      <c r="P346" s="840">
        <f>_xlfn.XLOOKUP(TableauRecette[[#This Row],[ID]],TableauProduit[ID],TableauProduit[Total (kg) N5],0,0,1)*TableauRecette[[#This Row],[poids / unite]]</f>
        <v/>
      </c>
      <c r="Q346" s="840">
        <f>_xlfn.XLOOKUP(TableauRecette[[#This Row],[ID]],TableauProduit[ID],TableauProduit[Total (kg) N6],0,0,1)*TableauRecette[[#This Row],[poids / unite]]</f>
        <v/>
      </c>
      <c r="R346" s="840">
        <f>_xlfn.XLOOKUP(TableauRecette[[#This Row],[ID]],TableauProduit[ID],TableauProduit[Total (kg) N7],0,0,1)*TableauRecette[[#This Row],[poids / unite]]</f>
        <v/>
      </c>
      <c r="S346" s="840">
        <f>_xlfn.XLOOKUP(TableauRecette[[#This Row],[ID]],TableauProduit[ID],TableauProduit[Total (kg) N8],0,0,1)*TableauRecette[[#This Row],[poids / unite]]</f>
        <v/>
      </c>
      <c r="T346" s="840">
        <f>_xlfn.XLOOKUP(TableauRecette[[#This Row],[ID]],TableauProduit[ID],TableauProduit[Total (kg) N9],0,0,1)*TableauRecette[[#This Row],[poids / unite]]</f>
        <v/>
      </c>
    </row>
    <row r="347">
      <c r="A347" s="100" t="inlineStr">
        <is>
          <t>Steak de Montreal</t>
        </is>
      </c>
      <c r="B347" s="100">
        <f>TableauRecette[[#This Row],[Recette]]&amp;TableauRecette[[#This Row],[Conditionnement]]</f>
        <v/>
      </c>
      <c r="C347" s="100" t="inlineStr">
        <is>
          <t>Oignon Séché</t>
        </is>
      </c>
      <c r="D347" s="223" t="n">
        <v>2</v>
      </c>
      <c r="E347" s="100" t="inlineStr">
        <is>
          <t>Epice 100ml</t>
        </is>
      </c>
      <c r="F347" s="22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47" s="223">
        <f>IFERROR(_xlfn.XLOOKUP(TableauRecette[[#This Row],[Ingredients]],TableauIngredients[Ingredients],TableauIngredients[Prix d''achat (kg)],0)*TableauRecette[[#This Row],[poids / unite]],0)</f>
        <v/>
      </c>
      <c r="H347" s="223">
        <f>IFERROR(SUMIFS(TableauRecette[Proportion],TableauRecette[Recette],TableauRecette[[#This Row],[Recette]],TableauRecette[Conditionnement],TableauRecette[[#This Row],[Conditionnement]]),0)</f>
        <v/>
      </c>
      <c r="I347" s="223">
        <f>IFERROR(TableauRecette[[#This Row],[Prix d''achat / kg]],0)</f>
        <v/>
      </c>
      <c r="J347" s="223" t="n"/>
      <c r="K347" s="838" t="n"/>
      <c r="L347" s="839">
        <f>_xlfn.XLOOKUP(TableauRecette[[#This Row],[ID]],TableauProduit[ID],TableauProduit[Total (kg) N1],0,0,1)*TableauRecette[[#This Row],[poids / unite]]</f>
        <v/>
      </c>
      <c r="M347" s="840">
        <f>_xlfn.XLOOKUP(TableauRecette[[#This Row],[ID]],TableauProduit[ID],TableauProduit[Total (kg) N2],0,0,1)*TableauRecette[[#This Row],[poids / unite]]</f>
        <v/>
      </c>
      <c r="N347" s="840">
        <f>_xlfn.XLOOKUP(TableauRecette[[#This Row],[ID]],TableauProduit[ID],TableauProduit[Total (kg) N3],0,0,1)*TableauRecette[[#This Row],[poids / unite]]</f>
        <v/>
      </c>
      <c r="O347" s="840">
        <f>_xlfn.XLOOKUP(TableauRecette[[#This Row],[ID]],TableauProduit[ID],TableauProduit[Total (kg) N4],0,0,1)*TableauRecette[[#This Row],[poids / unite]]</f>
        <v/>
      </c>
      <c r="P347" s="840">
        <f>_xlfn.XLOOKUP(TableauRecette[[#This Row],[ID]],TableauProduit[ID],TableauProduit[Total (kg) N5],0,0,1)*TableauRecette[[#This Row],[poids / unite]]</f>
        <v/>
      </c>
      <c r="Q347" s="840">
        <f>_xlfn.XLOOKUP(TableauRecette[[#This Row],[ID]],TableauProduit[ID],TableauProduit[Total (kg) N6],0,0,1)*TableauRecette[[#This Row],[poids / unite]]</f>
        <v/>
      </c>
      <c r="R347" s="840">
        <f>_xlfn.XLOOKUP(TableauRecette[[#This Row],[ID]],TableauProduit[ID],TableauProduit[Total (kg) N7],0,0,1)*TableauRecette[[#This Row],[poids / unite]]</f>
        <v/>
      </c>
      <c r="S347" s="840">
        <f>_xlfn.XLOOKUP(TableauRecette[[#This Row],[ID]],TableauProduit[ID],TableauProduit[Total (kg) N8],0,0,1)*TableauRecette[[#This Row],[poids / unite]]</f>
        <v/>
      </c>
      <c r="T347" s="840">
        <f>_xlfn.XLOOKUP(TableauRecette[[#This Row],[ID]],TableauProduit[ID],TableauProduit[Total (kg) N9],0,0,1)*TableauRecette[[#This Row],[poids / unite]]</f>
        <v/>
      </c>
    </row>
    <row r="348">
      <c r="A348" s="100" t="inlineStr">
        <is>
          <t>Steak de Montreal</t>
        </is>
      </c>
      <c r="B348" s="100">
        <f>TableauRecette[[#This Row],[Recette]]&amp;TableauRecette[[#This Row],[Conditionnement]]</f>
        <v/>
      </c>
      <c r="C348" s="100" t="inlineStr">
        <is>
          <t>Aneth SEC</t>
        </is>
      </c>
      <c r="D348" s="223" t="n">
        <v>2</v>
      </c>
      <c r="E348" s="100" t="inlineStr">
        <is>
          <t>Epice 100ml</t>
        </is>
      </c>
      <c r="F348" s="22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48" s="223">
        <f>IFERROR(_xlfn.XLOOKUP(TableauRecette[[#This Row],[Ingredients]],TableauIngredients[Ingredients],TableauIngredients[Prix d''achat (kg)],0)*TableauRecette[[#This Row],[poids / unite]],0)</f>
        <v/>
      </c>
      <c r="H348" s="223">
        <f>IFERROR(SUMIFS(TableauRecette[Proportion],TableauRecette[Recette],TableauRecette[[#This Row],[Recette]],TableauRecette[Conditionnement],TableauRecette[[#This Row],[Conditionnement]]),0)</f>
        <v/>
      </c>
      <c r="I348" s="223">
        <f>IFERROR(TableauRecette[[#This Row],[Prix d''achat / kg]],0)</f>
        <v/>
      </c>
      <c r="J348" s="223" t="n"/>
      <c r="K348" s="838" t="n"/>
      <c r="L348" s="839">
        <f>_xlfn.XLOOKUP(TableauRecette[[#This Row],[ID]],TableauProduit[ID],TableauProduit[Total (kg) N1],0,0,1)*TableauRecette[[#This Row],[poids / unite]]</f>
        <v/>
      </c>
      <c r="M348" s="840">
        <f>_xlfn.XLOOKUP(TableauRecette[[#This Row],[ID]],TableauProduit[ID],TableauProduit[Total (kg) N2],0,0,1)*TableauRecette[[#This Row],[poids / unite]]</f>
        <v/>
      </c>
      <c r="N348" s="840">
        <f>_xlfn.XLOOKUP(TableauRecette[[#This Row],[ID]],TableauProduit[ID],TableauProduit[Total (kg) N3],0,0,1)*TableauRecette[[#This Row],[poids / unite]]</f>
        <v/>
      </c>
      <c r="O348" s="840">
        <f>_xlfn.XLOOKUP(TableauRecette[[#This Row],[ID]],TableauProduit[ID],TableauProduit[Total (kg) N4],0,0,1)*TableauRecette[[#This Row],[poids / unite]]</f>
        <v/>
      </c>
      <c r="P348" s="840">
        <f>_xlfn.XLOOKUP(TableauRecette[[#This Row],[ID]],TableauProduit[ID],TableauProduit[Total (kg) N5],0,0,1)*TableauRecette[[#This Row],[poids / unite]]</f>
        <v/>
      </c>
      <c r="Q348" s="840">
        <f>_xlfn.XLOOKUP(TableauRecette[[#This Row],[ID]],TableauProduit[ID],TableauProduit[Total (kg) N6],0,0,1)*TableauRecette[[#This Row],[poids / unite]]</f>
        <v/>
      </c>
      <c r="R348" s="840">
        <f>_xlfn.XLOOKUP(TableauRecette[[#This Row],[ID]],TableauProduit[ID],TableauProduit[Total (kg) N7],0,0,1)*TableauRecette[[#This Row],[poids / unite]]</f>
        <v/>
      </c>
      <c r="S348" s="840">
        <f>_xlfn.XLOOKUP(TableauRecette[[#This Row],[ID]],TableauProduit[ID],TableauProduit[Total (kg) N8],0,0,1)*TableauRecette[[#This Row],[poids / unite]]</f>
        <v/>
      </c>
      <c r="T348" s="840">
        <f>_xlfn.XLOOKUP(TableauRecette[[#This Row],[ID]],TableauProduit[ID],TableauProduit[Total (kg) N9],0,0,1)*TableauRecette[[#This Row],[poids / unite]]</f>
        <v/>
      </c>
    </row>
    <row r="349">
      <c r="A349" s="100" t="inlineStr">
        <is>
          <t>Steak de Montreal</t>
        </is>
      </c>
      <c r="B349" s="100">
        <f>TableauRecette[[#This Row],[Recette]]&amp;TableauRecette[[#This Row],[Conditionnement]]</f>
        <v/>
      </c>
      <c r="C349" s="100" t="inlineStr">
        <is>
          <t>Coriandre Graine</t>
        </is>
      </c>
      <c r="D349" s="223" t="n">
        <v>2</v>
      </c>
      <c r="E349" s="100" t="inlineStr">
        <is>
          <t>Epice 100ml</t>
        </is>
      </c>
      <c r="F349" s="22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49" s="223">
        <f>IFERROR(_xlfn.XLOOKUP(TableauRecette[[#This Row],[Ingredients]],TableauIngredients[Ingredients],TableauIngredients[Prix d''achat (kg)],0)*TableauRecette[[#This Row],[poids / unite]],0)</f>
        <v/>
      </c>
      <c r="H349" s="223">
        <f>IFERROR(SUMIFS(TableauRecette[Proportion],TableauRecette[Recette],TableauRecette[[#This Row],[Recette]],TableauRecette[Conditionnement],TableauRecette[[#This Row],[Conditionnement]]),0)</f>
        <v/>
      </c>
      <c r="I349" s="223">
        <f>IFERROR(TableauRecette[[#This Row],[Prix d''achat / kg]],0)</f>
        <v/>
      </c>
      <c r="J349" s="223" t="n"/>
      <c r="K349" s="838" t="n"/>
      <c r="L349" s="839">
        <f>_xlfn.XLOOKUP(TableauRecette[[#This Row],[ID]],TableauProduit[ID],TableauProduit[Total (kg) N1],0,0,1)*TableauRecette[[#This Row],[poids / unite]]</f>
        <v/>
      </c>
      <c r="M349" s="840">
        <f>_xlfn.XLOOKUP(TableauRecette[[#This Row],[ID]],TableauProduit[ID],TableauProduit[Total (kg) N2],0,0,1)*TableauRecette[[#This Row],[poids / unite]]</f>
        <v/>
      </c>
      <c r="N349" s="840">
        <f>_xlfn.XLOOKUP(TableauRecette[[#This Row],[ID]],TableauProduit[ID],TableauProduit[Total (kg) N3],0,0,1)*TableauRecette[[#This Row],[poids / unite]]</f>
        <v/>
      </c>
      <c r="O349" s="840">
        <f>_xlfn.XLOOKUP(TableauRecette[[#This Row],[ID]],TableauProduit[ID],TableauProduit[Total (kg) N4],0,0,1)*TableauRecette[[#This Row],[poids / unite]]</f>
        <v/>
      </c>
      <c r="P349" s="840">
        <f>_xlfn.XLOOKUP(TableauRecette[[#This Row],[ID]],TableauProduit[ID],TableauProduit[Total (kg) N5],0,0,1)*TableauRecette[[#This Row],[poids / unite]]</f>
        <v/>
      </c>
      <c r="Q349" s="840">
        <f>_xlfn.XLOOKUP(TableauRecette[[#This Row],[ID]],TableauProduit[ID],TableauProduit[Total (kg) N6],0,0,1)*TableauRecette[[#This Row],[poids / unite]]</f>
        <v/>
      </c>
      <c r="R349" s="840">
        <f>_xlfn.XLOOKUP(TableauRecette[[#This Row],[ID]],TableauProduit[ID],TableauProduit[Total (kg) N7],0,0,1)*TableauRecette[[#This Row],[poids / unite]]</f>
        <v/>
      </c>
      <c r="S349" s="840">
        <f>_xlfn.XLOOKUP(TableauRecette[[#This Row],[ID]],TableauProduit[ID],TableauProduit[Total (kg) N8],0,0,1)*TableauRecette[[#This Row],[poids / unite]]</f>
        <v/>
      </c>
      <c r="T349" s="840">
        <f>_xlfn.XLOOKUP(TableauRecette[[#This Row],[ID]],TableauProduit[ID],TableauProduit[Total (kg) N9],0,0,1)*TableauRecette[[#This Row],[poids / unite]]</f>
        <v/>
      </c>
    </row>
    <row r="350">
      <c r="A350" s="100" t="inlineStr">
        <is>
          <t>Steak de Montreal</t>
        </is>
      </c>
      <c r="B350" s="100">
        <f>TableauRecette[[#This Row],[Recette]]&amp;TableauRecette[[#This Row],[Conditionnement]]</f>
        <v/>
      </c>
      <c r="C350" s="100" t="inlineStr">
        <is>
          <t>Romarin</t>
        </is>
      </c>
      <c r="D350" s="223" t="n">
        <v>1</v>
      </c>
      <c r="E350" s="100" t="inlineStr">
        <is>
          <t>Epice 100ml</t>
        </is>
      </c>
      <c r="F350" s="22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50" s="223">
        <f>IFERROR(_xlfn.XLOOKUP(TableauRecette[[#This Row],[Ingredients]],TableauIngredients[Ingredients],TableauIngredients[Prix d''achat (kg)],0)*TableauRecette[[#This Row],[poids / unite]],0)</f>
        <v/>
      </c>
      <c r="H350" s="223">
        <f>IFERROR(SUMIFS(TableauRecette[Proportion],TableauRecette[Recette],TableauRecette[[#This Row],[Recette]],TableauRecette[Conditionnement],TableauRecette[[#This Row],[Conditionnement]]),0)</f>
        <v/>
      </c>
      <c r="I350" s="223">
        <f>IFERROR(TableauRecette[[#This Row],[Prix d''achat / kg]],0)</f>
        <v/>
      </c>
      <c r="J350" s="223" t="n"/>
      <c r="K350" s="838" t="n"/>
      <c r="L350" s="839">
        <f>_xlfn.XLOOKUP(TableauRecette[[#This Row],[ID]],TableauProduit[ID],TableauProduit[Total (kg) N1],0,0,1)*TableauRecette[[#This Row],[poids / unite]]</f>
        <v/>
      </c>
      <c r="M350" s="840">
        <f>_xlfn.XLOOKUP(TableauRecette[[#This Row],[ID]],TableauProduit[ID],TableauProduit[Total (kg) N2],0,0,1)*TableauRecette[[#This Row],[poids / unite]]</f>
        <v/>
      </c>
      <c r="N350" s="840">
        <f>_xlfn.XLOOKUP(TableauRecette[[#This Row],[ID]],TableauProduit[ID],TableauProduit[Total (kg) N3],0,0,1)*TableauRecette[[#This Row],[poids / unite]]</f>
        <v/>
      </c>
      <c r="O350" s="840">
        <f>_xlfn.XLOOKUP(TableauRecette[[#This Row],[ID]],TableauProduit[ID],TableauProduit[Total (kg) N4],0,0,1)*TableauRecette[[#This Row],[poids / unite]]</f>
        <v/>
      </c>
      <c r="P350" s="840">
        <f>_xlfn.XLOOKUP(TableauRecette[[#This Row],[ID]],TableauProduit[ID],TableauProduit[Total (kg) N5],0,0,1)*TableauRecette[[#This Row],[poids / unite]]</f>
        <v/>
      </c>
      <c r="Q350" s="840">
        <f>_xlfn.XLOOKUP(TableauRecette[[#This Row],[ID]],TableauProduit[ID],TableauProduit[Total (kg) N6],0,0,1)*TableauRecette[[#This Row],[poids / unite]]</f>
        <v/>
      </c>
      <c r="R350" s="840">
        <f>_xlfn.XLOOKUP(TableauRecette[[#This Row],[ID]],TableauProduit[ID],TableauProduit[Total (kg) N7],0,0,1)*TableauRecette[[#This Row],[poids / unite]]</f>
        <v/>
      </c>
      <c r="S350" s="840">
        <f>_xlfn.XLOOKUP(TableauRecette[[#This Row],[ID]],TableauProduit[ID],TableauProduit[Total (kg) N8],0,0,1)*TableauRecette[[#This Row],[poids / unite]]</f>
        <v/>
      </c>
      <c r="T350" s="840">
        <f>_xlfn.XLOOKUP(TableauRecette[[#This Row],[ID]],TableauProduit[ID],TableauProduit[Total (kg) N9],0,0,1)*TableauRecette[[#This Row],[poids / unite]]</f>
        <v/>
      </c>
    </row>
    <row r="351">
      <c r="A351" s="100" t="inlineStr">
        <is>
          <t>Steak de Montreal</t>
        </is>
      </c>
      <c r="B351" s="100">
        <f>TableauRecette[[#This Row],[Recette]]&amp;TableauRecette[[#This Row],[Conditionnement]]</f>
        <v/>
      </c>
      <c r="C351" s="100" t="inlineStr">
        <is>
          <t>Graine De Moutarde</t>
        </is>
      </c>
      <c r="D351" s="223" t="n">
        <v>1</v>
      </c>
      <c r="E351" s="100" t="inlineStr">
        <is>
          <t>Epice 100ml</t>
        </is>
      </c>
      <c r="F351" s="22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51" s="223">
        <f>IFERROR(_xlfn.XLOOKUP(TableauRecette[[#This Row],[Ingredients]],TableauIngredients[Ingredients],TableauIngredients[Prix d''achat (kg)],0)*TableauRecette[[#This Row],[poids / unite]],0)</f>
        <v/>
      </c>
      <c r="H351" s="223">
        <f>IFERROR(SUMIFS(TableauRecette[Proportion],TableauRecette[Recette],TableauRecette[[#This Row],[Recette]],TableauRecette[Conditionnement],TableauRecette[[#This Row],[Conditionnement]]),0)</f>
        <v/>
      </c>
      <c r="I351" s="223">
        <f>IFERROR(TableauRecette[[#This Row],[Prix d''achat / kg]],0)</f>
        <v/>
      </c>
      <c r="J351" s="223" t="n"/>
      <c r="K351" s="838" t="n"/>
      <c r="L351" s="839">
        <f>_xlfn.XLOOKUP(TableauRecette[[#This Row],[ID]],TableauProduit[ID],TableauProduit[Total (kg) N1],0,0,1)*TableauRecette[[#This Row],[poids / unite]]</f>
        <v/>
      </c>
      <c r="M351" s="840">
        <f>_xlfn.XLOOKUP(TableauRecette[[#This Row],[ID]],TableauProduit[ID],TableauProduit[Total (kg) N2],0,0,1)*TableauRecette[[#This Row],[poids / unite]]</f>
        <v/>
      </c>
      <c r="N351" s="840">
        <f>_xlfn.XLOOKUP(TableauRecette[[#This Row],[ID]],TableauProduit[ID],TableauProduit[Total (kg) N3],0,0,1)*TableauRecette[[#This Row],[poids / unite]]</f>
        <v/>
      </c>
      <c r="O351" s="840">
        <f>_xlfn.XLOOKUP(TableauRecette[[#This Row],[ID]],TableauProduit[ID],TableauProduit[Total (kg) N4],0,0,1)*TableauRecette[[#This Row],[poids / unite]]</f>
        <v/>
      </c>
      <c r="P351" s="840">
        <f>_xlfn.XLOOKUP(TableauRecette[[#This Row],[ID]],TableauProduit[ID],TableauProduit[Total (kg) N5],0,0,1)*TableauRecette[[#This Row],[poids / unite]]</f>
        <v/>
      </c>
      <c r="Q351" s="840">
        <f>_xlfn.XLOOKUP(TableauRecette[[#This Row],[ID]],TableauProduit[ID],TableauProduit[Total (kg) N6],0,0,1)*TableauRecette[[#This Row],[poids / unite]]</f>
        <v/>
      </c>
      <c r="R351" s="840">
        <f>_xlfn.XLOOKUP(TableauRecette[[#This Row],[ID]],TableauProduit[ID],TableauProduit[Total (kg) N7],0,0,1)*TableauRecette[[#This Row],[poids / unite]]</f>
        <v/>
      </c>
      <c r="S351" s="840">
        <f>_xlfn.XLOOKUP(TableauRecette[[#This Row],[ID]],TableauProduit[ID],TableauProduit[Total (kg) N8],0,0,1)*TableauRecette[[#This Row],[poids / unite]]</f>
        <v/>
      </c>
      <c r="T351" s="840">
        <f>_xlfn.XLOOKUP(TableauRecette[[#This Row],[ID]],TableauProduit[ID],TableauProduit[Total (kg) N9],0,0,1)*TableauRecette[[#This Row],[poids / unite]]</f>
        <v/>
      </c>
    </row>
    <row r="352">
      <c r="A352" s="100" t="inlineStr">
        <is>
          <t>Steak de Montreal</t>
        </is>
      </c>
      <c r="B352" s="100">
        <f>TableauRecette[[#This Row],[Recette]]&amp;TableauRecette[[#This Row],[Conditionnement]]</f>
        <v/>
      </c>
      <c r="C352" s="100" t="inlineStr">
        <is>
          <t>Graine De Cumin</t>
        </is>
      </c>
      <c r="D352" s="223" t="n">
        <v>1</v>
      </c>
      <c r="E352" s="100" t="inlineStr">
        <is>
          <t>Epice 100ml</t>
        </is>
      </c>
      <c r="F352" s="22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52" s="223">
        <f>IFERROR(_xlfn.XLOOKUP(TableauRecette[[#This Row],[Ingredients]],TableauIngredients[Ingredients],TableauIngredients[Prix d''achat (kg)],0)*TableauRecette[[#This Row],[poids / unite]],0)</f>
        <v/>
      </c>
      <c r="H352" s="223">
        <f>IFERROR(SUMIFS(TableauRecette[Proportion],TableauRecette[Recette],TableauRecette[[#This Row],[Recette]],TableauRecette[Conditionnement],TableauRecette[[#This Row],[Conditionnement]]),0)</f>
        <v/>
      </c>
      <c r="I352" s="223">
        <f>IFERROR(TableauRecette[[#This Row],[Prix d''achat / kg]],0)</f>
        <v/>
      </c>
      <c r="J352" s="223" t="n"/>
      <c r="K352" s="838" t="n"/>
      <c r="L352" s="839">
        <f>_xlfn.XLOOKUP(TableauRecette[[#This Row],[ID]],TableauProduit[ID],TableauProduit[Total (kg) N1],0,0,1)*TableauRecette[[#This Row],[poids / unite]]</f>
        <v/>
      </c>
      <c r="M352" s="840">
        <f>_xlfn.XLOOKUP(TableauRecette[[#This Row],[ID]],TableauProduit[ID],TableauProduit[Total (kg) N2],0,0,1)*TableauRecette[[#This Row],[poids / unite]]</f>
        <v/>
      </c>
      <c r="N352" s="840">
        <f>_xlfn.XLOOKUP(TableauRecette[[#This Row],[ID]],TableauProduit[ID],TableauProduit[Total (kg) N3],0,0,1)*TableauRecette[[#This Row],[poids / unite]]</f>
        <v/>
      </c>
      <c r="O352" s="840">
        <f>_xlfn.XLOOKUP(TableauRecette[[#This Row],[ID]],TableauProduit[ID],TableauProduit[Total (kg) N4],0,0,1)*TableauRecette[[#This Row],[poids / unite]]</f>
        <v/>
      </c>
      <c r="P352" s="840">
        <f>_xlfn.XLOOKUP(TableauRecette[[#This Row],[ID]],TableauProduit[ID],TableauProduit[Total (kg) N5],0,0,1)*TableauRecette[[#This Row],[poids / unite]]</f>
        <v/>
      </c>
      <c r="Q352" s="840">
        <f>_xlfn.XLOOKUP(TableauRecette[[#This Row],[ID]],TableauProduit[ID],TableauProduit[Total (kg) N6],0,0,1)*TableauRecette[[#This Row],[poids / unite]]</f>
        <v/>
      </c>
      <c r="R352" s="840">
        <f>_xlfn.XLOOKUP(TableauRecette[[#This Row],[ID]],TableauProduit[ID],TableauProduit[Total (kg) N7],0,0,1)*TableauRecette[[#This Row],[poids / unite]]</f>
        <v/>
      </c>
      <c r="S352" s="840">
        <f>_xlfn.XLOOKUP(TableauRecette[[#This Row],[ID]],TableauProduit[ID],TableauProduit[Total (kg) N8],0,0,1)*TableauRecette[[#This Row],[poids / unite]]</f>
        <v/>
      </c>
      <c r="T352" s="840">
        <f>_xlfn.XLOOKUP(TableauRecette[[#This Row],[ID]],TableauProduit[ID],TableauProduit[Total (kg) N9],0,0,1)*TableauRecette[[#This Row],[poids / unite]]</f>
        <v/>
      </c>
    </row>
    <row r="353">
      <c r="A353" s="100" t="inlineStr">
        <is>
          <t>Steak de Montreal</t>
        </is>
      </c>
      <c r="B353" s="100">
        <f>TableauRecette[[#This Row],[Recette]]&amp;TableauRecette[[#This Row],[Conditionnement]]</f>
        <v/>
      </c>
      <c r="C353" s="100" t="inlineStr">
        <is>
          <t>Origan</t>
        </is>
      </c>
      <c r="D353" s="223" t="n">
        <v>1</v>
      </c>
      <c r="E353" s="100" t="inlineStr">
        <is>
          <t>Epice 100ml</t>
        </is>
      </c>
      <c r="F353" s="22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53" s="223">
        <f>IFERROR(_xlfn.XLOOKUP(TableauRecette[[#This Row],[Ingredients]],TableauIngredients[Ingredients],TableauIngredients[Prix d''achat (kg)],0)*TableauRecette[[#This Row],[poids / unite]],0)</f>
        <v/>
      </c>
      <c r="H353" s="223">
        <f>IFERROR(SUMIFS(TableauRecette[Proportion],TableauRecette[Recette],TableauRecette[[#This Row],[Recette]],TableauRecette[Conditionnement],TableauRecette[[#This Row],[Conditionnement]]),0)</f>
        <v/>
      </c>
      <c r="I353" s="223">
        <f>IFERROR(TableauRecette[[#This Row],[Prix d''achat / kg]],0)</f>
        <v/>
      </c>
      <c r="J353" s="223" t="n"/>
      <c r="K353" s="838" t="n"/>
      <c r="L353" s="839">
        <f>_xlfn.XLOOKUP(TableauRecette[[#This Row],[ID]],TableauProduit[ID],TableauProduit[Total (kg) N1],0,0,1)*TableauRecette[[#This Row],[poids / unite]]</f>
        <v/>
      </c>
      <c r="M353" s="840">
        <f>_xlfn.XLOOKUP(TableauRecette[[#This Row],[ID]],TableauProduit[ID],TableauProduit[Total (kg) N2],0,0,1)*TableauRecette[[#This Row],[poids / unite]]</f>
        <v/>
      </c>
      <c r="N353" s="840">
        <f>_xlfn.XLOOKUP(TableauRecette[[#This Row],[ID]],TableauProduit[ID],TableauProduit[Total (kg) N3],0,0,1)*TableauRecette[[#This Row],[poids / unite]]</f>
        <v/>
      </c>
      <c r="O353" s="840">
        <f>_xlfn.XLOOKUP(TableauRecette[[#This Row],[ID]],TableauProduit[ID],TableauProduit[Total (kg) N4],0,0,1)*TableauRecette[[#This Row],[poids / unite]]</f>
        <v/>
      </c>
      <c r="P353" s="840">
        <f>_xlfn.XLOOKUP(TableauRecette[[#This Row],[ID]],TableauProduit[ID],TableauProduit[Total (kg) N5],0,0,1)*TableauRecette[[#This Row],[poids / unite]]</f>
        <v/>
      </c>
      <c r="Q353" s="840">
        <f>_xlfn.XLOOKUP(TableauRecette[[#This Row],[ID]],TableauProduit[ID],TableauProduit[Total (kg) N6],0,0,1)*TableauRecette[[#This Row],[poids / unite]]</f>
        <v/>
      </c>
      <c r="R353" s="840">
        <f>_xlfn.XLOOKUP(TableauRecette[[#This Row],[ID]],TableauProduit[ID],TableauProduit[Total (kg) N7],0,0,1)*TableauRecette[[#This Row],[poids / unite]]</f>
        <v/>
      </c>
      <c r="S353" s="840">
        <f>_xlfn.XLOOKUP(TableauRecette[[#This Row],[ID]],TableauProduit[ID],TableauProduit[Total (kg) N8],0,0,1)*TableauRecette[[#This Row],[poids / unite]]</f>
        <v/>
      </c>
      <c r="T353" s="840">
        <f>_xlfn.XLOOKUP(TableauRecette[[#This Row],[ID]],TableauProduit[ID],TableauProduit[Total (kg) N9],0,0,1)*TableauRecette[[#This Row],[poids / unite]]</f>
        <v/>
      </c>
    </row>
    <row r="354">
      <c r="A354" s="100" t="inlineStr">
        <is>
          <t>Steak de Montreal</t>
        </is>
      </c>
      <c r="B354" s="100">
        <f>TableauRecette[[#This Row],[Recette]]&amp;TableauRecette[[#This Row],[Conditionnement]]</f>
        <v/>
      </c>
      <c r="C354" s="100" t="inlineStr">
        <is>
          <t>Basilic SEC</t>
        </is>
      </c>
      <c r="D354" s="223" t="n">
        <v>1</v>
      </c>
      <c r="E354" s="100" t="inlineStr">
        <is>
          <t>Epice 100ml</t>
        </is>
      </c>
      <c r="F354" s="22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54" s="223">
        <f>IFERROR(_xlfn.XLOOKUP(TableauRecette[[#This Row],[Ingredients]],TableauIngredients[Ingredients],TableauIngredients[Prix d''achat (kg)],0)*TableauRecette[[#This Row],[poids / unite]],0)</f>
        <v/>
      </c>
      <c r="H354" s="223">
        <f>IFERROR(SUMIFS(TableauRecette[Proportion],TableauRecette[Recette],TableauRecette[[#This Row],[Recette]],TableauRecette[Conditionnement],TableauRecette[[#This Row],[Conditionnement]]),0)</f>
        <v/>
      </c>
      <c r="I354" s="223">
        <f>IFERROR(TableauRecette[[#This Row],[Prix d''achat / kg]],0)</f>
        <v/>
      </c>
      <c r="J354" s="223" t="n"/>
      <c r="K354" s="838" t="n"/>
      <c r="L354" s="839">
        <f>_xlfn.XLOOKUP(TableauRecette[[#This Row],[ID]],TableauProduit[ID],TableauProduit[Total (kg) N1],0,0,1)*TableauRecette[[#This Row],[poids / unite]]</f>
        <v/>
      </c>
      <c r="M354" s="840">
        <f>_xlfn.XLOOKUP(TableauRecette[[#This Row],[ID]],TableauProduit[ID],TableauProduit[Total (kg) N2],0,0,1)*TableauRecette[[#This Row],[poids / unite]]</f>
        <v/>
      </c>
      <c r="N354" s="840">
        <f>_xlfn.XLOOKUP(TableauRecette[[#This Row],[ID]],TableauProduit[ID],TableauProduit[Total (kg) N3],0,0,1)*TableauRecette[[#This Row],[poids / unite]]</f>
        <v/>
      </c>
      <c r="O354" s="840">
        <f>_xlfn.XLOOKUP(TableauRecette[[#This Row],[ID]],TableauProduit[ID],TableauProduit[Total (kg) N4],0,0,1)*TableauRecette[[#This Row],[poids / unite]]</f>
        <v/>
      </c>
      <c r="P354" s="840">
        <f>_xlfn.XLOOKUP(TableauRecette[[#This Row],[ID]],TableauProduit[ID],TableauProduit[Total (kg) N5],0,0,1)*TableauRecette[[#This Row],[poids / unite]]</f>
        <v/>
      </c>
      <c r="Q354" s="840">
        <f>_xlfn.XLOOKUP(TableauRecette[[#This Row],[ID]],TableauProduit[ID],TableauProduit[Total (kg) N6],0,0,1)*TableauRecette[[#This Row],[poids / unite]]</f>
        <v/>
      </c>
      <c r="R354" s="840">
        <f>_xlfn.XLOOKUP(TableauRecette[[#This Row],[ID]],TableauProduit[ID],TableauProduit[Total (kg) N7],0,0,1)*TableauRecette[[#This Row],[poids / unite]]</f>
        <v/>
      </c>
      <c r="S354" s="840">
        <f>_xlfn.XLOOKUP(TableauRecette[[#This Row],[ID]],TableauProduit[ID],TableauProduit[Total (kg) N8],0,0,1)*TableauRecette[[#This Row],[poids / unite]]</f>
        <v/>
      </c>
      <c r="T354" s="840">
        <f>_xlfn.XLOOKUP(TableauRecette[[#This Row],[ID]],TableauProduit[ID],TableauProduit[Total (kg) N9],0,0,1)*TableauRecette[[#This Row],[poids / unite]]</f>
        <v/>
      </c>
    </row>
    <row r="355">
      <c r="A355" s="100" t="inlineStr">
        <is>
          <t>Steak de Montreal</t>
        </is>
      </c>
      <c r="B355" s="100">
        <f>TableauRecette[[#This Row],[Recette]]&amp;TableauRecette[[#This Row],[Conditionnement]]</f>
        <v/>
      </c>
      <c r="C355" s="100" t="inlineStr">
        <is>
          <t>Marjolaine</t>
        </is>
      </c>
      <c r="D355" s="223" t="n">
        <v>1</v>
      </c>
      <c r="E355" s="100" t="inlineStr">
        <is>
          <t>Epice 100ml</t>
        </is>
      </c>
      <c r="F355" s="22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55" s="223">
        <f>IFERROR(_xlfn.XLOOKUP(TableauRecette[[#This Row],[Ingredients]],TableauIngredients[Ingredients],TableauIngredients[Prix d''achat (kg)],0)*TableauRecette[[#This Row],[poids / unite]],0)</f>
        <v/>
      </c>
      <c r="H355" s="223">
        <f>IFERROR(SUMIFS(TableauRecette[Proportion],TableauRecette[Recette],TableauRecette[[#This Row],[Recette]],TableauRecette[Conditionnement],TableauRecette[[#This Row],[Conditionnement]]),0)</f>
        <v/>
      </c>
      <c r="I355" s="223">
        <f>IFERROR(TableauRecette[[#This Row],[Prix d''achat / kg]],0)</f>
        <v/>
      </c>
      <c r="J355" s="223" t="n"/>
      <c r="K355" s="838" t="n"/>
      <c r="L355" s="839">
        <f>_xlfn.XLOOKUP(TableauRecette[[#This Row],[ID]],TableauProduit[ID],TableauProduit[Total (kg) N1],0,0,1)*TableauRecette[[#This Row],[poids / unite]]</f>
        <v/>
      </c>
      <c r="M355" s="840">
        <f>_xlfn.XLOOKUP(TableauRecette[[#This Row],[ID]],TableauProduit[ID],TableauProduit[Total (kg) N2],0,0,1)*TableauRecette[[#This Row],[poids / unite]]</f>
        <v/>
      </c>
      <c r="N355" s="840">
        <f>_xlfn.XLOOKUP(TableauRecette[[#This Row],[ID]],TableauProduit[ID],TableauProduit[Total (kg) N3],0,0,1)*TableauRecette[[#This Row],[poids / unite]]</f>
        <v/>
      </c>
      <c r="O355" s="840">
        <f>_xlfn.XLOOKUP(TableauRecette[[#This Row],[ID]],TableauProduit[ID],TableauProduit[Total (kg) N4],0,0,1)*TableauRecette[[#This Row],[poids / unite]]</f>
        <v/>
      </c>
      <c r="P355" s="840">
        <f>_xlfn.XLOOKUP(TableauRecette[[#This Row],[ID]],TableauProduit[ID],TableauProduit[Total (kg) N5],0,0,1)*TableauRecette[[#This Row],[poids / unite]]</f>
        <v/>
      </c>
      <c r="Q355" s="840">
        <f>_xlfn.XLOOKUP(TableauRecette[[#This Row],[ID]],TableauProduit[ID],TableauProduit[Total (kg) N6],0,0,1)*TableauRecette[[#This Row],[poids / unite]]</f>
        <v/>
      </c>
      <c r="R355" s="840">
        <f>_xlfn.XLOOKUP(TableauRecette[[#This Row],[ID]],TableauProduit[ID],TableauProduit[Total (kg) N7],0,0,1)*TableauRecette[[#This Row],[poids / unite]]</f>
        <v/>
      </c>
      <c r="S355" s="840">
        <f>_xlfn.XLOOKUP(TableauRecette[[#This Row],[ID]],TableauProduit[ID],TableauProduit[Total (kg) N8],0,0,1)*TableauRecette[[#This Row],[poids / unite]]</f>
        <v/>
      </c>
      <c r="T355" s="840">
        <f>_xlfn.XLOOKUP(TableauRecette[[#This Row],[ID]],TableauProduit[ID],TableauProduit[Total (kg) N9],0,0,1)*TableauRecette[[#This Row],[poids / unite]]</f>
        <v/>
      </c>
    </row>
    <row r="356">
      <c r="A356" s="100" t="inlineStr">
        <is>
          <t>Steak de Montreal</t>
        </is>
      </c>
      <c r="B356" s="100">
        <f>TableauRecette[[#This Row],[Recette]]&amp;TableauRecette[[#This Row],[Conditionnement]]</f>
        <v/>
      </c>
      <c r="C356" s="100" t="inlineStr">
        <is>
          <t>Thym</t>
        </is>
      </c>
      <c r="D356" s="223" t="n">
        <v>1</v>
      </c>
      <c r="E356" s="100" t="inlineStr">
        <is>
          <t>Epice 100ml</t>
        </is>
      </c>
      <c r="F356" s="22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56" s="223">
        <f>IFERROR(_xlfn.XLOOKUP(TableauRecette[[#This Row],[Ingredients]],TableauIngredients[Ingredients],TableauIngredients[Prix d''achat (kg)],0)*TableauRecette[[#This Row],[poids / unite]],0)</f>
        <v/>
      </c>
      <c r="H356" s="223">
        <f>IFERROR(SUMIFS(TableauRecette[Proportion],TableauRecette[Recette],TableauRecette[[#This Row],[Recette]],TableauRecette[Conditionnement],TableauRecette[[#This Row],[Conditionnement]]),0)</f>
        <v/>
      </c>
      <c r="I356" s="223">
        <f>IFERROR(TableauRecette[[#This Row],[Prix d''achat / kg]],0)</f>
        <v/>
      </c>
      <c r="J356" s="223" t="n"/>
      <c r="K356" s="838" t="n"/>
      <c r="L356" s="839">
        <f>_xlfn.XLOOKUP(TableauRecette[[#This Row],[ID]],TableauProduit[ID],TableauProduit[Total (kg) N1],0,0,1)*TableauRecette[[#This Row],[poids / unite]]</f>
        <v/>
      </c>
      <c r="M356" s="840">
        <f>_xlfn.XLOOKUP(TableauRecette[[#This Row],[ID]],TableauProduit[ID],TableauProduit[Total (kg) N2],0,0,1)*TableauRecette[[#This Row],[poids / unite]]</f>
        <v/>
      </c>
      <c r="N356" s="840">
        <f>_xlfn.XLOOKUP(TableauRecette[[#This Row],[ID]],TableauProduit[ID],TableauProduit[Total (kg) N3],0,0,1)*TableauRecette[[#This Row],[poids / unite]]</f>
        <v/>
      </c>
      <c r="O356" s="840">
        <f>_xlfn.XLOOKUP(TableauRecette[[#This Row],[ID]],TableauProduit[ID],TableauProduit[Total (kg) N4],0,0,1)*TableauRecette[[#This Row],[poids / unite]]</f>
        <v/>
      </c>
      <c r="P356" s="840">
        <f>_xlfn.XLOOKUP(TableauRecette[[#This Row],[ID]],TableauProduit[ID],TableauProduit[Total (kg) N5],0,0,1)*TableauRecette[[#This Row],[poids / unite]]</f>
        <v/>
      </c>
      <c r="Q356" s="840">
        <f>_xlfn.XLOOKUP(TableauRecette[[#This Row],[ID]],TableauProduit[ID],TableauProduit[Total (kg) N6],0,0,1)*TableauRecette[[#This Row],[poids / unite]]</f>
        <v/>
      </c>
      <c r="R356" s="840">
        <f>_xlfn.XLOOKUP(TableauRecette[[#This Row],[ID]],TableauProduit[ID],TableauProduit[Total (kg) N7],0,0,1)*TableauRecette[[#This Row],[poids / unite]]</f>
        <v/>
      </c>
      <c r="S356" s="840">
        <f>_xlfn.XLOOKUP(TableauRecette[[#This Row],[ID]],TableauProduit[ID],TableauProduit[Total (kg) N8],0,0,1)*TableauRecette[[#This Row],[poids / unite]]</f>
        <v/>
      </c>
      <c r="T356" s="840">
        <f>_xlfn.XLOOKUP(TableauRecette[[#This Row],[ID]],TableauProduit[ID],TableauProduit[Total (kg) N9],0,0,1)*TableauRecette[[#This Row],[poids / unite]]</f>
        <v/>
      </c>
    </row>
    <row r="357">
      <c r="A357" s="100" t="inlineStr">
        <is>
          <t>Steak de Montreal</t>
        </is>
      </c>
      <c r="B357" s="100">
        <f>TableauRecette[[#This Row],[Recette]]&amp;TableauRecette[[#This Row],[Conditionnement]]</f>
        <v/>
      </c>
      <c r="C357" s="100" t="inlineStr">
        <is>
          <t>Piment De Cayenne Jaune SEC</t>
        </is>
      </c>
      <c r="D357" s="223">
        <f>1/3</f>
        <v/>
      </c>
      <c r="E357" s="100" t="inlineStr">
        <is>
          <t>Epice 100ml</t>
        </is>
      </c>
      <c r="F357" s="22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57" s="223">
        <f>IFERROR(_xlfn.XLOOKUP(TableauRecette[[#This Row],[Ingredients]],TableauIngredients[Ingredients],TableauIngredients[Prix d''achat (kg)],0)*TableauRecette[[#This Row],[poids / unite]],0)</f>
        <v/>
      </c>
      <c r="H357" s="223">
        <f>IFERROR(SUMIFS(TableauRecette[Proportion],TableauRecette[Recette],TableauRecette[[#This Row],[Recette]],TableauRecette[Conditionnement],TableauRecette[[#This Row],[Conditionnement]]),0)</f>
        <v/>
      </c>
      <c r="I357" s="223">
        <f>IFERROR(TableauRecette[[#This Row],[Prix d''achat / kg]],0)</f>
        <v/>
      </c>
      <c r="J357" s="223" t="n"/>
      <c r="K357" s="838" t="n"/>
      <c r="L357" s="839">
        <f>_xlfn.XLOOKUP(TableauRecette[[#This Row],[ID]],TableauProduit[ID],TableauProduit[Total (kg) N1],0,0,1)*TableauRecette[[#This Row],[poids / unite]]</f>
        <v/>
      </c>
      <c r="M357" s="840">
        <f>_xlfn.XLOOKUP(TableauRecette[[#This Row],[ID]],TableauProduit[ID],TableauProduit[Total (kg) N2],0,0,1)*TableauRecette[[#This Row],[poids / unite]]</f>
        <v/>
      </c>
      <c r="N357" s="840">
        <f>_xlfn.XLOOKUP(TableauRecette[[#This Row],[ID]],TableauProduit[ID],TableauProduit[Total (kg) N3],0,0,1)*TableauRecette[[#This Row],[poids / unite]]</f>
        <v/>
      </c>
      <c r="O357" s="840">
        <f>_xlfn.XLOOKUP(TableauRecette[[#This Row],[ID]],TableauProduit[ID],TableauProduit[Total (kg) N4],0,0,1)*TableauRecette[[#This Row],[poids / unite]]</f>
        <v/>
      </c>
      <c r="P357" s="840">
        <f>_xlfn.XLOOKUP(TableauRecette[[#This Row],[ID]],TableauProduit[ID],TableauProduit[Total (kg) N5],0,0,1)*TableauRecette[[#This Row],[poids / unite]]</f>
        <v/>
      </c>
      <c r="Q357" s="840">
        <f>_xlfn.XLOOKUP(TableauRecette[[#This Row],[ID]],TableauProduit[ID],TableauProduit[Total (kg) N6],0,0,1)*TableauRecette[[#This Row],[poids / unite]]</f>
        <v/>
      </c>
      <c r="R357" s="840">
        <f>_xlfn.XLOOKUP(TableauRecette[[#This Row],[ID]],TableauProduit[ID],TableauProduit[Total (kg) N7],0,0,1)*TableauRecette[[#This Row],[poids / unite]]</f>
        <v/>
      </c>
      <c r="S357" s="840">
        <f>_xlfn.XLOOKUP(TableauRecette[[#This Row],[ID]],TableauProduit[ID],TableauProduit[Total (kg) N8],0,0,1)*TableauRecette[[#This Row],[poids / unite]]</f>
        <v/>
      </c>
      <c r="T357" s="840">
        <f>_xlfn.XLOOKUP(TableauRecette[[#This Row],[ID]],TableauProduit[ID],TableauProduit[Total (kg) N9],0,0,1)*TableauRecette[[#This Row],[poids / unite]]</f>
        <v/>
      </c>
    </row>
    <row r="358">
      <c r="A358" s="100" t="inlineStr">
        <is>
          <t>Steak de Montreal</t>
        </is>
      </c>
      <c r="B358" s="100">
        <f>TableauRecette[[#This Row],[Recette]]&amp;TableauRecette[[#This Row],[Conditionnement]]</f>
        <v/>
      </c>
      <c r="C358" s="100" t="inlineStr">
        <is>
          <t>Ail Sec</t>
        </is>
      </c>
      <c r="D358" s="223" t="n">
        <v>2</v>
      </c>
      <c r="E358" s="100" t="inlineStr">
        <is>
          <t>Epice 100ml</t>
        </is>
      </c>
      <c r="F358" s="22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58" s="223">
        <f>IFERROR(_xlfn.XLOOKUP(TableauRecette[[#This Row],[Ingredients]],TableauIngredients[Ingredients],TableauIngredients[Prix d''achat (kg)],0)*TableauRecette[[#This Row],[poids / unite]],0)</f>
        <v/>
      </c>
      <c r="H358" s="223">
        <f>IFERROR(SUMIFS(TableauRecette[Proportion],TableauRecette[Recette],TableauRecette[[#This Row],[Recette]],TableauRecette[Conditionnement],TableauRecette[[#This Row],[Conditionnement]]),0)</f>
        <v/>
      </c>
      <c r="I358" s="223">
        <f>IFERROR(TableauRecette[[#This Row],[Prix d''achat / kg]],0)</f>
        <v/>
      </c>
      <c r="J358" s="223" t="n"/>
      <c r="K358" s="838" t="n"/>
      <c r="L358" s="839">
        <f>_xlfn.XLOOKUP(TableauRecette[[#This Row],[ID]],TableauProduit[ID],TableauProduit[Total (kg) N1],0,0,1)*TableauRecette[[#This Row],[poids / unite]]</f>
        <v/>
      </c>
      <c r="M358" s="840">
        <f>_xlfn.XLOOKUP(TableauRecette[[#This Row],[ID]],TableauProduit[ID],TableauProduit[Total (kg) N2],0,0,1)*TableauRecette[[#This Row],[poids / unite]]</f>
        <v/>
      </c>
      <c r="N358" s="840">
        <f>_xlfn.XLOOKUP(TableauRecette[[#This Row],[ID]],TableauProduit[ID],TableauProduit[Total (kg) N3],0,0,1)*TableauRecette[[#This Row],[poids / unite]]</f>
        <v/>
      </c>
      <c r="O358" s="840">
        <f>_xlfn.XLOOKUP(TableauRecette[[#This Row],[ID]],TableauProduit[ID],TableauProduit[Total (kg) N4],0,0,1)*TableauRecette[[#This Row],[poids / unite]]</f>
        <v/>
      </c>
      <c r="P358" s="840">
        <f>_xlfn.XLOOKUP(TableauRecette[[#This Row],[ID]],TableauProduit[ID],TableauProduit[Total (kg) N5],0,0,1)*TableauRecette[[#This Row],[poids / unite]]</f>
        <v/>
      </c>
      <c r="Q358" s="840">
        <f>_xlfn.XLOOKUP(TableauRecette[[#This Row],[ID]],TableauProduit[ID],TableauProduit[Total (kg) N6],0,0,1)*TableauRecette[[#This Row],[poids / unite]]</f>
        <v/>
      </c>
      <c r="R358" s="840">
        <f>_xlfn.XLOOKUP(TableauRecette[[#This Row],[ID]],TableauProduit[ID],TableauProduit[Total (kg) N7],0,0,1)*TableauRecette[[#This Row],[poids / unite]]</f>
        <v/>
      </c>
      <c r="S358" s="840">
        <f>_xlfn.XLOOKUP(TableauRecette[[#This Row],[ID]],TableauProduit[ID],TableauProduit[Total (kg) N8],0,0,1)*TableauRecette[[#This Row],[poids / unite]]</f>
        <v/>
      </c>
      <c r="T358" s="840">
        <f>_xlfn.XLOOKUP(TableauRecette[[#This Row],[ID]],TableauProduit[ID],TableauProduit[Total (kg) N9],0,0,1)*TableauRecette[[#This Row],[poids / unite]]</f>
        <v/>
      </c>
    </row>
    <row r="359">
      <c r="A359" s="521" t="inlineStr">
        <is>
          <t>Sucre à l'hibiscus</t>
        </is>
      </c>
      <c r="B359" s="521">
        <f>TableauRecette[[#This Row],[Recette]]&amp;TableauRecette[[#This Row],[Conditionnement]]</f>
        <v/>
      </c>
      <c r="C359" s="671" t="inlineStr">
        <is>
          <t>Hibiscus</t>
        </is>
      </c>
      <c r="D359" s="522" t="n">
        <v>94</v>
      </c>
      <c r="E359" s="521" t="inlineStr">
        <is>
          <t>Epice 100ml</t>
        </is>
      </c>
      <c r="F359" s="52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59" s="522">
        <f>IFERROR(_xlfn.XLOOKUP(TableauRecette[[#This Row],[Ingredients]],TableauIngredients[Ingredients],TableauIngredients[Prix d''achat (kg)],0)*TableauRecette[[#This Row],[poids / unite]],0)</f>
        <v/>
      </c>
      <c r="H359" s="522">
        <f>IFERROR(SUMIFS(TableauRecette[Proportion],TableauRecette[Recette],TableauRecette[[#This Row],[Recette]],TableauRecette[Conditionnement],TableauRecette[[#This Row],[Conditionnement]]),0)</f>
        <v/>
      </c>
      <c r="I359" s="522">
        <f>IFERROR(TableauRecette[[#This Row],[Prix d''achat / kg]],0)</f>
        <v/>
      </c>
      <c r="J359" s="522" t="n"/>
      <c r="K359" s="841" t="n"/>
      <c r="L359" s="842">
        <f>_xlfn.XLOOKUP(TableauRecette[[#This Row],[ID]],TableauProduit[ID],TableauProduit[Total (kg) N1],0,0,1)*TableauRecette[[#This Row],[poids / unite]]</f>
        <v/>
      </c>
      <c r="M359" s="843">
        <f>_xlfn.XLOOKUP(TableauRecette[[#This Row],[ID]],TableauProduit[ID],TableauProduit[Total (kg) N2],0,0,1)*TableauRecette[[#This Row],[poids / unite]]</f>
        <v/>
      </c>
      <c r="N359" s="843">
        <f>_xlfn.XLOOKUP(TableauRecette[[#This Row],[ID]],TableauProduit[ID],TableauProduit[Total (kg) N3],0,0,1)*TableauRecette[[#This Row],[poids / unite]]</f>
        <v/>
      </c>
      <c r="O359" s="843">
        <f>_xlfn.XLOOKUP(TableauRecette[[#This Row],[ID]],TableauProduit[ID],TableauProduit[Total (kg) N4],0,0,1)*TableauRecette[[#This Row],[poids / unite]]</f>
        <v/>
      </c>
      <c r="P359" s="843">
        <f>_xlfn.XLOOKUP(TableauRecette[[#This Row],[ID]],TableauProduit[ID],TableauProduit[Total (kg) N5],0,0,1)*TableauRecette[[#This Row],[poids / unite]]</f>
        <v/>
      </c>
      <c r="Q359" s="843">
        <f>_xlfn.XLOOKUP(TableauRecette[[#This Row],[ID]],TableauProduit[ID],TableauProduit[Total (kg) N6],0,0,1)*TableauRecette[[#This Row],[poids / unite]]</f>
        <v/>
      </c>
      <c r="R359" s="843">
        <f>_xlfn.XLOOKUP(TableauRecette[[#This Row],[ID]],TableauProduit[ID],TableauProduit[Total (kg) N7],0,0,1)*TableauRecette[[#This Row],[poids / unite]]</f>
        <v/>
      </c>
      <c r="S359" s="843">
        <f>_xlfn.XLOOKUP(TableauRecette[[#This Row],[ID]],TableauProduit[ID],TableauProduit[Total (kg) N8],0,0,1)*TableauRecette[[#This Row],[poids / unite]]</f>
        <v/>
      </c>
      <c r="T359" s="843">
        <f>_xlfn.XLOOKUP(TableauRecette[[#This Row],[ID]],TableauProduit[ID],TableauProduit[Total (kg) N9],0,0,1)*TableauRecette[[#This Row],[poids / unite]]</f>
        <v/>
      </c>
    </row>
    <row r="360">
      <c r="A360" s="521" t="inlineStr">
        <is>
          <t>Sucre à l'hibiscus</t>
        </is>
      </c>
      <c r="B360" s="521">
        <f>TableauRecette[[#This Row],[Recette]]&amp;TableauRecette[[#This Row],[Conditionnement]]</f>
        <v/>
      </c>
      <c r="C360" s="521" t="inlineStr">
        <is>
          <t xml:space="preserve">Sucre Blanc </t>
        </is>
      </c>
      <c r="D360" s="522" t="n">
        <v>6</v>
      </c>
      <c r="E360" s="521" t="inlineStr">
        <is>
          <t>Epice 100ml</t>
        </is>
      </c>
      <c r="F360" s="52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60" s="522">
        <f>IFERROR(_xlfn.XLOOKUP(TableauRecette[[#This Row],[Ingredients]],TableauIngredients[Ingredients],TableauIngredients[Prix d''achat (kg)],0)*TableauRecette[[#This Row],[poids / unite]],0)</f>
        <v/>
      </c>
      <c r="H360" s="522">
        <f>IFERROR(SUMIFS(TableauRecette[Proportion],TableauRecette[Recette],TableauRecette[[#This Row],[Recette]],TableauRecette[Conditionnement],TableauRecette[[#This Row],[Conditionnement]]),0)</f>
        <v/>
      </c>
      <c r="I360" s="522">
        <f>IFERROR(TableauRecette[[#This Row],[Prix d''achat / kg]],0)</f>
        <v/>
      </c>
      <c r="J360" s="522" t="n"/>
      <c r="K360" s="841" t="n"/>
      <c r="L360" s="842">
        <f>_xlfn.XLOOKUP(TableauRecette[[#This Row],[ID]],TableauProduit[ID],TableauProduit[Total (kg) N1],0,0,1)*TableauRecette[[#This Row],[poids / unite]]</f>
        <v/>
      </c>
      <c r="M360" s="843">
        <f>_xlfn.XLOOKUP(TableauRecette[[#This Row],[ID]],TableauProduit[ID],TableauProduit[Total (kg) N2],0,0,1)*TableauRecette[[#This Row],[poids / unite]]</f>
        <v/>
      </c>
      <c r="N360" s="843">
        <f>_xlfn.XLOOKUP(TableauRecette[[#This Row],[ID]],TableauProduit[ID],TableauProduit[Total (kg) N3],0,0,1)*TableauRecette[[#This Row],[poids / unite]]</f>
        <v/>
      </c>
      <c r="O360" s="843">
        <f>_xlfn.XLOOKUP(TableauRecette[[#This Row],[ID]],TableauProduit[ID],TableauProduit[Total (kg) N4],0,0,1)*TableauRecette[[#This Row],[poids / unite]]</f>
        <v/>
      </c>
      <c r="P360" s="843">
        <f>_xlfn.XLOOKUP(TableauRecette[[#This Row],[ID]],TableauProduit[ID],TableauProduit[Total (kg) N5],0,0,1)*TableauRecette[[#This Row],[poids / unite]]</f>
        <v/>
      </c>
      <c r="Q360" s="843">
        <f>_xlfn.XLOOKUP(TableauRecette[[#This Row],[ID]],TableauProduit[ID],TableauProduit[Total (kg) N6],0,0,1)*TableauRecette[[#This Row],[poids / unite]]</f>
        <v/>
      </c>
      <c r="R360" s="843">
        <f>_xlfn.XLOOKUP(TableauRecette[[#This Row],[ID]],TableauProduit[ID],TableauProduit[Total (kg) N7],0,0,1)*TableauRecette[[#This Row],[poids / unite]]</f>
        <v/>
      </c>
      <c r="S360" s="843">
        <f>_xlfn.XLOOKUP(TableauRecette[[#This Row],[ID]],TableauProduit[ID],TableauProduit[Total (kg) N8],0,0,1)*TableauRecette[[#This Row],[poids / unite]]</f>
        <v/>
      </c>
      <c r="T360" s="843">
        <f>_xlfn.XLOOKUP(TableauRecette[[#This Row],[ID]],TableauProduit[ID],TableauProduit[Total (kg) N9],0,0,1)*TableauRecette[[#This Row],[poids / unite]]</f>
        <v/>
      </c>
    </row>
    <row r="361">
      <c r="A361" s="511" t="inlineStr">
        <is>
          <t>Sucre aux fleures</t>
        </is>
      </c>
      <c r="B361" s="511">
        <f>TableauRecette[[#This Row],[Recette]]&amp;TableauRecette[[#This Row],[Conditionnement]]</f>
        <v/>
      </c>
      <c r="C361" s="511" t="inlineStr">
        <is>
          <t xml:space="preserve">Sucre Blanc </t>
        </is>
      </c>
      <c r="D361" s="512" t="n">
        <v>220</v>
      </c>
      <c r="E361" s="511" t="inlineStr">
        <is>
          <t>Epice 100ml</t>
        </is>
      </c>
      <c r="F361" s="51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61" s="512">
        <f>IFERROR(_xlfn.XLOOKUP(TableauRecette[[#This Row],[Ingredients]],TableauIngredients[Ingredients],TableauIngredients[Prix d''achat (kg)],0)*TableauRecette[[#This Row],[poids / unite]],0)</f>
        <v/>
      </c>
      <c r="H361" s="512">
        <f>IFERROR(SUMIFS(TableauRecette[Proportion],TableauRecette[Recette],TableauRecette[[#This Row],[Recette]],TableauRecette[Conditionnement],TableauRecette[[#This Row],[Conditionnement]]),0)</f>
        <v/>
      </c>
      <c r="I361" s="512">
        <f>IFERROR(TableauRecette[[#This Row],[Prix d''achat / kg]],0)</f>
        <v/>
      </c>
      <c r="J361" s="512" t="n"/>
      <c r="K361" s="844" t="n"/>
      <c r="L361" s="845">
        <f>_xlfn.XLOOKUP(TableauRecette[[#This Row],[ID]],TableauProduit[ID],TableauProduit[Total (kg) N1],0,0,1)*TableauRecette[[#This Row],[poids / unite]]</f>
        <v/>
      </c>
      <c r="M361" s="846">
        <f>_xlfn.XLOOKUP(TableauRecette[[#This Row],[ID]],TableauProduit[ID],TableauProduit[Total (kg) N2],0,0,1)*TableauRecette[[#This Row],[poids / unite]]</f>
        <v/>
      </c>
      <c r="N361" s="846">
        <f>_xlfn.XLOOKUP(TableauRecette[[#This Row],[ID]],TableauProduit[ID],TableauProduit[Total (kg) N3],0,0,1)*TableauRecette[[#This Row],[poids / unite]]</f>
        <v/>
      </c>
      <c r="O361" s="846">
        <f>_xlfn.XLOOKUP(TableauRecette[[#This Row],[ID]],TableauProduit[ID],TableauProduit[Total (kg) N4],0,0,1)*TableauRecette[[#This Row],[poids / unite]]</f>
        <v/>
      </c>
      <c r="P361" s="846">
        <f>_xlfn.XLOOKUP(TableauRecette[[#This Row],[ID]],TableauProduit[ID],TableauProduit[Total (kg) N5],0,0,1)*TableauRecette[[#This Row],[poids / unite]]</f>
        <v/>
      </c>
      <c r="Q361" s="846">
        <f>_xlfn.XLOOKUP(TableauRecette[[#This Row],[ID]],TableauProduit[ID],TableauProduit[Total (kg) N6],0,0,1)*TableauRecette[[#This Row],[poids / unite]]</f>
        <v/>
      </c>
      <c r="R361" s="846">
        <f>_xlfn.XLOOKUP(TableauRecette[[#This Row],[ID]],TableauProduit[ID],TableauProduit[Total (kg) N7],0,0,1)*TableauRecette[[#This Row],[poids / unite]]</f>
        <v/>
      </c>
      <c r="S361" s="846">
        <f>_xlfn.XLOOKUP(TableauRecette[[#This Row],[ID]],TableauProduit[ID],TableauProduit[Total (kg) N8],0,0,1)*TableauRecette[[#This Row],[poids / unite]]</f>
        <v/>
      </c>
      <c r="T361" s="846">
        <f>_xlfn.XLOOKUP(TableauRecette[[#This Row],[ID]],TableauProduit[ID],TableauProduit[Total (kg) N9],0,0,1)*TableauRecette[[#This Row],[poids / unite]]</f>
        <v/>
      </c>
    </row>
    <row r="362">
      <c r="A362" s="511" t="inlineStr">
        <is>
          <t>Sucre aux fleures</t>
        </is>
      </c>
      <c r="B362" s="511">
        <f>TableauRecette[[#This Row],[Recette]]&amp;TableauRecette[[#This Row],[Conditionnement]]</f>
        <v/>
      </c>
      <c r="C362" s="511" t="inlineStr">
        <is>
          <t>Monarde SEC</t>
        </is>
      </c>
      <c r="D362" s="512" t="n">
        <v>1</v>
      </c>
      <c r="E362" s="511" t="inlineStr">
        <is>
          <t>Epice 100ml</t>
        </is>
      </c>
      <c r="F362" s="51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62" s="512">
        <f>IFERROR(_xlfn.XLOOKUP(TableauRecette[[#This Row],[Ingredients]],TableauIngredients[Ingredients],TableauIngredients[Prix d''achat (kg)],0)*TableauRecette[[#This Row],[poids / unite]],0)</f>
        <v/>
      </c>
      <c r="H362" s="512">
        <f>IFERROR(SUMIFS(TableauRecette[Proportion],TableauRecette[Recette],TableauRecette[[#This Row],[Recette]],TableauRecette[Conditionnement],TableauRecette[[#This Row],[Conditionnement]]),0)</f>
        <v/>
      </c>
      <c r="I362" s="512">
        <f>IFERROR(TableauRecette[[#This Row],[Prix d''achat / kg]],0)</f>
        <v/>
      </c>
      <c r="J362" s="512" t="n"/>
      <c r="K362" s="844" t="n"/>
      <c r="L362" s="845">
        <f>_xlfn.XLOOKUP(TableauRecette[[#This Row],[ID]],TableauProduit[ID],TableauProduit[Total (kg) N1],0,0,1)*TableauRecette[[#This Row],[poids / unite]]</f>
        <v/>
      </c>
      <c r="M362" s="846">
        <f>_xlfn.XLOOKUP(TableauRecette[[#This Row],[ID]],TableauProduit[ID],TableauProduit[Total (kg) N2],0,0,1)*TableauRecette[[#This Row],[poids / unite]]</f>
        <v/>
      </c>
      <c r="N362" s="846">
        <f>_xlfn.XLOOKUP(TableauRecette[[#This Row],[ID]],TableauProduit[ID],TableauProduit[Total (kg) N3],0,0,1)*TableauRecette[[#This Row],[poids / unite]]</f>
        <v/>
      </c>
      <c r="O362" s="846">
        <f>_xlfn.XLOOKUP(TableauRecette[[#This Row],[ID]],TableauProduit[ID],TableauProduit[Total (kg) N4],0,0,1)*TableauRecette[[#This Row],[poids / unite]]</f>
        <v/>
      </c>
      <c r="P362" s="846">
        <f>_xlfn.XLOOKUP(TableauRecette[[#This Row],[ID]],TableauProduit[ID],TableauProduit[Total (kg) N5],0,0,1)*TableauRecette[[#This Row],[poids / unite]]</f>
        <v/>
      </c>
      <c r="Q362" s="846">
        <f>_xlfn.XLOOKUP(TableauRecette[[#This Row],[ID]],TableauProduit[ID],TableauProduit[Total (kg) N6],0,0,1)*TableauRecette[[#This Row],[poids / unite]]</f>
        <v/>
      </c>
      <c r="R362" s="846">
        <f>_xlfn.XLOOKUP(TableauRecette[[#This Row],[ID]],TableauProduit[ID],TableauProduit[Total (kg) N7],0,0,1)*TableauRecette[[#This Row],[poids / unite]]</f>
        <v/>
      </c>
      <c r="S362" s="846">
        <f>_xlfn.XLOOKUP(TableauRecette[[#This Row],[ID]],TableauProduit[ID],TableauProduit[Total (kg) N8],0,0,1)*TableauRecette[[#This Row],[poids / unite]]</f>
        <v/>
      </c>
      <c r="T362" s="846">
        <f>_xlfn.XLOOKUP(TableauRecette[[#This Row],[ID]],TableauProduit[ID],TableauProduit[Total (kg) N9],0,0,1)*TableauRecette[[#This Row],[poids / unite]]</f>
        <v/>
      </c>
    </row>
    <row r="363">
      <c r="A363" s="511" t="inlineStr">
        <is>
          <t>Sucre aux fleures</t>
        </is>
      </c>
      <c r="B363" s="511">
        <f>TableauRecette[[#This Row],[Recette]]&amp;TableauRecette[[#This Row],[Conditionnement]]</f>
        <v/>
      </c>
      <c r="C363" s="511" t="inlineStr">
        <is>
          <t>Mauve SEC</t>
        </is>
      </c>
      <c r="D363" s="512" t="n">
        <v>1</v>
      </c>
      <c r="E363" s="511" t="inlineStr">
        <is>
          <t>Epice 100ml</t>
        </is>
      </c>
      <c r="F363" s="51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63" s="512">
        <f>IFERROR(_xlfn.XLOOKUP(TableauRecette[[#This Row],[Ingredients]],TableauIngredients[Ingredients],TableauIngredients[Prix d''achat (kg)],0)*TableauRecette[[#This Row],[poids / unite]],0)</f>
        <v/>
      </c>
      <c r="H363" s="512">
        <f>IFERROR(SUMIFS(TableauRecette[Proportion],TableauRecette[Recette],TableauRecette[[#This Row],[Recette]],TableauRecette[Conditionnement],TableauRecette[[#This Row],[Conditionnement]]),0)</f>
        <v/>
      </c>
      <c r="I363" s="512">
        <f>IFERROR(TableauRecette[[#This Row],[Prix d''achat / kg]],0)</f>
        <v/>
      </c>
      <c r="J363" s="512" t="n"/>
      <c r="K363" s="844" t="n"/>
      <c r="L363" s="845">
        <f>_xlfn.XLOOKUP(TableauRecette[[#This Row],[ID]],TableauProduit[ID],TableauProduit[Total (kg) N1],0,0,1)*TableauRecette[[#This Row],[poids / unite]]</f>
        <v/>
      </c>
      <c r="M363" s="846">
        <f>_xlfn.XLOOKUP(TableauRecette[[#This Row],[ID]],TableauProduit[ID],TableauProduit[Total (kg) N2],0,0,1)*TableauRecette[[#This Row],[poids / unite]]</f>
        <v/>
      </c>
      <c r="N363" s="846">
        <f>_xlfn.XLOOKUP(TableauRecette[[#This Row],[ID]],TableauProduit[ID],TableauProduit[Total (kg) N3],0,0,1)*TableauRecette[[#This Row],[poids / unite]]</f>
        <v/>
      </c>
      <c r="O363" s="846">
        <f>_xlfn.XLOOKUP(TableauRecette[[#This Row],[ID]],TableauProduit[ID],TableauProduit[Total (kg) N4],0,0,1)*TableauRecette[[#This Row],[poids / unite]]</f>
        <v/>
      </c>
      <c r="P363" s="846">
        <f>_xlfn.XLOOKUP(TableauRecette[[#This Row],[ID]],TableauProduit[ID],TableauProduit[Total (kg) N5],0,0,1)*TableauRecette[[#This Row],[poids / unite]]</f>
        <v/>
      </c>
      <c r="Q363" s="846">
        <f>_xlfn.XLOOKUP(TableauRecette[[#This Row],[ID]],TableauProduit[ID],TableauProduit[Total (kg) N6],0,0,1)*TableauRecette[[#This Row],[poids / unite]]</f>
        <v/>
      </c>
      <c r="R363" s="846">
        <f>_xlfn.XLOOKUP(TableauRecette[[#This Row],[ID]],TableauProduit[ID],TableauProduit[Total (kg) N7],0,0,1)*TableauRecette[[#This Row],[poids / unite]]</f>
        <v/>
      </c>
      <c r="S363" s="846">
        <f>_xlfn.XLOOKUP(TableauRecette[[#This Row],[ID]],TableauProduit[ID],TableauProduit[Total (kg) N8],0,0,1)*TableauRecette[[#This Row],[poids / unite]]</f>
        <v/>
      </c>
      <c r="T363" s="846">
        <f>_xlfn.XLOOKUP(TableauRecette[[#This Row],[ID]],TableauProduit[ID],TableauProduit[Total (kg) N9],0,0,1)*TableauRecette[[#This Row],[poids / unite]]</f>
        <v/>
      </c>
    </row>
    <row r="364">
      <c r="A364" s="511" t="inlineStr">
        <is>
          <t>Sucre aux fleures</t>
        </is>
      </c>
      <c r="B364" s="511">
        <f>TableauRecette[[#This Row],[Recette]]&amp;TableauRecette[[#This Row],[Conditionnement]]</f>
        <v/>
      </c>
      <c r="C364" s="511" t="inlineStr">
        <is>
          <t>Sureau SEC</t>
        </is>
      </c>
      <c r="D364" s="512" t="n">
        <v>1</v>
      </c>
      <c r="E364" s="511" t="inlineStr">
        <is>
          <t>Epice 100ml</t>
        </is>
      </c>
      <c r="F364" s="51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64" s="512">
        <f>IFERROR(_xlfn.XLOOKUP(TableauRecette[[#This Row],[Ingredients]],TableauIngredients[Ingredients],TableauIngredients[Prix d''achat (kg)],0)*TableauRecette[[#This Row],[poids / unite]],0)</f>
        <v/>
      </c>
      <c r="H364" s="512">
        <f>IFERROR(SUMIFS(TableauRecette[Proportion],TableauRecette[Recette],TableauRecette[[#This Row],[Recette]],TableauRecette[Conditionnement],TableauRecette[[#This Row],[Conditionnement]]),0)</f>
        <v/>
      </c>
      <c r="I364" s="512">
        <f>IFERROR(TableauRecette[[#This Row],[Prix d''achat / kg]],0)</f>
        <v/>
      </c>
      <c r="J364" s="512" t="n"/>
      <c r="K364" s="844" t="n"/>
      <c r="L364" s="845">
        <f>_xlfn.XLOOKUP(TableauRecette[[#This Row],[ID]],TableauProduit[ID],TableauProduit[Total (kg) N1],0,0,1)*TableauRecette[[#This Row],[poids / unite]]</f>
        <v/>
      </c>
      <c r="M364" s="846">
        <f>_xlfn.XLOOKUP(TableauRecette[[#This Row],[ID]],TableauProduit[ID],TableauProduit[Total (kg) N2],0,0,1)*TableauRecette[[#This Row],[poids / unite]]</f>
        <v/>
      </c>
      <c r="N364" s="846">
        <f>_xlfn.XLOOKUP(TableauRecette[[#This Row],[ID]],TableauProduit[ID],TableauProduit[Total (kg) N3],0,0,1)*TableauRecette[[#This Row],[poids / unite]]</f>
        <v/>
      </c>
      <c r="O364" s="846">
        <f>_xlfn.XLOOKUP(TableauRecette[[#This Row],[ID]],TableauProduit[ID],TableauProduit[Total (kg) N4],0,0,1)*TableauRecette[[#This Row],[poids / unite]]</f>
        <v/>
      </c>
      <c r="P364" s="846">
        <f>_xlfn.XLOOKUP(TableauRecette[[#This Row],[ID]],TableauProduit[ID],TableauProduit[Total (kg) N5],0,0,1)*TableauRecette[[#This Row],[poids / unite]]</f>
        <v/>
      </c>
      <c r="Q364" s="846">
        <f>_xlfn.XLOOKUP(TableauRecette[[#This Row],[ID]],TableauProduit[ID],TableauProduit[Total (kg) N6],0,0,1)*TableauRecette[[#This Row],[poids / unite]]</f>
        <v/>
      </c>
      <c r="R364" s="846">
        <f>_xlfn.XLOOKUP(TableauRecette[[#This Row],[ID]],TableauProduit[ID],TableauProduit[Total (kg) N7],0,0,1)*TableauRecette[[#This Row],[poids / unite]]</f>
        <v/>
      </c>
      <c r="S364" s="846">
        <f>_xlfn.XLOOKUP(TableauRecette[[#This Row],[ID]],TableauProduit[ID],TableauProduit[Total (kg) N8],0,0,1)*TableauRecette[[#This Row],[poids / unite]]</f>
        <v/>
      </c>
      <c r="T364" s="846">
        <f>_xlfn.XLOOKUP(TableauRecette[[#This Row],[ID]],TableauProduit[ID],TableauProduit[Total (kg) N9],0,0,1)*TableauRecette[[#This Row],[poids / unite]]</f>
        <v/>
      </c>
    </row>
    <row r="365">
      <c r="A365" s="511" t="inlineStr">
        <is>
          <t>Sucre aux fleures</t>
        </is>
      </c>
      <c r="B365" s="511">
        <f>TableauRecette[[#This Row],[Recette]]&amp;TableauRecette[[#This Row],[Conditionnement]]</f>
        <v/>
      </c>
      <c r="C365" s="511" t="inlineStr">
        <is>
          <t>Camomille Romaine SEC</t>
        </is>
      </c>
      <c r="D365" s="512" t="n">
        <v>1</v>
      </c>
      <c r="E365" s="511" t="inlineStr">
        <is>
          <t>Epice 100ml</t>
        </is>
      </c>
      <c r="F365" s="51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65" s="512">
        <f>IFERROR(_xlfn.XLOOKUP(TableauRecette[[#This Row],[Ingredients]],TableauIngredients[Ingredients],TableauIngredients[Prix d''achat (kg)],0)*TableauRecette[[#This Row],[poids / unite]],0)</f>
        <v/>
      </c>
      <c r="H365" s="512">
        <f>IFERROR(SUMIFS(TableauRecette[Proportion],TableauRecette[Recette],TableauRecette[[#This Row],[Recette]],TableauRecette[Conditionnement],TableauRecette[[#This Row],[Conditionnement]]),0)</f>
        <v/>
      </c>
      <c r="I365" s="512">
        <f>IFERROR(TableauRecette[[#This Row],[Prix d''achat / kg]],0)</f>
        <v/>
      </c>
      <c r="J365" s="512" t="n"/>
      <c r="K365" s="844" t="n"/>
      <c r="L365" s="845">
        <f>_xlfn.XLOOKUP(TableauRecette[[#This Row],[ID]],TableauProduit[ID],TableauProduit[Total (kg) N1],0,0,1)*TableauRecette[[#This Row],[poids / unite]]</f>
        <v/>
      </c>
      <c r="M365" s="846">
        <f>_xlfn.XLOOKUP(TableauRecette[[#This Row],[ID]],TableauProduit[ID],TableauProduit[Total (kg) N2],0,0,1)*TableauRecette[[#This Row],[poids / unite]]</f>
        <v/>
      </c>
      <c r="N365" s="846">
        <f>_xlfn.XLOOKUP(TableauRecette[[#This Row],[ID]],TableauProduit[ID],TableauProduit[Total (kg) N3],0,0,1)*TableauRecette[[#This Row],[poids / unite]]</f>
        <v/>
      </c>
      <c r="O365" s="846">
        <f>_xlfn.XLOOKUP(TableauRecette[[#This Row],[ID]],TableauProduit[ID],TableauProduit[Total (kg) N4],0,0,1)*TableauRecette[[#This Row],[poids / unite]]</f>
        <v/>
      </c>
      <c r="P365" s="846">
        <f>_xlfn.XLOOKUP(TableauRecette[[#This Row],[ID]],TableauProduit[ID],TableauProduit[Total (kg) N5],0,0,1)*TableauRecette[[#This Row],[poids / unite]]</f>
        <v/>
      </c>
      <c r="Q365" s="846">
        <f>_xlfn.XLOOKUP(TableauRecette[[#This Row],[ID]],TableauProduit[ID],TableauProduit[Total (kg) N6],0,0,1)*TableauRecette[[#This Row],[poids / unite]]</f>
        <v/>
      </c>
      <c r="R365" s="846">
        <f>_xlfn.XLOOKUP(TableauRecette[[#This Row],[ID]],TableauProduit[ID],TableauProduit[Total (kg) N7],0,0,1)*TableauRecette[[#This Row],[poids / unite]]</f>
        <v/>
      </c>
      <c r="S365" s="846">
        <f>_xlfn.XLOOKUP(TableauRecette[[#This Row],[ID]],TableauProduit[ID],TableauProduit[Total (kg) N8],0,0,1)*TableauRecette[[#This Row],[poids / unite]]</f>
        <v/>
      </c>
      <c r="T365" s="846">
        <f>_xlfn.XLOOKUP(TableauRecette[[#This Row],[ID]],TableauProduit[ID],TableauProduit[Total (kg) N9],0,0,1)*TableauRecette[[#This Row],[poids / unite]]</f>
        <v/>
      </c>
    </row>
    <row r="366">
      <c r="A366" s="511" t="inlineStr">
        <is>
          <t>Sucre aux fleures</t>
        </is>
      </c>
      <c r="B366" s="511">
        <f>TableauRecette[[#This Row],[Recette]]&amp;TableauRecette[[#This Row],[Conditionnement]]</f>
        <v/>
      </c>
      <c r="C366" s="511" t="inlineStr">
        <is>
          <t>Bleuet SEC</t>
        </is>
      </c>
      <c r="D366" s="512" t="n">
        <v>1</v>
      </c>
      <c r="E366" s="511" t="inlineStr">
        <is>
          <t>Epice 100ml</t>
        </is>
      </c>
      <c r="F366" s="51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66" s="512">
        <f>IFERROR(_xlfn.XLOOKUP(TableauRecette[[#This Row],[Ingredients]],TableauIngredients[Ingredients],TableauIngredients[Prix d''achat (kg)],0)*TableauRecette[[#This Row],[poids / unite]],0)</f>
        <v/>
      </c>
      <c r="H366" s="512">
        <f>IFERROR(SUMIFS(TableauRecette[Proportion],TableauRecette[Recette],TableauRecette[[#This Row],[Recette]],TableauRecette[Conditionnement],TableauRecette[[#This Row],[Conditionnement]]),0)</f>
        <v/>
      </c>
      <c r="I366" s="512">
        <f>IFERROR(TableauRecette[[#This Row],[Prix d''achat / kg]],0)</f>
        <v/>
      </c>
      <c r="J366" s="512" t="n"/>
      <c r="K366" s="844" t="n"/>
      <c r="L366" s="845">
        <f>_xlfn.XLOOKUP(TableauRecette[[#This Row],[ID]],TableauProduit[ID],TableauProduit[Total (kg) N1],0,0,1)*TableauRecette[[#This Row],[poids / unite]]</f>
        <v/>
      </c>
      <c r="M366" s="846">
        <f>_xlfn.XLOOKUP(TableauRecette[[#This Row],[ID]],TableauProduit[ID],TableauProduit[Total (kg) N2],0,0,1)*TableauRecette[[#This Row],[poids / unite]]</f>
        <v/>
      </c>
      <c r="N366" s="846">
        <f>_xlfn.XLOOKUP(TableauRecette[[#This Row],[ID]],TableauProduit[ID],TableauProduit[Total (kg) N3],0,0,1)*TableauRecette[[#This Row],[poids / unite]]</f>
        <v/>
      </c>
      <c r="O366" s="846">
        <f>_xlfn.XLOOKUP(TableauRecette[[#This Row],[ID]],TableauProduit[ID],TableauProduit[Total (kg) N4],0,0,1)*TableauRecette[[#This Row],[poids / unite]]</f>
        <v/>
      </c>
      <c r="P366" s="846">
        <f>_xlfn.XLOOKUP(TableauRecette[[#This Row],[ID]],TableauProduit[ID],TableauProduit[Total (kg) N5],0,0,1)*TableauRecette[[#This Row],[poids / unite]]</f>
        <v/>
      </c>
      <c r="Q366" s="846">
        <f>_xlfn.XLOOKUP(TableauRecette[[#This Row],[ID]],TableauProduit[ID],TableauProduit[Total (kg) N6],0,0,1)*TableauRecette[[#This Row],[poids / unite]]</f>
        <v/>
      </c>
      <c r="R366" s="846">
        <f>_xlfn.XLOOKUP(TableauRecette[[#This Row],[ID]],TableauProduit[ID],TableauProduit[Total (kg) N7],0,0,1)*TableauRecette[[#This Row],[poids / unite]]</f>
        <v/>
      </c>
      <c r="S366" s="846">
        <f>_xlfn.XLOOKUP(TableauRecette[[#This Row],[ID]],TableauProduit[ID],TableauProduit[Total (kg) N8],0,0,1)*TableauRecette[[#This Row],[poids / unite]]</f>
        <v/>
      </c>
      <c r="T366" s="846">
        <f>_xlfn.XLOOKUP(TableauRecette[[#This Row],[ID]],TableauProduit[ID],TableauProduit[Total (kg) N9],0,0,1)*TableauRecette[[#This Row],[poids / unite]]</f>
        <v/>
      </c>
    </row>
    <row r="367">
      <c r="A367" s="511" t="inlineStr">
        <is>
          <t>Sucre aux fleures</t>
        </is>
      </c>
      <c r="B367" s="511">
        <f>TableauRecette[[#This Row],[Recette]]&amp;TableauRecette[[#This Row],[Conditionnement]]</f>
        <v/>
      </c>
      <c r="C367" s="511" t="inlineStr">
        <is>
          <t>La Pensée Sec</t>
        </is>
      </c>
      <c r="D367" s="512" t="n">
        <v>1</v>
      </c>
      <c r="E367" s="511" t="inlineStr">
        <is>
          <t>Epice 100ml</t>
        </is>
      </c>
      <c r="F367" s="51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67" s="512">
        <f>IFERROR(_xlfn.XLOOKUP(TableauRecette[[#This Row],[Ingredients]],TableauIngredients[Ingredients],TableauIngredients[Prix d''achat (kg)],0)*TableauRecette[[#This Row],[poids / unite]],0)</f>
        <v/>
      </c>
      <c r="H367" s="512">
        <f>IFERROR(SUMIFS(TableauRecette[Proportion],TableauRecette[Recette],TableauRecette[[#This Row],[Recette]],TableauRecette[Conditionnement],TableauRecette[[#This Row],[Conditionnement]]),0)</f>
        <v/>
      </c>
      <c r="I367" s="512">
        <f>IFERROR(TableauRecette[[#This Row],[Prix d''achat / kg]],0)</f>
        <v/>
      </c>
      <c r="J367" s="512" t="n"/>
      <c r="K367" s="844" t="n"/>
      <c r="L367" s="845">
        <f>_xlfn.XLOOKUP(TableauRecette[[#This Row],[ID]],TableauProduit[ID],TableauProduit[Total (kg) N1],0,0,1)*TableauRecette[[#This Row],[poids / unite]]</f>
        <v/>
      </c>
      <c r="M367" s="846">
        <f>_xlfn.XLOOKUP(TableauRecette[[#This Row],[ID]],TableauProduit[ID],TableauProduit[Total (kg) N2],0,0,1)*TableauRecette[[#This Row],[poids / unite]]</f>
        <v/>
      </c>
      <c r="N367" s="846">
        <f>_xlfn.XLOOKUP(TableauRecette[[#This Row],[ID]],TableauProduit[ID],TableauProduit[Total (kg) N3],0,0,1)*TableauRecette[[#This Row],[poids / unite]]</f>
        <v/>
      </c>
      <c r="O367" s="846">
        <f>_xlfn.XLOOKUP(TableauRecette[[#This Row],[ID]],TableauProduit[ID],TableauProduit[Total (kg) N4],0,0,1)*TableauRecette[[#This Row],[poids / unite]]</f>
        <v/>
      </c>
      <c r="P367" s="846">
        <f>_xlfn.XLOOKUP(TableauRecette[[#This Row],[ID]],TableauProduit[ID],TableauProduit[Total (kg) N5],0,0,1)*TableauRecette[[#This Row],[poids / unite]]</f>
        <v/>
      </c>
      <c r="Q367" s="846">
        <f>_xlfn.XLOOKUP(TableauRecette[[#This Row],[ID]],TableauProduit[ID],TableauProduit[Total (kg) N6],0,0,1)*TableauRecette[[#This Row],[poids / unite]]</f>
        <v/>
      </c>
      <c r="R367" s="846">
        <f>_xlfn.XLOOKUP(TableauRecette[[#This Row],[ID]],TableauProduit[ID],TableauProduit[Total (kg) N7],0,0,1)*TableauRecette[[#This Row],[poids / unite]]</f>
        <v/>
      </c>
      <c r="S367" s="846">
        <f>_xlfn.XLOOKUP(TableauRecette[[#This Row],[ID]],TableauProduit[ID],TableauProduit[Total (kg) N8],0,0,1)*TableauRecette[[#This Row],[poids / unite]]</f>
        <v/>
      </c>
      <c r="T367" s="846">
        <f>_xlfn.XLOOKUP(TableauRecette[[#This Row],[ID]],TableauProduit[ID],TableauProduit[Total (kg) N9],0,0,1)*TableauRecette[[#This Row],[poids / unite]]</f>
        <v/>
      </c>
    </row>
    <row r="368">
      <c r="A368" s="511" t="inlineStr">
        <is>
          <t>Sucre aux fleures</t>
        </is>
      </c>
      <c r="B368" s="511">
        <f>TableauRecette[[#This Row],[Recette]]&amp;TableauRecette[[#This Row],[Conditionnement]]</f>
        <v/>
      </c>
      <c r="C368" s="511" t="inlineStr">
        <is>
          <t>Fleure Helichrysum SEC</t>
        </is>
      </c>
      <c r="D368" s="512" t="n">
        <v>1</v>
      </c>
      <c r="E368" s="511" t="inlineStr">
        <is>
          <t>Epice 100ml</t>
        </is>
      </c>
      <c r="F368" s="51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68" s="512">
        <f>IFERROR(_xlfn.XLOOKUP(TableauRecette[[#This Row],[Ingredients]],TableauIngredients[Ingredients],TableauIngredients[Prix d''achat (kg)],0)*TableauRecette[[#This Row],[poids / unite]],0)</f>
        <v/>
      </c>
      <c r="H368" s="512">
        <f>IFERROR(SUMIFS(TableauRecette[Proportion],TableauRecette[Recette],TableauRecette[[#This Row],[Recette]],TableauRecette[Conditionnement],TableauRecette[[#This Row],[Conditionnement]]),0)</f>
        <v/>
      </c>
      <c r="I368" s="512">
        <f>IFERROR(TableauRecette[[#This Row],[Prix d''achat / kg]],0)</f>
        <v/>
      </c>
      <c r="J368" s="512" t="n"/>
      <c r="K368" s="844" t="n"/>
      <c r="L368" s="845">
        <f>_xlfn.XLOOKUP(TableauRecette[[#This Row],[ID]],TableauProduit[ID],TableauProduit[Total (kg) N1],0,0,1)*TableauRecette[[#This Row],[poids / unite]]</f>
        <v/>
      </c>
      <c r="M368" s="846">
        <f>_xlfn.XLOOKUP(TableauRecette[[#This Row],[ID]],TableauProduit[ID],TableauProduit[Total (kg) N2],0,0,1)*TableauRecette[[#This Row],[poids / unite]]</f>
        <v/>
      </c>
      <c r="N368" s="846">
        <f>_xlfn.XLOOKUP(TableauRecette[[#This Row],[ID]],TableauProduit[ID],TableauProduit[Total (kg) N3],0,0,1)*TableauRecette[[#This Row],[poids / unite]]</f>
        <v/>
      </c>
      <c r="O368" s="846">
        <f>_xlfn.XLOOKUP(TableauRecette[[#This Row],[ID]],TableauProduit[ID],TableauProduit[Total (kg) N4],0,0,1)*TableauRecette[[#This Row],[poids / unite]]</f>
        <v/>
      </c>
      <c r="P368" s="846">
        <f>_xlfn.XLOOKUP(TableauRecette[[#This Row],[ID]],TableauProduit[ID],TableauProduit[Total (kg) N5],0,0,1)*TableauRecette[[#This Row],[poids / unite]]</f>
        <v/>
      </c>
      <c r="Q368" s="846">
        <f>_xlfn.XLOOKUP(TableauRecette[[#This Row],[ID]],TableauProduit[ID],TableauProduit[Total (kg) N6],0,0,1)*TableauRecette[[#This Row],[poids / unite]]</f>
        <v/>
      </c>
      <c r="R368" s="846">
        <f>_xlfn.XLOOKUP(TableauRecette[[#This Row],[ID]],TableauProduit[ID],TableauProduit[Total (kg) N7],0,0,1)*TableauRecette[[#This Row],[poids / unite]]</f>
        <v/>
      </c>
      <c r="S368" s="846">
        <f>_xlfn.XLOOKUP(TableauRecette[[#This Row],[ID]],TableauProduit[ID],TableauProduit[Total (kg) N8],0,0,1)*TableauRecette[[#This Row],[poids / unite]]</f>
        <v/>
      </c>
      <c r="T368" s="846">
        <f>_xlfn.XLOOKUP(TableauRecette[[#This Row],[ID]],TableauProduit[ID],TableauProduit[Total (kg) N9],0,0,1)*TableauRecette[[#This Row],[poids / unite]]</f>
        <v/>
      </c>
    </row>
    <row r="369">
      <c r="A369" s="511" t="inlineStr">
        <is>
          <t>Sucre aux fleures</t>
        </is>
      </c>
      <c r="B369" s="511">
        <f>TableauRecette[[#This Row],[Recette]]&amp;TableauRecette[[#This Row],[Conditionnement]]</f>
        <v/>
      </c>
      <c r="C369" s="511" t="inlineStr">
        <is>
          <t>Fleure Helichrysum Sec</t>
        </is>
      </c>
      <c r="D369" s="512" t="n">
        <v>1</v>
      </c>
      <c r="E369" s="511" t="inlineStr">
        <is>
          <t>Epice 100ml</t>
        </is>
      </c>
      <c r="F369" s="51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69" s="512">
        <f>IFERROR(_xlfn.XLOOKUP(TableauRecette[[#This Row],[Ingredients]],TableauIngredients[Ingredients],TableauIngredients[Prix d''achat (kg)],0)*TableauRecette[[#This Row],[poids / unite]],0)</f>
        <v/>
      </c>
      <c r="H369" s="512">
        <f>IFERROR(SUMIFS(TableauRecette[Proportion],TableauRecette[Recette],TableauRecette[[#This Row],[Recette]],TableauRecette[Conditionnement],TableauRecette[[#This Row],[Conditionnement]]),0)</f>
        <v/>
      </c>
      <c r="I369" s="512">
        <f>IFERROR(TableauRecette[[#This Row],[Prix d''achat / kg]],0)</f>
        <v/>
      </c>
      <c r="J369" s="512" t="n"/>
      <c r="K369" s="844" t="n"/>
      <c r="L369" s="845">
        <f>_xlfn.XLOOKUP(TableauRecette[[#This Row],[ID]],TableauProduit[ID],TableauProduit[Total (kg) N1],0,0,1)*TableauRecette[[#This Row],[poids / unite]]</f>
        <v/>
      </c>
      <c r="M369" s="846">
        <f>_xlfn.XLOOKUP(TableauRecette[[#This Row],[ID]],TableauProduit[ID],TableauProduit[Total (kg) N2],0,0,1)*TableauRecette[[#This Row],[poids / unite]]</f>
        <v/>
      </c>
      <c r="N369" s="846">
        <f>_xlfn.XLOOKUP(TableauRecette[[#This Row],[ID]],TableauProduit[ID],TableauProduit[Total (kg) N3],0,0,1)*TableauRecette[[#This Row],[poids / unite]]</f>
        <v/>
      </c>
      <c r="O369" s="846">
        <f>_xlfn.XLOOKUP(TableauRecette[[#This Row],[ID]],TableauProduit[ID],TableauProduit[Total (kg) N4],0,0,1)*TableauRecette[[#This Row],[poids / unite]]</f>
        <v/>
      </c>
      <c r="P369" s="846">
        <f>_xlfn.XLOOKUP(TableauRecette[[#This Row],[ID]],TableauProduit[ID],TableauProduit[Total (kg) N5],0,0,1)*TableauRecette[[#This Row],[poids / unite]]</f>
        <v/>
      </c>
      <c r="Q369" s="846">
        <f>_xlfn.XLOOKUP(TableauRecette[[#This Row],[ID]],TableauProduit[ID],TableauProduit[Total (kg) N6],0,0,1)*TableauRecette[[#This Row],[poids / unite]]</f>
        <v/>
      </c>
      <c r="R369" s="846">
        <f>_xlfn.XLOOKUP(TableauRecette[[#This Row],[ID]],TableauProduit[ID],TableauProduit[Total (kg) N7],0,0,1)*TableauRecette[[#This Row],[poids / unite]]</f>
        <v/>
      </c>
      <c r="S369" s="846">
        <f>_xlfn.XLOOKUP(TableauRecette[[#This Row],[ID]],TableauProduit[ID],TableauProduit[Total (kg) N8],0,0,1)*TableauRecette[[#This Row],[poids / unite]]</f>
        <v/>
      </c>
      <c r="T369" s="846">
        <f>_xlfn.XLOOKUP(TableauRecette[[#This Row],[ID]],TableauProduit[ID],TableauProduit[Total (kg) N9],0,0,1)*TableauRecette[[#This Row],[poids / unite]]</f>
        <v/>
      </c>
    </row>
    <row r="370">
      <c r="A370" s="511" t="inlineStr">
        <is>
          <t>Sucre aux fleures</t>
        </is>
      </c>
      <c r="B370" s="511">
        <f>TableauRecette[[#This Row],[Recette]]&amp;TableauRecette[[#This Row],[Conditionnement]]</f>
        <v/>
      </c>
      <c r="C370" s="511" t="inlineStr">
        <is>
          <t>Souci SEC (Calendula Officinalis)</t>
        </is>
      </c>
      <c r="D370" s="512" t="n">
        <v>1</v>
      </c>
      <c r="E370" s="511" t="inlineStr">
        <is>
          <t>Epice 100ml</t>
        </is>
      </c>
      <c r="F370" s="51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70" s="512">
        <f>IFERROR(_xlfn.XLOOKUP(TableauRecette[[#This Row],[Ingredients]],TableauIngredients[Ingredients],TableauIngredients[Prix d''achat (kg)],0)*TableauRecette[[#This Row],[poids / unite]],0)</f>
        <v/>
      </c>
      <c r="H370" s="512">
        <f>IFERROR(SUMIFS(TableauRecette[Proportion],TableauRecette[Recette],TableauRecette[[#This Row],[Recette]],TableauRecette[Conditionnement],TableauRecette[[#This Row],[Conditionnement]]),0)</f>
        <v/>
      </c>
      <c r="I370" s="512">
        <f>IFERROR(TableauRecette[[#This Row],[Prix d''achat / kg]],0)</f>
        <v/>
      </c>
      <c r="J370" s="512" t="n"/>
      <c r="K370" s="844" t="n"/>
      <c r="L370" s="845">
        <f>_xlfn.XLOOKUP(TableauRecette[[#This Row],[ID]],TableauProduit[ID],TableauProduit[Total (kg) N1],0,0,1)*TableauRecette[[#This Row],[poids / unite]]</f>
        <v/>
      </c>
      <c r="M370" s="846">
        <f>_xlfn.XLOOKUP(TableauRecette[[#This Row],[ID]],TableauProduit[ID],TableauProduit[Total (kg) N2],0,0,1)*TableauRecette[[#This Row],[poids / unite]]</f>
        <v/>
      </c>
      <c r="N370" s="846">
        <f>_xlfn.XLOOKUP(TableauRecette[[#This Row],[ID]],TableauProduit[ID],TableauProduit[Total (kg) N3],0,0,1)*TableauRecette[[#This Row],[poids / unite]]</f>
        <v/>
      </c>
      <c r="O370" s="846">
        <f>_xlfn.XLOOKUP(TableauRecette[[#This Row],[ID]],TableauProduit[ID],TableauProduit[Total (kg) N4],0,0,1)*TableauRecette[[#This Row],[poids / unite]]</f>
        <v/>
      </c>
      <c r="P370" s="846">
        <f>_xlfn.XLOOKUP(TableauRecette[[#This Row],[ID]],TableauProduit[ID],TableauProduit[Total (kg) N5],0,0,1)*TableauRecette[[#This Row],[poids / unite]]</f>
        <v/>
      </c>
      <c r="Q370" s="846">
        <f>_xlfn.XLOOKUP(TableauRecette[[#This Row],[ID]],TableauProduit[ID],TableauProduit[Total (kg) N6],0,0,1)*TableauRecette[[#This Row],[poids / unite]]</f>
        <v/>
      </c>
      <c r="R370" s="846">
        <f>_xlfn.XLOOKUP(TableauRecette[[#This Row],[ID]],TableauProduit[ID],TableauProduit[Total (kg) N7],0,0,1)*TableauRecette[[#This Row],[poids / unite]]</f>
        <v/>
      </c>
      <c r="S370" s="846">
        <f>_xlfn.XLOOKUP(TableauRecette[[#This Row],[ID]],TableauProduit[ID],TableauProduit[Total (kg) N8],0,0,1)*TableauRecette[[#This Row],[poids / unite]]</f>
        <v/>
      </c>
      <c r="T370" s="846">
        <f>_xlfn.XLOOKUP(TableauRecette[[#This Row],[ID]],TableauProduit[ID],TableauProduit[Total (kg) N9],0,0,1)*TableauRecette[[#This Row],[poids / unite]]</f>
        <v/>
      </c>
    </row>
    <row r="371">
      <c r="A371" s="511" t="inlineStr">
        <is>
          <t>Sucre aux fleures</t>
        </is>
      </c>
      <c r="B371" s="511">
        <f>TableauRecette[[#This Row],[Recette]]&amp;TableauRecette[[#This Row],[Conditionnement]]</f>
        <v/>
      </c>
      <c r="C371" s="511" t="inlineStr">
        <is>
          <t>Rose SEC</t>
        </is>
      </c>
      <c r="D371" s="512" t="n">
        <v>1</v>
      </c>
      <c r="E371" s="511" t="inlineStr">
        <is>
          <t>Epice 100ml</t>
        </is>
      </c>
      <c r="F371" s="51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71" s="512">
        <f>IFERROR(_xlfn.XLOOKUP(TableauRecette[[#This Row],[Ingredients]],TableauIngredients[Ingredients],TableauIngredients[Prix d''achat (kg)],0)*TableauRecette[[#This Row],[poids / unite]],0)</f>
        <v/>
      </c>
      <c r="H371" s="512">
        <f>IFERROR(SUMIFS(TableauRecette[Proportion],TableauRecette[Recette],TableauRecette[[#This Row],[Recette]],TableauRecette[Conditionnement],TableauRecette[[#This Row],[Conditionnement]]),0)</f>
        <v/>
      </c>
      <c r="I371" s="512">
        <f>IFERROR(TableauRecette[[#This Row],[Prix d''achat / kg]],0)</f>
        <v/>
      </c>
      <c r="J371" s="512" t="n"/>
      <c r="K371" s="844" t="n"/>
      <c r="L371" s="845">
        <f>_xlfn.XLOOKUP(TableauRecette[[#This Row],[ID]],TableauProduit[ID],TableauProduit[Total (kg) N1],0,0,1)*TableauRecette[[#This Row],[poids / unite]]</f>
        <v/>
      </c>
      <c r="M371" s="846">
        <f>_xlfn.XLOOKUP(TableauRecette[[#This Row],[ID]],TableauProduit[ID],TableauProduit[Total (kg) N2],0,0,1)*TableauRecette[[#This Row],[poids / unite]]</f>
        <v/>
      </c>
      <c r="N371" s="846">
        <f>_xlfn.XLOOKUP(TableauRecette[[#This Row],[ID]],TableauProduit[ID],TableauProduit[Total (kg) N3],0,0,1)*TableauRecette[[#This Row],[poids / unite]]</f>
        <v/>
      </c>
      <c r="O371" s="846">
        <f>_xlfn.XLOOKUP(TableauRecette[[#This Row],[ID]],TableauProduit[ID],TableauProduit[Total (kg) N4],0,0,1)*TableauRecette[[#This Row],[poids / unite]]</f>
        <v/>
      </c>
      <c r="P371" s="846">
        <f>_xlfn.XLOOKUP(TableauRecette[[#This Row],[ID]],TableauProduit[ID],TableauProduit[Total (kg) N5],0,0,1)*TableauRecette[[#This Row],[poids / unite]]</f>
        <v/>
      </c>
      <c r="Q371" s="846">
        <f>_xlfn.XLOOKUP(TableauRecette[[#This Row],[ID]],TableauProduit[ID],TableauProduit[Total (kg) N6],0,0,1)*TableauRecette[[#This Row],[poids / unite]]</f>
        <v/>
      </c>
      <c r="R371" s="846">
        <f>_xlfn.XLOOKUP(TableauRecette[[#This Row],[ID]],TableauProduit[ID],TableauProduit[Total (kg) N7],0,0,1)*TableauRecette[[#This Row],[poids / unite]]</f>
        <v/>
      </c>
      <c r="S371" s="846">
        <f>_xlfn.XLOOKUP(TableauRecette[[#This Row],[ID]],TableauProduit[ID],TableauProduit[Total (kg) N8],0,0,1)*TableauRecette[[#This Row],[poids / unite]]</f>
        <v/>
      </c>
      <c r="T371" s="846">
        <f>_xlfn.XLOOKUP(TableauRecette[[#This Row],[ID]],TableauProduit[ID],TableauProduit[Total (kg) N9],0,0,1)*TableauRecette[[#This Row],[poids / unite]]</f>
        <v/>
      </c>
    </row>
    <row r="372">
      <c r="A372" s="511" t="inlineStr">
        <is>
          <t>Sucre aux fleures</t>
        </is>
      </c>
      <c r="B372" s="511">
        <f>TableauRecette[[#This Row],[Recette]]&amp;TableauRecette[[#This Row],[Conditionnement]]</f>
        <v/>
      </c>
      <c r="C372" s="511" t="inlineStr">
        <is>
          <t>Pelargonium Sec (Géranium)</t>
        </is>
      </c>
      <c r="D372" s="512" t="n">
        <v>1</v>
      </c>
      <c r="E372" s="511" t="inlineStr">
        <is>
          <t>Epice 100ml</t>
        </is>
      </c>
      <c r="F372" s="51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72" s="512">
        <f>IFERROR(_xlfn.XLOOKUP(TableauRecette[[#This Row],[Ingredients]],TableauIngredients[Ingredients],TableauIngredients[Prix d''achat (kg)],0)*TableauRecette[[#This Row],[poids / unite]],0)</f>
        <v/>
      </c>
      <c r="H372" s="512">
        <f>IFERROR(SUMIFS(TableauRecette[Proportion],TableauRecette[Recette],TableauRecette[[#This Row],[Recette]],TableauRecette[Conditionnement],TableauRecette[[#This Row],[Conditionnement]]),0)</f>
        <v/>
      </c>
      <c r="I372" s="512">
        <f>IFERROR(TableauRecette[[#This Row],[Prix d''achat / kg]],0)</f>
        <v/>
      </c>
      <c r="J372" s="512" t="n"/>
      <c r="K372" s="844" t="n"/>
      <c r="L372" s="845">
        <f>_xlfn.XLOOKUP(TableauRecette[[#This Row],[ID]],TableauProduit[ID],TableauProduit[Total (kg) N1],0,0,1)*TableauRecette[[#This Row],[poids / unite]]</f>
        <v/>
      </c>
      <c r="M372" s="846">
        <f>_xlfn.XLOOKUP(TableauRecette[[#This Row],[ID]],TableauProduit[ID],TableauProduit[Total (kg) N2],0,0,1)*TableauRecette[[#This Row],[poids / unite]]</f>
        <v/>
      </c>
      <c r="N372" s="846">
        <f>_xlfn.XLOOKUP(TableauRecette[[#This Row],[ID]],TableauProduit[ID],TableauProduit[Total (kg) N3],0,0,1)*TableauRecette[[#This Row],[poids / unite]]</f>
        <v/>
      </c>
      <c r="O372" s="846">
        <f>_xlfn.XLOOKUP(TableauRecette[[#This Row],[ID]],TableauProduit[ID],TableauProduit[Total (kg) N4],0,0,1)*TableauRecette[[#This Row],[poids / unite]]</f>
        <v/>
      </c>
      <c r="P372" s="846">
        <f>_xlfn.XLOOKUP(TableauRecette[[#This Row],[ID]],TableauProduit[ID],TableauProduit[Total (kg) N5],0,0,1)*TableauRecette[[#This Row],[poids / unite]]</f>
        <v/>
      </c>
      <c r="Q372" s="846">
        <f>_xlfn.XLOOKUP(TableauRecette[[#This Row],[ID]],TableauProduit[ID],TableauProduit[Total (kg) N6],0,0,1)*TableauRecette[[#This Row],[poids / unite]]</f>
        <v/>
      </c>
      <c r="R372" s="846">
        <f>_xlfn.XLOOKUP(TableauRecette[[#This Row],[ID]],TableauProduit[ID],TableauProduit[Total (kg) N7],0,0,1)*TableauRecette[[#This Row],[poids / unite]]</f>
        <v/>
      </c>
      <c r="S372" s="846">
        <f>_xlfn.XLOOKUP(TableauRecette[[#This Row],[ID]],TableauProduit[ID],TableauProduit[Total (kg) N8],0,0,1)*TableauRecette[[#This Row],[poids / unite]]</f>
        <v/>
      </c>
      <c r="T372" s="846">
        <f>_xlfn.XLOOKUP(TableauRecette[[#This Row],[ID]],TableauProduit[ID],TableauProduit[Total (kg) N9],0,0,1)*TableauRecette[[#This Row],[poids / unite]]</f>
        <v/>
      </c>
    </row>
    <row r="373">
      <c r="A373" s="511" t="inlineStr">
        <is>
          <t>Sucre aux fleures</t>
        </is>
      </c>
      <c r="B373" s="511">
        <f>TableauRecette[[#This Row],[Recette]]&amp;TableauRecette[[#This Row],[Conditionnement]]</f>
        <v/>
      </c>
      <c r="C373" s="511" t="inlineStr">
        <is>
          <t>Lavande SEC</t>
        </is>
      </c>
      <c r="D373" s="512" t="n">
        <v>1</v>
      </c>
      <c r="E373" s="511" t="inlineStr">
        <is>
          <t>Epice 100ml</t>
        </is>
      </c>
      <c r="F373" s="51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73" s="512">
        <f>IFERROR(_xlfn.XLOOKUP(TableauRecette[[#This Row],[Ingredients]],TableauIngredients[Ingredients],TableauIngredients[Prix d''achat (kg)],0)*TableauRecette[[#This Row],[poids / unite]],0)</f>
        <v/>
      </c>
      <c r="H373" s="512">
        <f>IFERROR(SUMIFS(TableauRecette[Proportion],TableauRecette[Recette],TableauRecette[[#This Row],[Recette]],TableauRecette[Conditionnement],TableauRecette[[#This Row],[Conditionnement]]),0)</f>
        <v/>
      </c>
      <c r="I373" s="512">
        <f>IFERROR(TableauRecette[[#This Row],[Prix d''achat / kg]],0)</f>
        <v/>
      </c>
      <c r="J373" s="512" t="n"/>
      <c r="K373" s="844" t="n"/>
      <c r="L373" s="845">
        <f>_xlfn.XLOOKUP(TableauRecette[[#This Row],[ID]],TableauProduit[ID],TableauProduit[Total (kg) N1],0,0,1)*TableauRecette[[#This Row],[poids / unite]]</f>
        <v/>
      </c>
      <c r="M373" s="846">
        <f>_xlfn.XLOOKUP(TableauRecette[[#This Row],[ID]],TableauProduit[ID],TableauProduit[Total (kg) N2],0,0,1)*TableauRecette[[#This Row],[poids / unite]]</f>
        <v/>
      </c>
      <c r="N373" s="846">
        <f>_xlfn.XLOOKUP(TableauRecette[[#This Row],[ID]],TableauProduit[ID],TableauProduit[Total (kg) N3],0,0,1)*TableauRecette[[#This Row],[poids / unite]]</f>
        <v/>
      </c>
      <c r="O373" s="846">
        <f>_xlfn.XLOOKUP(TableauRecette[[#This Row],[ID]],TableauProduit[ID],TableauProduit[Total (kg) N4],0,0,1)*TableauRecette[[#This Row],[poids / unite]]</f>
        <v/>
      </c>
      <c r="P373" s="846">
        <f>_xlfn.XLOOKUP(TableauRecette[[#This Row],[ID]],TableauProduit[ID],TableauProduit[Total (kg) N5],0,0,1)*TableauRecette[[#This Row],[poids / unite]]</f>
        <v/>
      </c>
      <c r="Q373" s="846">
        <f>_xlfn.XLOOKUP(TableauRecette[[#This Row],[ID]],TableauProduit[ID],TableauProduit[Total (kg) N6],0,0,1)*TableauRecette[[#This Row],[poids / unite]]</f>
        <v/>
      </c>
      <c r="R373" s="846">
        <f>_xlfn.XLOOKUP(TableauRecette[[#This Row],[ID]],TableauProduit[ID],TableauProduit[Total (kg) N7],0,0,1)*TableauRecette[[#This Row],[poids / unite]]</f>
        <v/>
      </c>
      <c r="S373" s="846">
        <f>_xlfn.XLOOKUP(TableauRecette[[#This Row],[ID]],TableauProduit[ID],TableauProduit[Total (kg) N8],0,0,1)*TableauRecette[[#This Row],[poids / unite]]</f>
        <v/>
      </c>
      <c r="T373" s="846">
        <f>_xlfn.XLOOKUP(TableauRecette[[#This Row],[ID]],TableauProduit[ID],TableauProduit[Total (kg) N9],0,0,1)*TableauRecette[[#This Row],[poids / unite]]</f>
        <v/>
      </c>
    </row>
    <row r="374">
      <c r="A374" s="511" t="inlineStr">
        <is>
          <t>Sucre aux fleures</t>
        </is>
      </c>
      <c r="B374" s="511">
        <f>TableauRecette[[#This Row],[Recette]]&amp;TableauRecette[[#This Row],[Conditionnement]]</f>
        <v/>
      </c>
      <c r="C374" s="511" t="inlineStr">
        <is>
          <t>Oeillet D’Inde SEC</t>
        </is>
      </c>
      <c r="D374" s="512" t="n">
        <v>1</v>
      </c>
      <c r="E374" s="511" t="inlineStr">
        <is>
          <t>Epice 100ml</t>
        </is>
      </c>
      <c r="F374" s="51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74" s="512">
        <f>IFERROR(_xlfn.XLOOKUP(TableauRecette[[#This Row],[Ingredients]],TableauIngredients[Ingredients],TableauIngredients[Prix d''achat (kg)],0)*TableauRecette[[#This Row],[poids / unite]],0)</f>
        <v/>
      </c>
      <c r="H374" s="512">
        <f>IFERROR(SUMIFS(TableauRecette[Proportion],TableauRecette[Recette],TableauRecette[[#This Row],[Recette]],TableauRecette[Conditionnement],TableauRecette[[#This Row],[Conditionnement]]),0)</f>
        <v/>
      </c>
      <c r="I374" s="512">
        <f>IFERROR(TableauRecette[[#This Row],[Prix d''achat / kg]],0)</f>
        <v/>
      </c>
      <c r="J374" s="512" t="n"/>
      <c r="K374" s="844" t="n"/>
      <c r="L374" s="845">
        <f>_xlfn.XLOOKUP(TableauRecette[[#This Row],[ID]],TableauProduit[ID],TableauProduit[Total (kg) N1],0,0,1)*TableauRecette[[#This Row],[poids / unite]]</f>
        <v/>
      </c>
      <c r="M374" s="846">
        <f>_xlfn.XLOOKUP(TableauRecette[[#This Row],[ID]],TableauProduit[ID],TableauProduit[Total (kg) N2],0,0,1)*TableauRecette[[#This Row],[poids / unite]]</f>
        <v/>
      </c>
      <c r="N374" s="846">
        <f>_xlfn.XLOOKUP(TableauRecette[[#This Row],[ID]],TableauProduit[ID],TableauProduit[Total (kg) N3],0,0,1)*TableauRecette[[#This Row],[poids / unite]]</f>
        <v/>
      </c>
      <c r="O374" s="846">
        <f>_xlfn.XLOOKUP(TableauRecette[[#This Row],[ID]],TableauProduit[ID],TableauProduit[Total (kg) N4],0,0,1)*TableauRecette[[#This Row],[poids / unite]]</f>
        <v/>
      </c>
      <c r="P374" s="846">
        <f>_xlfn.XLOOKUP(TableauRecette[[#This Row],[ID]],TableauProduit[ID],TableauProduit[Total (kg) N5],0,0,1)*TableauRecette[[#This Row],[poids / unite]]</f>
        <v/>
      </c>
      <c r="Q374" s="846">
        <f>_xlfn.XLOOKUP(TableauRecette[[#This Row],[ID]],TableauProduit[ID],TableauProduit[Total (kg) N6],0,0,1)*TableauRecette[[#This Row],[poids / unite]]</f>
        <v/>
      </c>
      <c r="R374" s="846">
        <f>_xlfn.XLOOKUP(TableauRecette[[#This Row],[ID]],TableauProduit[ID],TableauProduit[Total (kg) N7],0,0,1)*TableauRecette[[#This Row],[poids / unite]]</f>
        <v/>
      </c>
      <c r="S374" s="846">
        <f>_xlfn.XLOOKUP(TableauRecette[[#This Row],[ID]],TableauProduit[ID],TableauProduit[Total (kg) N8],0,0,1)*TableauRecette[[#This Row],[poids / unite]]</f>
        <v/>
      </c>
      <c r="T374" s="846">
        <f>_xlfn.XLOOKUP(TableauRecette[[#This Row],[ID]],TableauProduit[ID],TableauProduit[Total (kg) N9],0,0,1)*TableauRecette[[#This Row],[poids / unite]]</f>
        <v/>
      </c>
    </row>
    <row r="375">
      <c r="A375" s="511" t="inlineStr">
        <is>
          <t>Sucre aux fleures</t>
        </is>
      </c>
      <c r="B375" s="511">
        <f>TableauRecette[[#This Row],[Recette]]&amp;TableauRecette[[#This Row],[Conditionnement]]</f>
        <v/>
      </c>
      <c r="C375" s="511" t="inlineStr">
        <is>
          <t>L'Agastache SEC</t>
        </is>
      </c>
      <c r="D375" s="512" t="n">
        <v>1</v>
      </c>
      <c r="E375" s="511" t="inlineStr">
        <is>
          <t>Epice 100ml</t>
        </is>
      </c>
      <c r="F375" s="51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75" s="512">
        <f>IFERROR(_xlfn.XLOOKUP(TableauRecette[[#This Row],[Ingredients]],TableauIngredients[Ingredients],TableauIngredients[Prix d''achat (kg)],0)*TableauRecette[[#This Row],[poids / unite]],0)</f>
        <v/>
      </c>
      <c r="H375" s="512">
        <f>IFERROR(SUMIFS(TableauRecette[Proportion],TableauRecette[Recette],TableauRecette[[#This Row],[Recette]],TableauRecette[Conditionnement],TableauRecette[[#This Row],[Conditionnement]]),0)</f>
        <v/>
      </c>
      <c r="I375" s="512">
        <f>IFERROR(TableauRecette[[#This Row],[Prix d''achat / kg]],0)</f>
        <v/>
      </c>
      <c r="J375" s="512" t="n"/>
      <c r="K375" s="844" t="n"/>
      <c r="L375" s="845">
        <f>_xlfn.XLOOKUP(TableauRecette[[#This Row],[ID]],TableauProduit[ID],TableauProduit[Total (kg) N1],0,0,1)*TableauRecette[[#This Row],[poids / unite]]</f>
        <v/>
      </c>
      <c r="M375" s="846">
        <f>_xlfn.XLOOKUP(TableauRecette[[#This Row],[ID]],TableauProduit[ID],TableauProduit[Total (kg) N2],0,0,1)*TableauRecette[[#This Row],[poids / unite]]</f>
        <v/>
      </c>
      <c r="N375" s="846">
        <f>_xlfn.XLOOKUP(TableauRecette[[#This Row],[ID]],TableauProduit[ID],TableauProduit[Total (kg) N3],0,0,1)*TableauRecette[[#This Row],[poids / unite]]</f>
        <v/>
      </c>
      <c r="O375" s="846">
        <f>_xlfn.XLOOKUP(TableauRecette[[#This Row],[ID]],TableauProduit[ID],TableauProduit[Total (kg) N4],0,0,1)*TableauRecette[[#This Row],[poids / unite]]</f>
        <v/>
      </c>
      <c r="P375" s="846">
        <f>_xlfn.XLOOKUP(TableauRecette[[#This Row],[ID]],TableauProduit[ID],TableauProduit[Total (kg) N5],0,0,1)*TableauRecette[[#This Row],[poids / unite]]</f>
        <v/>
      </c>
      <c r="Q375" s="846">
        <f>_xlfn.XLOOKUP(TableauRecette[[#This Row],[ID]],TableauProduit[ID],TableauProduit[Total (kg) N6],0,0,1)*TableauRecette[[#This Row],[poids / unite]]</f>
        <v/>
      </c>
      <c r="R375" s="846">
        <f>_xlfn.XLOOKUP(TableauRecette[[#This Row],[ID]],TableauProduit[ID],TableauProduit[Total (kg) N7],0,0,1)*TableauRecette[[#This Row],[poids / unite]]</f>
        <v/>
      </c>
      <c r="S375" s="846">
        <f>_xlfn.XLOOKUP(TableauRecette[[#This Row],[ID]],TableauProduit[ID],TableauProduit[Total (kg) N8],0,0,1)*TableauRecette[[#This Row],[poids / unite]]</f>
        <v/>
      </c>
      <c r="T375" s="846">
        <f>_xlfn.XLOOKUP(TableauRecette[[#This Row],[ID]],TableauProduit[ID],TableauProduit[Total (kg) N9],0,0,1)*TableauRecette[[#This Row],[poids / unite]]</f>
        <v/>
      </c>
    </row>
    <row r="376">
      <c r="A376" s="523" t="inlineStr">
        <is>
          <t>Sucre de rose</t>
        </is>
      </c>
      <c r="B376" s="523">
        <f>TableauRecette[[#This Row],[Recette]]&amp;TableauRecette[[#This Row],[Conditionnement]]</f>
        <v/>
      </c>
      <c r="C376" s="666" t="inlineStr">
        <is>
          <t>Rose</t>
        </is>
      </c>
      <c r="D376" s="524" t="n">
        <v>6</v>
      </c>
      <c r="E376" s="523" t="inlineStr">
        <is>
          <t>Epice 100ml</t>
        </is>
      </c>
      <c r="F376" s="52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76" s="524">
        <f>IFERROR(_xlfn.XLOOKUP(TableauRecette[[#This Row],[Ingredients]],TableauIngredients[Ingredients],TableauIngredients[Prix d''achat (kg)],0)*TableauRecette[[#This Row],[poids / unite]],0)</f>
        <v/>
      </c>
      <c r="H376" s="524">
        <f>IFERROR(SUMIFS(TableauRecette[Proportion],TableauRecette[Recette],TableauRecette[[#This Row],[Recette]],TableauRecette[Conditionnement],TableauRecette[[#This Row],[Conditionnement]]),0)</f>
        <v/>
      </c>
      <c r="I376" s="524">
        <f>IFERROR(TableauRecette[[#This Row],[Prix d''achat / kg]],0)</f>
        <v/>
      </c>
      <c r="J376" s="524" t="n"/>
      <c r="K376" s="847" t="n"/>
      <c r="L376" s="848">
        <f>_xlfn.XLOOKUP(TableauRecette[[#This Row],[ID]],TableauProduit[ID],TableauProduit[Total (kg) N1],0,0,1)*TableauRecette[[#This Row],[poids / unite]]</f>
        <v/>
      </c>
      <c r="M376" s="849">
        <f>_xlfn.XLOOKUP(TableauRecette[[#This Row],[ID]],TableauProduit[ID],TableauProduit[Total (kg) N2],0,0,1)*TableauRecette[[#This Row],[poids / unite]]</f>
        <v/>
      </c>
      <c r="N376" s="849">
        <f>_xlfn.XLOOKUP(TableauRecette[[#This Row],[ID]],TableauProduit[ID],TableauProduit[Total (kg) N3],0,0,1)*TableauRecette[[#This Row],[poids / unite]]</f>
        <v/>
      </c>
      <c r="O376" s="849">
        <f>_xlfn.XLOOKUP(TableauRecette[[#This Row],[ID]],TableauProduit[ID],TableauProduit[Total (kg) N4],0,0,1)*TableauRecette[[#This Row],[poids / unite]]</f>
        <v/>
      </c>
      <c r="P376" s="849">
        <f>_xlfn.XLOOKUP(TableauRecette[[#This Row],[ID]],TableauProduit[ID],TableauProduit[Total (kg) N5],0,0,1)*TableauRecette[[#This Row],[poids / unite]]</f>
        <v/>
      </c>
      <c r="Q376" s="849">
        <f>_xlfn.XLOOKUP(TableauRecette[[#This Row],[ID]],TableauProduit[ID],TableauProduit[Total (kg) N6],0,0,1)*TableauRecette[[#This Row],[poids / unite]]</f>
        <v/>
      </c>
      <c r="R376" s="849">
        <f>_xlfn.XLOOKUP(TableauRecette[[#This Row],[ID]],TableauProduit[ID],TableauProduit[Total (kg) N7],0,0,1)*TableauRecette[[#This Row],[poids / unite]]</f>
        <v/>
      </c>
      <c r="S376" s="849">
        <f>_xlfn.XLOOKUP(TableauRecette[[#This Row],[ID]],TableauProduit[ID],TableauProduit[Total (kg) N8],0,0,1)*TableauRecette[[#This Row],[poids / unite]]</f>
        <v/>
      </c>
      <c r="T376" s="849">
        <f>_xlfn.XLOOKUP(TableauRecette[[#This Row],[ID]],TableauProduit[ID],TableauProduit[Total (kg) N9],0,0,1)*TableauRecette[[#This Row],[poids / unite]]</f>
        <v/>
      </c>
    </row>
    <row r="377">
      <c r="A377" s="523" t="inlineStr">
        <is>
          <t>Sucre de rose</t>
        </is>
      </c>
      <c r="B377" s="523">
        <f>TableauRecette[[#This Row],[Recette]]&amp;TableauRecette[[#This Row],[Conditionnement]]</f>
        <v/>
      </c>
      <c r="C377" s="523" t="inlineStr">
        <is>
          <t xml:space="preserve">Sucre Blanc </t>
        </is>
      </c>
      <c r="D377" s="524" t="n">
        <v>94</v>
      </c>
      <c r="E377" s="523" t="inlineStr">
        <is>
          <t>Epice 100ml</t>
        </is>
      </c>
      <c r="F377" s="52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77" s="524">
        <f>IFERROR(_xlfn.XLOOKUP(TableauRecette[[#This Row],[Ingredients]],TableauIngredients[Ingredients],TableauIngredients[Prix d''achat (kg)],0)*TableauRecette[[#This Row],[poids / unite]],0)</f>
        <v/>
      </c>
      <c r="H377" s="524">
        <f>IFERROR(SUMIFS(TableauRecette[Proportion],TableauRecette[Recette],TableauRecette[[#This Row],[Recette]],TableauRecette[Conditionnement],TableauRecette[[#This Row],[Conditionnement]]),0)</f>
        <v/>
      </c>
      <c r="I377" s="524">
        <f>IFERROR(TableauRecette[[#This Row],[Prix d''achat / kg]],0)</f>
        <v/>
      </c>
      <c r="J377" s="524" t="n"/>
      <c r="K377" s="847" t="n"/>
      <c r="L377" s="848">
        <f>_xlfn.XLOOKUP(TableauRecette[[#This Row],[ID]],TableauProduit[ID],TableauProduit[Total (kg) N1],0,0,1)*TableauRecette[[#This Row],[poids / unite]]</f>
        <v/>
      </c>
      <c r="M377" s="849">
        <f>_xlfn.XLOOKUP(TableauRecette[[#This Row],[ID]],TableauProduit[ID],TableauProduit[Total (kg) N2],0,0,1)*TableauRecette[[#This Row],[poids / unite]]</f>
        <v/>
      </c>
      <c r="N377" s="849">
        <f>_xlfn.XLOOKUP(TableauRecette[[#This Row],[ID]],TableauProduit[ID],TableauProduit[Total (kg) N3],0,0,1)*TableauRecette[[#This Row],[poids / unite]]</f>
        <v/>
      </c>
      <c r="O377" s="849">
        <f>_xlfn.XLOOKUP(TableauRecette[[#This Row],[ID]],TableauProduit[ID],TableauProduit[Total (kg) N4],0,0,1)*TableauRecette[[#This Row],[poids / unite]]</f>
        <v/>
      </c>
      <c r="P377" s="849">
        <f>_xlfn.XLOOKUP(TableauRecette[[#This Row],[ID]],TableauProduit[ID],TableauProduit[Total (kg) N5],0,0,1)*TableauRecette[[#This Row],[poids / unite]]</f>
        <v/>
      </c>
      <c r="Q377" s="849">
        <f>_xlfn.XLOOKUP(TableauRecette[[#This Row],[ID]],TableauProduit[ID],TableauProduit[Total (kg) N6],0,0,1)*TableauRecette[[#This Row],[poids / unite]]</f>
        <v/>
      </c>
      <c r="R377" s="849">
        <f>_xlfn.XLOOKUP(TableauRecette[[#This Row],[ID]],TableauProduit[ID],TableauProduit[Total (kg) N7],0,0,1)*TableauRecette[[#This Row],[poids / unite]]</f>
        <v/>
      </c>
      <c r="S377" s="849">
        <f>_xlfn.XLOOKUP(TableauRecette[[#This Row],[ID]],TableauProduit[ID],TableauProduit[Total (kg) N8],0,0,1)*TableauRecette[[#This Row],[poids / unite]]</f>
        <v/>
      </c>
      <c r="T377" s="849">
        <f>_xlfn.XLOOKUP(TableauRecette[[#This Row],[ID]],TableauProduit[ID],TableauProduit[Total (kg) N9],0,0,1)*TableauRecette[[#This Row],[poids / unite]]</f>
        <v/>
      </c>
    </row>
    <row r="378">
      <c r="A378" s="101" t="inlineStr">
        <is>
          <t>Suya ghaneen</t>
        </is>
      </c>
      <c r="B378" s="101">
        <f>TableauRecette[[#This Row],[Recette]]&amp;TableauRecette[[#This Row],[Conditionnement]]</f>
        <v/>
      </c>
      <c r="C378" s="101" t="inlineStr">
        <is>
          <t>Piment Doux Rouge En Poudre</t>
        </is>
      </c>
      <c r="D378" s="224" t="n">
        <v>5</v>
      </c>
      <c r="E378" s="101" t="inlineStr">
        <is>
          <t>Epice 100ml</t>
        </is>
      </c>
      <c r="F378" s="22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78" s="224">
        <f>IFERROR(_xlfn.XLOOKUP(TableauRecette[[#This Row],[Ingredients]],TableauIngredients[Ingredients],TableauIngredients[Prix d''achat (kg)],0)*TableauRecette[[#This Row],[poids / unite]],0)</f>
        <v/>
      </c>
      <c r="H378" s="224">
        <f>IFERROR(SUMIFS(TableauRecette[Proportion],TableauRecette[Recette],TableauRecette[[#This Row],[Recette]],TableauRecette[Conditionnement],TableauRecette[[#This Row],[Conditionnement]]),0)</f>
        <v/>
      </c>
      <c r="I378" s="224">
        <f>IFERROR(TableauRecette[[#This Row],[Prix d''achat / kg]],0)</f>
        <v/>
      </c>
      <c r="J378" s="224" t="n"/>
      <c r="K378" s="850" t="n"/>
      <c r="L378" s="851">
        <f>_xlfn.XLOOKUP(TableauRecette[[#This Row],[ID]],TableauProduit[ID],TableauProduit[Total (kg) N1],0,0,1)*TableauRecette[[#This Row],[poids / unite]]</f>
        <v/>
      </c>
      <c r="M378" s="852">
        <f>_xlfn.XLOOKUP(TableauRecette[[#This Row],[ID]],TableauProduit[ID],TableauProduit[Total (kg) N2],0,0,1)*TableauRecette[[#This Row],[poids / unite]]</f>
        <v/>
      </c>
      <c r="N378" s="852">
        <f>_xlfn.XLOOKUP(TableauRecette[[#This Row],[ID]],TableauProduit[ID],TableauProduit[Total (kg) N3],0,0,1)*TableauRecette[[#This Row],[poids / unite]]</f>
        <v/>
      </c>
      <c r="O378" s="852">
        <f>_xlfn.XLOOKUP(TableauRecette[[#This Row],[ID]],TableauProduit[ID],TableauProduit[Total (kg) N4],0,0,1)*TableauRecette[[#This Row],[poids / unite]]</f>
        <v/>
      </c>
      <c r="P378" s="852">
        <f>_xlfn.XLOOKUP(TableauRecette[[#This Row],[ID]],TableauProduit[ID],TableauProduit[Total (kg) N5],0,0,1)*TableauRecette[[#This Row],[poids / unite]]</f>
        <v/>
      </c>
      <c r="Q378" s="852">
        <f>_xlfn.XLOOKUP(TableauRecette[[#This Row],[ID]],TableauProduit[ID],TableauProduit[Total (kg) N6],0,0,1)*TableauRecette[[#This Row],[poids / unite]]</f>
        <v/>
      </c>
      <c r="R378" s="852">
        <f>_xlfn.XLOOKUP(TableauRecette[[#This Row],[ID]],TableauProduit[ID],TableauProduit[Total (kg) N7],0,0,1)*TableauRecette[[#This Row],[poids / unite]]</f>
        <v/>
      </c>
      <c r="S378" s="852">
        <f>_xlfn.XLOOKUP(TableauRecette[[#This Row],[ID]],TableauProduit[ID],TableauProduit[Total (kg) N8],0,0,1)*TableauRecette[[#This Row],[poids / unite]]</f>
        <v/>
      </c>
      <c r="T378" s="852">
        <f>_xlfn.XLOOKUP(TableauRecette[[#This Row],[ID]],TableauProduit[ID],TableauProduit[Total (kg) N9],0,0,1)*TableauRecette[[#This Row],[poids / unite]]</f>
        <v/>
      </c>
    </row>
    <row r="379">
      <c r="A379" s="101" t="inlineStr">
        <is>
          <t>Suya ghaneen</t>
        </is>
      </c>
      <c r="B379" s="101">
        <f>TableauRecette[[#This Row],[Recette]]&amp;TableauRecette[[#This Row],[Conditionnement]]</f>
        <v/>
      </c>
      <c r="C379" s="558" t="inlineStr">
        <is>
          <t>Gingembre Sec</t>
        </is>
      </c>
      <c r="D379" s="224" t="n">
        <v>25</v>
      </c>
      <c r="E379" s="101" t="inlineStr">
        <is>
          <t>Epice 100ml</t>
        </is>
      </c>
      <c r="F379" s="22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79" s="224">
        <f>IFERROR(_xlfn.XLOOKUP(TableauRecette[[#This Row],[Ingredients]],TableauIngredients[Ingredients],TableauIngredients[Prix d''achat (kg)],0)*TableauRecette[[#This Row],[poids / unite]],0)</f>
        <v/>
      </c>
      <c r="H379" s="224">
        <f>IFERROR(SUMIFS(TableauRecette[Proportion],TableauRecette[Recette],TableauRecette[[#This Row],[Recette]],TableauRecette[Conditionnement],TableauRecette[[#This Row],[Conditionnement]]),0)</f>
        <v/>
      </c>
      <c r="I379" s="224">
        <f>IFERROR(TableauRecette[[#This Row],[Prix d''achat / kg]],0)</f>
        <v/>
      </c>
      <c r="J379" s="224" t="n"/>
      <c r="K379" s="850" t="n"/>
      <c r="L379" s="851">
        <f>_xlfn.XLOOKUP(TableauRecette[[#This Row],[ID]],TableauProduit[ID],TableauProduit[Total (kg) N1],0,0,1)*TableauRecette[[#This Row],[poids / unite]]</f>
        <v/>
      </c>
      <c r="M379" s="852">
        <f>_xlfn.XLOOKUP(TableauRecette[[#This Row],[ID]],TableauProduit[ID],TableauProduit[Total (kg) N2],0,0,1)*TableauRecette[[#This Row],[poids / unite]]</f>
        <v/>
      </c>
      <c r="N379" s="852">
        <f>_xlfn.XLOOKUP(TableauRecette[[#This Row],[ID]],TableauProduit[ID],TableauProduit[Total (kg) N3],0,0,1)*TableauRecette[[#This Row],[poids / unite]]</f>
        <v/>
      </c>
      <c r="O379" s="852">
        <f>_xlfn.XLOOKUP(TableauRecette[[#This Row],[ID]],TableauProduit[ID],TableauProduit[Total (kg) N4],0,0,1)*TableauRecette[[#This Row],[poids / unite]]</f>
        <v/>
      </c>
      <c r="P379" s="852">
        <f>_xlfn.XLOOKUP(TableauRecette[[#This Row],[ID]],TableauProduit[ID],TableauProduit[Total (kg) N5],0,0,1)*TableauRecette[[#This Row],[poids / unite]]</f>
        <v/>
      </c>
      <c r="Q379" s="852">
        <f>_xlfn.XLOOKUP(TableauRecette[[#This Row],[ID]],TableauProduit[ID],TableauProduit[Total (kg) N6],0,0,1)*TableauRecette[[#This Row],[poids / unite]]</f>
        <v/>
      </c>
      <c r="R379" s="852">
        <f>_xlfn.XLOOKUP(TableauRecette[[#This Row],[ID]],TableauProduit[ID],TableauProduit[Total (kg) N7],0,0,1)*TableauRecette[[#This Row],[poids / unite]]</f>
        <v/>
      </c>
      <c r="S379" s="852">
        <f>_xlfn.XLOOKUP(TableauRecette[[#This Row],[ID]],TableauProduit[ID],TableauProduit[Total (kg) N8],0,0,1)*TableauRecette[[#This Row],[poids / unite]]</f>
        <v/>
      </c>
      <c r="T379" s="852">
        <f>_xlfn.XLOOKUP(TableauRecette[[#This Row],[ID]],TableauProduit[ID],TableauProduit[Total (kg) N9],0,0,1)*TableauRecette[[#This Row],[poids / unite]]</f>
        <v/>
      </c>
    </row>
    <row r="380">
      <c r="A380" s="101" t="inlineStr">
        <is>
          <t>Suya ghaneen</t>
        </is>
      </c>
      <c r="B380" s="101">
        <f>TableauRecette[[#This Row],[Recette]]&amp;TableauRecette[[#This Row],[Conditionnement]]</f>
        <v/>
      </c>
      <c r="C380" s="101" t="inlineStr">
        <is>
          <t>Cacahuètes Grillées</t>
        </is>
      </c>
      <c r="D380" s="224" t="n">
        <v>30</v>
      </c>
      <c r="E380" s="101" t="inlineStr">
        <is>
          <t>Epice 100ml</t>
        </is>
      </c>
      <c r="F380" s="22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80" s="224">
        <f>IFERROR(_xlfn.XLOOKUP(TableauRecette[[#This Row],[Ingredients]],TableauIngredients[Ingredients],TableauIngredients[Prix d''achat (kg)],0)*TableauRecette[[#This Row],[poids / unite]],0)</f>
        <v/>
      </c>
      <c r="H380" s="224">
        <f>IFERROR(SUMIFS(TableauRecette[Proportion],TableauRecette[Recette],TableauRecette[[#This Row],[Recette]],TableauRecette[Conditionnement],TableauRecette[[#This Row],[Conditionnement]]),0)</f>
        <v/>
      </c>
      <c r="I380" s="224">
        <f>IFERROR(TableauRecette[[#This Row],[Prix d''achat / kg]],0)</f>
        <v/>
      </c>
      <c r="J380" s="224" t="n"/>
      <c r="K380" s="850" t="n"/>
      <c r="L380" s="851">
        <f>_xlfn.XLOOKUP(TableauRecette[[#This Row],[ID]],TableauProduit[ID],TableauProduit[Total (kg) N1],0,0,1)*TableauRecette[[#This Row],[poids / unite]]</f>
        <v/>
      </c>
      <c r="M380" s="852">
        <f>_xlfn.XLOOKUP(TableauRecette[[#This Row],[ID]],TableauProduit[ID],TableauProduit[Total (kg) N2],0,0,1)*TableauRecette[[#This Row],[poids / unite]]</f>
        <v/>
      </c>
      <c r="N380" s="852">
        <f>_xlfn.XLOOKUP(TableauRecette[[#This Row],[ID]],TableauProduit[ID],TableauProduit[Total (kg) N3],0,0,1)*TableauRecette[[#This Row],[poids / unite]]</f>
        <v/>
      </c>
      <c r="O380" s="852">
        <f>_xlfn.XLOOKUP(TableauRecette[[#This Row],[ID]],TableauProduit[ID],TableauProduit[Total (kg) N4],0,0,1)*TableauRecette[[#This Row],[poids / unite]]</f>
        <v/>
      </c>
      <c r="P380" s="852">
        <f>_xlfn.XLOOKUP(TableauRecette[[#This Row],[ID]],TableauProduit[ID],TableauProduit[Total (kg) N5],0,0,1)*TableauRecette[[#This Row],[poids / unite]]</f>
        <v/>
      </c>
      <c r="Q380" s="852">
        <f>_xlfn.XLOOKUP(TableauRecette[[#This Row],[ID]],TableauProduit[ID],TableauProduit[Total (kg) N6],0,0,1)*TableauRecette[[#This Row],[poids / unite]]</f>
        <v/>
      </c>
      <c r="R380" s="852">
        <f>_xlfn.XLOOKUP(TableauRecette[[#This Row],[ID]],TableauProduit[ID],TableauProduit[Total (kg) N7],0,0,1)*TableauRecette[[#This Row],[poids / unite]]</f>
        <v/>
      </c>
      <c r="S380" s="852">
        <f>_xlfn.XLOOKUP(TableauRecette[[#This Row],[ID]],TableauProduit[ID],TableauProduit[Total (kg) N8],0,0,1)*TableauRecette[[#This Row],[poids / unite]]</f>
        <v/>
      </c>
      <c r="T380" s="852">
        <f>_xlfn.XLOOKUP(TableauRecette[[#This Row],[ID]],TableauProduit[ID],TableauProduit[Total (kg) N9],0,0,1)*TableauRecette[[#This Row],[poids / unite]]</f>
        <v/>
      </c>
    </row>
    <row r="381">
      <c r="A381" s="101" t="inlineStr">
        <is>
          <t>Suya ghaneen</t>
        </is>
      </c>
      <c r="B381" s="101">
        <f>TableauRecette[[#This Row],[Recette]]&amp;TableauRecette[[#This Row],[Conditionnement]]</f>
        <v/>
      </c>
      <c r="C381" s="101" t="inlineStr">
        <is>
          <t>Bouillon Poulet</t>
        </is>
      </c>
      <c r="D381" s="224" t="n">
        <v>10</v>
      </c>
      <c r="E381" s="101" t="inlineStr">
        <is>
          <t>Epice 100ml</t>
        </is>
      </c>
      <c r="F381" s="22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81" s="224">
        <f>IFERROR(_xlfn.XLOOKUP(TableauRecette[[#This Row],[Ingredients]],TableauIngredients[Ingredients],TableauIngredients[Prix d''achat (kg)],0)*TableauRecette[[#This Row],[poids / unite]],0)</f>
        <v/>
      </c>
      <c r="H381" s="224">
        <f>IFERROR(SUMIFS(TableauRecette[Proportion],TableauRecette[Recette],TableauRecette[[#This Row],[Recette]],TableauRecette[Conditionnement],TableauRecette[[#This Row],[Conditionnement]]),0)</f>
        <v/>
      </c>
      <c r="I381" s="224">
        <f>IFERROR(TableauRecette[[#This Row],[Prix d''achat / kg]],0)</f>
        <v/>
      </c>
      <c r="J381" s="224" t="n"/>
      <c r="K381" s="850" t="n"/>
      <c r="L381" s="851">
        <f>_xlfn.XLOOKUP(TableauRecette[[#This Row],[ID]],TableauProduit[ID],TableauProduit[Total (kg) N1],0,0,1)*TableauRecette[[#This Row],[poids / unite]]</f>
        <v/>
      </c>
      <c r="M381" s="852">
        <f>_xlfn.XLOOKUP(TableauRecette[[#This Row],[ID]],TableauProduit[ID],TableauProduit[Total (kg) N2],0,0,1)*TableauRecette[[#This Row],[poids / unite]]</f>
        <v/>
      </c>
      <c r="N381" s="852">
        <f>_xlfn.XLOOKUP(TableauRecette[[#This Row],[ID]],TableauProduit[ID],TableauProduit[Total (kg) N3],0,0,1)*TableauRecette[[#This Row],[poids / unite]]</f>
        <v/>
      </c>
      <c r="O381" s="852">
        <f>_xlfn.XLOOKUP(TableauRecette[[#This Row],[ID]],TableauProduit[ID],TableauProduit[Total (kg) N4],0,0,1)*TableauRecette[[#This Row],[poids / unite]]</f>
        <v/>
      </c>
      <c r="P381" s="852">
        <f>_xlfn.XLOOKUP(TableauRecette[[#This Row],[ID]],TableauProduit[ID],TableauProduit[Total (kg) N5],0,0,1)*TableauRecette[[#This Row],[poids / unite]]</f>
        <v/>
      </c>
      <c r="Q381" s="852">
        <f>_xlfn.XLOOKUP(TableauRecette[[#This Row],[ID]],TableauProduit[ID],TableauProduit[Total (kg) N6],0,0,1)*TableauRecette[[#This Row],[poids / unite]]</f>
        <v/>
      </c>
      <c r="R381" s="852">
        <f>_xlfn.XLOOKUP(TableauRecette[[#This Row],[ID]],TableauProduit[ID],TableauProduit[Total (kg) N7],0,0,1)*TableauRecette[[#This Row],[poids / unite]]</f>
        <v/>
      </c>
      <c r="S381" s="852">
        <f>_xlfn.XLOOKUP(TableauRecette[[#This Row],[ID]],TableauProduit[ID],TableauProduit[Total (kg) N8],0,0,1)*TableauRecette[[#This Row],[poids / unite]]</f>
        <v/>
      </c>
      <c r="T381" s="852">
        <f>_xlfn.XLOOKUP(TableauRecette[[#This Row],[ID]],TableauProduit[ID],TableauProduit[Total (kg) N9],0,0,1)*TableauRecette[[#This Row],[poids / unite]]</f>
        <v/>
      </c>
    </row>
    <row r="382">
      <c r="A382" s="101" t="inlineStr">
        <is>
          <t>Suya ghaneen</t>
        </is>
      </c>
      <c r="B382" s="101">
        <f>TableauRecette[[#This Row],[Recette]]&amp;TableauRecette[[#This Row],[Conditionnement]]</f>
        <v/>
      </c>
      <c r="C382" s="101" t="inlineStr">
        <is>
          <t>Oignon Séché</t>
        </is>
      </c>
      <c r="D382" s="224" t="n">
        <v>7</v>
      </c>
      <c r="E382" s="101" t="inlineStr">
        <is>
          <t>Epice 100ml</t>
        </is>
      </c>
      <c r="F382" s="22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82" s="224">
        <f>IFERROR(_xlfn.XLOOKUP(TableauRecette[[#This Row],[Ingredients]],TableauIngredients[Ingredients],TableauIngredients[Prix d''achat (kg)],0)*TableauRecette[[#This Row],[poids / unite]],0)</f>
        <v/>
      </c>
      <c r="H382" s="224">
        <f>IFERROR(SUMIFS(TableauRecette[Proportion],TableauRecette[Recette],TableauRecette[[#This Row],[Recette]],TableauRecette[Conditionnement],TableauRecette[[#This Row],[Conditionnement]]),0)</f>
        <v/>
      </c>
      <c r="I382" s="224">
        <f>IFERROR(TableauRecette[[#This Row],[Prix d''achat / kg]],0)</f>
        <v/>
      </c>
      <c r="J382" s="224" t="n"/>
      <c r="K382" s="850" t="n"/>
      <c r="L382" s="851">
        <f>_xlfn.XLOOKUP(TableauRecette[[#This Row],[ID]],TableauProduit[ID],TableauProduit[Total (kg) N1],0,0,1)*TableauRecette[[#This Row],[poids / unite]]</f>
        <v/>
      </c>
      <c r="M382" s="852">
        <f>_xlfn.XLOOKUP(TableauRecette[[#This Row],[ID]],TableauProduit[ID],TableauProduit[Total (kg) N2],0,0,1)*TableauRecette[[#This Row],[poids / unite]]</f>
        <v/>
      </c>
      <c r="N382" s="852">
        <f>_xlfn.XLOOKUP(TableauRecette[[#This Row],[ID]],TableauProduit[ID],TableauProduit[Total (kg) N3],0,0,1)*TableauRecette[[#This Row],[poids / unite]]</f>
        <v/>
      </c>
      <c r="O382" s="852">
        <f>_xlfn.XLOOKUP(TableauRecette[[#This Row],[ID]],TableauProduit[ID],TableauProduit[Total (kg) N4],0,0,1)*TableauRecette[[#This Row],[poids / unite]]</f>
        <v/>
      </c>
      <c r="P382" s="852">
        <f>_xlfn.XLOOKUP(TableauRecette[[#This Row],[ID]],TableauProduit[ID],TableauProduit[Total (kg) N5],0,0,1)*TableauRecette[[#This Row],[poids / unite]]</f>
        <v/>
      </c>
      <c r="Q382" s="852">
        <f>_xlfn.XLOOKUP(TableauRecette[[#This Row],[ID]],TableauProduit[ID],TableauProduit[Total (kg) N6],0,0,1)*TableauRecette[[#This Row],[poids / unite]]</f>
        <v/>
      </c>
      <c r="R382" s="852">
        <f>_xlfn.XLOOKUP(TableauRecette[[#This Row],[ID]],TableauProduit[ID],TableauProduit[Total (kg) N7],0,0,1)*TableauRecette[[#This Row],[poids / unite]]</f>
        <v/>
      </c>
      <c r="S382" s="852">
        <f>_xlfn.XLOOKUP(TableauRecette[[#This Row],[ID]],TableauProduit[ID],TableauProduit[Total (kg) N8],0,0,1)*TableauRecette[[#This Row],[poids / unite]]</f>
        <v/>
      </c>
      <c r="T382" s="852">
        <f>_xlfn.XLOOKUP(TableauRecette[[#This Row],[ID]],TableauProduit[ID],TableauProduit[Total (kg) N9],0,0,1)*TableauRecette[[#This Row],[poids / unite]]</f>
        <v/>
      </c>
    </row>
    <row r="383">
      <c r="A383" s="101" t="inlineStr">
        <is>
          <t>Suya ghaneen</t>
        </is>
      </c>
      <c r="B383" s="101">
        <f>TableauRecette[[#This Row],[Recette]]&amp;TableauRecette[[#This Row],[Conditionnement]]</f>
        <v/>
      </c>
      <c r="C383" s="101" t="inlineStr">
        <is>
          <t>Sel</t>
        </is>
      </c>
      <c r="D383" s="224" t="n">
        <v>5</v>
      </c>
      <c r="E383" s="101" t="inlineStr">
        <is>
          <t>Epice 100ml</t>
        </is>
      </c>
      <c r="F383" s="22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83" s="224">
        <f>IFERROR(_xlfn.XLOOKUP(TableauRecette[[#This Row],[Ingredients]],TableauIngredients[Ingredients],TableauIngredients[Prix d''achat (kg)],0)*TableauRecette[[#This Row],[poids / unite]],0)</f>
        <v/>
      </c>
      <c r="H383" s="224">
        <f>IFERROR(SUMIFS(TableauRecette[Proportion],TableauRecette[Recette],TableauRecette[[#This Row],[Recette]],TableauRecette[Conditionnement],TableauRecette[[#This Row],[Conditionnement]]),0)</f>
        <v/>
      </c>
      <c r="I383" s="224">
        <f>IFERROR(TableauRecette[[#This Row],[Prix d''achat / kg]],0)</f>
        <v/>
      </c>
      <c r="J383" s="224" t="n"/>
      <c r="K383" s="850" t="n"/>
      <c r="L383" s="851">
        <f>_xlfn.XLOOKUP(TableauRecette[[#This Row],[ID]],TableauProduit[ID],TableauProduit[Total (kg) N1],0,0,1)*TableauRecette[[#This Row],[poids / unite]]</f>
        <v/>
      </c>
      <c r="M383" s="852">
        <f>_xlfn.XLOOKUP(TableauRecette[[#This Row],[ID]],TableauProduit[ID],TableauProduit[Total (kg) N2],0,0,1)*TableauRecette[[#This Row],[poids / unite]]</f>
        <v/>
      </c>
      <c r="N383" s="852">
        <f>_xlfn.XLOOKUP(TableauRecette[[#This Row],[ID]],TableauProduit[ID],TableauProduit[Total (kg) N3],0,0,1)*TableauRecette[[#This Row],[poids / unite]]</f>
        <v/>
      </c>
      <c r="O383" s="852">
        <f>_xlfn.XLOOKUP(TableauRecette[[#This Row],[ID]],TableauProduit[ID],TableauProduit[Total (kg) N4],0,0,1)*TableauRecette[[#This Row],[poids / unite]]</f>
        <v/>
      </c>
      <c r="P383" s="852">
        <f>_xlfn.XLOOKUP(TableauRecette[[#This Row],[ID]],TableauProduit[ID],TableauProduit[Total (kg) N5],0,0,1)*TableauRecette[[#This Row],[poids / unite]]</f>
        <v/>
      </c>
      <c r="Q383" s="852">
        <f>_xlfn.XLOOKUP(TableauRecette[[#This Row],[ID]],TableauProduit[ID],TableauProduit[Total (kg) N6],0,0,1)*TableauRecette[[#This Row],[poids / unite]]</f>
        <v/>
      </c>
      <c r="R383" s="852">
        <f>_xlfn.XLOOKUP(TableauRecette[[#This Row],[ID]],TableauProduit[ID],TableauProduit[Total (kg) N7],0,0,1)*TableauRecette[[#This Row],[poids / unite]]</f>
        <v/>
      </c>
      <c r="S383" s="852">
        <f>_xlfn.XLOOKUP(TableauRecette[[#This Row],[ID]],TableauProduit[ID],TableauProduit[Total (kg) N8],0,0,1)*TableauRecette[[#This Row],[poids / unite]]</f>
        <v/>
      </c>
      <c r="T383" s="852">
        <f>_xlfn.XLOOKUP(TableauRecette[[#This Row],[ID]],TableauProduit[ID],TableauProduit[Total (kg) N9],0,0,1)*TableauRecette[[#This Row],[poids / unite]]</f>
        <v/>
      </c>
    </row>
    <row r="384">
      <c r="A384" s="101" t="inlineStr">
        <is>
          <t>Suya ghaneen</t>
        </is>
      </c>
      <c r="B384" s="101">
        <f>TableauRecette[[#This Row],[Recette]]&amp;TableauRecette[[#This Row],[Conditionnement]]</f>
        <v/>
      </c>
      <c r="C384" s="101" t="inlineStr">
        <is>
          <t>Poivre Noir</t>
        </is>
      </c>
      <c r="D384" s="224" t="n">
        <v>3</v>
      </c>
      <c r="E384" s="101" t="inlineStr">
        <is>
          <t>Epice 100ml</t>
        </is>
      </c>
      <c r="F384" s="22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84" s="224">
        <f>IFERROR(_xlfn.XLOOKUP(TableauRecette[[#This Row],[Ingredients]],TableauIngredients[Ingredients],TableauIngredients[Prix d''achat (kg)],0)*TableauRecette[[#This Row],[poids / unite]],0)</f>
        <v/>
      </c>
      <c r="H384" s="224">
        <f>IFERROR(SUMIFS(TableauRecette[Proportion],TableauRecette[Recette],TableauRecette[[#This Row],[Recette]],TableauRecette[Conditionnement],TableauRecette[[#This Row],[Conditionnement]]),0)</f>
        <v/>
      </c>
      <c r="I384" s="224">
        <f>IFERROR(TableauRecette[[#This Row],[Prix d''achat / kg]],0)</f>
        <v/>
      </c>
      <c r="J384" s="224" t="n"/>
      <c r="K384" s="850" t="n"/>
      <c r="L384" s="851">
        <f>_xlfn.XLOOKUP(TableauRecette[[#This Row],[ID]],TableauProduit[ID],TableauProduit[Total (kg) N1],0,0,1)*TableauRecette[[#This Row],[poids / unite]]</f>
        <v/>
      </c>
      <c r="M384" s="852">
        <f>_xlfn.XLOOKUP(TableauRecette[[#This Row],[ID]],TableauProduit[ID],TableauProduit[Total (kg) N2],0,0,1)*TableauRecette[[#This Row],[poids / unite]]</f>
        <v/>
      </c>
      <c r="N384" s="852">
        <f>_xlfn.XLOOKUP(TableauRecette[[#This Row],[ID]],TableauProduit[ID],TableauProduit[Total (kg) N3],0,0,1)*TableauRecette[[#This Row],[poids / unite]]</f>
        <v/>
      </c>
      <c r="O384" s="852">
        <f>_xlfn.XLOOKUP(TableauRecette[[#This Row],[ID]],TableauProduit[ID],TableauProduit[Total (kg) N4],0,0,1)*TableauRecette[[#This Row],[poids / unite]]</f>
        <v/>
      </c>
      <c r="P384" s="852">
        <f>_xlfn.XLOOKUP(TableauRecette[[#This Row],[ID]],TableauProduit[ID],TableauProduit[Total (kg) N5],0,0,1)*TableauRecette[[#This Row],[poids / unite]]</f>
        <v/>
      </c>
      <c r="Q384" s="852">
        <f>_xlfn.XLOOKUP(TableauRecette[[#This Row],[ID]],TableauProduit[ID],TableauProduit[Total (kg) N6],0,0,1)*TableauRecette[[#This Row],[poids / unite]]</f>
        <v/>
      </c>
      <c r="R384" s="852">
        <f>_xlfn.XLOOKUP(TableauRecette[[#This Row],[ID]],TableauProduit[ID],TableauProduit[Total (kg) N7],0,0,1)*TableauRecette[[#This Row],[poids / unite]]</f>
        <v/>
      </c>
      <c r="S384" s="852">
        <f>_xlfn.XLOOKUP(TableauRecette[[#This Row],[ID]],TableauProduit[ID],TableauProduit[Total (kg) N8],0,0,1)*TableauRecette[[#This Row],[poids / unite]]</f>
        <v/>
      </c>
      <c r="T384" s="852">
        <f>_xlfn.XLOOKUP(TableauRecette[[#This Row],[ID]],TableauProduit[ID],TableauProduit[Total (kg) N9],0,0,1)*TableauRecette[[#This Row],[poids / unite]]</f>
        <v/>
      </c>
    </row>
    <row r="385">
      <c r="A385" s="101" t="inlineStr">
        <is>
          <t>Suya ghaneen</t>
        </is>
      </c>
      <c r="B385" s="101">
        <f>TableauRecette[[#This Row],[Recette]]&amp;TableauRecette[[#This Row],[Conditionnement]]</f>
        <v/>
      </c>
      <c r="C385" s="101" t="inlineStr">
        <is>
          <t>Piment De Cayenne Jaune</t>
        </is>
      </c>
      <c r="D385" s="224" t="n">
        <v>4</v>
      </c>
      <c r="E385" s="101" t="inlineStr">
        <is>
          <t>Epice 100ml</t>
        </is>
      </c>
      <c r="F385" s="22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85" s="224">
        <f>IFERROR(_xlfn.XLOOKUP(TableauRecette[[#This Row],[Ingredients]],TableauIngredients[Ingredients],TableauIngredients[Prix d''achat (kg)],0)*TableauRecette[[#This Row],[poids / unite]],0)</f>
        <v/>
      </c>
      <c r="H385" s="224">
        <f>IFERROR(SUMIFS(TableauRecette[Proportion],TableauRecette[Recette],TableauRecette[[#This Row],[Recette]],TableauRecette[Conditionnement],TableauRecette[[#This Row],[Conditionnement]]),0)</f>
        <v/>
      </c>
      <c r="I385" s="224">
        <f>IFERROR(TableauRecette[[#This Row],[Prix d''achat / kg]],0)</f>
        <v/>
      </c>
      <c r="J385" s="224" t="n"/>
      <c r="K385" s="850" t="n"/>
      <c r="L385" s="851">
        <f>_xlfn.XLOOKUP(TableauRecette[[#This Row],[ID]],TableauProduit[ID],TableauProduit[Total (kg) N1],0,0,1)*TableauRecette[[#This Row],[poids / unite]]</f>
        <v/>
      </c>
      <c r="M385" s="852">
        <f>_xlfn.XLOOKUP(TableauRecette[[#This Row],[ID]],TableauProduit[ID],TableauProduit[Total (kg) N2],0,0,1)*TableauRecette[[#This Row],[poids / unite]]</f>
        <v/>
      </c>
      <c r="N385" s="852">
        <f>_xlfn.XLOOKUP(TableauRecette[[#This Row],[ID]],TableauProduit[ID],TableauProduit[Total (kg) N3],0,0,1)*TableauRecette[[#This Row],[poids / unite]]</f>
        <v/>
      </c>
      <c r="O385" s="852">
        <f>_xlfn.XLOOKUP(TableauRecette[[#This Row],[ID]],TableauProduit[ID],TableauProduit[Total (kg) N4],0,0,1)*TableauRecette[[#This Row],[poids / unite]]</f>
        <v/>
      </c>
      <c r="P385" s="852">
        <f>_xlfn.XLOOKUP(TableauRecette[[#This Row],[ID]],TableauProduit[ID],TableauProduit[Total (kg) N5],0,0,1)*TableauRecette[[#This Row],[poids / unite]]</f>
        <v/>
      </c>
      <c r="Q385" s="852">
        <f>_xlfn.XLOOKUP(TableauRecette[[#This Row],[ID]],TableauProduit[ID],TableauProduit[Total (kg) N6],0,0,1)*TableauRecette[[#This Row],[poids / unite]]</f>
        <v/>
      </c>
      <c r="R385" s="852">
        <f>_xlfn.XLOOKUP(TableauRecette[[#This Row],[ID]],TableauProduit[ID],TableauProduit[Total (kg) N7],0,0,1)*TableauRecette[[#This Row],[poids / unite]]</f>
        <v/>
      </c>
      <c r="S385" s="852">
        <f>_xlfn.XLOOKUP(TableauRecette[[#This Row],[ID]],TableauProduit[ID],TableauProduit[Total (kg) N8],0,0,1)*TableauRecette[[#This Row],[poids / unite]]</f>
        <v/>
      </c>
      <c r="T385" s="852">
        <f>_xlfn.XLOOKUP(TableauRecette[[#This Row],[ID]],TableauProduit[ID],TableauProduit[Total (kg) N9],0,0,1)*TableauRecette[[#This Row],[poids / unite]]</f>
        <v/>
      </c>
    </row>
    <row r="386">
      <c r="A386" s="101" t="inlineStr">
        <is>
          <t>Suya ghaneen</t>
        </is>
      </c>
      <c r="B386" s="101">
        <f>TableauRecette[[#This Row],[Recette]]&amp;TableauRecette[[#This Row],[Conditionnement]]</f>
        <v/>
      </c>
      <c r="C386" s="101" t="inlineStr">
        <is>
          <t>Ail Sec</t>
        </is>
      </c>
      <c r="D386" s="224" t="n">
        <v>10</v>
      </c>
      <c r="E386" s="101" t="inlineStr">
        <is>
          <t>Epice 100ml</t>
        </is>
      </c>
      <c r="F386" s="224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86" s="224">
        <f>IFERROR(_xlfn.XLOOKUP(TableauRecette[[#This Row],[Ingredients]],TableauIngredients[Ingredients],TableauIngredients[Prix d''achat (kg)],0)*TableauRecette[[#This Row],[poids / unite]],0)</f>
        <v/>
      </c>
      <c r="H386" s="224">
        <f>IFERROR(SUMIFS(TableauRecette[Proportion],TableauRecette[Recette],TableauRecette[[#This Row],[Recette]],TableauRecette[Conditionnement],TableauRecette[[#This Row],[Conditionnement]]),0)</f>
        <v/>
      </c>
      <c r="I386" s="224">
        <f>IFERROR(TableauRecette[[#This Row],[Prix d''achat / kg]],0)</f>
        <v/>
      </c>
      <c r="J386" s="224" t="n"/>
      <c r="K386" s="850" t="n"/>
      <c r="L386" s="851">
        <f>_xlfn.XLOOKUP(TableauRecette[[#This Row],[ID]],TableauProduit[ID],TableauProduit[Total (kg) N1],0,0,1)*TableauRecette[[#This Row],[poids / unite]]</f>
        <v/>
      </c>
      <c r="M386" s="852">
        <f>_xlfn.XLOOKUP(TableauRecette[[#This Row],[ID]],TableauProduit[ID],TableauProduit[Total (kg) N2],0,0,1)*TableauRecette[[#This Row],[poids / unite]]</f>
        <v/>
      </c>
      <c r="N386" s="852">
        <f>_xlfn.XLOOKUP(TableauRecette[[#This Row],[ID]],TableauProduit[ID],TableauProduit[Total (kg) N3],0,0,1)*TableauRecette[[#This Row],[poids / unite]]</f>
        <v/>
      </c>
      <c r="O386" s="852">
        <f>_xlfn.XLOOKUP(TableauRecette[[#This Row],[ID]],TableauProduit[ID],TableauProduit[Total (kg) N4],0,0,1)*TableauRecette[[#This Row],[poids / unite]]</f>
        <v/>
      </c>
      <c r="P386" s="852">
        <f>_xlfn.XLOOKUP(TableauRecette[[#This Row],[ID]],TableauProduit[ID],TableauProduit[Total (kg) N5],0,0,1)*TableauRecette[[#This Row],[poids / unite]]</f>
        <v/>
      </c>
      <c r="Q386" s="852">
        <f>_xlfn.XLOOKUP(TableauRecette[[#This Row],[ID]],TableauProduit[ID],TableauProduit[Total (kg) N6],0,0,1)*TableauRecette[[#This Row],[poids / unite]]</f>
        <v/>
      </c>
      <c r="R386" s="852">
        <f>_xlfn.XLOOKUP(TableauRecette[[#This Row],[ID]],TableauProduit[ID],TableauProduit[Total (kg) N7],0,0,1)*TableauRecette[[#This Row],[poids / unite]]</f>
        <v/>
      </c>
      <c r="S386" s="852">
        <f>_xlfn.XLOOKUP(TableauRecette[[#This Row],[ID]],TableauProduit[ID],TableauProduit[Total (kg) N8],0,0,1)*TableauRecette[[#This Row],[poids / unite]]</f>
        <v/>
      </c>
      <c r="T386" s="852">
        <f>_xlfn.XLOOKUP(TableauRecette[[#This Row],[ID]],TableauProduit[ID],TableauProduit[Total (kg) N9],0,0,1)*TableauRecette[[#This Row],[poids / unite]]</f>
        <v/>
      </c>
    </row>
    <row r="387">
      <c r="A387" s="102" t="inlineStr">
        <is>
          <t>Tabasco cayenne jaune</t>
        </is>
      </c>
      <c r="B387" s="102">
        <f>TableauRecette[[#This Row],[Recette]]&amp;TableauRecette[[#This Row],[Conditionnement]]</f>
        <v/>
      </c>
      <c r="C387" s="102" t="inlineStr">
        <is>
          <t>Ail</t>
        </is>
      </c>
      <c r="D387" s="225" t="n">
        <v>6</v>
      </c>
      <c r="E387" s="102" t="inlineStr">
        <is>
          <t>Epice 100ml</t>
        </is>
      </c>
      <c r="F387" s="22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87" s="225">
        <f>IFERROR(_xlfn.XLOOKUP(TableauRecette[[#This Row],[Ingredients]],TableauIngredients[Ingredients],TableauIngredients[Prix d''achat (kg)],0)*TableauRecette[[#This Row],[poids / unite]],0)</f>
        <v/>
      </c>
      <c r="H387" s="225">
        <f>IFERROR(SUMIFS(TableauRecette[Proportion],TableauRecette[Recette],TableauRecette[[#This Row],[Recette]],TableauRecette[Conditionnement],TableauRecette[[#This Row],[Conditionnement]]),0)</f>
        <v/>
      </c>
      <c r="I387" s="225">
        <f>IFERROR(TableauRecette[[#This Row],[Prix d''achat / kg]],0)</f>
        <v/>
      </c>
      <c r="J387" s="225" t="n"/>
      <c r="K387" s="853" t="n"/>
      <c r="L387" s="854">
        <f>_xlfn.XLOOKUP(TableauRecette[[#This Row],[ID]],TableauProduit[ID],TableauProduit[Total (kg) N1],0,0,1)*TableauRecette[[#This Row],[poids / unite]]</f>
        <v/>
      </c>
      <c r="M387" s="855">
        <f>_xlfn.XLOOKUP(TableauRecette[[#This Row],[ID]],TableauProduit[ID],TableauProduit[Total (kg) N2],0,0,1)*TableauRecette[[#This Row],[poids / unite]]</f>
        <v/>
      </c>
      <c r="N387" s="855">
        <f>_xlfn.XLOOKUP(TableauRecette[[#This Row],[ID]],TableauProduit[ID],TableauProduit[Total (kg) N3],0,0,1)*TableauRecette[[#This Row],[poids / unite]]</f>
        <v/>
      </c>
      <c r="O387" s="855">
        <f>_xlfn.XLOOKUP(TableauRecette[[#This Row],[ID]],TableauProduit[ID],TableauProduit[Total (kg) N4],0,0,1)*TableauRecette[[#This Row],[poids / unite]]</f>
        <v/>
      </c>
      <c r="P387" s="855">
        <f>_xlfn.XLOOKUP(TableauRecette[[#This Row],[ID]],TableauProduit[ID],TableauProduit[Total (kg) N5],0,0,1)*TableauRecette[[#This Row],[poids / unite]]</f>
        <v/>
      </c>
      <c r="Q387" s="855">
        <f>_xlfn.XLOOKUP(TableauRecette[[#This Row],[ID]],TableauProduit[ID],TableauProduit[Total (kg) N6],0,0,1)*TableauRecette[[#This Row],[poids / unite]]</f>
        <v/>
      </c>
      <c r="R387" s="855">
        <f>_xlfn.XLOOKUP(TableauRecette[[#This Row],[ID]],TableauProduit[ID],TableauProduit[Total (kg) N7],0,0,1)*TableauRecette[[#This Row],[poids / unite]]</f>
        <v/>
      </c>
      <c r="S387" s="855">
        <f>_xlfn.XLOOKUP(TableauRecette[[#This Row],[ID]],TableauProduit[ID],TableauProduit[Total (kg) N8],0,0,1)*TableauRecette[[#This Row],[poids / unite]]</f>
        <v/>
      </c>
      <c r="T387" s="855">
        <f>_xlfn.XLOOKUP(TableauRecette[[#This Row],[ID]],TableauProduit[ID],TableauProduit[Total (kg) N9],0,0,1)*TableauRecette[[#This Row],[poids / unite]]</f>
        <v/>
      </c>
    </row>
    <row r="388">
      <c r="A388" s="102" t="inlineStr">
        <is>
          <t>Tabasco cayenne jaune</t>
        </is>
      </c>
      <c r="B388" s="102">
        <f>TableauRecette[[#This Row],[Recette]]&amp;TableauRecette[[#This Row],[Conditionnement]]</f>
        <v/>
      </c>
      <c r="C388" s="102" t="inlineStr">
        <is>
          <t>Piment De Cayenne Jaune</t>
        </is>
      </c>
      <c r="D388" s="225" t="n">
        <v>100</v>
      </c>
      <c r="E388" s="102" t="inlineStr">
        <is>
          <t>Epice 100ml</t>
        </is>
      </c>
      <c r="F388" s="22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88" s="225">
        <f>IFERROR(_xlfn.XLOOKUP(TableauRecette[[#This Row],[Ingredients]],TableauIngredients[Ingredients],TableauIngredients[Prix d''achat (kg)],0)*TableauRecette[[#This Row],[poids / unite]],0)</f>
        <v/>
      </c>
      <c r="H388" s="225">
        <f>IFERROR(SUMIFS(TableauRecette[Proportion],TableauRecette[Recette],TableauRecette[[#This Row],[Recette]],TableauRecette[Conditionnement],TableauRecette[[#This Row],[Conditionnement]]),0)</f>
        <v/>
      </c>
      <c r="I388" s="225">
        <f>IFERROR(TableauRecette[[#This Row],[Prix d''achat / kg]],0)</f>
        <v/>
      </c>
      <c r="J388" s="225" t="n"/>
      <c r="K388" s="853" t="n"/>
      <c r="L388" s="854">
        <f>_xlfn.XLOOKUP(TableauRecette[[#This Row],[ID]],TableauProduit[ID],TableauProduit[Total (kg) N1],0,0,1)*TableauRecette[[#This Row],[poids / unite]]</f>
        <v/>
      </c>
      <c r="M388" s="855">
        <f>_xlfn.XLOOKUP(TableauRecette[[#This Row],[ID]],TableauProduit[ID],TableauProduit[Total (kg) N2],0,0,1)*TableauRecette[[#This Row],[poids / unite]]</f>
        <v/>
      </c>
      <c r="N388" s="855">
        <f>_xlfn.XLOOKUP(TableauRecette[[#This Row],[ID]],TableauProduit[ID],TableauProduit[Total (kg) N3],0,0,1)*TableauRecette[[#This Row],[poids / unite]]</f>
        <v/>
      </c>
      <c r="O388" s="855">
        <f>_xlfn.XLOOKUP(TableauRecette[[#This Row],[ID]],TableauProduit[ID],TableauProduit[Total (kg) N4],0,0,1)*TableauRecette[[#This Row],[poids / unite]]</f>
        <v/>
      </c>
      <c r="P388" s="855">
        <f>_xlfn.XLOOKUP(TableauRecette[[#This Row],[ID]],TableauProduit[ID],TableauProduit[Total (kg) N5],0,0,1)*TableauRecette[[#This Row],[poids / unite]]</f>
        <v/>
      </c>
      <c r="Q388" s="855">
        <f>_xlfn.XLOOKUP(TableauRecette[[#This Row],[ID]],TableauProduit[ID],TableauProduit[Total (kg) N6],0,0,1)*TableauRecette[[#This Row],[poids / unite]]</f>
        <v/>
      </c>
      <c r="R388" s="855">
        <f>_xlfn.XLOOKUP(TableauRecette[[#This Row],[ID]],TableauProduit[ID],TableauProduit[Total (kg) N7],0,0,1)*TableauRecette[[#This Row],[poids / unite]]</f>
        <v/>
      </c>
      <c r="S388" s="855">
        <f>_xlfn.XLOOKUP(TableauRecette[[#This Row],[ID]],TableauProduit[ID],TableauProduit[Total (kg) N8],0,0,1)*TableauRecette[[#This Row],[poids / unite]]</f>
        <v/>
      </c>
      <c r="T388" s="855">
        <f>_xlfn.XLOOKUP(TableauRecette[[#This Row],[ID]],TableauProduit[ID],TableauProduit[Total (kg) N9],0,0,1)*TableauRecette[[#This Row],[poids / unite]]</f>
        <v/>
      </c>
    </row>
    <row r="389">
      <c r="A389" s="102" t="inlineStr">
        <is>
          <t>Tabasco cayenne jaune</t>
        </is>
      </c>
      <c r="B389" s="102">
        <f>TableauRecette[[#This Row],[Recette]]&amp;TableauRecette[[#This Row],[Conditionnement]]</f>
        <v/>
      </c>
      <c r="C389" s="102" t="inlineStr">
        <is>
          <t>Sel</t>
        </is>
      </c>
      <c r="D389" s="225" t="n">
        <v>10</v>
      </c>
      <c r="E389" s="102" t="inlineStr">
        <is>
          <t>Epice 100ml</t>
        </is>
      </c>
      <c r="F389" s="22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89" s="225">
        <f>IFERROR(_xlfn.XLOOKUP(TableauRecette[[#This Row],[Ingredients]],TableauIngredients[Ingredients],TableauIngredients[Prix d''achat (kg)],0)*TableauRecette[[#This Row],[poids / unite]],0)</f>
        <v/>
      </c>
      <c r="H389" s="225">
        <f>IFERROR(SUMIFS(TableauRecette[Proportion],TableauRecette[Recette],TableauRecette[[#This Row],[Recette]],TableauRecette[Conditionnement],TableauRecette[[#This Row],[Conditionnement]]),0)</f>
        <v/>
      </c>
      <c r="I389" s="225">
        <f>IFERROR(TableauRecette[[#This Row],[Prix d''achat / kg]],0)</f>
        <v/>
      </c>
      <c r="J389" s="225" t="n"/>
      <c r="K389" s="853" t="n"/>
      <c r="L389" s="854">
        <f>_xlfn.XLOOKUP(TableauRecette[[#This Row],[ID]],TableauProduit[ID],TableauProduit[Total (kg) N1],0,0,1)*TableauRecette[[#This Row],[poids / unite]]</f>
        <v/>
      </c>
      <c r="M389" s="855">
        <f>_xlfn.XLOOKUP(TableauRecette[[#This Row],[ID]],TableauProduit[ID],TableauProduit[Total (kg) N2],0,0,1)*TableauRecette[[#This Row],[poids / unite]]</f>
        <v/>
      </c>
      <c r="N389" s="855">
        <f>_xlfn.XLOOKUP(TableauRecette[[#This Row],[ID]],TableauProduit[ID],TableauProduit[Total (kg) N3],0,0,1)*TableauRecette[[#This Row],[poids / unite]]</f>
        <v/>
      </c>
      <c r="O389" s="855">
        <f>_xlfn.XLOOKUP(TableauRecette[[#This Row],[ID]],TableauProduit[ID],TableauProduit[Total (kg) N4],0,0,1)*TableauRecette[[#This Row],[poids / unite]]</f>
        <v/>
      </c>
      <c r="P389" s="855">
        <f>_xlfn.XLOOKUP(TableauRecette[[#This Row],[ID]],TableauProduit[ID],TableauProduit[Total (kg) N5],0,0,1)*TableauRecette[[#This Row],[poids / unite]]</f>
        <v/>
      </c>
      <c r="Q389" s="855">
        <f>_xlfn.XLOOKUP(TableauRecette[[#This Row],[ID]],TableauProduit[ID],TableauProduit[Total (kg) N6],0,0,1)*TableauRecette[[#This Row],[poids / unite]]</f>
        <v/>
      </c>
      <c r="R389" s="855">
        <f>_xlfn.XLOOKUP(TableauRecette[[#This Row],[ID]],TableauProduit[ID],TableauProduit[Total (kg) N7],0,0,1)*TableauRecette[[#This Row],[poids / unite]]</f>
        <v/>
      </c>
      <c r="S389" s="855">
        <f>_xlfn.XLOOKUP(TableauRecette[[#This Row],[ID]],TableauProduit[ID],TableauProduit[Total (kg) N8],0,0,1)*TableauRecette[[#This Row],[poids / unite]]</f>
        <v/>
      </c>
      <c r="T389" s="855">
        <f>_xlfn.XLOOKUP(TableauRecette[[#This Row],[ID]],TableauProduit[ID],TableauProduit[Total (kg) N9],0,0,1)*TableauRecette[[#This Row],[poids / unite]]</f>
        <v/>
      </c>
    </row>
    <row r="390">
      <c r="A390" s="102" t="inlineStr">
        <is>
          <t>Tabasco cayenne jaune</t>
        </is>
      </c>
      <c r="B390" s="102">
        <f>TableauRecette[[#This Row],[Recette]]&amp;TableauRecette[[#This Row],[Conditionnement]]</f>
        <v/>
      </c>
      <c r="C390" s="102" t="inlineStr">
        <is>
          <t>Vinaigre De Cidre</t>
        </is>
      </c>
      <c r="D390" s="225" t="n">
        <v>6</v>
      </c>
      <c r="E390" s="102" t="inlineStr">
        <is>
          <t>Epice 100ml</t>
        </is>
      </c>
      <c r="F390" s="22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90" s="225">
        <f>IFERROR(_xlfn.XLOOKUP(TableauRecette[[#This Row],[Ingredients]],TableauIngredients[Ingredients],TableauIngredients[Prix d''achat (kg)],0)*TableauRecette[[#This Row],[poids / unite]],0)</f>
        <v/>
      </c>
      <c r="H390" s="225">
        <f>IFERROR(SUMIFS(TableauRecette[Proportion],TableauRecette[Recette],TableauRecette[[#This Row],[Recette]],TableauRecette[Conditionnement],TableauRecette[[#This Row],[Conditionnement]]),0)</f>
        <v/>
      </c>
      <c r="I390" s="225">
        <f>IFERROR(TableauRecette[[#This Row],[Prix d''achat / kg]],0)</f>
        <v/>
      </c>
      <c r="J390" s="225" t="n"/>
      <c r="K390" s="853" t="n"/>
      <c r="L390" s="854">
        <f>_xlfn.XLOOKUP(TableauRecette[[#This Row],[ID]],TableauProduit[ID],TableauProduit[Total (kg) N1],0,0,1)*TableauRecette[[#This Row],[poids / unite]]</f>
        <v/>
      </c>
      <c r="M390" s="855">
        <f>_xlfn.XLOOKUP(TableauRecette[[#This Row],[ID]],TableauProduit[ID],TableauProduit[Total (kg) N2],0,0,1)*TableauRecette[[#This Row],[poids / unite]]</f>
        <v/>
      </c>
      <c r="N390" s="855">
        <f>_xlfn.XLOOKUP(TableauRecette[[#This Row],[ID]],TableauProduit[ID],TableauProduit[Total (kg) N3],0,0,1)*TableauRecette[[#This Row],[poids / unite]]</f>
        <v/>
      </c>
      <c r="O390" s="855">
        <f>_xlfn.XLOOKUP(TableauRecette[[#This Row],[ID]],TableauProduit[ID],TableauProduit[Total (kg) N4],0,0,1)*TableauRecette[[#This Row],[poids / unite]]</f>
        <v/>
      </c>
      <c r="P390" s="855">
        <f>_xlfn.XLOOKUP(TableauRecette[[#This Row],[ID]],TableauProduit[ID],TableauProduit[Total (kg) N5],0,0,1)*TableauRecette[[#This Row],[poids / unite]]</f>
        <v/>
      </c>
      <c r="Q390" s="855">
        <f>_xlfn.XLOOKUP(TableauRecette[[#This Row],[ID]],TableauProduit[ID],TableauProduit[Total (kg) N6],0,0,1)*TableauRecette[[#This Row],[poids / unite]]</f>
        <v/>
      </c>
      <c r="R390" s="855">
        <f>_xlfn.XLOOKUP(TableauRecette[[#This Row],[ID]],TableauProduit[ID],TableauProduit[Total (kg) N7],0,0,1)*TableauRecette[[#This Row],[poids / unite]]</f>
        <v/>
      </c>
      <c r="S390" s="855">
        <f>_xlfn.XLOOKUP(TableauRecette[[#This Row],[ID]],TableauProduit[ID],TableauProduit[Total (kg) N8],0,0,1)*TableauRecette[[#This Row],[poids / unite]]</f>
        <v/>
      </c>
      <c r="T390" s="855">
        <f>_xlfn.XLOOKUP(TableauRecette[[#This Row],[ID]],TableauProduit[ID],TableauProduit[Total (kg) N9],0,0,1)*TableauRecette[[#This Row],[poids / unite]]</f>
        <v/>
      </c>
    </row>
    <row r="391">
      <c r="A391" s="102" t="inlineStr">
        <is>
          <t>Tabasco cayenne jaune</t>
        </is>
      </c>
      <c r="B391" s="102">
        <f>TableauRecette[[#This Row],[Recette]]&amp;TableauRecette[[#This Row],[Conditionnement]]</f>
        <v/>
      </c>
      <c r="C391" s="102" t="inlineStr">
        <is>
          <t>Oignon</t>
        </is>
      </c>
      <c r="D391" s="225" t="n">
        <v>12</v>
      </c>
      <c r="E391" s="102" t="inlineStr">
        <is>
          <t>Epice 100ml</t>
        </is>
      </c>
      <c r="F391" s="225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91" s="225">
        <f>IFERROR(_xlfn.XLOOKUP(TableauRecette[[#This Row],[Ingredients]],TableauIngredients[Ingredients],TableauIngredients[Prix d''achat (kg)],0)*TableauRecette[[#This Row],[poids / unite]],0)</f>
        <v/>
      </c>
      <c r="H391" s="225">
        <f>IFERROR(SUMIFS(TableauRecette[Proportion],TableauRecette[Recette],TableauRecette[[#This Row],[Recette]],TableauRecette[Conditionnement],TableauRecette[[#This Row],[Conditionnement]]),0)</f>
        <v/>
      </c>
      <c r="I391" s="225">
        <f>IFERROR(TableauRecette[[#This Row],[Prix d''achat / kg]],0)</f>
        <v/>
      </c>
      <c r="J391" s="225" t="n"/>
      <c r="K391" s="853" t="n"/>
      <c r="L391" s="854">
        <f>_xlfn.XLOOKUP(TableauRecette[[#This Row],[ID]],TableauProduit[ID],TableauProduit[Total (kg) N1],0,0,1)*TableauRecette[[#This Row],[poids / unite]]</f>
        <v/>
      </c>
      <c r="M391" s="855">
        <f>_xlfn.XLOOKUP(TableauRecette[[#This Row],[ID]],TableauProduit[ID],TableauProduit[Total (kg) N2],0,0,1)*TableauRecette[[#This Row],[poids / unite]]</f>
        <v/>
      </c>
      <c r="N391" s="855">
        <f>_xlfn.XLOOKUP(TableauRecette[[#This Row],[ID]],TableauProduit[ID],TableauProduit[Total (kg) N3],0,0,1)*TableauRecette[[#This Row],[poids / unite]]</f>
        <v/>
      </c>
      <c r="O391" s="855">
        <f>_xlfn.XLOOKUP(TableauRecette[[#This Row],[ID]],TableauProduit[ID],TableauProduit[Total (kg) N4],0,0,1)*TableauRecette[[#This Row],[poids / unite]]</f>
        <v/>
      </c>
      <c r="P391" s="855">
        <f>_xlfn.XLOOKUP(TableauRecette[[#This Row],[ID]],TableauProduit[ID],TableauProduit[Total (kg) N5],0,0,1)*TableauRecette[[#This Row],[poids / unite]]</f>
        <v/>
      </c>
      <c r="Q391" s="855">
        <f>_xlfn.XLOOKUP(TableauRecette[[#This Row],[ID]],TableauProduit[ID],TableauProduit[Total (kg) N6],0,0,1)*TableauRecette[[#This Row],[poids / unite]]</f>
        <v/>
      </c>
      <c r="R391" s="855">
        <f>_xlfn.XLOOKUP(TableauRecette[[#This Row],[ID]],TableauProduit[ID],TableauProduit[Total (kg) N7],0,0,1)*TableauRecette[[#This Row],[poids / unite]]</f>
        <v/>
      </c>
      <c r="S391" s="855">
        <f>_xlfn.XLOOKUP(TableauRecette[[#This Row],[ID]],TableauProduit[ID],TableauProduit[Total (kg) N8],0,0,1)*TableauRecette[[#This Row],[poids / unite]]</f>
        <v/>
      </c>
      <c r="T391" s="855">
        <f>_xlfn.XLOOKUP(TableauRecette[[#This Row],[ID]],TableauProduit[ID],TableauProduit[Total (kg) N9],0,0,1)*TableauRecette[[#This Row],[poids / unite]]</f>
        <v/>
      </c>
    </row>
    <row r="392">
      <c r="A392" s="103" t="inlineStr">
        <is>
          <t>Tabasco jalapeno</t>
        </is>
      </c>
      <c r="B392" s="103">
        <f>TableauRecette[[#This Row],[Recette]]&amp;TableauRecette[[#This Row],[Conditionnement]]</f>
        <v/>
      </c>
      <c r="C392" s="103" t="inlineStr">
        <is>
          <t>Piment Jalapeno Vert</t>
        </is>
      </c>
      <c r="D392" s="226" t="n">
        <v>100</v>
      </c>
      <c r="E392" s="103" t="inlineStr">
        <is>
          <t>Epice 100ml</t>
        </is>
      </c>
      <c r="F392" s="22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92" s="226">
        <f>IFERROR(_xlfn.XLOOKUP(TableauRecette[[#This Row],[Ingredients]],TableauIngredients[Ingredients],TableauIngredients[Prix d''achat (kg)],0)*TableauRecette[[#This Row],[poids / unite]],0)</f>
        <v/>
      </c>
      <c r="H392" s="226">
        <f>IFERROR(SUMIFS(TableauRecette[Proportion],TableauRecette[Recette],TableauRecette[[#This Row],[Recette]],TableauRecette[Conditionnement],TableauRecette[[#This Row],[Conditionnement]]),0)</f>
        <v/>
      </c>
      <c r="I392" s="226">
        <f>IFERROR(TableauRecette[[#This Row],[Prix d''achat / kg]],0)</f>
        <v/>
      </c>
      <c r="J392" s="226" t="n"/>
      <c r="K392" s="856" t="n"/>
      <c r="L392" s="857">
        <f>_xlfn.XLOOKUP(TableauRecette[[#This Row],[ID]],TableauProduit[ID],TableauProduit[Total (kg) N1],0,0,1)*TableauRecette[[#This Row],[poids / unite]]</f>
        <v/>
      </c>
      <c r="M392" s="858">
        <f>_xlfn.XLOOKUP(TableauRecette[[#This Row],[ID]],TableauProduit[ID],TableauProduit[Total (kg) N2],0,0,1)*TableauRecette[[#This Row],[poids / unite]]</f>
        <v/>
      </c>
      <c r="N392" s="858">
        <f>_xlfn.XLOOKUP(TableauRecette[[#This Row],[ID]],TableauProduit[ID],TableauProduit[Total (kg) N3],0,0,1)*TableauRecette[[#This Row],[poids / unite]]</f>
        <v/>
      </c>
      <c r="O392" s="858">
        <f>_xlfn.XLOOKUP(TableauRecette[[#This Row],[ID]],TableauProduit[ID],TableauProduit[Total (kg) N4],0,0,1)*TableauRecette[[#This Row],[poids / unite]]</f>
        <v/>
      </c>
      <c r="P392" s="858">
        <f>_xlfn.XLOOKUP(TableauRecette[[#This Row],[ID]],TableauProduit[ID],TableauProduit[Total (kg) N5],0,0,1)*TableauRecette[[#This Row],[poids / unite]]</f>
        <v/>
      </c>
      <c r="Q392" s="858">
        <f>_xlfn.XLOOKUP(TableauRecette[[#This Row],[ID]],TableauProduit[ID],TableauProduit[Total (kg) N6],0,0,1)*TableauRecette[[#This Row],[poids / unite]]</f>
        <v/>
      </c>
      <c r="R392" s="858">
        <f>_xlfn.XLOOKUP(TableauRecette[[#This Row],[ID]],TableauProduit[ID],TableauProduit[Total (kg) N7],0,0,1)*TableauRecette[[#This Row],[poids / unite]]</f>
        <v/>
      </c>
      <c r="S392" s="858">
        <f>_xlfn.XLOOKUP(TableauRecette[[#This Row],[ID]],TableauProduit[ID],TableauProduit[Total (kg) N8],0,0,1)*TableauRecette[[#This Row],[poids / unite]]</f>
        <v/>
      </c>
      <c r="T392" s="858">
        <f>_xlfn.XLOOKUP(TableauRecette[[#This Row],[ID]],TableauProduit[ID],TableauProduit[Total (kg) N9],0,0,1)*TableauRecette[[#This Row],[poids / unite]]</f>
        <v/>
      </c>
    </row>
    <row r="393">
      <c r="A393" s="103" t="inlineStr">
        <is>
          <t>Tabasco jalapeno</t>
        </is>
      </c>
      <c r="B393" s="103">
        <f>TableauRecette[[#This Row],[Recette]]&amp;TableauRecette[[#This Row],[Conditionnement]]</f>
        <v/>
      </c>
      <c r="C393" s="103" t="inlineStr">
        <is>
          <t>Sel</t>
        </is>
      </c>
      <c r="D393" s="226" t="n">
        <v>10</v>
      </c>
      <c r="E393" s="103" t="inlineStr">
        <is>
          <t>Epice 100ml</t>
        </is>
      </c>
      <c r="F393" s="22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93" s="226">
        <f>IFERROR(_xlfn.XLOOKUP(TableauRecette[[#This Row],[Ingredients]],TableauIngredients[Ingredients],TableauIngredients[Prix d''achat (kg)],0)*TableauRecette[[#This Row],[poids / unite]],0)</f>
        <v/>
      </c>
      <c r="H393" s="226">
        <f>IFERROR(SUMIFS(TableauRecette[Proportion],TableauRecette[Recette],TableauRecette[[#This Row],[Recette]],TableauRecette[Conditionnement],TableauRecette[[#This Row],[Conditionnement]]),0)</f>
        <v/>
      </c>
      <c r="I393" s="226">
        <f>IFERROR(TableauRecette[[#This Row],[Prix d''achat / kg]],0)</f>
        <v/>
      </c>
      <c r="J393" s="226" t="n"/>
      <c r="K393" s="856" t="n"/>
      <c r="L393" s="857">
        <f>_xlfn.XLOOKUP(TableauRecette[[#This Row],[ID]],TableauProduit[ID],TableauProduit[Total (kg) N1],0,0,1)*TableauRecette[[#This Row],[poids / unite]]</f>
        <v/>
      </c>
      <c r="M393" s="858">
        <f>_xlfn.XLOOKUP(TableauRecette[[#This Row],[ID]],TableauProduit[ID],TableauProduit[Total (kg) N2],0,0,1)*TableauRecette[[#This Row],[poids / unite]]</f>
        <v/>
      </c>
      <c r="N393" s="858">
        <f>_xlfn.XLOOKUP(TableauRecette[[#This Row],[ID]],TableauProduit[ID],TableauProduit[Total (kg) N3],0,0,1)*TableauRecette[[#This Row],[poids / unite]]</f>
        <v/>
      </c>
      <c r="O393" s="858">
        <f>_xlfn.XLOOKUP(TableauRecette[[#This Row],[ID]],TableauProduit[ID],TableauProduit[Total (kg) N4],0,0,1)*TableauRecette[[#This Row],[poids / unite]]</f>
        <v/>
      </c>
      <c r="P393" s="858">
        <f>_xlfn.XLOOKUP(TableauRecette[[#This Row],[ID]],TableauProduit[ID],TableauProduit[Total (kg) N5],0,0,1)*TableauRecette[[#This Row],[poids / unite]]</f>
        <v/>
      </c>
      <c r="Q393" s="858">
        <f>_xlfn.XLOOKUP(TableauRecette[[#This Row],[ID]],TableauProduit[ID],TableauProduit[Total (kg) N6],0,0,1)*TableauRecette[[#This Row],[poids / unite]]</f>
        <v/>
      </c>
      <c r="R393" s="858">
        <f>_xlfn.XLOOKUP(TableauRecette[[#This Row],[ID]],TableauProduit[ID],TableauProduit[Total (kg) N7],0,0,1)*TableauRecette[[#This Row],[poids / unite]]</f>
        <v/>
      </c>
      <c r="S393" s="858">
        <f>_xlfn.XLOOKUP(TableauRecette[[#This Row],[ID]],TableauProduit[ID],TableauProduit[Total (kg) N8],0,0,1)*TableauRecette[[#This Row],[poids / unite]]</f>
        <v/>
      </c>
      <c r="T393" s="858">
        <f>_xlfn.XLOOKUP(TableauRecette[[#This Row],[ID]],TableauProduit[ID],TableauProduit[Total (kg) N9],0,0,1)*TableauRecette[[#This Row],[poids / unite]]</f>
        <v/>
      </c>
    </row>
    <row r="394">
      <c r="A394" s="103" t="inlineStr">
        <is>
          <t>Tabasco jalapeno</t>
        </is>
      </c>
      <c r="B394" s="103">
        <f>TableauRecette[[#This Row],[Recette]]&amp;TableauRecette[[#This Row],[Conditionnement]]</f>
        <v/>
      </c>
      <c r="C394" s="103" t="inlineStr">
        <is>
          <t>Vinaigre De Cidre</t>
        </is>
      </c>
      <c r="D394" s="226" t="n">
        <v>6</v>
      </c>
      <c r="E394" s="103" t="inlineStr">
        <is>
          <t>Epice 100ml</t>
        </is>
      </c>
      <c r="F394" s="22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94" s="226">
        <f>IFERROR(_xlfn.XLOOKUP(TableauRecette[[#This Row],[Ingredients]],TableauIngredients[Ingredients],TableauIngredients[Prix d''achat (kg)],0)*TableauRecette[[#This Row],[poids / unite]],0)</f>
        <v/>
      </c>
      <c r="H394" s="226">
        <f>IFERROR(SUMIFS(TableauRecette[Proportion],TableauRecette[Recette],TableauRecette[[#This Row],[Recette]],TableauRecette[Conditionnement],TableauRecette[[#This Row],[Conditionnement]]),0)</f>
        <v/>
      </c>
      <c r="I394" s="226">
        <f>IFERROR(TableauRecette[[#This Row],[Prix d''achat / kg]],0)</f>
        <v/>
      </c>
      <c r="J394" s="226" t="n"/>
      <c r="K394" s="856" t="n"/>
      <c r="L394" s="857">
        <f>_xlfn.XLOOKUP(TableauRecette[[#This Row],[ID]],TableauProduit[ID],TableauProduit[Total (kg) N1],0,0,1)*TableauRecette[[#This Row],[poids / unite]]</f>
        <v/>
      </c>
      <c r="M394" s="858">
        <f>_xlfn.XLOOKUP(TableauRecette[[#This Row],[ID]],TableauProduit[ID],TableauProduit[Total (kg) N2],0,0,1)*TableauRecette[[#This Row],[poids / unite]]</f>
        <v/>
      </c>
      <c r="N394" s="858">
        <f>_xlfn.XLOOKUP(TableauRecette[[#This Row],[ID]],TableauProduit[ID],TableauProduit[Total (kg) N3],0,0,1)*TableauRecette[[#This Row],[poids / unite]]</f>
        <v/>
      </c>
      <c r="O394" s="858">
        <f>_xlfn.XLOOKUP(TableauRecette[[#This Row],[ID]],TableauProduit[ID],TableauProduit[Total (kg) N4],0,0,1)*TableauRecette[[#This Row],[poids / unite]]</f>
        <v/>
      </c>
      <c r="P394" s="858">
        <f>_xlfn.XLOOKUP(TableauRecette[[#This Row],[ID]],TableauProduit[ID],TableauProduit[Total (kg) N5],0,0,1)*TableauRecette[[#This Row],[poids / unite]]</f>
        <v/>
      </c>
      <c r="Q394" s="858">
        <f>_xlfn.XLOOKUP(TableauRecette[[#This Row],[ID]],TableauProduit[ID],TableauProduit[Total (kg) N6],0,0,1)*TableauRecette[[#This Row],[poids / unite]]</f>
        <v/>
      </c>
      <c r="R394" s="858">
        <f>_xlfn.XLOOKUP(TableauRecette[[#This Row],[ID]],TableauProduit[ID],TableauProduit[Total (kg) N7],0,0,1)*TableauRecette[[#This Row],[poids / unite]]</f>
        <v/>
      </c>
      <c r="S394" s="858">
        <f>_xlfn.XLOOKUP(TableauRecette[[#This Row],[ID]],TableauProduit[ID],TableauProduit[Total (kg) N8],0,0,1)*TableauRecette[[#This Row],[poids / unite]]</f>
        <v/>
      </c>
      <c r="T394" s="858">
        <f>_xlfn.XLOOKUP(TableauRecette[[#This Row],[ID]],TableauProduit[ID],TableauProduit[Total (kg) N9],0,0,1)*TableauRecette[[#This Row],[poids / unite]]</f>
        <v/>
      </c>
    </row>
    <row r="395">
      <c r="A395" s="103" t="inlineStr">
        <is>
          <t>Tabasco jalapeno</t>
        </is>
      </c>
      <c r="B395" s="103">
        <f>TableauRecette[[#This Row],[Recette]]&amp;TableauRecette[[#This Row],[Conditionnement]]</f>
        <v/>
      </c>
      <c r="C395" s="103" t="inlineStr">
        <is>
          <t>Basilic Thaï</t>
        </is>
      </c>
      <c r="D395" s="226" t="n">
        <v>13</v>
      </c>
      <c r="E395" s="103" t="inlineStr">
        <is>
          <t>Epice 100ml</t>
        </is>
      </c>
      <c r="F395" s="22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95" s="226">
        <f>IFERROR(_xlfn.XLOOKUP(TableauRecette[[#This Row],[Ingredients]],TableauIngredients[Ingredients],TableauIngredients[Prix d''achat (kg)],0)*TableauRecette[[#This Row],[poids / unite]],0)</f>
        <v/>
      </c>
      <c r="H395" s="226">
        <f>IFERROR(SUMIFS(TableauRecette[Proportion],TableauRecette[Recette],TableauRecette[[#This Row],[Recette]],TableauRecette[Conditionnement],TableauRecette[[#This Row],[Conditionnement]]),0)</f>
        <v/>
      </c>
      <c r="I395" s="226">
        <f>IFERROR(TableauRecette[[#This Row],[Prix d''achat / kg]],0)</f>
        <v/>
      </c>
      <c r="J395" s="226" t="n"/>
      <c r="K395" s="856" t="n"/>
      <c r="L395" s="857">
        <f>_xlfn.XLOOKUP(TableauRecette[[#This Row],[ID]],TableauProduit[ID],TableauProduit[Total (kg) N1],0,0,1)*TableauRecette[[#This Row],[poids / unite]]</f>
        <v/>
      </c>
      <c r="M395" s="858">
        <f>_xlfn.XLOOKUP(TableauRecette[[#This Row],[ID]],TableauProduit[ID],TableauProduit[Total (kg) N2],0,0,1)*TableauRecette[[#This Row],[poids / unite]]</f>
        <v/>
      </c>
      <c r="N395" s="858">
        <f>_xlfn.XLOOKUP(TableauRecette[[#This Row],[ID]],TableauProduit[ID],TableauProduit[Total (kg) N3],0,0,1)*TableauRecette[[#This Row],[poids / unite]]</f>
        <v/>
      </c>
      <c r="O395" s="858">
        <f>_xlfn.XLOOKUP(TableauRecette[[#This Row],[ID]],TableauProduit[ID],TableauProduit[Total (kg) N4],0,0,1)*TableauRecette[[#This Row],[poids / unite]]</f>
        <v/>
      </c>
      <c r="P395" s="858">
        <f>_xlfn.XLOOKUP(TableauRecette[[#This Row],[ID]],TableauProduit[ID],TableauProduit[Total (kg) N5],0,0,1)*TableauRecette[[#This Row],[poids / unite]]</f>
        <v/>
      </c>
      <c r="Q395" s="858">
        <f>_xlfn.XLOOKUP(TableauRecette[[#This Row],[ID]],TableauProduit[ID],TableauProduit[Total (kg) N6],0,0,1)*TableauRecette[[#This Row],[poids / unite]]</f>
        <v/>
      </c>
      <c r="R395" s="858">
        <f>_xlfn.XLOOKUP(TableauRecette[[#This Row],[ID]],TableauProduit[ID],TableauProduit[Total (kg) N7],0,0,1)*TableauRecette[[#This Row],[poids / unite]]</f>
        <v/>
      </c>
      <c r="S395" s="858">
        <f>_xlfn.XLOOKUP(TableauRecette[[#This Row],[ID]],TableauProduit[ID],TableauProduit[Total (kg) N8],0,0,1)*TableauRecette[[#This Row],[poids / unite]]</f>
        <v/>
      </c>
      <c r="T395" s="858">
        <f>_xlfn.XLOOKUP(TableauRecette[[#This Row],[ID]],TableauProduit[ID],TableauProduit[Total (kg) N9],0,0,1)*TableauRecette[[#This Row],[poids / unite]]</f>
        <v/>
      </c>
    </row>
    <row r="396">
      <c r="A396" s="103" t="inlineStr">
        <is>
          <t>Tabasco jalapeno</t>
        </is>
      </c>
      <c r="B396" s="103">
        <f>TableauRecette[[#This Row],[Recette]]&amp;TableauRecette[[#This Row],[Conditionnement]]</f>
        <v/>
      </c>
      <c r="C396" s="103" t="inlineStr">
        <is>
          <t>Oignon</t>
        </is>
      </c>
      <c r="D396" s="226" t="n">
        <v>12</v>
      </c>
      <c r="E396" s="103" t="inlineStr">
        <is>
          <t>Epice 100ml</t>
        </is>
      </c>
      <c r="F396" s="22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96" s="226">
        <f>IFERROR(_xlfn.XLOOKUP(TableauRecette[[#This Row],[Ingredients]],TableauIngredients[Ingredients],TableauIngredients[Prix d''achat (kg)],0)*TableauRecette[[#This Row],[poids / unite]],0)</f>
        <v/>
      </c>
      <c r="H396" s="226">
        <f>IFERROR(SUMIFS(TableauRecette[Proportion],TableauRecette[Recette],TableauRecette[[#This Row],[Recette]],TableauRecette[Conditionnement],TableauRecette[[#This Row],[Conditionnement]]),0)</f>
        <v/>
      </c>
      <c r="I396" s="226">
        <f>IFERROR(TableauRecette[[#This Row],[Prix d''achat / kg]],0)</f>
        <v/>
      </c>
      <c r="J396" s="226" t="n"/>
      <c r="K396" s="856" t="n"/>
      <c r="L396" s="857">
        <f>_xlfn.XLOOKUP(TableauRecette[[#This Row],[ID]],TableauProduit[ID],TableauProduit[Total (kg) N1],0,0,1)*TableauRecette[[#This Row],[poids / unite]]</f>
        <v/>
      </c>
      <c r="M396" s="858">
        <f>_xlfn.XLOOKUP(TableauRecette[[#This Row],[ID]],TableauProduit[ID],TableauProduit[Total (kg) N2],0,0,1)*TableauRecette[[#This Row],[poids / unite]]</f>
        <v/>
      </c>
      <c r="N396" s="858">
        <f>_xlfn.XLOOKUP(TableauRecette[[#This Row],[ID]],TableauProduit[ID],TableauProduit[Total (kg) N3],0,0,1)*TableauRecette[[#This Row],[poids / unite]]</f>
        <v/>
      </c>
      <c r="O396" s="858">
        <f>_xlfn.XLOOKUP(TableauRecette[[#This Row],[ID]],TableauProduit[ID],TableauProduit[Total (kg) N4],0,0,1)*TableauRecette[[#This Row],[poids / unite]]</f>
        <v/>
      </c>
      <c r="P396" s="858">
        <f>_xlfn.XLOOKUP(TableauRecette[[#This Row],[ID]],TableauProduit[ID],TableauProduit[Total (kg) N5],0,0,1)*TableauRecette[[#This Row],[poids / unite]]</f>
        <v/>
      </c>
      <c r="Q396" s="858">
        <f>_xlfn.XLOOKUP(TableauRecette[[#This Row],[ID]],TableauProduit[ID],TableauProduit[Total (kg) N6],0,0,1)*TableauRecette[[#This Row],[poids / unite]]</f>
        <v/>
      </c>
      <c r="R396" s="858">
        <f>_xlfn.XLOOKUP(TableauRecette[[#This Row],[ID]],TableauProduit[ID],TableauProduit[Total (kg) N7],0,0,1)*TableauRecette[[#This Row],[poids / unite]]</f>
        <v/>
      </c>
      <c r="S396" s="858">
        <f>_xlfn.XLOOKUP(TableauRecette[[#This Row],[ID]],TableauProduit[ID],TableauProduit[Total (kg) N8],0,0,1)*TableauRecette[[#This Row],[poids / unite]]</f>
        <v/>
      </c>
      <c r="T396" s="858">
        <f>_xlfn.XLOOKUP(TableauRecette[[#This Row],[ID]],TableauProduit[ID],TableauProduit[Total (kg) N9],0,0,1)*TableauRecette[[#This Row],[poids / unite]]</f>
        <v/>
      </c>
    </row>
    <row r="397">
      <c r="A397" s="103" t="inlineStr">
        <is>
          <t>Tabasco jalapeno</t>
        </is>
      </c>
      <c r="B397" s="103">
        <f>TableauRecette[[#This Row],[Recette]]&amp;TableauRecette[[#This Row],[Conditionnement]]</f>
        <v/>
      </c>
      <c r="C397" s="103" t="inlineStr">
        <is>
          <t>Figue</t>
        </is>
      </c>
      <c r="D397" s="226" t="n">
        <v>0</v>
      </c>
      <c r="E397" s="103" t="inlineStr">
        <is>
          <t>Epice 100ml</t>
        </is>
      </c>
      <c r="F397" s="226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97" s="226">
        <f>IFERROR(_xlfn.XLOOKUP(TableauRecette[[#This Row],[Ingredients]],TableauIngredients[Ingredients],TableauIngredients[Prix d''achat (kg)],0)*TableauRecette[[#This Row],[poids / unite]],0)</f>
        <v/>
      </c>
      <c r="H397" s="226">
        <f>IFERROR(SUMIFS(TableauRecette[Proportion],TableauRecette[Recette],TableauRecette[[#This Row],[Recette]],TableauRecette[Conditionnement],TableauRecette[[#This Row],[Conditionnement]]),0)</f>
        <v/>
      </c>
      <c r="I397" s="226">
        <f>IFERROR(TableauRecette[[#This Row],[Prix d''achat / kg]],0)</f>
        <v/>
      </c>
      <c r="J397" s="226" t="n"/>
      <c r="K397" s="856" t="n"/>
      <c r="L397" s="857">
        <f>_xlfn.XLOOKUP(TableauRecette[[#This Row],[ID]],TableauProduit[ID],TableauProduit[Total (kg) N1],0,0,1)*TableauRecette[[#This Row],[poids / unite]]</f>
        <v/>
      </c>
      <c r="M397" s="858">
        <f>_xlfn.XLOOKUP(TableauRecette[[#This Row],[ID]],TableauProduit[ID],TableauProduit[Total (kg) N2],0,0,1)*TableauRecette[[#This Row],[poids / unite]]</f>
        <v/>
      </c>
      <c r="N397" s="858">
        <f>_xlfn.XLOOKUP(TableauRecette[[#This Row],[ID]],TableauProduit[ID],TableauProduit[Total (kg) N3],0,0,1)*TableauRecette[[#This Row],[poids / unite]]</f>
        <v/>
      </c>
      <c r="O397" s="858">
        <f>_xlfn.XLOOKUP(TableauRecette[[#This Row],[ID]],TableauProduit[ID],TableauProduit[Total (kg) N4],0,0,1)*TableauRecette[[#This Row],[poids / unite]]</f>
        <v/>
      </c>
      <c r="P397" s="858">
        <f>_xlfn.XLOOKUP(TableauRecette[[#This Row],[ID]],TableauProduit[ID],TableauProduit[Total (kg) N5],0,0,1)*TableauRecette[[#This Row],[poids / unite]]</f>
        <v/>
      </c>
      <c r="Q397" s="858">
        <f>_xlfn.XLOOKUP(TableauRecette[[#This Row],[ID]],TableauProduit[ID],TableauProduit[Total (kg) N6],0,0,1)*TableauRecette[[#This Row],[poids / unite]]</f>
        <v/>
      </c>
      <c r="R397" s="858">
        <f>_xlfn.XLOOKUP(TableauRecette[[#This Row],[ID]],TableauProduit[ID],TableauProduit[Total (kg) N7],0,0,1)*TableauRecette[[#This Row],[poids / unite]]</f>
        <v/>
      </c>
      <c r="S397" s="858">
        <f>_xlfn.XLOOKUP(TableauRecette[[#This Row],[ID]],TableauProduit[ID],TableauProduit[Total (kg) N8],0,0,1)*TableauRecette[[#This Row],[poids / unite]]</f>
        <v/>
      </c>
      <c r="T397" s="858">
        <f>_xlfn.XLOOKUP(TableauRecette[[#This Row],[ID]],TableauProduit[ID],TableauProduit[Total (kg) N9],0,0,1)*TableauRecette[[#This Row],[poids / unite]]</f>
        <v/>
      </c>
    </row>
    <row r="398">
      <c r="A398" s="656" t="inlineStr">
        <is>
          <t>Tabasco Rouge moyen</t>
        </is>
      </c>
      <c r="B398" s="104">
        <f>TableauRecette[[#This Row],[Recette]]&amp;TableauRecette[[#This Row],[Conditionnement]]</f>
        <v/>
      </c>
      <c r="C398" s="104" t="inlineStr">
        <is>
          <t>Ail</t>
        </is>
      </c>
      <c r="D398" s="227" t="n">
        <v>6</v>
      </c>
      <c r="E398" s="104" t="inlineStr">
        <is>
          <t>Epice 100ml</t>
        </is>
      </c>
      <c r="F398" s="22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98" s="227">
        <f>IFERROR(_xlfn.XLOOKUP(TableauRecette[[#This Row],[Ingredients]],TableauIngredients[Ingredients],TableauIngredients[Prix d''achat (kg)],0)*TableauRecette[[#This Row],[poids / unite]],0)</f>
        <v/>
      </c>
      <c r="H398" s="227">
        <f>IFERROR(SUMIFS(TableauRecette[Proportion],TableauRecette[Recette],TableauRecette[[#This Row],[Recette]],TableauRecette[Conditionnement],TableauRecette[[#This Row],[Conditionnement]]),0)</f>
        <v/>
      </c>
      <c r="I398" s="227">
        <f>IFERROR(TableauRecette[[#This Row],[Prix d''achat / kg]],0)</f>
        <v/>
      </c>
      <c r="J398" s="227" t="n"/>
      <c r="K398" s="859" t="n"/>
      <c r="L398" s="860">
        <f>_xlfn.XLOOKUP(TableauRecette[[#This Row],[ID]],TableauProduit[ID],TableauProduit[Total (kg) N1],0,0,1)*TableauRecette[[#This Row],[poids / unite]]</f>
        <v/>
      </c>
      <c r="M398" s="861">
        <f>_xlfn.XLOOKUP(TableauRecette[[#This Row],[ID]],TableauProduit[ID],TableauProduit[Total (kg) N2],0,0,1)*TableauRecette[[#This Row],[poids / unite]]</f>
        <v/>
      </c>
      <c r="N398" s="861">
        <f>_xlfn.XLOOKUP(TableauRecette[[#This Row],[ID]],TableauProduit[ID],TableauProduit[Total (kg) N3],0,0,1)*TableauRecette[[#This Row],[poids / unite]]</f>
        <v/>
      </c>
      <c r="O398" s="861">
        <f>_xlfn.XLOOKUP(TableauRecette[[#This Row],[ID]],TableauProduit[ID],TableauProduit[Total (kg) N4],0,0,1)*TableauRecette[[#This Row],[poids / unite]]</f>
        <v/>
      </c>
      <c r="P398" s="861">
        <f>_xlfn.XLOOKUP(TableauRecette[[#This Row],[ID]],TableauProduit[ID],TableauProduit[Total (kg) N5],0,0,1)*TableauRecette[[#This Row],[poids / unite]]</f>
        <v/>
      </c>
      <c r="Q398" s="861">
        <f>_xlfn.XLOOKUP(TableauRecette[[#This Row],[ID]],TableauProduit[ID],TableauProduit[Total (kg) N6],0,0,1)*TableauRecette[[#This Row],[poids / unite]]</f>
        <v/>
      </c>
      <c r="R398" s="861">
        <f>_xlfn.XLOOKUP(TableauRecette[[#This Row],[ID]],TableauProduit[ID],TableauProduit[Total (kg) N7],0,0,1)*TableauRecette[[#This Row],[poids / unite]]</f>
        <v/>
      </c>
      <c r="S398" s="861">
        <f>_xlfn.XLOOKUP(TableauRecette[[#This Row],[ID]],TableauProduit[ID],TableauProduit[Total (kg) N8],0,0,1)*TableauRecette[[#This Row],[poids / unite]]</f>
        <v/>
      </c>
      <c r="T398" s="861">
        <f>_xlfn.XLOOKUP(TableauRecette[[#This Row],[ID]],TableauProduit[ID],TableauProduit[Total (kg) N9],0,0,1)*TableauRecette[[#This Row],[poids / unite]]</f>
        <v/>
      </c>
    </row>
    <row r="399">
      <c r="A399" s="656" t="inlineStr">
        <is>
          <t>Tabasco Rouge moyen</t>
        </is>
      </c>
      <c r="B399" s="104">
        <f>TableauRecette[[#This Row],[Recette]]&amp;TableauRecette[[#This Row],[Conditionnement]]</f>
        <v/>
      </c>
      <c r="C399" s="446" t="inlineStr">
        <is>
          <t>Piments Rouge</t>
        </is>
      </c>
      <c r="D399" s="227" t="n">
        <v>100</v>
      </c>
      <c r="E399" s="104" t="inlineStr">
        <is>
          <t>Epice 100ml</t>
        </is>
      </c>
      <c r="F399" s="22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399" s="227">
        <f>IFERROR(_xlfn.XLOOKUP(TableauRecette[[#This Row],[Ingredients]],TableauIngredients[Ingredients],TableauIngredients[Prix d''achat (kg)],0)*TableauRecette[[#This Row],[poids / unite]],0)</f>
        <v/>
      </c>
      <c r="H399" s="227">
        <f>IFERROR(SUMIFS(TableauRecette[Proportion],TableauRecette[Recette],TableauRecette[[#This Row],[Recette]],TableauRecette[Conditionnement],TableauRecette[[#This Row],[Conditionnement]]),0)</f>
        <v/>
      </c>
      <c r="I399" s="227">
        <f>IFERROR(TableauRecette[[#This Row],[Prix d''achat / kg]],0)</f>
        <v/>
      </c>
      <c r="J399" s="227" t="n"/>
      <c r="K399" s="859" t="n"/>
      <c r="L399" s="860">
        <f>_xlfn.XLOOKUP(TableauRecette[[#This Row],[ID]],TableauProduit[ID],TableauProduit[Total (kg) N1],0,0,1)*TableauRecette[[#This Row],[poids / unite]]</f>
        <v/>
      </c>
      <c r="M399" s="861">
        <f>_xlfn.XLOOKUP(TableauRecette[[#This Row],[ID]],TableauProduit[ID],TableauProduit[Total (kg) N2],0,0,1)*TableauRecette[[#This Row],[poids / unite]]</f>
        <v/>
      </c>
      <c r="N399" s="861">
        <f>_xlfn.XLOOKUP(TableauRecette[[#This Row],[ID]],TableauProduit[ID],TableauProduit[Total (kg) N3],0,0,1)*TableauRecette[[#This Row],[poids / unite]]</f>
        <v/>
      </c>
      <c r="O399" s="861">
        <f>_xlfn.XLOOKUP(TableauRecette[[#This Row],[ID]],TableauProduit[ID],TableauProduit[Total (kg) N4],0,0,1)*TableauRecette[[#This Row],[poids / unite]]</f>
        <v/>
      </c>
      <c r="P399" s="861">
        <f>_xlfn.XLOOKUP(TableauRecette[[#This Row],[ID]],TableauProduit[ID],TableauProduit[Total (kg) N5],0,0,1)*TableauRecette[[#This Row],[poids / unite]]</f>
        <v/>
      </c>
      <c r="Q399" s="861">
        <f>_xlfn.XLOOKUP(TableauRecette[[#This Row],[ID]],TableauProduit[ID],TableauProduit[Total (kg) N6],0,0,1)*TableauRecette[[#This Row],[poids / unite]]</f>
        <v/>
      </c>
      <c r="R399" s="861">
        <f>_xlfn.XLOOKUP(TableauRecette[[#This Row],[ID]],TableauProduit[ID],TableauProduit[Total (kg) N7],0,0,1)*TableauRecette[[#This Row],[poids / unite]]</f>
        <v/>
      </c>
      <c r="S399" s="861">
        <f>_xlfn.XLOOKUP(TableauRecette[[#This Row],[ID]],TableauProduit[ID],TableauProduit[Total (kg) N8],0,0,1)*TableauRecette[[#This Row],[poids / unite]]</f>
        <v/>
      </c>
      <c r="T399" s="861">
        <f>_xlfn.XLOOKUP(TableauRecette[[#This Row],[ID]],TableauProduit[ID],TableauProduit[Total (kg) N9],0,0,1)*TableauRecette[[#This Row],[poids / unite]]</f>
        <v/>
      </c>
    </row>
    <row r="400">
      <c r="A400" s="656" t="inlineStr">
        <is>
          <t>Tabasco Rouge moyen</t>
        </is>
      </c>
      <c r="B400" s="104">
        <f>TableauRecette[[#This Row],[Recette]]&amp;TableauRecette[[#This Row],[Conditionnement]]</f>
        <v/>
      </c>
      <c r="C400" s="446" t="inlineStr">
        <is>
          <t>Oignon</t>
        </is>
      </c>
      <c r="D400" s="227" t="n">
        <v>10</v>
      </c>
      <c r="E400" s="104" t="inlineStr">
        <is>
          <t>Epice 100ml</t>
        </is>
      </c>
      <c r="F400" s="22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00" s="227">
        <f>IFERROR(_xlfn.XLOOKUP(TableauRecette[[#This Row],[Ingredients]],TableauIngredients[Ingredients],TableauIngredients[Prix d''achat (kg)],0)*TableauRecette[[#This Row],[poids / unite]],0)</f>
        <v/>
      </c>
      <c r="H400" s="227">
        <f>IFERROR(SUMIFS(TableauRecette[Proportion],TableauRecette[Recette],TableauRecette[[#This Row],[Recette]],TableauRecette[Conditionnement],TableauRecette[[#This Row],[Conditionnement]]),0)</f>
        <v/>
      </c>
      <c r="I400" s="227">
        <f>IFERROR(TableauRecette[[#This Row],[Prix d''achat / kg]],0)</f>
        <v/>
      </c>
      <c r="J400" s="227" t="n"/>
      <c r="K400" s="859" t="n"/>
      <c r="L400" s="860">
        <f>_xlfn.XLOOKUP(TableauRecette[[#This Row],[ID]],TableauProduit[ID],TableauProduit[Total (kg) N1],0,0,1)*TableauRecette[[#This Row],[poids / unite]]</f>
        <v/>
      </c>
      <c r="M400" s="861">
        <f>_xlfn.XLOOKUP(TableauRecette[[#This Row],[ID]],TableauProduit[ID],TableauProduit[Total (kg) N2],0,0,1)*TableauRecette[[#This Row],[poids / unite]]</f>
        <v/>
      </c>
      <c r="N400" s="861">
        <f>_xlfn.XLOOKUP(TableauRecette[[#This Row],[ID]],TableauProduit[ID],TableauProduit[Total (kg) N3],0,0,1)*TableauRecette[[#This Row],[poids / unite]]</f>
        <v/>
      </c>
      <c r="O400" s="861">
        <f>_xlfn.XLOOKUP(TableauRecette[[#This Row],[ID]],TableauProduit[ID],TableauProduit[Total (kg) N4],0,0,1)*TableauRecette[[#This Row],[poids / unite]]</f>
        <v/>
      </c>
      <c r="P400" s="861">
        <f>_xlfn.XLOOKUP(TableauRecette[[#This Row],[ID]],TableauProduit[ID],TableauProduit[Total (kg) N5],0,0,1)*TableauRecette[[#This Row],[poids / unite]]</f>
        <v/>
      </c>
      <c r="Q400" s="861">
        <f>_xlfn.XLOOKUP(TableauRecette[[#This Row],[ID]],TableauProduit[ID],TableauProduit[Total (kg) N6],0,0,1)*TableauRecette[[#This Row],[poids / unite]]</f>
        <v/>
      </c>
      <c r="R400" s="861">
        <f>_xlfn.XLOOKUP(TableauRecette[[#This Row],[ID]],TableauProduit[ID],TableauProduit[Total (kg) N7],0,0,1)*TableauRecette[[#This Row],[poids / unite]]</f>
        <v/>
      </c>
      <c r="S400" s="861">
        <f>_xlfn.XLOOKUP(TableauRecette[[#This Row],[ID]],TableauProduit[ID],TableauProduit[Total (kg) N8],0,0,1)*TableauRecette[[#This Row],[poids / unite]]</f>
        <v/>
      </c>
      <c r="T400" s="861">
        <f>_xlfn.XLOOKUP(TableauRecette[[#This Row],[ID]],TableauProduit[ID],TableauProduit[Total (kg) N9],0,0,1)*TableauRecette[[#This Row],[poids / unite]]</f>
        <v/>
      </c>
    </row>
    <row r="401">
      <c r="A401" s="656" t="inlineStr">
        <is>
          <t>Tabasco Rouge moyen</t>
        </is>
      </c>
      <c r="B401" s="104">
        <f>TableauRecette[[#This Row],[Recette]]&amp;TableauRecette[[#This Row],[Conditionnement]]</f>
        <v/>
      </c>
      <c r="C401" s="446" t="inlineStr">
        <is>
          <t>Sel</t>
        </is>
      </c>
      <c r="D401" s="227" t="n">
        <v>10</v>
      </c>
      <c r="E401" s="104" t="inlineStr">
        <is>
          <t>Epice 100ml</t>
        </is>
      </c>
      <c r="F401" s="22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01" s="227">
        <f>IFERROR(_xlfn.XLOOKUP(TableauRecette[[#This Row],[Ingredients]],TableauIngredients[Ingredients],TableauIngredients[Prix d''achat (kg)],0)*TableauRecette[[#This Row],[poids / unite]],0)</f>
        <v/>
      </c>
      <c r="H401" s="227">
        <f>IFERROR(SUMIFS(TableauRecette[Proportion],TableauRecette[Recette],TableauRecette[[#This Row],[Recette]],TableauRecette[Conditionnement],TableauRecette[[#This Row],[Conditionnement]]),0)</f>
        <v/>
      </c>
      <c r="I401" s="227">
        <f>IFERROR(TableauRecette[[#This Row],[Prix d''achat / kg]],0)</f>
        <v/>
      </c>
      <c r="J401" s="227" t="n"/>
      <c r="K401" s="859" t="n"/>
      <c r="L401" s="860">
        <f>_xlfn.XLOOKUP(TableauRecette[[#This Row],[ID]],TableauProduit[ID],TableauProduit[Total (kg) N1],0,0,1)*TableauRecette[[#This Row],[poids / unite]]</f>
        <v/>
      </c>
      <c r="M401" s="861">
        <f>_xlfn.XLOOKUP(TableauRecette[[#This Row],[ID]],TableauProduit[ID],TableauProduit[Total (kg) N2],0,0,1)*TableauRecette[[#This Row],[poids / unite]]</f>
        <v/>
      </c>
      <c r="N401" s="861">
        <f>_xlfn.XLOOKUP(TableauRecette[[#This Row],[ID]],TableauProduit[ID],TableauProduit[Total (kg) N3],0,0,1)*TableauRecette[[#This Row],[poids / unite]]</f>
        <v/>
      </c>
      <c r="O401" s="861">
        <f>_xlfn.XLOOKUP(TableauRecette[[#This Row],[ID]],TableauProduit[ID],TableauProduit[Total (kg) N4],0,0,1)*TableauRecette[[#This Row],[poids / unite]]</f>
        <v/>
      </c>
      <c r="P401" s="861">
        <f>_xlfn.XLOOKUP(TableauRecette[[#This Row],[ID]],TableauProduit[ID],TableauProduit[Total (kg) N5],0,0,1)*TableauRecette[[#This Row],[poids / unite]]</f>
        <v/>
      </c>
      <c r="Q401" s="861">
        <f>_xlfn.XLOOKUP(TableauRecette[[#This Row],[ID]],TableauProduit[ID],TableauProduit[Total (kg) N6],0,0,1)*TableauRecette[[#This Row],[poids / unite]]</f>
        <v/>
      </c>
      <c r="R401" s="861">
        <f>_xlfn.XLOOKUP(TableauRecette[[#This Row],[ID]],TableauProduit[ID],TableauProduit[Total (kg) N7],0,0,1)*TableauRecette[[#This Row],[poids / unite]]</f>
        <v/>
      </c>
      <c r="S401" s="861">
        <f>_xlfn.XLOOKUP(TableauRecette[[#This Row],[ID]],TableauProduit[ID],TableauProduit[Total (kg) N8],0,0,1)*TableauRecette[[#This Row],[poids / unite]]</f>
        <v/>
      </c>
      <c r="T401" s="861">
        <f>_xlfn.XLOOKUP(TableauRecette[[#This Row],[ID]],TableauProduit[ID],TableauProduit[Total (kg) N9],0,0,1)*TableauRecette[[#This Row],[poids / unite]]</f>
        <v/>
      </c>
    </row>
    <row r="402">
      <c r="A402" s="656" t="inlineStr">
        <is>
          <t>Tabasco Rouge moyen</t>
        </is>
      </c>
      <c r="B402" s="104">
        <f>TableauRecette[[#This Row],[Recette]]&amp;TableauRecette[[#This Row],[Conditionnement]]</f>
        <v/>
      </c>
      <c r="C402" s="446" t="inlineStr">
        <is>
          <t>Vinaigre De Cidre</t>
        </is>
      </c>
      <c r="D402" s="227" t="n">
        <v>6</v>
      </c>
      <c r="E402" s="104" t="inlineStr">
        <is>
          <t>Epice 100ml</t>
        </is>
      </c>
      <c r="F402" s="22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02" s="227">
        <f>IFERROR(_xlfn.XLOOKUP(TableauRecette[[#This Row],[Ingredients]],TableauIngredients[Ingredients],TableauIngredients[Prix d''achat (kg)],0)*TableauRecette[[#This Row],[poids / unite]],0)</f>
        <v/>
      </c>
      <c r="H402" s="227">
        <f>IFERROR(SUMIFS(TableauRecette[Proportion],TableauRecette[Recette],TableauRecette[[#This Row],[Recette]],TableauRecette[Conditionnement],TableauRecette[[#This Row],[Conditionnement]]),0)</f>
        <v/>
      </c>
      <c r="I402" s="227">
        <f>IFERROR(TableauRecette[[#This Row],[Prix d''achat / kg]],0)</f>
        <v/>
      </c>
      <c r="J402" s="227" t="n"/>
      <c r="K402" s="859" t="n"/>
      <c r="L402" s="860">
        <f>_xlfn.XLOOKUP(TableauRecette[[#This Row],[ID]],TableauProduit[ID],TableauProduit[Total (kg) N1],0,0,1)*TableauRecette[[#This Row],[poids / unite]]</f>
        <v/>
      </c>
      <c r="M402" s="861">
        <f>_xlfn.XLOOKUP(TableauRecette[[#This Row],[ID]],TableauProduit[ID],TableauProduit[Total (kg) N2],0,0,1)*TableauRecette[[#This Row],[poids / unite]]</f>
        <v/>
      </c>
      <c r="N402" s="861">
        <f>_xlfn.XLOOKUP(TableauRecette[[#This Row],[ID]],TableauProduit[ID],TableauProduit[Total (kg) N3],0,0,1)*TableauRecette[[#This Row],[poids / unite]]</f>
        <v/>
      </c>
      <c r="O402" s="861">
        <f>_xlfn.XLOOKUP(TableauRecette[[#This Row],[ID]],TableauProduit[ID],TableauProduit[Total (kg) N4],0,0,1)*TableauRecette[[#This Row],[poids / unite]]</f>
        <v/>
      </c>
      <c r="P402" s="861">
        <f>_xlfn.XLOOKUP(TableauRecette[[#This Row],[ID]],TableauProduit[ID],TableauProduit[Total (kg) N5],0,0,1)*TableauRecette[[#This Row],[poids / unite]]</f>
        <v/>
      </c>
      <c r="Q402" s="861">
        <f>_xlfn.XLOOKUP(TableauRecette[[#This Row],[ID]],TableauProduit[ID],TableauProduit[Total (kg) N6],0,0,1)*TableauRecette[[#This Row],[poids / unite]]</f>
        <v/>
      </c>
      <c r="R402" s="861">
        <f>_xlfn.XLOOKUP(TableauRecette[[#This Row],[ID]],TableauProduit[ID],TableauProduit[Total (kg) N7],0,0,1)*TableauRecette[[#This Row],[poids / unite]]</f>
        <v/>
      </c>
      <c r="S402" s="861">
        <f>_xlfn.XLOOKUP(TableauRecette[[#This Row],[ID]],TableauProduit[ID],TableauProduit[Total (kg) N8],0,0,1)*TableauRecette[[#This Row],[poids / unite]]</f>
        <v/>
      </c>
      <c r="T402" s="861">
        <f>_xlfn.XLOOKUP(TableauRecette[[#This Row],[ID]],TableauProduit[ID],TableauProduit[Total (kg) N9],0,0,1)*TableauRecette[[#This Row],[poids / unite]]</f>
        <v/>
      </c>
    </row>
    <row r="403">
      <c r="A403" s="656" t="inlineStr">
        <is>
          <t>Tabasco Rouge moyen</t>
        </is>
      </c>
      <c r="B403" s="104">
        <f>TableauRecette[[#This Row],[Recette]]&amp;TableauRecette[[#This Row],[Conditionnement]]</f>
        <v/>
      </c>
      <c r="C403" s="446" t="inlineStr">
        <is>
          <t>Figue</t>
        </is>
      </c>
      <c r="D403" s="227" t="n">
        <v>10</v>
      </c>
      <c r="E403" s="104" t="inlineStr">
        <is>
          <t>Epice 100ml</t>
        </is>
      </c>
      <c r="F403" s="22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03" s="227">
        <f>IFERROR(_xlfn.XLOOKUP(TableauRecette[[#This Row],[Ingredients]],TableauIngredients[Ingredients],TableauIngredients[Prix d''achat (kg)],0)*TableauRecette[[#This Row],[poids / unite]],0)</f>
        <v/>
      </c>
      <c r="H403" s="227">
        <f>IFERROR(SUMIFS(TableauRecette[Proportion],TableauRecette[Recette],TableauRecette[[#This Row],[Recette]],TableauRecette[Conditionnement],TableauRecette[[#This Row],[Conditionnement]]),0)</f>
        <v/>
      </c>
      <c r="I403" s="227">
        <f>IFERROR(TableauRecette[[#This Row],[Prix d''achat / kg]],0)</f>
        <v/>
      </c>
      <c r="J403" s="227" t="n"/>
      <c r="K403" s="859" t="n"/>
      <c r="L403" s="860">
        <f>_xlfn.XLOOKUP(TableauRecette[[#This Row],[ID]],TableauProduit[ID],TableauProduit[Total (kg) N1],0,0,1)*TableauRecette[[#This Row],[poids / unite]]</f>
        <v/>
      </c>
      <c r="M403" s="861">
        <f>_xlfn.XLOOKUP(TableauRecette[[#This Row],[ID]],TableauProduit[ID],TableauProduit[Total (kg) N2],0,0,1)*TableauRecette[[#This Row],[poids / unite]]</f>
        <v/>
      </c>
      <c r="N403" s="861">
        <f>_xlfn.XLOOKUP(TableauRecette[[#This Row],[ID]],TableauProduit[ID],TableauProduit[Total (kg) N3],0,0,1)*TableauRecette[[#This Row],[poids / unite]]</f>
        <v/>
      </c>
      <c r="O403" s="861">
        <f>_xlfn.XLOOKUP(TableauRecette[[#This Row],[ID]],TableauProduit[ID],TableauProduit[Total (kg) N4],0,0,1)*TableauRecette[[#This Row],[poids / unite]]</f>
        <v/>
      </c>
      <c r="P403" s="861">
        <f>_xlfn.XLOOKUP(TableauRecette[[#This Row],[ID]],TableauProduit[ID],TableauProduit[Total (kg) N5],0,0,1)*TableauRecette[[#This Row],[poids / unite]]</f>
        <v/>
      </c>
      <c r="Q403" s="861">
        <f>_xlfn.XLOOKUP(TableauRecette[[#This Row],[ID]],TableauProduit[ID],TableauProduit[Total (kg) N6],0,0,1)*TableauRecette[[#This Row],[poids / unite]]</f>
        <v/>
      </c>
      <c r="R403" s="861">
        <f>_xlfn.XLOOKUP(TableauRecette[[#This Row],[ID]],TableauProduit[ID],TableauProduit[Total (kg) N7],0,0,1)*TableauRecette[[#This Row],[poids / unite]]</f>
        <v/>
      </c>
      <c r="S403" s="861">
        <f>_xlfn.XLOOKUP(TableauRecette[[#This Row],[ID]],TableauProduit[ID],TableauProduit[Total (kg) N8],0,0,1)*TableauRecette[[#This Row],[poids / unite]]</f>
        <v/>
      </c>
      <c r="T403" s="861">
        <f>_xlfn.XLOOKUP(TableauRecette[[#This Row],[ID]],TableauProduit[ID],TableauProduit[Total (kg) N9],0,0,1)*TableauRecette[[#This Row],[poids / unite]]</f>
        <v/>
      </c>
    </row>
    <row r="404">
      <c r="A404" s="657" t="inlineStr">
        <is>
          <t>Tabasco violet fort</t>
        </is>
      </c>
      <c r="B404" s="105">
        <f>TableauRecette[[#This Row],[Recette]]&amp;TableauRecette[[#This Row],[Conditionnement]]</f>
        <v/>
      </c>
      <c r="C404" s="447" t="inlineStr">
        <is>
          <t>Ail</t>
        </is>
      </c>
      <c r="D404" s="228" t="n">
        <v>6</v>
      </c>
      <c r="E404" s="105" t="inlineStr">
        <is>
          <t>Epice 100ml</t>
        </is>
      </c>
      <c r="F404" s="22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04" s="228">
        <f>IFERROR(_xlfn.XLOOKUP(TableauRecette[[#This Row],[Ingredients]],TableauIngredients[Ingredients],TableauIngredients[Prix d''achat (kg)],0)*TableauRecette[[#This Row],[poids / unite]],0)</f>
        <v/>
      </c>
      <c r="H404" s="228">
        <f>IFERROR(SUMIFS(TableauRecette[Proportion],TableauRecette[Recette],TableauRecette[[#This Row],[Recette]],TableauRecette[Conditionnement],TableauRecette[[#This Row],[Conditionnement]]),0)</f>
        <v/>
      </c>
      <c r="I404" s="228">
        <f>IFERROR(TableauRecette[[#This Row],[Prix d''achat / kg]],0)</f>
        <v/>
      </c>
      <c r="J404" s="228" t="n"/>
      <c r="K404" s="862" t="n"/>
      <c r="L404" s="863">
        <f>_xlfn.XLOOKUP(TableauRecette[[#This Row],[ID]],TableauProduit[ID],TableauProduit[Total (kg) N1],0,0,1)*TableauRecette[[#This Row],[poids / unite]]</f>
        <v/>
      </c>
      <c r="M404" s="864">
        <f>_xlfn.XLOOKUP(TableauRecette[[#This Row],[ID]],TableauProduit[ID],TableauProduit[Total (kg) N2],0,0,1)*TableauRecette[[#This Row],[poids / unite]]</f>
        <v/>
      </c>
      <c r="N404" s="864">
        <f>_xlfn.XLOOKUP(TableauRecette[[#This Row],[ID]],TableauProduit[ID],TableauProduit[Total (kg) N3],0,0,1)*TableauRecette[[#This Row],[poids / unite]]</f>
        <v/>
      </c>
      <c r="O404" s="864">
        <f>_xlfn.XLOOKUP(TableauRecette[[#This Row],[ID]],TableauProduit[ID],TableauProduit[Total (kg) N4],0,0,1)*TableauRecette[[#This Row],[poids / unite]]</f>
        <v/>
      </c>
      <c r="P404" s="864">
        <f>_xlfn.XLOOKUP(TableauRecette[[#This Row],[ID]],TableauProduit[ID],TableauProduit[Total (kg) N5],0,0,1)*TableauRecette[[#This Row],[poids / unite]]</f>
        <v/>
      </c>
      <c r="Q404" s="864">
        <f>_xlfn.XLOOKUP(TableauRecette[[#This Row],[ID]],TableauProduit[ID],TableauProduit[Total (kg) N6],0,0,1)*TableauRecette[[#This Row],[poids / unite]]</f>
        <v/>
      </c>
      <c r="R404" s="864">
        <f>_xlfn.XLOOKUP(TableauRecette[[#This Row],[ID]],TableauProduit[ID],TableauProduit[Total (kg) N7],0,0,1)*TableauRecette[[#This Row],[poids / unite]]</f>
        <v/>
      </c>
      <c r="S404" s="864">
        <f>_xlfn.XLOOKUP(TableauRecette[[#This Row],[ID]],TableauProduit[ID],TableauProduit[Total (kg) N8],0,0,1)*TableauRecette[[#This Row],[poids / unite]]</f>
        <v/>
      </c>
      <c r="T404" s="864">
        <f>_xlfn.XLOOKUP(TableauRecette[[#This Row],[ID]],TableauProduit[ID],TableauProduit[Total (kg) N9],0,0,1)*TableauRecette[[#This Row],[poids / unite]]</f>
        <v/>
      </c>
    </row>
    <row r="405">
      <c r="A405" s="657" t="inlineStr">
        <is>
          <t>Tabasco violet fort</t>
        </is>
      </c>
      <c r="B405" s="105">
        <f>TableauRecette[[#This Row],[Recette]]&amp;TableauRecette[[#This Row],[Conditionnement]]</f>
        <v/>
      </c>
      <c r="C405" s="447" t="inlineStr">
        <is>
          <t>Piment Habanero Violet</t>
        </is>
      </c>
      <c r="D405" s="228" t="n">
        <v>90</v>
      </c>
      <c r="E405" s="105" t="inlineStr">
        <is>
          <t>Epice 100ml</t>
        </is>
      </c>
      <c r="F405" s="22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05" s="228">
        <f>IFERROR(_xlfn.XLOOKUP(TableauRecette[[#This Row],[Ingredients]],TableauIngredients[Ingredients],TableauIngredients[Prix d''achat (kg)],0)*TableauRecette[[#This Row],[poids / unite]],0)</f>
        <v/>
      </c>
      <c r="H405" s="228">
        <f>IFERROR(SUMIFS(TableauRecette[Proportion],TableauRecette[Recette],TableauRecette[[#This Row],[Recette]],TableauRecette[Conditionnement],TableauRecette[[#This Row],[Conditionnement]]),0)</f>
        <v/>
      </c>
      <c r="I405" s="228">
        <f>IFERROR(TableauRecette[[#This Row],[Prix d''achat / kg]],0)</f>
        <v/>
      </c>
      <c r="J405" s="228" t="n"/>
      <c r="K405" s="862" t="n"/>
      <c r="L405" s="863">
        <f>_xlfn.XLOOKUP(TableauRecette[[#This Row],[ID]],TableauProduit[ID],TableauProduit[Total (kg) N1],0,0,1)*TableauRecette[[#This Row],[poids / unite]]</f>
        <v/>
      </c>
      <c r="M405" s="864">
        <f>_xlfn.XLOOKUP(TableauRecette[[#This Row],[ID]],TableauProduit[ID],TableauProduit[Total (kg) N2],0,0,1)*TableauRecette[[#This Row],[poids / unite]]</f>
        <v/>
      </c>
      <c r="N405" s="864">
        <f>_xlfn.XLOOKUP(TableauRecette[[#This Row],[ID]],TableauProduit[ID],TableauProduit[Total (kg) N3],0,0,1)*TableauRecette[[#This Row],[poids / unite]]</f>
        <v/>
      </c>
      <c r="O405" s="864">
        <f>_xlfn.XLOOKUP(TableauRecette[[#This Row],[ID]],TableauProduit[ID],TableauProduit[Total (kg) N4],0,0,1)*TableauRecette[[#This Row],[poids / unite]]</f>
        <v/>
      </c>
      <c r="P405" s="864">
        <f>_xlfn.XLOOKUP(TableauRecette[[#This Row],[ID]],TableauProduit[ID],TableauProduit[Total (kg) N5],0,0,1)*TableauRecette[[#This Row],[poids / unite]]</f>
        <v/>
      </c>
      <c r="Q405" s="864">
        <f>_xlfn.XLOOKUP(TableauRecette[[#This Row],[ID]],TableauProduit[ID],TableauProduit[Total (kg) N6],0,0,1)*TableauRecette[[#This Row],[poids / unite]]</f>
        <v/>
      </c>
      <c r="R405" s="864">
        <f>_xlfn.XLOOKUP(TableauRecette[[#This Row],[ID]],TableauProduit[ID],TableauProduit[Total (kg) N7],0,0,1)*TableauRecette[[#This Row],[poids / unite]]</f>
        <v/>
      </c>
      <c r="S405" s="864">
        <f>_xlfn.XLOOKUP(TableauRecette[[#This Row],[ID]],TableauProduit[ID],TableauProduit[Total (kg) N8],0,0,1)*TableauRecette[[#This Row],[poids / unite]]</f>
        <v/>
      </c>
      <c r="T405" s="864">
        <f>_xlfn.XLOOKUP(TableauRecette[[#This Row],[ID]],TableauProduit[ID],TableauProduit[Total (kg) N9],0,0,1)*TableauRecette[[#This Row],[poids / unite]]</f>
        <v/>
      </c>
    </row>
    <row r="406">
      <c r="A406" s="657" t="inlineStr">
        <is>
          <t>Tabasco violet fort</t>
        </is>
      </c>
      <c r="B406" s="105">
        <f>TableauRecette[[#This Row],[Recette]]&amp;TableauRecette[[#This Row],[Conditionnement]]</f>
        <v/>
      </c>
      <c r="C406" s="447" t="inlineStr">
        <is>
          <t>Piment Violet Fort - Purple Delight</t>
        </is>
      </c>
      <c r="D406" s="228" t="n">
        <v>10</v>
      </c>
      <c r="E406" s="105" t="inlineStr">
        <is>
          <t>Epice 100ml</t>
        </is>
      </c>
      <c r="F406" s="22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06" s="228">
        <f>IFERROR(_xlfn.XLOOKUP(TableauRecette[[#This Row],[Ingredients]],TableauIngredients[Ingredients],TableauIngredients[Prix d''achat (kg)],0)*TableauRecette[[#This Row],[poids / unite]],0)</f>
        <v/>
      </c>
      <c r="H406" s="228">
        <f>IFERROR(SUMIFS(TableauRecette[Proportion],TableauRecette[Recette],TableauRecette[[#This Row],[Recette]],TableauRecette[Conditionnement],TableauRecette[[#This Row],[Conditionnement]]),0)</f>
        <v/>
      </c>
      <c r="I406" s="228">
        <f>IFERROR(TableauRecette[[#This Row],[Prix d''achat / kg]],0)</f>
        <v/>
      </c>
      <c r="J406" s="228" t="n"/>
      <c r="K406" s="862" t="n"/>
      <c r="L406" s="863">
        <f>_xlfn.XLOOKUP(TableauRecette[[#This Row],[ID]],TableauProduit[ID],TableauProduit[Total (kg) N1],0,0,1)*TableauRecette[[#This Row],[poids / unite]]</f>
        <v/>
      </c>
      <c r="M406" s="864">
        <f>_xlfn.XLOOKUP(TableauRecette[[#This Row],[ID]],TableauProduit[ID],TableauProduit[Total (kg) N2],0,0,1)*TableauRecette[[#This Row],[poids / unite]]</f>
        <v/>
      </c>
      <c r="N406" s="864">
        <f>_xlfn.XLOOKUP(TableauRecette[[#This Row],[ID]],TableauProduit[ID],TableauProduit[Total (kg) N3],0,0,1)*TableauRecette[[#This Row],[poids / unite]]</f>
        <v/>
      </c>
      <c r="O406" s="864">
        <f>_xlfn.XLOOKUP(TableauRecette[[#This Row],[ID]],TableauProduit[ID],TableauProduit[Total (kg) N4],0,0,1)*TableauRecette[[#This Row],[poids / unite]]</f>
        <v/>
      </c>
      <c r="P406" s="864">
        <f>_xlfn.XLOOKUP(TableauRecette[[#This Row],[ID]],TableauProduit[ID],TableauProduit[Total (kg) N5],0,0,1)*TableauRecette[[#This Row],[poids / unite]]</f>
        <v/>
      </c>
      <c r="Q406" s="864">
        <f>_xlfn.XLOOKUP(TableauRecette[[#This Row],[ID]],TableauProduit[ID],TableauProduit[Total (kg) N6],0,0,1)*TableauRecette[[#This Row],[poids / unite]]</f>
        <v/>
      </c>
      <c r="R406" s="864">
        <f>_xlfn.XLOOKUP(TableauRecette[[#This Row],[ID]],TableauProduit[ID],TableauProduit[Total (kg) N7],0,0,1)*TableauRecette[[#This Row],[poids / unite]]</f>
        <v/>
      </c>
      <c r="S406" s="864">
        <f>_xlfn.XLOOKUP(TableauRecette[[#This Row],[ID]],TableauProduit[ID],TableauProduit[Total (kg) N8],0,0,1)*TableauRecette[[#This Row],[poids / unite]]</f>
        <v/>
      </c>
      <c r="T406" s="864">
        <f>_xlfn.XLOOKUP(TableauRecette[[#This Row],[ID]],TableauProduit[ID],TableauProduit[Total (kg) N9],0,0,1)*TableauRecette[[#This Row],[poids / unite]]</f>
        <v/>
      </c>
    </row>
    <row r="407">
      <c r="A407" s="657" t="inlineStr">
        <is>
          <t>Tabasco violet fort</t>
        </is>
      </c>
      <c r="B407" s="105">
        <f>TableauRecette[[#This Row],[Recette]]&amp;TableauRecette[[#This Row],[Conditionnement]]</f>
        <v/>
      </c>
      <c r="C407" s="447" t="inlineStr">
        <is>
          <t>Oignon</t>
        </is>
      </c>
      <c r="D407" s="228" t="n">
        <v>10</v>
      </c>
      <c r="E407" s="105" t="inlineStr">
        <is>
          <t>Epice 100ml</t>
        </is>
      </c>
      <c r="F407" s="22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07" s="228">
        <f>IFERROR(_xlfn.XLOOKUP(TableauRecette[[#This Row],[Ingredients]],TableauIngredients[Ingredients],TableauIngredients[Prix d''achat (kg)],0)*TableauRecette[[#This Row],[poids / unite]],0)</f>
        <v/>
      </c>
      <c r="H407" s="228">
        <f>IFERROR(SUMIFS(TableauRecette[Proportion],TableauRecette[Recette],TableauRecette[[#This Row],[Recette]],TableauRecette[Conditionnement],TableauRecette[[#This Row],[Conditionnement]]),0)</f>
        <v/>
      </c>
      <c r="I407" s="228">
        <f>IFERROR(TableauRecette[[#This Row],[Prix d''achat / kg]],0)</f>
        <v/>
      </c>
      <c r="J407" s="228" t="n"/>
      <c r="K407" s="862" t="n"/>
      <c r="L407" s="863">
        <f>_xlfn.XLOOKUP(TableauRecette[[#This Row],[ID]],TableauProduit[ID],TableauProduit[Total (kg) N1],0,0,1)*TableauRecette[[#This Row],[poids / unite]]</f>
        <v/>
      </c>
      <c r="M407" s="864">
        <f>_xlfn.XLOOKUP(TableauRecette[[#This Row],[ID]],TableauProduit[ID],TableauProduit[Total (kg) N2],0,0,1)*TableauRecette[[#This Row],[poids / unite]]</f>
        <v/>
      </c>
      <c r="N407" s="864">
        <f>_xlfn.XLOOKUP(TableauRecette[[#This Row],[ID]],TableauProduit[ID],TableauProduit[Total (kg) N3],0,0,1)*TableauRecette[[#This Row],[poids / unite]]</f>
        <v/>
      </c>
      <c r="O407" s="864">
        <f>_xlfn.XLOOKUP(TableauRecette[[#This Row],[ID]],TableauProduit[ID],TableauProduit[Total (kg) N4],0,0,1)*TableauRecette[[#This Row],[poids / unite]]</f>
        <v/>
      </c>
      <c r="P407" s="864">
        <f>_xlfn.XLOOKUP(TableauRecette[[#This Row],[ID]],TableauProduit[ID],TableauProduit[Total (kg) N5],0,0,1)*TableauRecette[[#This Row],[poids / unite]]</f>
        <v/>
      </c>
      <c r="Q407" s="864">
        <f>_xlfn.XLOOKUP(TableauRecette[[#This Row],[ID]],TableauProduit[ID],TableauProduit[Total (kg) N6],0,0,1)*TableauRecette[[#This Row],[poids / unite]]</f>
        <v/>
      </c>
      <c r="R407" s="864">
        <f>_xlfn.XLOOKUP(TableauRecette[[#This Row],[ID]],TableauProduit[ID],TableauProduit[Total (kg) N7],0,0,1)*TableauRecette[[#This Row],[poids / unite]]</f>
        <v/>
      </c>
      <c r="S407" s="864">
        <f>_xlfn.XLOOKUP(TableauRecette[[#This Row],[ID]],TableauProduit[ID],TableauProduit[Total (kg) N8],0,0,1)*TableauRecette[[#This Row],[poids / unite]]</f>
        <v/>
      </c>
      <c r="T407" s="864">
        <f>_xlfn.XLOOKUP(TableauRecette[[#This Row],[ID]],TableauProduit[ID],TableauProduit[Total (kg) N9],0,0,1)*TableauRecette[[#This Row],[poids / unite]]</f>
        <v/>
      </c>
    </row>
    <row r="408">
      <c r="A408" s="657" t="inlineStr">
        <is>
          <t>Tabasco violet fort</t>
        </is>
      </c>
      <c r="B408" s="105">
        <f>TableauRecette[[#This Row],[Recette]]&amp;TableauRecette[[#This Row],[Conditionnement]]</f>
        <v/>
      </c>
      <c r="C408" s="447" t="inlineStr">
        <is>
          <t>Sel</t>
        </is>
      </c>
      <c r="D408" s="228" t="n">
        <v>10</v>
      </c>
      <c r="E408" s="105" t="inlineStr">
        <is>
          <t>Epice 100ml</t>
        </is>
      </c>
      <c r="F408" s="22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08" s="228">
        <f>IFERROR(_xlfn.XLOOKUP(TableauRecette[[#This Row],[Ingredients]],TableauIngredients[Ingredients],TableauIngredients[Prix d''achat (kg)],0)*TableauRecette[[#This Row],[poids / unite]],0)</f>
        <v/>
      </c>
      <c r="H408" s="228">
        <f>IFERROR(SUMIFS(TableauRecette[Proportion],TableauRecette[Recette],TableauRecette[[#This Row],[Recette]],TableauRecette[Conditionnement],TableauRecette[[#This Row],[Conditionnement]]),0)</f>
        <v/>
      </c>
      <c r="I408" s="228">
        <f>IFERROR(TableauRecette[[#This Row],[Prix d''achat / kg]],0)</f>
        <v/>
      </c>
      <c r="J408" s="228" t="n"/>
      <c r="K408" s="862" t="n"/>
      <c r="L408" s="863">
        <f>_xlfn.XLOOKUP(TableauRecette[[#This Row],[ID]],TableauProduit[ID],TableauProduit[Total (kg) N1],0,0,1)*TableauRecette[[#This Row],[poids / unite]]</f>
        <v/>
      </c>
      <c r="M408" s="864">
        <f>_xlfn.XLOOKUP(TableauRecette[[#This Row],[ID]],TableauProduit[ID],TableauProduit[Total (kg) N2],0,0,1)*TableauRecette[[#This Row],[poids / unite]]</f>
        <v/>
      </c>
      <c r="N408" s="864">
        <f>_xlfn.XLOOKUP(TableauRecette[[#This Row],[ID]],TableauProduit[ID],TableauProduit[Total (kg) N3],0,0,1)*TableauRecette[[#This Row],[poids / unite]]</f>
        <v/>
      </c>
      <c r="O408" s="864">
        <f>_xlfn.XLOOKUP(TableauRecette[[#This Row],[ID]],TableauProduit[ID],TableauProduit[Total (kg) N4],0,0,1)*TableauRecette[[#This Row],[poids / unite]]</f>
        <v/>
      </c>
      <c r="P408" s="864">
        <f>_xlfn.XLOOKUP(TableauRecette[[#This Row],[ID]],TableauProduit[ID],TableauProduit[Total (kg) N5],0,0,1)*TableauRecette[[#This Row],[poids / unite]]</f>
        <v/>
      </c>
      <c r="Q408" s="864">
        <f>_xlfn.XLOOKUP(TableauRecette[[#This Row],[ID]],TableauProduit[ID],TableauProduit[Total (kg) N6],0,0,1)*TableauRecette[[#This Row],[poids / unite]]</f>
        <v/>
      </c>
      <c r="R408" s="864">
        <f>_xlfn.XLOOKUP(TableauRecette[[#This Row],[ID]],TableauProduit[ID],TableauProduit[Total (kg) N7],0,0,1)*TableauRecette[[#This Row],[poids / unite]]</f>
        <v/>
      </c>
      <c r="S408" s="864">
        <f>_xlfn.XLOOKUP(TableauRecette[[#This Row],[ID]],TableauProduit[ID],TableauProduit[Total (kg) N8],0,0,1)*TableauRecette[[#This Row],[poids / unite]]</f>
        <v/>
      </c>
      <c r="T408" s="864">
        <f>_xlfn.XLOOKUP(TableauRecette[[#This Row],[ID]],TableauProduit[ID],TableauProduit[Total (kg) N9],0,0,1)*TableauRecette[[#This Row],[poids / unite]]</f>
        <v/>
      </c>
    </row>
    <row r="409">
      <c r="A409" s="657" t="inlineStr">
        <is>
          <t>Tabasco violet fort</t>
        </is>
      </c>
      <c r="B409" s="105">
        <f>TableauRecette[[#This Row],[Recette]]&amp;TableauRecette[[#This Row],[Conditionnement]]</f>
        <v/>
      </c>
      <c r="C409" s="447" t="inlineStr">
        <is>
          <t>Figue</t>
        </is>
      </c>
      <c r="D409" s="228" t="n">
        <v>10</v>
      </c>
      <c r="E409" s="105" t="inlineStr">
        <is>
          <t>Epice 100ml</t>
        </is>
      </c>
      <c r="F409" s="22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09" s="228">
        <f>IFERROR(_xlfn.XLOOKUP(TableauRecette[[#This Row],[Ingredients]],TableauIngredients[Ingredients],TableauIngredients[Prix d''achat (kg)],0)*TableauRecette[[#This Row],[poids / unite]],0)</f>
        <v/>
      </c>
      <c r="H409" s="228">
        <f>IFERROR(SUMIFS(TableauRecette[Proportion],TableauRecette[Recette],TableauRecette[[#This Row],[Recette]],TableauRecette[Conditionnement],TableauRecette[[#This Row],[Conditionnement]]),0)</f>
        <v/>
      </c>
      <c r="I409" s="228">
        <f>IFERROR(TableauRecette[[#This Row],[Prix d''achat / kg]],0)</f>
        <v/>
      </c>
      <c r="J409" s="228" t="n"/>
      <c r="K409" s="862" t="n"/>
      <c r="L409" s="863">
        <f>_xlfn.XLOOKUP(TableauRecette[[#This Row],[ID]],TableauProduit[ID],TableauProduit[Total (kg) N1],0,0,1)*TableauRecette[[#This Row],[poids / unite]]</f>
        <v/>
      </c>
      <c r="M409" s="864">
        <f>_xlfn.XLOOKUP(TableauRecette[[#This Row],[ID]],TableauProduit[ID],TableauProduit[Total (kg) N2],0,0,1)*TableauRecette[[#This Row],[poids / unite]]</f>
        <v/>
      </c>
      <c r="N409" s="864">
        <f>_xlfn.XLOOKUP(TableauRecette[[#This Row],[ID]],TableauProduit[ID],TableauProduit[Total (kg) N3],0,0,1)*TableauRecette[[#This Row],[poids / unite]]</f>
        <v/>
      </c>
      <c r="O409" s="864">
        <f>_xlfn.XLOOKUP(TableauRecette[[#This Row],[ID]],TableauProduit[ID],TableauProduit[Total (kg) N4],0,0,1)*TableauRecette[[#This Row],[poids / unite]]</f>
        <v/>
      </c>
      <c r="P409" s="864">
        <f>_xlfn.XLOOKUP(TableauRecette[[#This Row],[ID]],TableauProduit[ID],TableauProduit[Total (kg) N5],0,0,1)*TableauRecette[[#This Row],[poids / unite]]</f>
        <v/>
      </c>
      <c r="Q409" s="864">
        <f>_xlfn.XLOOKUP(TableauRecette[[#This Row],[ID]],TableauProduit[ID],TableauProduit[Total (kg) N6],0,0,1)*TableauRecette[[#This Row],[poids / unite]]</f>
        <v/>
      </c>
      <c r="R409" s="864">
        <f>_xlfn.XLOOKUP(TableauRecette[[#This Row],[ID]],TableauProduit[ID],TableauProduit[Total (kg) N7],0,0,1)*TableauRecette[[#This Row],[poids / unite]]</f>
        <v/>
      </c>
      <c r="S409" s="864">
        <f>_xlfn.XLOOKUP(TableauRecette[[#This Row],[ID]],TableauProduit[ID],TableauProduit[Total (kg) N8],0,0,1)*TableauRecette[[#This Row],[poids / unite]]</f>
        <v/>
      </c>
      <c r="T409" s="864">
        <f>_xlfn.XLOOKUP(TableauRecette[[#This Row],[ID]],TableauProduit[ID],TableauProduit[Total (kg) N9],0,0,1)*TableauRecette[[#This Row],[poids / unite]]</f>
        <v/>
      </c>
    </row>
    <row r="410">
      <c r="A410" s="657" t="inlineStr">
        <is>
          <t>Tabasco violet fort</t>
        </is>
      </c>
      <c r="B410" s="105">
        <f>TableauRecette[[#This Row],[Recette]]&amp;TableauRecette[[#This Row],[Conditionnement]]</f>
        <v/>
      </c>
      <c r="C410" s="447" t="inlineStr">
        <is>
          <t>Vinaigre De Cidre</t>
        </is>
      </c>
      <c r="D410" s="228" t="n">
        <v>6</v>
      </c>
      <c r="E410" s="105" t="inlineStr">
        <is>
          <t>Epice 100ml</t>
        </is>
      </c>
      <c r="F410" s="228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10" s="228">
        <f>IFERROR(_xlfn.XLOOKUP(TableauRecette[[#This Row],[Ingredients]],TableauIngredients[Ingredients],TableauIngredients[Prix d''achat (kg)],0)*TableauRecette[[#This Row],[poids / unite]],0)</f>
        <v/>
      </c>
      <c r="H410" s="228">
        <f>IFERROR(SUMIFS(TableauRecette[Proportion],TableauRecette[Recette],TableauRecette[[#This Row],[Recette]],TableauRecette[Conditionnement],TableauRecette[[#This Row],[Conditionnement]]),0)</f>
        <v/>
      </c>
      <c r="I410" s="228">
        <f>IFERROR(TableauRecette[[#This Row],[Prix d''achat / kg]],0)</f>
        <v/>
      </c>
      <c r="J410" s="228" t="n"/>
      <c r="K410" s="862" t="n"/>
      <c r="L410" s="863">
        <f>_xlfn.XLOOKUP(TableauRecette[[#This Row],[ID]],TableauProduit[ID],TableauProduit[Total (kg) N1],0,0,1)*TableauRecette[[#This Row],[poids / unite]]</f>
        <v/>
      </c>
      <c r="M410" s="864">
        <f>_xlfn.XLOOKUP(TableauRecette[[#This Row],[ID]],TableauProduit[ID],TableauProduit[Total (kg) N2],0,0,1)*TableauRecette[[#This Row],[poids / unite]]</f>
        <v/>
      </c>
      <c r="N410" s="864">
        <f>_xlfn.XLOOKUP(TableauRecette[[#This Row],[ID]],TableauProduit[ID],TableauProduit[Total (kg) N3],0,0,1)*TableauRecette[[#This Row],[poids / unite]]</f>
        <v/>
      </c>
      <c r="O410" s="864">
        <f>_xlfn.XLOOKUP(TableauRecette[[#This Row],[ID]],TableauProduit[ID],TableauProduit[Total (kg) N4],0,0,1)*TableauRecette[[#This Row],[poids / unite]]</f>
        <v/>
      </c>
      <c r="P410" s="864">
        <f>_xlfn.XLOOKUP(TableauRecette[[#This Row],[ID]],TableauProduit[ID],TableauProduit[Total (kg) N5],0,0,1)*TableauRecette[[#This Row],[poids / unite]]</f>
        <v/>
      </c>
      <c r="Q410" s="864">
        <f>_xlfn.XLOOKUP(TableauRecette[[#This Row],[ID]],TableauProduit[ID],TableauProduit[Total (kg) N6],0,0,1)*TableauRecette[[#This Row],[poids / unite]]</f>
        <v/>
      </c>
      <c r="R410" s="864">
        <f>_xlfn.XLOOKUP(TableauRecette[[#This Row],[ID]],TableauProduit[ID],TableauProduit[Total (kg) N7],0,0,1)*TableauRecette[[#This Row],[poids / unite]]</f>
        <v/>
      </c>
      <c r="S410" s="864">
        <f>_xlfn.XLOOKUP(TableauRecette[[#This Row],[ID]],TableauProduit[ID],TableauProduit[Total (kg) N8],0,0,1)*TableauRecette[[#This Row],[poids / unite]]</f>
        <v/>
      </c>
      <c r="T410" s="864">
        <f>_xlfn.XLOOKUP(TableauRecette[[#This Row],[ID]],TableauProduit[ID],TableauProduit[Total (kg) N9],0,0,1)*TableauRecette[[#This Row],[poids / unite]]</f>
        <v/>
      </c>
    </row>
    <row r="411">
      <c r="A411" s="545" t="inlineStr">
        <is>
          <t>Tabel ou Tabil tunisien</t>
        </is>
      </c>
      <c r="B411" s="106">
        <f>TableauRecette[[#This Row],[Recette]]&amp;TableauRecette[[#This Row],[Conditionnement]]</f>
        <v/>
      </c>
      <c r="C411" s="448" t="inlineStr">
        <is>
          <t>Coriandre Graine</t>
        </is>
      </c>
      <c r="D411" s="229" t="n">
        <v>20</v>
      </c>
      <c r="E411" s="106" t="inlineStr">
        <is>
          <t>Epice 100ml</t>
        </is>
      </c>
      <c r="F411" s="22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11" s="229">
        <f>IFERROR(_xlfn.XLOOKUP(TableauRecette[[#This Row],[Ingredients]],TableauIngredients[Ingredients],TableauIngredients[Prix d''achat (kg)],0)*TableauRecette[[#This Row],[poids / unite]],0)</f>
        <v/>
      </c>
      <c r="H411" s="229">
        <f>IFERROR(SUMIFS(TableauRecette[Proportion],TableauRecette[Recette],TableauRecette[[#This Row],[Recette]],TableauRecette[Conditionnement],TableauRecette[[#This Row],[Conditionnement]]),0)</f>
        <v/>
      </c>
      <c r="I411" s="229">
        <f>IFERROR(TableauRecette[[#This Row],[Prix d''achat / kg]],0)</f>
        <v/>
      </c>
      <c r="J411" s="229" t="n"/>
      <c r="K411" s="865" t="n"/>
      <c r="L411" s="866">
        <f>_xlfn.XLOOKUP(TableauRecette[[#This Row],[ID]],TableauProduit[ID],TableauProduit[Total (kg) N1],0,0,1)*TableauRecette[[#This Row],[poids / unite]]</f>
        <v/>
      </c>
      <c r="M411" s="867">
        <f>_xlfn.XLOOKUP(TableauRecette[[#This Row],[ID]],TableauProduit[ID],TableauProduit[Total (kg) N2],0,0,1)*TableauRecette[[#This Row],[poids / unite]]</f>
        <v/>
      </c>
      <c r="N411" s="867">
        <f>_xlfn.XLOOKUP(TableauRecette[[#This Row],[ID]],TableauProduit[ID],TableauProduit[Total (kg) N3],0,0,1)*TableauRecette[[#This Row],[poids / unite]]</f>
        <v/>
      </c>
      <c r="O411" s="867">
        <f>_xlfn.XLOOKUP(TableauRecette[[#This Row],[ID]],TableauProduit[ID],TableauProduit[Total (kg) N4],0,0,1)*TableauRecette[[#This Row],[poids / unite]]</f>
        <v/>
      </c>
      <c r="P411" s="867">
        <f>_xlfn.XLOOKUP(TableauRecette[[#This Row],[ID]],TableauProduit[ID],TableauProduit[Total (kg) N5],0,0,1)*TableauRecette[[#This Row],[poids / unite]]</f>
        <v/>
      </c>
      <c r="Q411" s="867">
        <f>_xlfn.XLOOKUP(TableauRecette[[#This Row],[ID]],TableauProduit[ID],TableauProduit[Total (kg) N6],0,0,1)*TableauRecette[[#This Row],[poids / unite]]</f>
        <v/>
      </c>
      <c r="R411" s="867">
        <f>_xlfn.XLOOKUP(TableauRecette[[#This Row],[ID]],TableauProduit[ID],TableauProduit[Total (kg) N7],0,0,1)*TableauRecette[[#This Row],[poids / unite]]</f>
        <v/>
      </c>
      <c r="S411" s="867">
        <f>_xlfn.XLOOKUP(TableauRecette[[#This Row],[ID]],TableauProduit[ID],TableauProduit[Total (kg) N8],0,0,1)*TableauRecette[[#This Row],[poids / unite]]</f>
        <v/>
      </c>
      <c r="T411" s="867">
        <f>_xlfn.XLOOKUP(TableauRecette[[#This Row],[ID]],TableauProduit[ID],TableauProduit[Total (kg) N9],0,0,1)*TableauRecette[[#This Row],[poids / unite]]</f>
        <v/>
      </c>
    </row>
    <row r="412">
      <c r="A412" s="545" t="inlineStr">
        <is>
          <t>Tabel ou Tabil tunisien</t>
        </is>
      </c>
      <c r="B412" s="106">
        <f>TableauRecette[[#This Row],[Recette]]&amp;TableauRecette[[#This Row],[Conditionnement]]</f>
        <v/>
      </c>
      <c r="C412" s="448" t="inlineStr">
        <is>
          <t>Carvi Moule</t>
        </is>
      </c>
      <c r="D412" s="229" t="n">
        <v>5</v>
      </c>
      <c r="E412" s="106" t="inlineStr">
        <is>
          <t>Epice 100ml</t>
        </is>
      </c>
      <c r="F412" s="22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12" s="229">
        <f>IFERROR(_xlfn.XLOOKUP(TableauRecette[[#This Row],[Ingredients]],TableauIngredients[Ingredients],TableauIngredients[Prix d''achat (kg)],0)*TableauRecette[[#This Row],[poids / unite]],0)</f>
        <v/>
      </c>
      <c r="H412" s="229">
        <f>IFERROR(SUMIFS(TableauRecette[Proportion],TableauRecette[Recette],TableauRecette[[#This Row],[Recette]],TableauRecette[Conditionnement],TableauRecette[[#This Row],[Conditionnement]]),0)</f>
        <v/>
      </c>
      <c r="I412" s="229">
        <f>IFERROR(TableauRecette[[#This Row],[Prix d''achat / kg]],0)</f>
        <v/>
      </c>
      <c r="J412" s="229" t="n"/>
      <c r="K412" s="865" t="n"/>
      <c r="L412" s="866">
        <f>_xlfn.XLOOKUP(TableauRecette[[#This Row],[ID]],TableauProduit[ID],TableauProduit[Total (kg) N1],0,0,1)*TableauRecette[[#This Row],[poids / unite]]</f>
        <v/>
      </c>
      <c r="M412" s="867">
        <f>_xlfn.XLOOKUP(TableauRecette[[#This Row],[ID]],TableauProduit[ID],TableauProduit[Total (kg) N2],0,0,1)*TableauRecette[[#This Row],[poids / unite]]</f>
        <v/>
      </c>
      <c r="N412" s="867">
        <f>_xlfn.XLOOKUP(TableauRecette[[#This Row],[ID]],TableauProduit[ID],TableauProduit[Total (kg) N3],0,0,1)*TableauRecette[[#This Row],[poids / unite]]</f>
        <v/>
      </c>
      <c r="O412" s="867">
        <f>_xlfn.XLOOKUP(TableauRecette[[#This Row],[ID]],TableauProduit[ID],TableauProduit[Total (kg) N4],0,0,1)*TableauRecette[[#This Row],[poids / unite]]</f>
        <v/>
      </c>
      <c r="P412" s="867">
        <f>_xlfn.XLOOKUP(TableauRecette[[#This Row],[ID]],TableauProduit[ID],TableauProduit[Total (kg) N5],0,0,1)*TableauRecette[[#This Row],[poids / unite]]</f>
        <v/>
      </c>
      <c r="Q412" s="867">
        <f>_xlfn.XLOOKUP(TableauRecette[[#This Row],[ID]],TableauProduit[ID],TableauProduit[Total (kg) N6],0,0,1)*TableauRecette[[#This Row],[poids / unite]]</f>
        <v/>
      </c>
      <c r="R412" s="867">
        <f>_xlfn.XLOOKUP(TableauRecette[[#This Row],[ID]],TableauProduit[ID],TableauProduit[Total (kg) N7],0,0,1)*TableauRecette[[#This Row],[poids / unite]]</f>
        <v/>
      </c>
      <c r="S412" s="867">
        <f>_xlfn.XLOOKUP(TableauRecette[[#This Row],[ID]],TableauProduit[ID],TableauProduit[Total (kg) N8],0,0,1)*TableauRecette[[#This Row],[poids / unite]]</f>
        <v/>
      </c>
      <c r="T412" s="867">
        <f>_xlfn.XLOOKUP(TableauRecette[[#This Row],[ID]],TableauProduit[ID],TableauProduit[Total (kg) N9],0,0,1)*TableauRecette[[#This Row],[poids / unite]]</f>
        <v/>
      </c>
    </row>
    <row r="413">
      <c r="A413" s="545" t="inlineStr">
        <is>
          <t>Tabel ou Tabil tunisien</t>
        </is>
      </c>
      <c r="B413" s="106">
        <f>TableauRecette[[#This Row],[Recette]]&amp;TableauRecette[[#This Row],[Conditionnement]]</f>
        <v/>
      </c>
      <c r="C413" s="106" t="inlineStr">
        <is>
          <t>Piment Œil D'Oiseau</t>
        </is>
      </c>
      <c r="D413" s="229" t="n">
        <v>1</v>
      </c>
      <c r="E413" s="106" t="inlineStr">
        <is>
          <t>Epice 100ml</t>
        </is>
      </c>
      <c r="F413" s="22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13" s="229">
        <f>IFERROR(_xlfn.XLOOKUP(TableauRecette[[#This Row],[Ingredients]],TableauIngredients[Ingredients],TableauIngredients[Prix d''achat (kg)],0)*TableauRecette[[#This Row],[poids / unite]],0)</f>
        <v/>
      </c>
      <c r="H413" s="229">
        <f>IFERROR(SUMIFS(TableauRecette[Proportion],TableauRecette[Recette],TableauRecette[[#This Row],[Recette]],TableauRecette[Conditionnement],TableauRecette[[#This Row],[Conditionnement]]),0)</f>
        <v/>
      </c>
      <c r="I413" s="229">
        <f>IFERROR(TableauRecette[[#This Row],[Prix d''achat / kg]],0)</f>
        <v/>
      </c>
      <c r="J413" s="229" t="n"/>
      <c r="K413" s="865" t="n"/>
      <c r="L413" s="866">
        <f>_xlfn.XLOOKUP(TableauRecette[[#This Row],[ID]],TableauProduit[ID],TableauProduit[Total (kg) N1],0,0,1)*TableauRecette[[#This Row],[poids / unite]]</f>
        <v/>
      </c>
      <c r="M413" s="867">
        <f>_xlfn.XLOOKUP(TableauRecette[[#This Row],[ID]],TableauProduit[ID],TableauProduit[Total (kg) N2],0,0,1)*TableauRecette[[#This Row],[poids / unite]]</f>
        <v/>
      </c>
      <c r="N413" s="867">
        <f>_xlfn.XLOOKUP(TableauRecette[[#This Row],[ID]],TableauProduit[ID],TableauProduit[Total (kg) N3],0,0,1)*TableauRecette[[#This Row],[poids / unite]]</f>
        <v/>
      </c>
      <c r="O413" s="867">
        <f>_xlfn.XLOOKUP(TableauRecette[[#This Row],[ID]],TableauProduit[ID],TableauProduit[Total (kg) N4],0,0,1)*TableauRecette[[#This Row],[poids / unite]]</f>
        <v/>
      </c>
      <c r="P413" s="867">
        <f>_xlfn.XLOOKUP(TableauRecette[[#This Row],[ID]],TableauProduit[ID],TableauProduit[Total (kg) N5],0,0,1)*TableauRecette[[#This Row],[poids / unite]]</f>
        <v/>
      </c>
      <c r="Q413" s="867">
        <f>_xlfn.XLOOKUP(TableauRecette[[#This Row],[ID]],TableauProduit[ID],TableauProduit[Total (kg) N6],0,0,1)*TableauRecette[[#This Row],[poids / unite]]</f>
        <v/>
      </c>
      <c r="R413" s="867">
        <f>_xlfn.XLOOKUP(TableauRecette[[#This Row],[ID]],TableauProduit[ID],TableauProduit[Total (kg) N7],0,0,1)*TableauRecette[[#This Row],[poids / unite]]</f>
        <v/>
      </c>
      <c r="S413" s="867">
        <f>_xlfn.XLOOKUP(TableauRecette[[#This Row],[ID]],TableauProduit[ID],TableauProduit[Total (kg) N8],0,0,1)*TableauRecette[[#This Row],[poids / unite]]</f>
        <v/>
      </c>
      <c r="T413" s="867">
        <f>_xlfn.XLOOKUP(TableauRecette[[#This Row],[ID]],TableauProduit[ID],TableauProduit[Total (kg) N9],0,0,1)*TableauRecette[[#This Row],[poids / unite]]</f>
        <v/>
      </c>
    </row>
    <row r="414">
      <c r="A414" s="545" t="inlineStr">
        <is>
          <t>Tabel ou Tabil tunisien</t>
        </is>
      </c>
      <c r="B414" s="106">
        <f>TableauRecette[[#This Row],[Recette]]&amp;TableauRecette[[#This Row],[Conditionnement]]</f>
        <v/>
      </c>
      <c r="C414" s="106" t="inlineStr">
        <is>
          <t>Poivre Noir</t>
        </is>
      </c>
      <c r="D414" s="229" t="n">
        <v>0.5</v>
      </c>
      <c r="E414" s="106" t="inlineStr">
        <is>
          <t>Epice 100ml</t>
        </is>
      </c>
      <c r="F414" s="22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14" s="229">
        <f>IFERROR(_xlfn.XLOOKUP(TableauRecette[[#This Row],[Ingredients]],TableauIngredients[Ingredients],TableauIngredients[Prix d''achat (kg)],0)*TableauRecette[[#This Row],[poids / unite]],0)</f>
        <v/>
      </c>
      <c r="H414" s="229">
        <f>IFERROR(SUMIFS(TableauRecette[Proportion],TableauRecette[Recette],TableauRecette[[#This Row],[Recette]],TableauRecette[Conditionnement],TableauRecette[[#This Row],[Conditionnement]]),0)</f>
        <v/>
      </c>
      <c r="I414" s="229">
        <f>IFERROR(TableauRecette[[#This Row],[Prix d''achat / kg]],0)</f>
        <v/>
      </c>
      <c r="J414" s="229" t="n"/>
      <c r="K414" s="865" t="n"/>
      <c r="L414" s="866">
        <f>_xlfn.XLOOKUP(TableauRecette[[#This Row],[ID]],TableauProduit[ID],TableauProduit[Total (kg) N1],0,0,1)*TableauRecette[[#This Row],[poids / unite]]</f>
        <v/>
      </c>
      <c r="M414" s="867">
        <f>_xlfn.XLOOKUP(TableauRecette[[#This Row],[ID]],TableauProduit[ID],TableauProduit[Total (kg) N2],0,0,1)*TableauRecette[[#This Row],[poids / unite]]</f>
        <v/>
      </c>
      <c r="N414" s="867">
        <f>_xlfn.XLOOKUP(TableauRecette[[#This Row],[ID]],TableauProduit[ID],TableauProduit[Total (kg) N3],0,0,1)*TableauRecette[[#This Row],[poids / unite]]</f>
        <v/>
      </c>
      <c r="O414" s="867">
        <f>_xlfn.XLOOKUP(TableauRecette[[#This Row],[ID]],TableauProduit[ID],TableauProduit[Total (kg) N4],0,0,1)*TableauRecette[[#This Row],[poids / unite]]</f>
        <v/>
      </c>
      <c r="P414" s="867">
        <f>_xlfn.XLOOKUP(TableauRecette[[#This Row],[ID]],TableauProduit[ID],TableauProduit[Total (kg) N5],0,0,1)*TableauRecette[[#This Row],[poids / unite]]</f>
        <v/>
      </c>
      <c r="Q414" s="867">
        <f>_xlfn.XLOOKUP(TableauRecette[[#This Row],[ID]],TableauProduit[ID],TableauProduit[Total (kg) N6],0,0,1)*TableauRecette[[#This Row],[poids / unite]]</f>
        <v/>
      </c>
      <c r="R414" s="867">
        <f>_xlfn.XLOOKUP(TableauRecette[[#This Row],[ID]],TableauProduit[ID],TableauProduit[Total (kg) N7],0,0,1)*TableauRecette[[#This Row],[poids / unite]]</f>
        <v/>
      </c>
      <c r="S414" s="867">
        <f>_xlfn.XLOOKUP(TableauRecette[[#This Row],[ID]],TableauProduit[ID],TableauProduit[Total (kg) N8],0,0,1)*TableauRecette[[#This Row],[poids / unite]]</f>
        <v/>
      </c>
      <c r="T414" s="867">
        <f>_xlfn.XLOOKUP(TableauRecette[[#This Row],[ID]],TableauProduit[ID],TableauProduit[Total (kg) N9],0,0,1)*TableauRecette[[#This Row],[poids / unite]]</f>
        <v/>
      </c>
    </row>
    <row r="415">
      <c r="A415" s="545" t="inlineStr">
        <is>
          <t>Tabel ou Tabil tunisien</t>
        </is>
      </c>
      <c r="B415" s="106">
        <f>TableauRecette[[#This Row],[Recette]]&amp;TableauRecette[[#This Row],[Conditionnement]]</f>
        <v/>
      </c>
      <c r="C415" s="106" t="inlineStr">
        <is>
          <t>Feuilles De Laurier</t>
        </is>
      </c>
      <c r="D415" s="229" t="n">
        <v>0.5</v>
      </c>
      <c r="E415" s="106" t="inlineStr">
        <is>
          <t>Epice 100ml</t>
        </is>
      </c>
      <c r="F415" s="22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15" s="229">
        <f>IFERROR(_xlfn.XLOOKUP(TableauRecette[[#This Row],[Ingredients]],TableauIngredients[Ingredients],TableauIngredients[Prix d''achat (kg)],0)*TableauRecette[[#This Row],[poids / unite]],0)</f>
        <v/>
      </c>
      <c r="H415" s="229">
        <f>IFERROR(SUMIFS(TableauRecette[Proportion],TableauRecette[Recette],TableauRecette[[#This Row],[Recette]],TableauRecette[Conditionnement],TableauRecette[[#This Row],[Conditionnement]]),0)</f>
        <v/>
      </c>
      <c r="I415" s="229">
        <f>IFERROR(TableauRecette[[#This Row],[Prix d''achat / kg]],0)</f>
        <v/>
      </c>
      <c r="J415" s="229" t="n"/>
      <c r="K415" s="865" t="n"/>
      <c r="L415" s="866">
        <f>_xlfn.XLOOKUP(TableauRecette[[#This Row],[ID]],TableauProduit[ID],TableauProduit[Total (kg) N1],0,0,1)*TableauRecette[[#This Row],[poids / unite]]</f>
        <v/>
      </c>
      <c r="M415" s="867">
        <f>_xlfn.XLOOKUP(TableauRecette[[#This Row],[ID]],TableauProduit[ID],TableauProduit[Total (kg) N2],0,0,1)*TableauRecette[[#This Row],[poids / unite]]</f>
        <v/>
      </c>
      <c r="N415" s="867">
        <f>_xlfn.XLOOKUP(TableauRecette[[#This Row],[ID]],TableauProduit[ID],TableauProduit[Total (kg) N3],0,0,1)*TableauRecette[[#This Row],[poids / unite]]</f>
        <v/>
      </c>
      <c r="O415" s="867">
        <f>_xlfn.XLOOKUP(TableauRecette[[#This Row],[ID]],TableauProduit[ID],TableauProduit[Total (kg) N4],0,0,1)*TableauRecette[[#This Row],[poids / unite]]</f>
        <v/>
      </c>
      <c r="P415" s="867">
        <f>_xlfn.XLOOKUP(TableauRecette[[#This Row],[ID]],TableauProduit[ID],TableauProduit[Total (kg) N5],0,0,1)*TableauRecette[[#This Row],[poids / unite]]</f>
        <v/>
      </c>
      <c r="Q415" s="867">
        <f>_xlfn.XLOOKUP(TableauRecette[[#This Row],[ID]],TableauProduit[ID],TableauProduit[Total (kg) N6],0,0,1)*TableauRecette[[#This Row],[poids / unite]]</f>
        <v/>
      </c>
      <c r="R415" s="867">
        <f>_xlfn.XLOOKUP(TableauRecette[[#This Row],[ID]],TableauProduit[ID],TableauProduit[Total (kg) N7],0,0,1)*TableauRecette[[#This Row],[poids / unite]]</f>
        <v/>
      </c>
      <c r="S415" s="867">
        <f>_xlfn.XLOOKUP(TableauRecette[[#This Row],[ID]],TableauProduit[ID],TableauProduit[Total (kg) N8],0,0,1)*TableauRecette[[#This Row],[poids / unite]]</f>
        <v/>
      </c>
      <c r="T415" s="867">
        <f>_xlfn.XLOOKUP(TableauRecette[[#This Row],[ID]],TableauProduit[ID],TableauProduit[Total (kg) N9],0,0,1)*TableauRecette[[#This Row],[poids / unite]]</f>
        <v/>
      </c>
    </row>
    <row r="416">
      <c r="A416" s="545" t="inlineStr">
        <is>
          <t>Tabel ou Tabil tunisien</t>
        </is>
      </c>
      <c r="B416" s="106">
        <f>TableauRecette[[#This Row],[Recette]]&amp;TableauRecette[[#This Row],[Conditionnement]]</f>
        <v/>
      </c>
      <c r="C416" s="106" t="inlineStr">
        <is>
          <t>Pétale De Rose</t>
        </is>
      </c>
      <c r="D416" s="229" t="n">
        <v>0.5</v>
      </c>
      <c r="E416" s="106" t="inlineStr">
        <is>
          <t>Epice 100ml</t>
        </is>
      </c>
      <c r="F416" s="22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16" s="229">
        <f>IFERROR(_xlfn.XLOOKUP(TableauRecette[[#This Row],[Ingredients]],TableauIngredients[Ingredients],TableauIngredients[Prix d''achat (kg)],0)*TableauRecette[[#This Row],[poids / unite]],0)</f>
        <v/>
      </c>
      <c r="H416" s="229">
        <f>IFERROR(SUMIFS(TableauRecette[Proportion],TableauRecette[Recette],TableauRecette[[#This Row],[Recette]],TableauRecette[Conditionnement],TableauRecette[[#This Row],[Conditionnement]]),0)</f>
        <v/>
      </c>
      <c r="I416" s="229">
        <f>IFERROR(TableauRecette[[#This Row],[Prix d''achat / kg]],0)</f>
        <v/>
      </c>
      <c r="J416" s="229" t="n"/>
      <c r="K416" s="865" t="n"/>
      <c r="L416" s="866">
        <f>_xlfn.XLOOKUP(TableauRecette[[#This Row],[ID]],TableauProduit[ID],TableauProduit[Total (kg) N1],0,0,1)*TableauRecette[[#This Row],[poids / unite]]</f>
        <v/>
      </c>
      <c r="M416" s="867">
        <f>_xlfn.XLOOKUP(TableauRecette[[#This Row],[ID]],TableauProduit[ID],TableauProduit[Total (kg) N2],0,0,1)*TableauRecette[[#This Row],[poids / unite]]</f>
        <v/>
      </c>
      <c r="N416" s="867">
        <f>_xlfn.XLOOKUP(TableauRecette[[#This Row],[ID]],TableauProduit[ID],TableauProduit[Total (kg) N3],0,0,1)*TableauRecette[[#This Row],[poids / unite]]</f>
        <v/>
      </c>
      <c r="O416" s="867">
        <f>_xlfn.XLOOKUP(TableauRecette[[#This Row],[ID]],TableauProduit[ID],TableauProduit[Total (kg) N4],0,0,1)*TableauRecette[[#This Row],[poids / unite]]</f>
        <v/>
      </c>
      <c r="P416" s="867">
        <f>_xlfn.XLOOKUP(TableauRecette[[#This Row],[ID]],TableauProduit[ID],TableauProduit[Total (kg) N5],0,0,1)*TableauRecette[[#This Row],[poids / unite]]</f>
        <v/>
      </c>
      <c r="Q416" s="867">
        <f>_xlfn.XLOOKUP(TableauRecette[[#This Row],[ID]],TableauProduit[ID],TableauProduit[Total (kg) N6],0,0,1)*TableauRecette[[#This Row],[poids / unite]]</f>
        <v/>
      </c>
      <c r="R416" s="867">
        <f>_xlfn.XLOOKUP(TableauRecette[[#This Row],[ID]],TableauProduit[ID],TableauProduit[Total (kg) N7],0,0,1)*TableauRecette[[#This Row],[poids / unite]]</f>
        <v/>
      </c>
      <c r="S416" s="867">
        <f>_xlfn.XLOOKUP(TableauRecette[[#This Row],[ID]],TableauProduit[ID],TableauProduit[Total (kg) N8],0,0,1)*TableauRecette[[#This Row],[poids / unite]]</f>
        <v/>
      </c>
      <c r="T416" s="867">
        <f>_xlfn.XLOOKUP(TableauRecette[[#This Row],[ID]],TableauProduit[ID],TableauProduit[Total (kg) N9],0,0,1)*TableauRecette[[#This Row],[poids / unite]]</f>
        <v/>
      </c>
    </row>
    <row r="417">
      <c r="A417" s="545" t="inlineStr">
        <is>
          <t>Tabel ou Tabil tunisien</t>
        </is>
      </c>
      <c r="B417" s="106">
        <f>TableauRecette[[#This Row],[Recette]]&amp;TableauRecette[[#This Row],[Conditionnement]]</f>
        <v/>
      </c>
      <c r="C417" s="556" t="inlineStr">
        <is>
          <t>Gingembre Sec</t>
        </is>
      </c>
      <c r="D417" s="229" t="n">
        <v>0.5</v>
      </c>
      <c r="E417" s="106" t="inlineStr">
        <is>
          <t>Epice 100ml</t>
        </is>
      </c>
      <c r="F417" s="22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17" s="229">
        <f>IFERROR(_xlfn.XLOOKUP(TableauRecette[[#This Row],[Ingredients]],TableauIngredients[Ingredients],TableauIngredients[Prix d''achat (kg)],0)*TableauRecette[[#This Row],[poids / unite]],0)</f>
        <v/>
      </c>
      <c r="H417" s="229">
        <f>IFERROR(SUMIFS(TableauRecette[Proportion],TableauRecette[Recette],TableauRecette[[#This Row],[Recette]],TableauRecette[Conditionnement],TableauRecette[[#This Row],[Conditionnement]]),0)</f>
        <v/>
      </c>
      <c r="I417" s="229">
        <f>IFERROR(TableauRecette[[#This Row],[Prix d''achat / kg]],0)</f>
        <v/>
      </c>
      <c r="J417" s="229" t="n"/>
      <c r="K417" s="865" t="n"/>
      <c r="L417" s="866">
        <f>_xlfn.XLOOKUP(TableauRecette[[#This Row],[ID]],TableauProduit[ID],TableauProduit[Total (kg) N1],0,0,1)*TableauRecette[[#This Row],[poids / unite]]</f>
        <v/>
      </c>
      <c r="M417" s="867">
        <f>_xlfn.XLOOKUP(TableauRecette[[#This Row],[ID]],TableauProduit[ID],TableauProduit[Total (kg) N2],0,0,1)*TableauRecette[[#This Row],[poids / unite]]</f>
        <v/>
      </c>
      <c r="N417" s="867">
        <f>_xlfn.XLOOKUP(TableauRecette[[#This Row],[ID]],TableauProduit[ID],TableauProduit[Total (kg) N3],0,0,1)*TableauRecette[[#This Row],[poids / unite]]</f>
        <v/>
      </c>
      <c r="O417" s="867">
        <f>_xlfn.XLOOKUP(TableauRecette[[#This Row],[ID]],TableauProduit[ID],TableauProduit[Total (kg) N4],0,0,1)*TableauRecette[[#This Row],[poids / unite]]</f>
        <v/>
      </c>
      <c r="P417" s="867">
        <f>_xlfn.XLOOKUP(TableauRecette[[#This Row],[ID]],TableauProduit[ID],TableauProduit[Total (kg) N5],0,0,1)*TableauRecette[[#This Row],[poids / unite]]</f>
        <v/>
      </c>
      <c r="Q417" s="867">
        <f>_xlfn.XLOOKUP(TableauRecette[[#This Row],[ID]],TableauProduit[ID],TableauProduit[Total (kg) N6],0,0,1)*TableauRecette[[#This Row],[poids / unite]]</f>
        <v/>
      </c>
      <c r="R417" s="867">
        <f>_xlfn.XLOOKUP(TableauRecette[[#This Row],[ID]],TableauProduit[ID],TableauProduit[Total (kg) N7],0,0,1)*TableauRecette[[#This Row],[poids / unite]]</f>
        <v/>
      </c>
      <c r="S417" s="867">
        <f>_xlfn.XLOOKUP(TableauRecette[[#This Row],[ID]],TableauProduit[ID],TableauProduit[Total (kg) N8],0,0,1)*TableauRecette[[#This Row],[poids / unite]]</f>
        <v/>
      </c>
      <c r="T417" s="867">
        <f>_xlfn.XLOOKUP(TableauRecette[[#This Row],[ID]],TableauProduit[ID],TableauProduit[Total (kg) N9],0,0,1)*TableauRecette[[#This Row],[poids / unite]]</f>
        <v/>
      </c>
    </row>
    <row r="418">
      <c r="A418" s="545" t="inlineStr">
        <is>
          <t>Tabel ou Tabil tunisien</t>
        </is>
      </c>
      <c r="B418" s="106">
        <f>TableauRecette[[#This Row],[Recette]]&amp;TableauRecette[[#This Row],[Conditionnement]]</f>
        <v/>
      </c>
      <c r="C418" s="106" t="inlineStr">
        <is>
          <t>Menthe Verte Séchée</t>
        </is>
      </c>
      <c r="D418" s="229" t="n">
        <v>0.5</v>
      </c>
      <c r="E418" s="106" t="inlineStr">
        <is>
          <t>Epice 100ml</t>
        </is>
      </c>
      <c r="F418" s="22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18" s="229">
        <f>IFERROR(_xlfn.XLOOKUP(TableauRecette[[#This Row],[Ingredients]],TableauIngredients[Ingredients],TableauIngredients[Prix d''achat (kg)],0)*TableauRecette[[#This Row],[poids / unite]],0)</f>
        <v/>
      </c>
      <c r="H418" s="229">
        <f>IFERROR(SUMIFS(TableauRecette[Proportion],TableauRecette[Recette],TableauRecette[[#This Row],[Recette]],TableauRecette[Conditionnement],TableauRecette[[#This Row],[Conditionnement]]),0)</f>
        <v/>
      </c>
      <c r="I418" s="229">
        <f>IFERROR(TableauRecette[[#This Row],[Prix d''achat / kg]],0)</f>
        <v/>
      </c>
      <c r="J418" s="229" t="n"/>
      <c r="K418" s="865" t="n"/>
      <c r="L418" s="866">
        <f>_xlfn.XLOOKUP(TableauRecette[[#This Row],[ID]],TableauProduit[ID],TableauProduit[Total (kg) N1],0,0,1)*TableauRecette[[#This Row],[poids / unite]]</f>
        <v/>
      </c>
      <c r="M418" s="867">
        <f>_xlfn.XLOOKUP(TableauRecette[[#This Row],[ID]],TableauProduit[ID],TableauProduit[Total (kg) N2],0,0,1)*TableauRecette[[#This Row],[poids / unite]]</f>
        <v/>
      </c>
      <c r="N418" s="867">
        <f>_xlfn.XLOOKUP(TableauRecette[[#This Row],[ID]],TableauProduit[ID],TableauProduit[Total (kg) N3],0,0,1)*TableauRecette[[#This Row],[poids / unite]]</f>
        <v/>
      </c>
      <c r="O418" s="867">
        <f>_xlfn.XLOOKUP(TableauRecette[[#This Row],[ID]],TableauProduit[ID],TableauProduit[Total (kg) N4],0,0,1)*TableauRecette[[#This Row],[poids / unite]]</f>
        <v/>
      </c>
      <c r="P418" s="867">
        <f>_xlfn.XLOOKUP(TableauRecette[[#This Row],[ID]],TableauProduit[ID],TableauProduit[Total (kg) N5],0,0,1)*TableauRecette[[#This Row],[poids / unite]]</f>
        <v/>
      </c>
      <c r="Q418" s="867">
        <f>_xlfn.XLOOKUP(TableauRecette[[#This Row],[ID]],TableauProduit[ID],TableauProduit[Total (kg) N6],0,0,1)*TableauRecette[[#This Row],[poids / unite]]</f>
        <v/>
      </c>
      <c r="R418" s="867">
        <f>_xlfn.XLOOKUP(TableauRecette[[#This Row],[ID]],TableauProduit[ID],TableauProduit[Total (kg) N7],0,0,1)*TableauRecette[[#This Row],[poids / unite]]</f>
        <v/>
      </c>
      <c r="S418" s="867">
        <f>_xlfn.XLOOKUP(TableauRecette[[#This Row],[ID]],TableauProduit[ID],TableauProduit[Total (kg) N8],0,0,1)*TableauRecette[[#This Row],[poids / unite]]</f>
        <v/>
      </c>
      <c r="T418" s="867">
        <f>_xlfn.XLOOKUP(TableauRecette[[#This Row],[ID]],TableauProduit[ID],TableauProduit[Total (kg) N9],0,0,1)*TableauRecette[[#This Row],[poids / unite]]</f>
        <v/>
      </c>
    </row>
    <row r="419">
      <c r="A419" s="545" t="inlineStr">
        <is>
          <t>Tabel ou Tabil tunisien</t>
        </is>
      </c>
      <c r="B419" s="106">
        <f>TableauRecette[[#This Row],[Recette]]&amp;TableauRecette[[#This Row],[Conditionnement]]</f>
        <v/>
      </c>
      <c r="C419" s="106" t="inlineStr">
        <is>
          <t>Sel</t>
        </is>
      </c>
      <c r="D419" s="229" t="n">
        <v>2.5</v>
      </c>
      <c r="E419" s="106" t="inlineStr">
        <is>
          <t>Epice 100ml</t>
        </is>
      </c>
      <c r="F419" s="22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19" s="229">
        <f>IFERROR(_xlfn.XLOOKUP(TableauRecette[[#This Row],[Ingredients]],TableauIngredients[Ingredients],TableauIngredients[Prix d''achat (kg)],0)*TableauRecette[[#This Row],[poids / unite]],0)</f>
        <v/>
      </c>
      <c r="H419" s="229">
        <f>IFERROR(SUMIFS(TableauRecette[Proportion],TableauRecette[Recette],TableauRecette[[#This Row],[Recette]],TableauRecette[Conditionnement],TableauRecette[[#This Row],[Conditionnement]]),0)</f>
        <v/>
      </c>
      <c r="I419" s="229">
        <f>IFERROR(TableauRecette[[#This Row],[Prix d''achat / kg]],0)</f>
        <v/>
      </c>
      <c r="J419" s="229" t="n"/>
      <c r="K419" s="865" t="n"/>
      <c r="L419" s="866">
        <f>_xlfn.XLOOKUP(TableauRecette[[#This Row],[ID]],TableauProduit[ID],TableauProduit[Total (kg) N1],0,0,1)*TableauRecette[[#This Row],[poids / unite]]</f>
        <v/>
      </c>
      <c r="M419" s="867">
        <f>_xlfn.XLOOKUP(TableauRecette[[#This Row],[ID]],TableauProduit[ID],TableauProduit[Total (kg) N2],0,0,1)*TableauRecette[[#This Row],[poids / unite]]</f>
        <v/>
      </c>
      <c r="N419" s="867">
        <f>_xlfn.XLOOKUP(TableauRecette[[#This Row],[ID]],TableauProduit[ID],TableauProduit[Total (kg) N3],0,0,1)*TableauRecette[[#This Row],[poids / unite]]</f>
        <v/>
      </c>
      <c r="O419" s="867">
        <f>_xlfn.XLOOKUP(TableauRecette[[#This Row],[ID]],TableauProduit[ID],TableauProduit[Total (kg) N4],0,0,1)*TableauRecette[[#This Row],[poids / unite]]</f>
        <v/>
      </c>
      <c r="P419" s="867">
        <f>_xlfn.XLOOKUP(TableauRecette[[#This Row],[ID]],TableauProduit[ID],TableauProduit[Total (kg) N5],0,0,1)*TableauRecette[[#This Row],[poids / unite]]</f>
        <v/>
      </c>
      <c r="Q419" s="867">
        <f>_xlfn.XLOOKUP(TableauRecette[[#This Row],[ID]],TableauProduit[ID],TableauProduit[Total (kg) N6],0,0,1)*TableauRecette[[#This Row],[poids / unite]]</f>
        <v/>
      </c>
      <c r="R419" s="867">
        <f>_xlfn.XLOOKUP(TableauRecette[[#This Row],[ID]],TableauProduit[ID],TableauProduit[Total (kg) N7],0,0,1)*TableauRecette[[#This Row],[poids / unite]]</f>
        <v/>
      </c>
      <c r="S419" s="867">
        <f>_xlfn.XLOOKUP(TableauRecette[[#This Row],[ID]],TableauProduit[ID],TableauProduit[Total (kg) N8],0,0,1)*TableauRecette[[#This Row],[poids / unite]]</f>
        <v/>
      </c>
      <c r="T419" s="867">
        <f>_xlfn.XLOOKUP(TableauRecette[[#This Row],[ID]],TableauProduit[ID],TableauProduit[Total (kg) N9],0,0,1)*TableauRecette[[#This Row],[poids / unite]]</f>
        <v/>
      </c>
    </row>
    <row r="420">
      <c r="A420" s="545" t="inlineStr">
        <is>
          <t>Tabel ou Tabil tunisien</t>
        </is>
      </c>
      <c r="B420" s="106">
        <f>TableauRecette[[#This Row],[Recette]]&amp;TableauRecette[[#This Row],[Conditionnement]]</f>
        <v/>
      </c>
      <c r="C420" s="106" t="inlineStr">
        <is>
          <t>Safran</t>
        </is>
      </c>
      <c r="D420" s="229" t="n">
        <v>0.1</v>
      </c>
      <c r="E420" s="106" t="inlineStr">
        <is>
          <t>Epice 100ml</t>
        </is>
      </c>
      <c r="F420" s="22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20" s="229">
        <f>IFERROR(_xlfn.XLOOKUP(TableauRecette[[#This Row],[Ingredients]],TableauIngredients[Ingredients],TableauIngredients[Prix d''achat (kg)],0)*TableauRecette[[#This Row],[poids / unite]],0)</f>
        <v/>
      </c>
      <c r="H420" s="229">
        <f>IFERROR(SUMIFS(TableauRecette[Proportion],TableauRecette[Recette],TableauRecette[[#This Row],[Recette]],TableauRecette[Conditionnement],TableauRecette[[#This Row],[Conditionnement]]),0)</f>
        <v/>
      </c>
      <c r="I420" s="229">
        <f>IFERROR(TableauRecette[[#This Row],[Prix d''achat / kg]],0)</f>
        <v/>
      </c>
      <c r="J420" s="229" t="n"/>
      <c r="K420" s="865" t="n"/>
      <c r="L420" s="866">
        <f>_xlfn.XLOOKUP(TableauRecette[[#This Row],[ID]],TableauProduit[ID],TableauProduit[Total (kg) N1],0,0,1)*TableauRecette[[#This Row],[poids / unite]]</f>
        <v/>
      </c>
      <c r="M420" s="867">
        <f>_xlfn.XLOOKUP(TableauRecette[[#This Row],[ID]],TableauProduit[ID],TableauProduit[Total (kg) N2],0,0,1)*TableauRecette[[#This Row],[poids / unite]]</f>
        <v/>
      </c>
      <c r="N420" s="867">
        <f>_xlfn.XLOOKUP(TableauRecette[[#This Row],[ID]],TableauProduit[ID],TableauProduit[Total (kg) N3],0,0,1)*TableauRecette[[#This Row],[poids / unite]]</f>
        <v/>
      </c>
      <c r="O420" s="867">
        <f>_xlfn.XLOOKUP(TableauRecette[[#This Row],[ID]],TableauProduit[ID],TableauProduit[Total (kg) N4],0,0,1)*TableauRecette[[#This Row],[poids / unite]]</f>
        <v/>
      </c>
      <c r="P420" s="867">
        <f>_xlfn.XLOOKUP(TableauRecette[[#This Row],[ID]],TableauProduit[ID],TableauProduit[Total (kg) N5],0,0,1)*TableauRecette[[#This Row],[poids / unite]]</f>
        <v/>
      </c>
      <c r="Q420" s="867">
        <f>_xlfn.XLOOKUP(TableauRecette[[#This Row],[ID]],TableauProduit[ID],TableauProduit[Total (kg) N6],0,0,1)*TableauRecette[[#This Row],[poids / unite]]</f>
        <v/>
      </c>
      <c r="R420" s="867">
        <f>_xlfn.XLOOKUP(TableauRecette[[#This Row],[ID]],TableauProduit[ID],TableauProduit[Total (kg) N7],0,0,1)*TableauRecette[[#This Row],[poids / unite]]</f>
        <v/>
      </c>
      <c r="S420" s="867">
        <f>_xlfn.XLOOKUP(TableauRecette[[#This Row],[ID]],TableauProduit[ID],TableauProduit[Total (kg) N8],0,0,1)*TableauRecette[[#This Row],[poids / unite]]</f>
        <v/>
      </c>
      <c r="T420" s="867">
        <f>_xlfn.XLOOKUP(TableauRecette[[#This Row],[ID]],TableauProduit[ID],TableauProduit[Total (kg) N9],0,0,1)*TableauRecette[[#This Row],[poids / unite]]</f>
        <v/>
      </c>
    </row>
    <row r="421">
      <c r="A421" s="545" t="inlineStr">
        <is>
          <t>Tabel ou Tabil tunisien</t>
        </is>
      </c>
      <c r="B421" s="106">
        <f>TableauRecette[[#This Row],[Recette]]&amp;TableauRecette[[#This Row],[Conditionnement]]</f>
        <v/>
      </c>
      <c r="C421" s="106" t="inlineStr">
        <is>
          <t>Ail Sec</t>
        </is>
      </c>
      <c r="D421" s="229" t="n">
        <v>3</v>
      </c>
      <c r="E421" s="106" t="inlineStr">
        <is>
          <t>Epice 100ml</t>
        </is>
      </c>
      <c r="F421" s="229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21" s="229">
        <f>IFERROR(_xlfn.XLOOKUP(TableauRecette[[#This Row],[Ingredients]],TableauIngredients[Ingredients],TableauIngredients[Prix d''achat (kg)],0)*TableauRecette[[#This Row],[poids / unite]],0)</f>
        <v/>
      </c>
      <c r="H421" s="229">
        <f>IFERROR(SUMIFS(TableauRecette[Proportion],TableauRecette[Recette],TableauRecette[[#This Row],[Recette]],TableauRecette[Conditionnement],TableauRecette[[#This Row],[Conditionnement]]),0)</f>
        <v/>
      </c>
      <c r="I421" s="229">
        <f>IFERROR(TableauRecette[[#This Row],[Prix d''achat / kg]],0)</f>
        <v/>
      </c>
      <c r="J421" s="229" t="n"/>
      <c r="K421" s="865" t="n"/>
      <c r="L421" s="866">
        <f>_xlfn.XLOOKUP(TableauRecette[[#This Row],[ID]],TableauProduit[ID],TableauProduit[Total (kg) N1],0,0,1)*TableauRecette[[#This Row],[poids / unite]]</f>
        <v/>
      </c>
      <c r="M421" s="867">
        <f>_xlfn.XLOOKUP(TableauRecette[[#This Row],[ID]],TableauProduit[ID],TableauProduit[Total (kg) N2],0,0,1)*TableauRecette[[#This Row],[poids / unite]]</f>
        <v/>
      </c>
      <c r="N421" s="867">
        <f>_xlfn.XLOOKUP(TableauRecette[[#This Row],[ID]],TableauProduit[ID],TableauProduit[Total (kg) N3],0,0,1)*TableauRecette[[#This Row],[poids / unite]]</f>
        <v/>
      </c>
      <c r="O421" s="867">
        <f>_xlfn.XLOOKUP(TableauRecette[[#This Row],[ID]],TableauProduit[ID],TableauProduit[Total (kg) N4],0,0,1)*TableauRecette[[#This Row],[poids / unite]]</f>
        <v/>
      </c>
      <c r="P421" s="867">
        <f>_xlfn.XLOOKUP(TableauRecette[[#This Row],[ID]],TableauProduit[ID],TableauProduit[Total (kg) N5],0,0,1)*TableauRecette[[#This Row],[poids / unite]]</f>
        <v/>
      </c>
      <c r="Q421" s="867">
        <f>_xlfn.XLOOKUP(TableauRecette[[#This Row],[ID]],TableauProduit[ID],TableauProduit[Total (kg) N6],0,0,1)*TableauRecette[[#This Row],[poids / unite]]</f>
        <v/>
      </c>
      <c r="R421" s="867">
        <f>_xlfn.XLOOKUP(TableauRecette[[#This Row],[ID]],TableauProduit[ID],TableauProduit[Total (kg) N7],0,0,1)*TableauRecette[[#This Row],[poids / unite]]</f>
        <v/>
      </c>
      <c r="S421" s="867">
        <f>_xlfn.XLOOKUP(TableauRecette[[#This Row],[ID]],TableauProduit[ID],TableauProduit[Total (kg) N8],0,0,1)*TableauRecette[[#This Row],[poids / unite]]</f>
        <v/>
      </c>
      <c r="T421" s="867">
        <f>_xlfn.XLOOKUP(TableauRecette[[#This Row],[ID]],TableauProduit[ID],TableauProduit[Total (kg) N9],0,0,1)*TableauRecette[[#This Row],[poids / unite]]</f>
        <v/>
      </c>
    </row>
    <row r="422">
      <c r="A422" s="543" t="inlineStr">
        <is>
          <t>Taklia</t>
        </is>
      </c>
      <c r="B422" s="78">
        <f>TableauRecette[[#This Row],[Recette]]&amp;TableauRecette[[#This Row],[Conditionnement]]</f>
        <v/>
      </c>
      <c r="C422" s="78" t="inlineStr">
        <is>
          <t>Ail</t>
        </is>
      </c>
      <c r="D422" s="202" t="n">
        <v>21</v>
      </c>
      <c r="E422" s="78" t="inlineStr">
        <is>
          <t>Epice 100ml</t>
        </is>
      </c>
      <c r="F422" s="20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22" s="202">
        <f>IFERROR(_xlfn.XLOOKUP(TableauRecette[[#This Row],[Ingredients]],TableauIngredients[Ingredients],TableauIngredients[Prix d''achat (kg)],0)*TableauRecette[[#This Row],[poids / unite]],0)</f>
        <v/>
      </c>
      <c r="H422" s="202">
        <f>IFERROR(SUMIFS(TableauRecette[Proportion],TableauRecette[Recette],TableauRecette[[#This Row],[Recette]],TableauRecette[Conditionnement],TableauRecette[[#This Row],[Conditionnement]]),0)</f>
        <v/>
      </c>
      <c r="I422" s="202">
        <f>IFERROR(TableauRecette[[#This Row],[Prix d''achat / kg]],0)</f>
        <v/>
      </c>
      <c r="J422" s="202" t="n"/>
      <c r="K422" s="868" t="n"/>
      <c r="L422" s="760">
        <f>_xlfn.XLOOKUP(TableauRecette[[#This Row],[ID]],TableauProduit[ID],TableauProduit[Total (kg) N1],0,0,1)*TableauRecette[[#This Row],[poids / unite]]</f>
        <v/>
      </c>
      <c r="M422" s="761">
        <f>_xlfn.XLOOKUP(TableauRecette[[#This Row],[ID]],TableauProduit[ID],TableauProduit[Total (kg) N2],0,0,1)*TableauRecette[[#This Row],[poids / unite]]</f>
        <v/>
      </c>
      <c r="N422" s="761">
        <f>_xlfn.XLOOKUP(TableauRecette[[#This Row],[ID]],TableauProduit[ID],TableauProduit[Total (kg) N3],0,0,1)*TableauRecette[[#This Row],[poids / unite]]</f>
        <v/>
      </c>
      <c r="O422" s="761">
        <f>_xlfn.XLOOKUP(TableauRecette[[#This Row],[ID]],TableauProduit[ID],TableauProduit[Total (kg) N4],0,0,1)*TableauRecette[[#This Row],[poids / unite]]</f>
        <v/>
      </c>
      <c r="P422" s="761">
        <f>_xlfn.XLOOKUP(TableauRecette[[#This Row],[ID]],TableauProduit[ID],TableauProduit[Total (kg) N5],0,0,1)*TableauRecette[[#This Row],[poids / unite]]</f>
        <v/>
      </c>
      <c r="Q422" s="761">
        <f>_xlfn.XLOOKUP(TableauRecette[[#This Row],[ID]],TableauProduit[ID],TableauProduit[Total (kg) N6],0,0,1)*TableauRecette[[#This Row],[poids / unite]]</f>
        <v/>
      </c>
      <c r="R422" s="761">
        <f>_xlfn.XLOOKUP(TableauRecette[[#This Row],[ID]],TableauProduit[ID],TableauProduit[Total (kg) N7],0,0,1)*TableauRecette[[#This Row],[poids / unite]]</f>
        <v/>
      </c>
      <c r="S422" s="761">
        <f>_xlfn.XLOOKUP(TableauRecette[[#This Row],[ID]],TableauProduit[ID],TableauProduit[Total (kg) N8],0,0,1)*TableauRecette[[#This Row],[poids / unite]]</f>
        <v/>
      </c>
      <c r="T422" s="761">
        <f>_xlfn.XLOOKUP(TableauRecette[[#This Row],[ID]],TableauProduit[ID],TableauProduit[Total (kg) N9],0,0,1)*TableauRecette[[#This Row],[poids / unite]]</f>
        <v/>
      </c>
    </row>
    <row r="423">
      <c r="A423" s="543" t="inlineStr">
        <is>
          <t>Taklia</t>
        </is>
      </c>
      <c r="B423" s="78">
        <f>TableauRecette[[#This Row],[Recette]]&amp;TableauRecette[[#This Row],[Conditionnement]]</f>
        <v/>
      </c>
      <c r="C423" s="78" t="inlineStr">
        <is>
          <t>Huile D'Olive</t>
        </is>
      </c>
      <c r="D423" s="202" t="n">
        <v>16</v>
      </c>
      <c r="E423" s="78" t="inlineStr">
        <is>
          <t>Epice 100ml</t>
        </is>
      </c>
      <c r="F423" s="20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23" s="202">
        <f>IFERROR(_xlfn.XLOOKUP(TableauRecette[[#This Row],[Ingredients]],TableauIngredients[Ingredients],TableauIngredients[Prix d''achat (kg)],0)*TableauRecette[[#This Row],[poids / unite]],0)</f>
        <v/>
      </c>
      <c r="H423" s="202">
        <f>IFERROR(SUMIFS(TableauRecette[Proportion],TableauRecette[Recette],TableauRecette[[#This Row],[Recette]],TableauRecette[Conditionnement],TableauRecette[[#This Row],[Conditionnement]]),0)</f>
        <v/>
      </c>
      <c r="I423" s="202">
        <f>IFERROR(TableauRecette[[#This Row],[Prix d''achat / kg]],0)</f>
        <v/>
      </c>
      <c r="J423" s="202" t="n"/>
      <c r="K423" s="868" t="n"/>
      <c r="L423" s="760">
        <f>_xlfn.XLOOKUP(TableauRecette[[#This Row],[ID]],TableauProduit[ID],TableauProduit[Total (kg) N1],0,0,1)*TableauRecette[[#This Row],[poids / unite]]</f>
        <v/>
      </c>
      <c r="M423" s="761">
        <f>_xlfn.XLOOKUP(TableauRecette[[#This Row],[ID]],TableauProduit[ID],TableauProduit[Total (kg) N2],0,0,1)*TableauRecette[[#This Row],[poids / unite]]</f>
        <v/>
      </c>
      <c r="N423" s="761">
        <f>_xlfn.XLOOKUP(TableauRecette[[#This Row],[ID]],TableauProduit[ID],TableauProduit[Total (kg) N3],0,0,1)*TableauRecette[[#This Row],[poids / unite]]</f>
        <v/>
      </c>
      <c r="O423" s="761">
        <f>_xlfn.XLOOKUP(TableauRecette[[#This Row],[ID]],TableauProduit[ID],TableauProduit[Total (kg) N4],0,0,1)*TableauRecette[[#This Row],[poids / unite]]</f>
        <v/>
      </c>
      <c r="P423" s="761">
        <f>_xlfn.XLOOKUP(TableauRecette[[#This Row],[ID]],TableauProduit[ID],TableauProduit[Total (kg) N5],0,0,1)*TableauRecette[[#This Row],[poids / unite]]</f>
        <v/>
      </c>
      <c r="Q423" s="761">
        <f>_xlfn.XLOOKUP(TableauRecette[[#This Row],[ID]],TableauProduit[ID],TableauProduit[Total (kg) N6],0,0,1)*TableauRecette[[#This Row],[poids / unite]]</f>
        <v/>
      </c>
      <c r="R423" s="761">
        <f>_xlfn.XLOOKUP(TableauRecette[[#This Row],[ID]],TableauProduit[ID],TableauProduit[Total (kg) N7],0,0,1)*TableauRecette[[#This Row],[poids / unite]]</f>
        <v/>
      </c>
      <c r="S423" s="761">
        <f>_xlfn.XLOOKUP(TableauRecette[[#This Row],[ID]],TableauProduit[ID],TableauProduit[Total (kg) N8],0,0,1)*TableauRecette[[#This Row],[poids / unite]]</f>
        <v/>
      </c>
      <c r="T423" s="761">
        <f>_xlfn.XLOOKUP(TableauRecette[[#This Row],[ID]],TableauProduit[ID],TableauProduit[Total (kg) N9],0,0,1)*TableauRecette[[#This Row],[poids / unite]]</f>
        <v/>
      </c>
    </row>
    <row r="424">
      <c r="A424" s="543" t="inlineStr">
        <is>
          <t>Taklia</t>
        </is>
      </c>
      <c r="B424" s="78">
        <f>TableauRecette[[#This Row],[Recette]]&amp;TableauRecette[[#This Row],[Conditionnement]]</f>
        <v/>
      </c>
      <c r="C424" s="78" t="inlineStr">
        <is>
          <t>Coriandre Graine</t>
        </is>
      </c>
      <c r="D424" s="202" t="n">
        <v>2.4</v>
      </c>
      <c r="E424" s="78" t="inlineStr">
        <is>
          <t>Epice 100ml</t>
        </is>
      </c>
      <c r="F424" s="20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24" s="202">
        <f>IFERROR(_xlfn.XLOOKUP(TableauRecette[[#This Row],[Ingredients]],TableauIngredients[Ingredients],TableauIngredients[Prix d''achat (kg)],0)*TableauRecette[[#This Row],[poids / unite]],0)</f>
        <v/>
      </c>
      <c r="H424" s="202">
        <f>IFERROR(SUMIFS(TableauRecette[Proportion],TableauRecette[Recette],TableauRecette[[#This Row],[Recette]],TableauRecette[Conditionnement],TableauRecette[[#This Row],[Conditionnement]]),0)</f>
        <v/>
      </c>
      <c r="I424" s="202">
        <f>IFERROR(TableauRecette[[#This Row],[Prix d''achat / kg]],0)</f>
        <v/>
      </c>
      <c r="J424" s="202" t="n"/>
      <c r="K424" s="868" t="n"/>
      <c r="L424" s="760">
        <f>_xlfn.XLOOKUP(TableauRecette[[#This Row],[ID]],TableauProduit[ID],TableauProduit[Total (kg) N1],0,0,1)*TableauRecette[[#This Row],[poids / unite]]</f>
        <v/>
      </c>
      <c r="M424" s="761">
        <f>_xlfn.XLOOKUP(TableauRecette[[#This Row],[ID]],TableauProduit[ID],TableauProduit[Total (kg) N2],0,0,1)*TableauRecette[[#This Row],[poids / unite]]</f>
        <v/>
      </c>
      <c r="N424" s="761">
        <f>_xlfn.XLOOKUP(TableauRecette[[#This Row],[ID]],TableauProduit[ID],TableauProduit[Total (kg) N3],0,0,1)*TableauRecette[[#This Row],[poids / unite]]</f>
        <v/>
      </c>
      <c r="O424" s="761">
        <f>_xlfn.XLOOKUP(TableauRecette[[#This Row],[ID]],TableauProduit[ID],TableauProduit[Total (kg) N4],0,0,1)*TableauRecette[[#This Row],[poids / unite]]</f>
        <v/>
      </c>
      <c r="P424" s="761">
        <f>_xlfn.XLOOKUP(TableauRecette[[#This Row],[ID]],TableauProduit[ID],TableauProduit[Total (kg) N5],0,0,1)*TableauRecette[[#This Row],[poids / unite]]</f>
        <v/>
      </c>
      <c r="Q424" s="761">
        <f>_xlfn.XLOOKUP(TableauRecette[[#This Row],[ID]],TableauProduit[ID],TableauProduit[Total (kg) N6],0,0,1)*TableauRecette[[#This Row],[poids / unite]]</f>
        <v/>
      </c>
      <c r="R424" s="761">
        <f>_xlfn.XLOOKUP(TableauRecette[[#This Row],[ID]],TableauProduit[ID],TableauProduit[Total (kg) N7],0,0,1)*TableauRecette[[#This Row],[poids / unite]]</f>
        <v/>
      </c>
      <c r="S424" s="761">
        <f>_xlfn.XLOOKUP(TableauRecette[[#This Row],[ID]],TableauProduit[ID],TableauProduit[Total (kg) N8],0,0,1)*TableauRecette[[#This Row],[poids / unite]]</f>
        <v/>
      </c>
      <c r="T424" s="761">
        <f>_xlfn.XLOOKUP(TableauRecette[[#This Row],[ID]],TableauProduit[ID],TableauProduit[Total (kg) N9],0,0,1)*TableauRecette[[#This Row],[poids / unite]]</f>
        <v/>
      </c>
    </row>
    <row r="425">
      <c r="A425" s="543" t="inlineStr">
        <is>
          <t>Taklia</t>
        </is>
      </c>
      <c r="B425" s="78">
        <f>TableauRecette[[#This Row],[Recette]]&amp;TableauRecette[[#This Row],[Conditionnement]]</f>
        <v/>
      </c>
      <c r="C425" s="78" t="inlineStr">
        <is>
          <t>Piment De Cayenne Rouge SEC</t>
        </is>
      </c>
      <c r="D425" s="202" t="n">
        <v>1</v>
      </c>
      <c r="E425" s="78" t="inlineStr">
        <is>
          <t>Epice 100ml</t>
        </is>
      </c>
      <c r="F425" s="20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25" s="202">
        <f>IFERROR(_xlfn.XLOOKUP(TableauRecette[[#This Row],[Ingredients]],TableauIngredients[Ingredients],TableauIngredients[Prix d''achat (kg)],0)*TableauRecette[[#This Row],[poids / unite]],0)</f>
        <v/>
      </c>
      <c r="H425" s="202">
        <f>IFERROR(SUMIFS(TableauRecette[Proportion],TableauRecette[Recette],TableauRecette[[#This Row],[Recette]],TableauRecette[Conditionnement],TableauRecette[[#This Row],[Conditionnement]]),0)</f>
        <v/>
      </c>
      <c r="I425" s="202">
        <f>IFERROR(TableauRecette[[#This Row],[Prix d''achat / kg]],0)</f>
        <v/>
      </c>
      <c r="J425" s="202" t="n"/>
      <c r="K425" s="868" t="n"/>
      <c r="L425" s="760">
        <f>_xlfn.XLOOKUP(TableauRecette[[#This Row],[ID]],TableauProduit[ID],TableauProduit[Total (kg) N1],0,0,1)*TableauRecette[[#This Row],[poids / unite]]</f>
        <v/>
      </c>
      <c r="M425" s="761">
        <f>_xlfn.XLOOKUP(TableauRecette[[#This Row],[ID]],TableauProduit[ID],TableauProduit[Total (kg) N2],0,0,1)*TableauRecette[[#This Row],[poids / unite]]</f>
        <v/>
      </c>
      <c r="N425" s="761">
        <f>_xlfn.XLOOKUP(TableauRecette[[#This Row],[ID]],TableauProduit[ID],TableauProduit[Total (kg) N3],0,0,1)*TableauRecette[[#This Row],[poids / unite]]</f>
        <v/>
      </c>
      <c r="O425" s="761">
        <f>_xlfn.XLOOKUP(TableauRecette[[#This Row],[ID]],TableauProduit[ID],TableauProduit[Total (kg) N4],0,0,1)*TableauRecette[[#This Row],[poids / unite]]</f>
        <v/>
      </c>
      <c r="P425" s="761">
        <f>_xlfn.XLOOKUP(TableauRecette[[#This Row],[ID]],TableauProduit[ID],TableauProduit[Total (kg) N5],0,0,1)*TableauRecette[[#This Row],[poids / unite]]</f>
        <v/>
      </c>
      <c r="Q425" s="761">
        <f>_xlfn.XLOOKUP(TableauRecette[[#This Row],[ID]],TableauProduit[ID],TableauProduit[Total (kg) N6],0,0,1)*TableauRecette[[#This Row],[poids / unite]]</f>
        <v/>
      </c>
      <c r="R425" s="761">
        <f>_xlfn.XLOOKUP(TableauRecette[[#This Row],[ID]],TableauProduit[ID],TableauProduit[Total (kg) N7],0,0,1)*TableauRecette[[#This Row],[poids / unite]]</f>
        <v/>
      </c>
      <c r="S425" s="761">
        <f>_xlfn.XLOOKUP(TableauRecette[[#This Row],[ID]],TableauProduit[ID],TableauProduit[Total (kg) N8],0,0,1)*TableauRecette[[#This Row],[poids / unite]]</f>
        <v/>
      </c>
      <c r="T425" s="761">
        <f>_xlfn.XLOOKUP(TableauRecette[[#This Row],[ID]],TableauProduit[ID],TableauProduit[Total (kg) N9],0,0,1)*TableauRecette[[#This Row],[poids / unite]]</f>
        <v/>
      </c>
    </row>
    <row r="426">
      <c r="A426" s="543" t="inlineStr">
        <is>
          <t>Taklia</t>
        </is>
      </c>
      <c r="B426" s="78">
        <f>TableauRecette[[#This Row],[Recette]]&amp;TableauRecette[[#This Row],[Conditionnement]]</f>
        <v/>
      </c>
      <c r="C426" s="78" t="inlineStr">
        <is>
          <t>Sel</t>
        </is>
      </c>
      <c r="D426" s="202" t="n">
        <v>3.75</v>
      </c>
      <c r="E426" s="78" t="inlineStr">
        <is>
          <t>Epice 100ml</t>
        </is>
      </c>
      <c r="F426" s="20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26" s="202">
        <f>IFERROR(_xlfn.XLOOKUP(TableauRecette[[#This Row],[Ingredients]],TableauIngredients[Ingredients],TableauIngredients[Prix d''achat (kg)],0)*TableauRecette[[#This Row],[poids / unite]],0)</f>
        <v/>
      </c>
      <c r="H426" s="202">
        <f>IFERROR(SUMIFS(TableauRecette[Proportion],TableauRecette[Recette],TableauRecette[[#This Row],[Recette]],TableauRecette[Conditionnement],TableauRecette[[#This Row],[Conditionnement]]),0)</f>
        <v/>
      </c>
      <c r="I426" s="202">
        <f>IFERROR(TableauRecette[[#This Row],[Prix d''achat / kg]],0)</f>
        <v/>
      </c>
      <c r="J426" s="202" t="n"/>
      <c r="K426" s="868" t="n"/>
      <c r="L426" s="760">
        <f>_xlfn.XLOOKUP(TableauRecette[[#This Row],[ID]],TableauProduit[ID],TableauProduit[Total (kg) N1],0,0,1)*TableauRecette[[#This Row],[poids / unite]]</f>
        <v/>
      </c>
      <c r="M426" s="761">
        <f>_xlfn.XLOOKUP(TableauRecette[[#This Row],[ID]],TableauProduit[ID],TableauProduit[Total (kg) N2],0,0,1)*TableauRecette[[#This Row],[poids / unite]]</f>
        <v/>
      </c>
      <c r="N426" s="761">
        <f>_xlfn.XLOOKUP(TableauRecette[[#This Row],[ID]],TableauProduit[ID],TableauProduit[Total (kg) N3],0,0,1)*TableauRecette[[#This Row],[poids / unite]]</f>
        <v/>
      </c>
      <c r="O426" s="761">
        <f>_xlfn.XLOOKUP(TableauRecette[[#This Row],[ID]],TableauProduit[ID],TableauProduit[Total (kg) N4],0,0,1)*TableauRecette[[#This Row],[poids / unite]]</f>
        <v/>
      </c>
      <c r="P426" s="761">
        <f>_xlfn.XLOOKUP(TableauRecette[[#This Row],[ID]],TableauProduit[ID],TableauProduit[Total (kg) N5],0,0,1)*TableauRecette[[#This Row],[poids / unite]]</f>
        <v/>
      </c>
      <c r="Q426" s="761">
        <f>_xlfn.XLOOKUP(TableauRecette[[#This Row],[ID]],TableauProduit[ID],TableauProduit[Total (kg) N6],0,0,1)*TableauRecette[[#This Row],[poids / unite]]</f>
        <v/>
      </c>
      <c r="R426" s="761">
        <f>_xlfn.XLOOKUP(TableauRecette[[#This Row],[ID]],TableauProduit[ID],TableauProduit[Total (kg) N7],0,0,1)*TableauRecette[[#This Row],[poids / unite]]</f>
        <v/>
      </c>
      <c r="S426" s="761">
        <f>_xlfn.XLOOKUP(TableauRecette[[#This Row],[ID]],TableauProduit[ID],TableauProduit[Total (kg) N8],0,0,1)*TableauRecette[[#This Row],[poids / unite]]</f>
        <v/>
      </c>
      <c r="T426" s="761">
        <f>_xlfn.XLOOKUP(TableauRecette[[#This Row],[ID]],TableauProduit[ID],TableauProduit[Total (kg) N9],0,0,1)*TableauRecette[[#This Row],[poids / unite]]</f>
        <v/>
      </c>
    </row>
    <row r="427">
      <c r="A427" s="546" t="inlineStr">
        <is>
          <t>Timur ko chhop</t>
        </is>
      </c>
      <c r="B427" s="107">
        <f>TableauRecette[[#This Row],[Recette]]&amp;TableauRecette[[#This Row],[Conditionnement]]</f>
        <v/>
      </c>
      <c r="C427" s="107" t="inlineStr">
        <is>
          <t>Poivre De Timut</t>
        </is>
      </c>
      <c r="D427" s="230" t="n">
        <v>1</v>
      </c>
      <c r="E427" s="107" t="inlineStr">
        <is>
          <t>Epice 100ml</t>
        </is>
      </c>
      <c r="F427" s="23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27" s="230">
        <f>IFERROR(_xlfn.XLOOKUP(TableauRecette[[#This Row],[Ingredients]],TableauIngredients[Ingredients],TableauIngredients[Prix d''achat (kg)],0)*TableauRecette[[#This Row],[poids / unite]],0)</f>
        <v/>
      </c>
      <c r="H427" s="230">
        <f>IFERROR(SUMIFS(TableauRecette[Proportion],TableauRecette[Recette],TableauRecette[[#This Row],[Recette]],TableauRecette[Conditionnement],TableauRecette[[#This Row],[Conditionnement]]),0)</f>
        <v/>
      </c>
      <c r="I427" s="230">
        <f>IFERROR(TableauRecette[[#This Row],[Prix d''achat / kg]],0)</f>
        <v/>
      </c>
      <c r="J427" s="230" t="n"/>
      <c r="K427" s="869" t="n"/>
      <c r="L427" s="870">
        <f>_xlfn.XLOOKUP(TableauRecette[[#This Row],[ID]],TableauProduit[ID],TableauProduit[Total (kg) N1],0,0,1)*TableauRecette[[#This Row],[poids / unite]]</f>
        <v/>
      </c>
      <c r="M427" s="871">
        <f>_xlfn.XLOOKUP(TableauRecette[[#This Row],[ID]],TableauProduit[ID],TableauProduit[Total (kg) N2],0,0,1)*TableauRecette[[#This Row],[poids / unite]]</f>
        <v/>
      </c>
      <c r="N427" s="871">
        <f>_xlfn.XLOOKUP(TableauRecette[[#This Row],[ID]],TableauProduit[ID],TableauProduit[Total (kg) N3],0,0,1)*TableauRecette[[#This Row],[poids / unite]]</f>
        <v/>
      </c>
      <c r="O427" s="871">
        <f>_xlfn.XLOOKUP(TableauRecette[[#This Row],[ID]],TableauProduit[ID],TableauProduit[Total (kg) N4],0,0,1)*TableauRecette[[#This Row],[poids / unite]]</f>
        <v/>
      </c>
      <c r="P427" s="871">
        <f>_xlfn.XLOOKUP(TableauRecette[[#This Row],[ID]],TableauProduit[ID],TableauProduit[Total (kg) N5],0,0,1)*TableauRecette[[#This Row],[poids / unite]]</f>
        <v/>
      </c>
      <c r="Q427" s="871">
        <f>_xlfn.XLOOKUP(TableauRecette[[#This Row],[ID]],TableauProduit[ID],TableauProduit[Total (kg) N6],0,0,1)*TableauRecette[[#This Row],[poids / unite]]</f>
        <v/>
      </c>
      <c r="R427" s="871">
        <f>_xlfn.XLOOKUP(TableauRecette[[#This Row],[ID]],TableauProduit[ID],TableauProduit[Total (kg) N7],0,0,1)*TableauRecette[[#This Row],[poids / unite]]</f>
        <v/>
      </c>
      <c r="S427" s="871">
        <f>_xlfn.XLOOKUP(TableauRecette[[#This Row],[ID]],TableauProduit[ID],TableauProduit[Total (kg) N8],0,0,1)*TableauRecette[[#This Row],[poids / unite]]</f>
        <v/>
      </c>
      <c r="T427" s="871">
        <f>_xlfn.XLOOKUP(TableauRecette[[#This Row],[ID]],TableauProduit[ID],TableauProduit[Total (kg) N9],0,0,1)*TableauRecette[[#This Row],[poids / unite]]</f>
        <v/>
      </c>
    </row>
    <row r="428">
      <c r="A428" s="546" t="inlineStr">
        <is>
          <t>Timur ko chhop</t>
        </is>
      </c>
      <c r="B428" s="107">
        <f>TableauRecette[[#This Row],[Recette]]&amp;TableauRecette[[#This Row],[Conditionnement]]</f>
        <v/>
      </c>
      <c r="C428" s="107" t="inlineStr">
        <is>
          <t>Poivre De Sichuan</t>
        </is>
      </c>
      <c r="D428" s="230" t="n">
        <v>1</v>
      </c>
      <c r="E428" s="107" t="inlineStr">
        <is>
          <t>Epice 100ml</t>
        </is>
      </c>
      <c r="F428" s="23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28" s="230">
        <f>IFERROR(_xlfn.XLOOKUP(TableauRecette[[#This Row],[Ingredients]],TableauIngredients[Ingredients],TableauIngredients[Prix d''achat (kg)],0)*TableauRecette[[#This Row],[poids / unite]],0)</f>
        <v/>
      </c>
      <c r="H428" s="230">
        <f>IFERROR(SUMIFS(TableauRecette[Proportion],TableauRecette[Recette],TableauRecette[[#This Row],[Recette]],TableauRecette[Conditionnement],TableauRecette[[#This Row],[Conditionnement]]),0)</f>
        <v/>
      </c>
      <c r="I428" s="230">
        <f>IFERROR(TableauRecette[[#This Row],[Prix d''achat / kg]],0)</f>
        <v/>
      </c>
      <c r="J428" s="230" t="n"/>
      <c r="K428" s="869" t="n"/>
      <c r="L428" s="870">
        <f>_xlfn.XLOOKUP(TableauRecette[[#This Row],[ID]],TableauProduit[ID],TableauProduit[Total (kg) N1],0,0,1)*TableauRecette[[#This Row],[poids / unite]]</f>
        <v/>
      </c>
      <c r="M428" s="871">
        <f>_xlfn.XLOOKUP(TableauRecette[[#This Row],[ID]],TableauProduit[ID],TableauProduit[Total (kg) N2],0,0,1)*TableauRecette[[#This Row],[poids / unite]]</f>
        <v/>
      </c>
      <c r="N428" s="871">
        <f>_xlfn.XLOOKUP(TableauRecette[[#This Row],[ID]],TableauProduit[ID],TableauProduit[Total (kg) N3],0,0,1)*TableauRecette[[#This Row],[poids / unite]]</f>
        <v/>
      </c>
      <c r="O428" s="871">
        <f>_xlfn.XLOOKUP(TableauRecette[[#This Row],[ID]],TableauProduit[ID],TableauProduit[Total (kg) N4],0,0,1)*TableauRecette[[#This Row],[poids / unite]]</f>
        <v/>
      </c>
      <c r="P428" s="871">
        <f>_xlfn.XLOOKUP(TableauRecette[[#This Row],[ID]],TableauProduit[ID],TableauProduit[Total (kg) N5],0,0,1)*TableauRecette[[#This Row],[poids / unite]]</f>
        <v/>
      </c>
      <c r="Q428" s="871">
        <f>_xlfn.XLOOKUP(TableauRecette[[#This Row],[ID]],TableauProduit[ID],TableauProduit[Total (kg) N6],0,0,1)*TableauRecette[[#This Row],[poids / unite]]</f>
        <v/>
      </c>
      <c r="R428" s="871">
        <f>_xlfn.XLOOKUP(TableauRecette[[#This Row],[ID]],TableauProduit[ID],TableauProduit[Total (kg) N7],0,0,1)*TableauRecette[[#This Row],[poids / unite]]</f>
        <v/>
      </c>
      <c r="S428" s="871">
        <f>_xlfn.XLOOKUP(TableauRecette[[#This Row],[ID]],TableauProduit[ID],TableauProduit[Total (kg) N8],0,0,1)*TableauRecette[[#This Row],[poids / unite]]</f>
        <v/>
      </c>
      <c r="T428" s="871">
        <f>_xlfn.XLOOKUP(TableauRecette[[#This Row],[ID]],TableauProduit[ID],TableauProduit[Total (kg) N9],0,0,1)*TableauRecette[[#This Row],[poids / unite]]</f>
        <v/>
      </c>
    </row>
    <row r="429">
      <c r="A429" s="546" t="inlineStr">
        <is>
          <t>Timur ko chhop</t>
        </is>
      </c>
      <c r="B429" s="107">
        <f>TableauRecette[[#This Row],[Recette]]&amp;TableauRecette[[#This Row],[Conditionnement]]</f>
        <v/>
      </c>
      <c r="C429" s="449" t="inlineStr">
        <is>
          <t>Piments Rouge Séchés</t>
        </is>
      </c>
      <c r="D429" s="230" t="n">
        <v>4</v>
      </c>
      <c r="E429" s="107" t="inlineStr">
        <is>
          <t>Epice 100ml</t>
        </is>
      </c>
      <c r="F429" s="23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29" s="230">
        <f>IFERROR(_xlfn.XLOOKUP(TableauRecette[[#This Row],[Ingredients]],TableauIngredients[Ingredients],TableauIngredients[Prix d''achat (kg)],0)*TableauRecette[[#This Row],[poids / unite]],0)</f>
        <v/>
      </c>
      <c r="H429" s="230">
        <f>IFERROR(SUMIFS(TableauRecette[Proportion],TableauRecette[Recette],TableauRecette[[#This Row],[Recette]],TableauRecette[Conditionnement],TableauRecette[[#This Row],[Conditionnement]]),0)</f>
        <v/>
      </c>
      <c r="I429" s="230">
        <f>IFERROR(TableauRecette[[#This Row],[Prix d''achat / kg]],0)</f>
        <v/>
      </c>
      <c r="J429" s="230" t="n"/>
      <c r="K429" s="869" t="n"/>
      <c r="L429" s="870">
        <f>_xlfn.XLOOKUP(TableauRecette[[#This Row],[ID]],TableauProduit[ID],TableauProduit[Total (kg) N1],0,0,1)*TableauRecette[[#This Row],[poids / unite]]</f>
        <v/>
      </c>
      <c r="M429" s="871">
        <f>_xlfn.XLOOKUP(TableauRecette[[#This Row],[ID]],TableauProduit[ID],TableauProduit[Total (kg) N2],0,0,1)*TableauRecette[[#This Row],[poids / unite]]</f>
        <v/>
      </c>
      <c r="N429" s="871">
        <f>_xlfn.XLOOKUP(TableauRecette[[#This Row],[ID]],TableauProduit[ID],TableauProduit[Total (kg) N3],0,0,1)*TableauRecette[[#This Row],[poids / unite]]</f>
        <v/>
      </c>
      <c r="O429" s="871">
        <f>_xlfn.XLOOKUP(TableauRecette[[#This Row],[ID]],TableauProduit[ID],TableauProduit[Total (kg) N4],0,0,1)*TableauRecette[[#This Row],[poids / unite]]</f>
        <v/>
      </c>
      <c r="P429" s="871">
        <f>_xlfn.XLOOKUP(TableauRecette[[#This Row],[ID]],TableauProduit[ID],TableauProduit[Total (kg) N5],0,0,1)*TableauRecette[[#This Row],[poids / unite]]</f>
        <v/>
      </c>
      <c r="Q429" s="871">
        <f>_xlfn.XLOOKUP(TableauRecette[[#This Row],[ID]],TableauProduit[ID],TableauProduit[Total (kg) N6],0,0,1)*TableauRecette[[#This Row],[poids / unite]]</f>
        <v/>
      </c>
      <c r="R429" s="871">
        <f>_xlfn.XLOOKUP(TableauRecette[[#This Row],[ID]],TableauProduit[ID],TableauProduit[Total (kg) N7],0,0,1)*TableauRecette[[#This Row],[poids / unite]]</f>
        <v/>
      </c>
      <c r="S429" s="871">
        <f>_xlfn.XLOOKUP(TableauRecette[[#This Row],[ID]],TableauProduit[ID],TableauProduit[Total (kg) N8],0,0,1)*TableauRecette[[#This Row],[poids / unite]]</f>
        <v/>
      </c>
      <c r="T429" s="871">
        <f>_xlfn.XLOOKUP(TableauRecette[[#This Row],[ID]],TableauProduit[ID],TableauProduit[Total (kg) N9],0,0,1)*TableauRecette[[#This Row],[poids / unite]]</f>
        <v/>
      </c>
    </row>
    <row r="430">
      <c r="A430" s="546" t="inlineStr">
        <is>
          <t>Timur ko chhop</t>
        </is>
      </c>
      <c r="B430" s="107">
        <f>TableauRecette[[#This Row],[Recette]]&amp;TableauRecette[[#This Row],[Conditionnement]]</f>
        <v/>
      </c>
      <c r="C430" s="449" t="inlineStr">
        <is>
          <t>Sel</t>
        </is>
      </c>
      <c r="D430" s="230" t="n">
        <v>2</v>
      </c>
      <c r="E430" s="107" t="inlineStr">
        <is>
          <t>Epice 100ml</t>
        </is>
      </c>
      <c r="F430" s="23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30" s="230">
        <f>IFERROR(_xlfn.XLOOKUP(TableauRecette[[#This Row],[Ingredients]],TableauIngredients[Ingredients],TableauIngredients[Prix d''achat (kg)],0)*TableauRecette[[#This Row],[poids / unite]],0)</f>
        <v/>
      </c>
      <c r="H430" s="230">
        <f>IFERROR(SUMIFS(TableauRecette[Proportion],TableauRecette[Recette],TableauRecette[[#This Row],[Recette]],TableauRecette[Conditionnement],TableauRecette[[#This Row],[Conditionnement]]),0)</f>
        <v/>
      </c>
      <c r="I430" s="230">
        <f>IFERROR(TableauRecette[[#This Row],[Prix d''achat / kg]],0)</f>
        <v/>
      </c>
      <c r="J430" s="230" t="n"/>
      <c r="K430" s="869" t="n"/>
      <c r="L430" s="870">
        <f>_xlfn.XLOOKUP(TableauRecette[[#This Row],[ID]],TableauProduit[ID],TableauProduit[Total (kg) N1],0,0,1)*TableauRecette[[#This Row],[poids / unite]]</f>
        <v/>
      </c>
      <c r="M430" s="871">
        <f>_xlfn.XLOOKUP(TableauRecette[[#This Row],[ID]],TableauProduit[ID],TableauProduit[Total (kg) N2],0,0,1)*TableauRecette[[#This Row],[poids / unite]]</f>
        <v/>
      </c>
      <c r="N430" s="871">
        <f>_xlfn.XLOOKUP(TableauRecette[[#This Row],[ID]],TableauProduit[ID],TableauProduit[Total (kg) N3],0,0,1)*TableauRecette[[#This Row],[poids / unite]]</f>
        <v/>
      </c>
      <c r="O430" s="871">
        <f>_xlfn.XLOOKUP(TableauRecette[[#This Row],[ID]],TableauProduit[ID],TableauProduit[Total (kg) N4],0,0,1)*TableauRecette[[#This Row],[poids / unite]]</f>
        <v/>
      </c>
      <c r="P430" s="871">
        <f>_xlfn.XLOOKUP(TableauRecette[[#This Row],[ID]],TableauProduit[ID],TableauProduit[Total (kg) N5],0,0,1)*TableauRecette[[#This Row],[poids / unite]]</f>
        <v/>
      </c>
      <c r="Q430" s="871">
        <f>_xlfn.XLOOKUP(TableauRecette[[#This Row],[ID]],TableauProduit[ID],TableauProduit[Total (kg) N6],0,0,1)*TableauRecette[[#This Row],[poids / unite]]</f>
        <v/>
      </c>
      <c r="R430" s="871">
        <f>_xlfn.XLOOKUP(TableauRecette[[#This Row],[ID]],TableauProduit[ID],TableauProduit[Total (kg) N7],0,0,1)*TableauRecette[[#This Row],[poids / unite]]</f>
        <v/>
      </c>
      <c r="S430" s="871">
        <f>_xlfn.XLOOKUP(TableauRecette[[#This Row],[ID]],TableauProduit[ID],TableauProduit[Total (kg) N8],0,0,1)*TableauRecette[[#This Row],[poids / unite]]</f>
        <v/>
      </c>
      <c r="T430" s="871">
        <f>_xlfn.XLOOKUP(TableauRecette[[#This Row],[ID]],TableauProduit[ID],TableauProduit[Total (kg) N9],0,0,1)*TableauRecette[[#This Row],[poids / unite]]</f>
        <v/>
      </c>
    </row>
    <row r="431">
      <c r="A431" s="528" t="inlineStr">
        <is>
          <t>Vinaigre du soleil</t>
        </is>
      </c>
      <c r="B431" s="529">
        <f>TableauRecette[[#This Row],[Recette]]&amp;TableauRecette[[#This Row],[Conditionnement]]</f>
        <v/>
      </c>
      <c r="C431" s="531" t="inlineStr">
        <is>
          <t>Vinaigre De Cidre</t>
        </is>
      </c>
      <c r="D431" s="530" t="n">
        <v>97</v>
      </c>
      <c r="E431" s="529" t="inlineStr">
        <is>
          <t>Vinaigre 250 ml</t>
        </is>
      </c>
      <c r="F431" s="53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31" s="530">
        <f>IFERROR(_xlfn.XLOOKUP(TableauRecette[[#This Row],[Ingredients]],TableauIngredients[Ingredients],TableauIngredients[Prix d''achat (kg)],0)*TableauRecette[[#This Row],[poids / unite]],0)</f>
        <v/>
      </c>
      <c r="H431" s="530">
        <f>IFERROR(SUMIFS(TableauRecette[Proportion],TableauRecette[Recette],TableauRecette[[#This Row],[Recette]],TableauRecette[Conditionnement],TableauRecette[[#This Row],[Conditionnement]]),0)</f>
        <v/>
      </c>
      <c r="I431" s="530">
        <f>IFERROR(TableauRecette[[#This Row],[Prix d''achat / kg]],0)</f>
        <v/>
      </c>
      <c r="J431" s="530" t="n"/>
      <c r="K431" s="872" t="n"/>
      <c r="L431" s="873">
        <f>_xlfn.XLOOKUP(TableauRecette[[#This Row],[ID]],TableauProduit[ID],TableauProduit[Total (kg) N1],0,0,1)*TableauRecette[[#This Row],[poids / unite]]</f>
        <v/>
      </c>
      <c r="M431" s="874">
        <f>_xlfn.XLOOKUP(TableauRecette[[#This Row],[ID]],TableauProduit[ID],TableauProduit[Total (kg) N2],0,0,1)*TableauRecette[[#This Row],[poids / unite]]</f>
        <v/>
      </c>
      <c r="N431" s="874">
        <f>_xlfn.XLOOKUP(TableauRecette[[#This Row],[ID]],TableauProduit[ID],TableauProduit[Total (kg) N3],0,0,1)*TableauRecette[[#This Row],[poids / unite]]</f>
        <v/>
      </c>
      <c r="O431" s="874">
        <f>_xlfn.XLOOKUP(TableauRecette[[#This Row],[ID]],TableauProduit[ID],TableauProduit[Total (kg) N4],0,0,1)*TableauRecette[[#This Row],[poids / unite]]</f>
        <v/>
      </c>
      <c r="P431" s="874">
        <f>_xlfn.XLOOKUP(TableauRecette[[#This Row],[ID]],TableauProduit[ID],TableauProduit[Total (kg) N5],0,0,1)*TableauRecette[[#This Row],[poids / unite]]</f>
        <v/>
      </c>
      <c r="Q431" s="874">
        <f>_xlfn.XLOOKUP(TableauRecette[[#This Row],[ID]],TableauProduit[ID],TableauProduit[Total (kg) N6],0,0,1)*TableauRecette[[#This Row],[poids / unite]]</f>
        <v/>
      </c>
      <c r="R431" s="874">
        <f>_xlfn.XLOOKUP(TableauRecette[[#This Row],[ID]],TableauProduit[ID],TableauProduit[Total (kg) N7],0,0,1)*TableauRecette[[#This Row],[poids / unite]]</f>
        <v/>
      </c>
      <c r="S431" s="874">
        <f>_xlfn.XLOOKUP(TableauRecette[[#This Row],[ID]],TableauProduit[ID],TableauProduit[Total (kg) N8],0,0,1)*TableauRecette[[#This Row],[poids / unite]]</f>
        <v/>
      </c>
      <c r="T431" s="874">
        <f>_xlfn.XLOOKUP(TableauRecette[[#This Row],[ID]],TableauProduit[ID],TableauProduit[Total (kg) N9],0,0,1)*TableauRecette[[#This Row],[poids / unite]]</f>
        <v/>
      </c>
    </row>
    <row r="432">
      <c r="A432" s="528" t="inlineStr">
        <is>
          <t>Vinaigre du soleil</t>
        </is>
      </c>
      <c r="B432" s="529">
        <f>TableauRecette[[#This Row],[Recette]]&amp;TableauRecette[[#This Row],[Conditionnement]]</f>
        <v/>
      </c>
      <c r="C432" s="529" t="inlineStr">
        <is>
          <t>Fleure Helichrysum SEC</t>
        </is>
      </c>
      <c r="D432" s="530" t="n">
        <v>2</v>
      </c>
      <c r="E432" s="529" t="inlineStr">
        <is>
          <t>Vinaigre 250 ml</t>
        </is>
      </c>
      <c r="F432" s="53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32" s="530">
        <f>IFERROR(_xlfn.XLOOKUP(TableauRecette[[#This Row],[Ingredients]],TableauIngredients[Ingredients],TableauIngredients[Prix d''achat (kg)],0)*TableauRecette[[#This Row],[poids / unite]],0)</f>
        <v/>
      </c>
      <c r="H432" s="530">
        <f>IFERROR(SUMIFS(TableauRecette[Proportion],TableauRecette[Recette],TableauRecette[[#This Row],[Recette]],TableauRecette[Conditionnement],TableauRecette[[#This Row],[Conditionnement]]),0)</f>
        <v/>
      </c>
      <c r="I432" s="530">
        <f>IFERROR(TableauRecette[[#This Row],[Prix d''achat / kg]],0)</f>
        <v/>
      </c>
      <c r="J432" s="530" t="n"/>
      <c r="K432" s="872" t="n"/>
      <c r="L432" s="873">
        <f>_xlfn.XLOOKUP(TableauRecette[[#This Row],[ID]],TableauProduit[ID],TableauProduit[Total (kg) N1],0,0,1)*TableauRecette[[#This Row],[poids / unite]]</f>
        <v/>
      </c>
      <c r="M432" s="874">
        <f>_xlfn.XLOOKUP(TableauRecette[[#This Row],[ID]],TableauProduit[ID],TableauProduit[Total (kg) N2],0,0,1)*TableauRecette[[#This Row],[poids / unite]]</f>
        <v/>
      </c>
      <c r="N432" s="874">
        <f>_xlfn.XLOOKUP(TableauRecette[[#This Row],[ID]],TableauProduit[ID],TableauProduit[Total (kg) N3],0,0,1)*TableauRecette[[#This Row],[poids / unite]]</f>
        <v/>
      </c>
      <c r="O432" s="874">
        <f>_xlfn.XLOOKUP(TableauRecette[[#This Row],[ID]],TableauProduit[ID],TableauProduit[Total (kg) N4],0,0,1)*TableauRecette[[#This Row],[poids / unite]]</f>
        <v/>
      </c>
      <c r="P432" s="874">
        <f>_xlfn.XLOOKUP(TableauRecette[[#This Row],[ID]],TableauProduit[ID],TableauProduit[Total (kg) N5],0,0,1)*TableauRecette[[#This Row],[poids / unite]]</f>
        <v/>
      </c>
      <c r="Q432" s="874">
        <f>_xlfn.XLOOKUP(TableauRecette[[#This Row],[ID]],TableauProduit[ID],TableauProduit[Total (kg) N6],0,0,1)*TableauRecette[[#This Row],[poids / unite]]</f>
        <v/>
      </c>
      <c r="R432" s="874">
        <f>_xlfn.XLOOKUP(TableauRecette[[#This Row],[ID]],TableauProduit[ID],TableauProduit[Total (kg) N7],0,0,1)*TableauRecette[[#This Row],[poids / unite]]</f>
        <v/>
      </c>
      <c r="S432" s="874">
        <f>_xlfn.XLOOKUP(TableauRecette[[#This Row],[ID]],TableauProduit[ID],TableauProduit[Total (kg) N8],0,0,1)*TableauRecette[[#This Row],[poids / unite]]</f>
        <v/>
      </c>
      <c r="T432" s="874">
        <f>_xlfn.XLOOKUP(TableauRecette[[#This Row],[ID]],TableauProduit[ID],TableauProduit[Total (kg) N9],0,0,1)*TableauRecette[[#This Row],[poids / unite]]</f>
        <v/>
      </c>
    </row>
    <row r="433">
      <c r="A433" s="528" t="inlineStr">
        <is>
          <t>Vinaigre du soleil</t>
        </is>
      </c>
      <c r="B433" s="529">
        <f>TableauRecette[[#This Row],[Recette]]&amp;TableauRecette[[#This Row],[Conditionnement]]</f>
        <v/>
      </c>
      <c r="C433" s="529" t="inlineStr">
        <is>
          <t>Origan</t>
        </is>
      </c>
      <c r="D433" s="530" t="n">
        <v>1</v>
      </c>
      <c r="E433" s="529" t="inlineStr">
        <is>
          <t>Vinaigre 250 ml</t>
        </is>
      </c>
      <c r="F433" s="530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33" s="530">
        <f>IFERROR(_xlfn.XLOOKUP(TableauRecette[[#This Row],[Ingredients]],TableauIngredients[Ingredients],TableauIngredients[Prix d''achat (kg)],0)*TableauRecette[[#This Row],[poids / unite]],0)</f>
        <v/>
      </c>
      <c r="H433" s="530">
        <f>IFERROR(SUMIFS(TableauRecette[Proportion],TableauRecette[Recette],TableauRecette[[#This Row],[Recette]],TableauRecette[Conditionnement],TableauRecette[[#This Row],[Conditionnement]]),0)</f>
        <v/>
      </c>
      <c r="I433" s="530">
        <f>IFERROR(TableauRecette[[#This Row],[Prix d''achat / kg]],0)</f>
        <v/>
      </c>
      <c r="J433" s="530" t="n"/>
      <c r="K433" s="872" t="n"/>
      <c r="L433" s="873">
        <f>_xlfn.XLOOKUP(TableauRecette[[#This Row],[ID]],TableauProduit[ID],TableauProduit[Total (kg) N1],0,0,1)*TableauRecette[[#This Row],[poids / unite]]</f>
        <v/>
      </c>
      <c r="M433" s="874">
        <f>_xlfn.XLOOKUP(TableauRecette[[#This Row],[ID]],TableauProduit[ID],TableauProduit[Total (kg) N2],0,0,1)*TableauRecette[[#This Row],[poids / unite]]</f>
        <v/>
      </c>
      <c r="N433" s="874">
        <f>_xlfn.XLOOKUP(TableauRecette[[#This Row],[ID]],TableauProduit[ID],TableauProduit[Total (kg) N3],0,0,1)*TableauRecette[[#This Row],[poids / unite]]</f>
        <v/>
      </c>
      <c r="O433" s="874">
        <f>_xlfn.XLOOKUP(TableauRecette[[#This Row],[ID]],TableauProduit[ID],TableauProduit[Total (kg) N4],0,0,1)*TableauRecette[[#This Row],[poids / unite]]</f>
        <v/>
      </c>
      <c r="P433" s="874">
        <f>_xlfn.XLOOKUP(TableauRecette[[#This Row],[ID]],TableauProduit[ID],TableauProduit[Total (kg) N5],0,0,1)*TableauRecette[[#This Row],[poids / unite]]</f>
        <v/>
      </c>
      <c r="Q433" s="874">
        <f>_xlfn.XLOOKUP(TableauRecette[[#This Row],[ID]],TableauProduit[ID],TableauProduit[Total (kg) N6],0,0,1)*TableauRecette[[#This Row],[poids / unite]]</f>
        <v/>
      </c>
      <c r="R433" s="874">
        <f>_xlfn.XLOOKUP(TableauRecette[[#This Row],[ID]],TableauProduit[ID],TableauProduit[Total (kg) N7],0,0,1)*TableauRecette[[#This Row],[poids / unite]]</f>
        <v/>
      </c>
      <c r="S433" s="874">
        <f>_xlfn.XLOOKUP(TableauRecette[[#This Row],[ID]],TableauProduit[ID],TableauProduit[Total (kg) N8],0,0,1)*TableauRecette[[#This Row],[poids / unite]]</f>
        <v/>
      </c>
      <c r="T433" s="874">
        <f>_xlfn.XLOOKUP(TableauRecette[[#This Row],[ID]],TableauProduit[ID],TableauProduit[Total (kg) N9],0,0,1)*TableauRecette[[#This Row],[poids / unite]]</f>
        <v/>
      </c>
    </row>
    <row r="434">
      <c r="A434" s="525" t="inlineStr">
        <is>
          <t>Vinaigre du sureau</t>
        </is>
      </c>
      <c r="B434" s="526">
        <f>TableauRecette[[#This Row],[Recette]]&amp;TableauRecette[[#This Row],[Conditionnement]]</f>
        <v/>
      </c>
      <c r="C434" s="526" t="inlineStr">
        <is>
          <t>Vinaigre De Cidre</t>
        </is>
      </c>
      <c r="D434" s="527" t="n">
        <v>92</v>
      </c>
      <c r="E434" s="526" t="inlineStr">
        <is>
          <t>Vinaigre 250 ml</t>
        </is>
      </c>
      <c r="F434" s="52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34" s="527">
        <f>IFERROR(_xlfn.XLOOKUP(TableauRecette[[#This Row],[Ingredients]],TableauIngredients[Ingredients],TableauIngredients[Prix d''achat (kg)],0)*TableauRecette[[#This Row],[poids / unite]],0)</f>
        <v/>
      </c>
      <c r="H434" s="527">
        <f>IFERROR(SUMIFS(TableauRecette[Proportion],TableauRecette[Recette],TableauRecette[[#This Row],[Recette]],TableauRecette[Conditionnement],TableauRecette[[#This Row],[Conditionnement]]),0)</f>
        <v/>
      </c>
      <c r="I434" s="527">
        <f>IFERROR(TableauRecette[[#This Row],[Prix d''achat / kg]],0)</f>
        <v/>
      </c>
      <c r="J434" s="527" t="n"/>
      <c r="K434" s="875" t="n"/>
      <c r="L434" s="876">
        <f>_xlfn.XLOOKUP(TableauRecette[[#This Row],[ID]],TableauProduit[ID],TableauProduit[Total (kg) N1],0,0,1)*TableauRecette[[#This Row],[poids / unite]]</f>
        <v/>
      </c>
      <c r="M434" s="877">
        <f>_xlfn.XLOOKUP(TableauRecette[[#This Row],[ID]],TableauProduit[ID],TableauProduit[Total (kg) N2],0,0,1)*TableauRecette[[#This Row],[poids / unite]]</f>
        <v/>
      </c>
      <c r="N434" s="877">
        <f>_xlfn.XLOOKUP(TableauRecette[[#This Row],[ID]],TableauProduit[ID],TableauProduit[Total (kg) N3],0,0,1)*TableauRecette[[#This Row],[poids / unite]]</f>
        <v/>
      </c>
      <c r="O434" s="877">
        <f>_xlfn.XLOOKUP(TableauRecette[[#This Row],[ID]],TableauProduit[ID],TableauProduit[Total (kg) N4],0,0,1)*TableauRecette[[#This Row],[poids / unite]]</f>
        <v/>
      </c>
      <c r="P434" s="877">
        <f>_xlfn.XLOOKUP(TableauRecette[[#This Row],[ID]],TableauProduit[ID],TableauProduit[Total (kg) N5],0,0,1)*TableauRecette[[#This Row],[poids / unite]]</f>
        <v/>
      </c>
      <c r="Q434" s="877">
        <f>_xlfn.XLOOKUP(TableauRecette[[#This Row],[ID]],TableauProduit[ID],TableauProduit[Total (kg) N6],0,0,1)*TableauRecette[[#This Row],[poids / unite]]</f>
        <v/>
      </c>
      <c r="R434" s="877">
        <f>_xlfn.XLOOKUP(TableauRecette[[#This Row],[ID]],TableauProduit[ID],TableauProduit[Total (kg) N7],0,0,1)*TableauRecette[[#This Row],[poids / unite]]</f>
        <v/>
      </c>
      <c r="S434" s="877">
        <f>_xlfn.XLOOKUP(TableauRecette[[#This Row],[ID]],TableauProduit[ID],TableauProduit[Total (kg) N8],0,0,1)*TableauRecette[[#This Row],[poids / unite]]</f>
        <v/>
      </c>
      <c r="T434" s="877">
        <f>_xlfn.XLOOKUP(TableauRecette[[#This Row],[ID]],TableauProduit[ID],TableauProduit[Total (kg) N9],0,0,1)*TableauRecette[[#This Row],[poids / unite]]</f>
        <v/>
      </c>
    </row>
    <row r="435">
      <c r="A435" s="525" t="inlineStr">
        <is>
          <t>Vinaigre du sureau</t>
        </is>
      </c>
      <c r="B435" s="526">
        <f>TableauRecette[[#This Row],[Recette]]&amp;TableauRecette[[#This Row],[Conditionnement]]</f>
        <v/>
      </c>
      <c r="C435" s="526" t="inlineStr">
        <is>
          <t>Sureau SEC</t>
        </is>
      </c>
      <c r="D435" s="527" t="n">
        <v>3</v>
      </c>
      <c r="E435" s="526" t="inlineStr">
        <is>
          <t>Vinaigre 250 ml</t>
        </is>
      </c>
      <c r="F435" s="52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35" s="527">
        <f>IFERROR(_xlfn.XLOOKUP(TableauRecette[[#This Row],[Ingredients]],TableauIngredients[Ingredients],TableauIngredients[Prix d''achat (kg)],0)*TableauRecette[[#This Row],[poids / unite]],0)</f>
        <v/>
      </c>
      <c r="H435" s="527">
        <f>IFERROR(SUMIFS(TableauRecette[Proportion],TableauRecette[Recette],TableauRecette[[#This Row],[Recette]],TableauRecette[Conditionnement],TableauRecette[[#This Row],[Conditionnement]]),0)</f>
        <v/>
      </c>
      <c r="I435" s="527">
        <f>IFERROR(TableauRecette[[#This Row],[Prix d''achat / kg]],0)</f>
        <v/>
      </c>
      <c r="J435" s="527" t="n"/>
      <c r="K435" s="875" t="n"/>
      <c r="L435" s="876">
        <f>_xlfn.XLOOKUP(TableauRecette[[#This Row],[ID]],TableauProduit[ID],TableauProduit[Total (kg) N1],0,0,1)*TableauRecette[[#This Row],[poids / unite]]</f>
        <v/>
      </c>
      <c r="M435" s="877">
        <f>_xlfn.XLOOKUP(TableauRecette[[#This Row],[ID]],TableauProduit[ID],TableauProduit[Total (kg) N2],0,0,1)*TableauRecette[[#This Row],[poids / unite]]</f>
        <v/>
      </c>
      <c r="N435" s="877">
        <f>_xlfn.XLOOKUP(TableauRecette[[#This Row],[ID]],TableauProduit[ID],TableauProduit[Total (kg) N3],0,0,1)*TableauRecette[[#This Row],[poids / unite]]</f>
        <v/>
      </c>
      <c r="O435" s="877">
        <f>_xlfn.XLOOKUP(TableauRecette[[#This Row],[ID]],TableauProduit[ID],TableauProduit[Total (kg) N4],0,0,1)*TableauRecette[[#This Row],[poids / unite]]</f>
        <v/>
      </c>
      <c r="P435" s="877">
        <f>_xlfn.XLOOKUP(TableauRecette[[#This Row],[ID]],TableauProduit[ID],TableauProduit[Total (kg) N5],0,0,1)*TableauRecette[[#This Row],[poids / unite]]</f>
        <v/>
      </c>
      <c r="Q435" s="877">
        <f>_xlfn.XLOOKUP(TableauRecette[[#This Row],[ID]],TableauProduit[ID],TableauProduit[Total (kg) N6],0,0,1)*TableauRecette[[#This Row],[poids / unite]]</f>
        <v/>
      </c>
      <c r="R435" s="877">
        <f>_xlfn.XLOOKUP(TableauRecette[[#This Row],[ID]],TableauProduit[ID],TableauProduit[Total (kg) N7],0,0,1)*TableauRecette[[#This Row],[poids / unite]]</f>
        <v/>
      </c>
      <c r="S435" s="877">
        <f>_xlfn.XLOOKUP(TableauRecette[[#This Row],[ID]],TableauProduit[ID],TableauProduit[Total (kg) N8],0,0,1)*TableauRecette[[#This Row],[poids / unite]]</f>
        <v/>
      </c>
      <c r="T435" s="877">
        <f>_xlfn.XLOOKUP(TableauRecette[[#This Row],[ID]],TableauProduit[ID],TableauProduit[Total (kg) N9],0,0,1)*TableauRecette[[#This Row],[poids / unite]]</f>
        <v/>
      </c>
    </row>
    <row r="436">
      <c r="A436" s="525" t="inlineStr">
        <is>
          <t>Vinaigre du sureau</t>
        </is>
      </c>
      <c r="B436" s="526">
        <f>TableauRecette[[#This Row],[Recette]]&amp;TableauRecette[[#This Row],[Conditionnement]]</f>
        <v/>
      </c>
      <c r="C436" s="526" t="inlineStr">
        <is>
          <t xml:space="preserve">Sucre Blanc </t>
        </is>
      </c>
      <c r="D436" s="527" t="n">
        <v>5</v>
      </c>
      <c r="E436" s="526" t="inlineStr">
        <is>
          <t>Vinaigre 250 ml</t>
        </is>
      </c>
      <c r="F436" s="527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36" s="527">
        <f>IFERROR(_xlfn.XLOOKUP(TableauRecette[[#This Row],[Ingredients]],TableauIngredients[Ingredients],TableauIngredients[Prix d''achat (kg)],0)*TableauRecette[[#This Row],[poids / unite]],0)</f>
        <v/>
      </c>
      <c r="H436" s="527">
        <f>IFERROR(SUMIFS(TableauRecette[Proportion],TableauRecette[Recette],TableauRecette[[#This Row],[Recette]],TableauRecette[Conditionnement],TableauRecette[[#This Row],[Conditionnement]]),0)</f>
        <v/>
      </c>
      <c r="I436" s="527">
        <f>IFERROR(TableauRecette[[#This Row],[Prix d''achat / kg]],0)</f>
        <v/>
      </c>
      <c r="J436" s="527" t="n"/>
      <c r="K436" s="875" t="n"/>
      <c r="L436" s="876">
        <f>_xlfn.XLOOKUP(TableauRecette[[#This Row],[ID]],TableauProduit[ID],TableauProduit[Total (kg) N1],0,0,1)*TableauRecette[[#This Row],[poids / unite]]</f>
        <v/>
      </c>
      <c r="M436" s="877">
        <f>_xlfn.XLOOKUP(TableauRecette[[#This Row],[ID]],TableauProduit[ID],TableauProduit[Total (kg) N2],0,0,1)*TableauRecette[[#This Row],[poids / unite]]</f>
        <v/>
      </c>
      <c r="N436" s="877">
        <f>_xlfn.XLOOKUP(TableauRecette[[#This Row],[ID]],TableauProduit[ID],TableauProduit[Total (kg) N3],0,0,1)*TableauRecette[[#This Row],[poids / unite]]</f>
        <v/>
      </c>
      <c r="O436" s="877">
        <f>_xlfn.XLOOKUP(TableauRecette[[#This Row],[ID]],TableauProduit[ID],TableauProduit[Total (kg) N4],0,0,1)*TableauRecette[[#This Row],[poids / unite]]</f>
        <v/>
      </c>
      <c r="P436" s="877">
        <f>_xlfn.XLOOKUP(TableauRecette[[#This Row],[ID]],TableauProduit[ID],TableauProduit[Total (kg) N5],0,0,1)*TableauRecette[[#This Row],[poids / unite]]</f>
        <v/>
      </c>
      <c r="Q436" s="877">
        <f>_xlfn.XLOOKUP(TableauRecette[[#This Row],[ID]],TableauProduit[ID],TableauProduit[Total (kg) N6],0,0,1)*TableauRecette[[#This Row],[poids / unite]]</f>
        <v/>
      </c>
      <c r="R436" s="877">
        <f>_xlfn.XLOOKUP(TableauRecette[[#This Row],[ID]],TableauProduit[ID],TableauProduit[Total (kg) N7],0,0,1)*TableauRecette[[#This Row],[poids / unite]]</f>
        <v/>
      </c>
      <c r="S436" s="877">
        <f>_xlfn.XLOOKUP(TableauRecette[[#This Row],[ID]],TableauProduit[ID],TableauProduit[Total (kg) N8],0,0,1)*TableauRecette[[#This Row],[poids / unite]]</f>
        <v/>
      </c>
      <c r="T436" s="877">
        <f>_xlfn.XLOOKUP(TableauRecette[[#This Row],[ID]],TableauProduit[ID],TableauProduit[Total (kg) N9],0,0,1)*TableauRecette[[#This Row],[poids / unite]]</f>
        <v/>
      </c>
    </row>
    <row r="437">
      <c r="A437" s="547" t="inlineStr">
        <is>
          <t>Vindaloo masala</t>
        </is>
      </c>
      <c r="B437" s="108">
        <f>TableauRecette[[#This Row],[Recette]]&amp;TableauRecette[[#This Row],[Conditionnement]]</f>
        <v/>
      </c>
      <c r="C437" s="108" t="inlineStr">
        <is>
          <t>Cumin Moulu</t>
        </is>
      </c>
      <c r="D437" s="231" t="n">
        <v>5</v>
      </c>
      <c r="E437" s="108" t="inlineStr">
        <is>
          <t>Epice 100ml</t>
        </is>
      </c>
      <c r="F437" s="23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37" s="231">
        <f>IFERROR(_xlfn.XLOOKUP(TableauRecette[[#This Row],[Ingredients]],TableauIngredients[Ingredients],TableauIngredients[Prix d''achat (kg)],0)*TableauRecette[[#This Row],[poids / unite]],0)</f>
        <v/>
      </c>
      <c r="H437" s="231">
        <f>IFERROR(SUMIFS(TableauRecette[Proportion],TableauRecette[Recette],TableauRecette[[#This Row],[Recette]],TableauRecette[Conditionnement],TableauRecette[[#This Row],[Conditionnement]]),0)</f>
        <v/>
      </c>
      <c r="I437" s="231">
        <f>IFERROR(TableauRecette[[#This Row],[Prix d''achat / kg]],0)</f>
        <v/>
      </c>
      <c r="J437" s="231" t="n"/>
      <c r="K437" s="878" t="n"/>
      <c r="L437" s="879">
        <f>_xlfn.XLOOKUP(TableauRecette[[#This Row],[ID]],TableauProduit[ID],TableauProduit[Total (kg) N1],0,0,1)*TableauRecette[[#This Row],[poids / unite]]</f>
        <v/>
      </c>
      <c r="M437" s="880">
        <f>_xlfn.XLOOKUP(TableauRecette[[#This Row],[ID]],TableauProduit[ID],TableauProduit[Total (kg) N2],0,0,1)*TableauRecette[[#This Row],[poids / unite]]</f>
        <v/>
      </c>
      <c r="N437" s="880">
        <f>_xlfn.XLOOKUP(TableauRecette[[#This Row],[ID]],TableauProduit[ID],TableauProduit[Total (kg) N3],0,0,1)*TableauRecette[[#This Row],[poids / unite]]</f>
        <v/>
      </c>
      <c r="O437" s="880">
        <f>_xlfn.XLOOKUP(TableauRecette[[#This Row],[ID]],TableauProduit[ID],TableauProduit[Total (kg) N4],0,0,1)*TableauRecette[[#This Row],[poids / unite]]</f>
        <v/>
      </c>
      <c r="P437" s="880">
        <f>_xlfn.XLOOKUP(TableauRecette[[#This Row],[ID]],TableauProduit[ID],TableauProduit[Total (kg) N5],0,0,1)*TableauRecette[[#This Row],[poids / unite]]</f>
        <v/>
      </c>
      <c r="Q437" s="880">
        <f>_xlfn.XLOOKUP(TableauRecette[[#This Row],[ID]],TableauProduit[ID],TableauProduit[Total (kg) N6],0,0,1)*TableauRecette[[#This Row],[poids / unite]]</f>
        <v/>
      </c>
      <c r="R437" s="880">
        <f>_xlfn.XLOOKUP(TableauRecette[[#This Row],[ID]],TableauProduit[ID],TableauProduit[Total (kg) N7],0,0,1)*TableauRecette[[#This Row],[poids / unite]]</f>
        <v/>
      </c>
      <c r="S437" s="880">
        <f>_xlfn.XLOOKUP(TableauRecette[[#This Row],[ID]],TableauProduit[ID],TableauProduit[Total (kg) N8],0,0,1)*TableauRecette[[#This Row],[poids / unite]]</f>
        <v/>
      </c>
      <c r="T437" s="880">
        <f>_xlfn.XLOOKUP(TableauRecette[[#This Row],[ID]],TableauProduit[ID],TableauProduit[Total (kg) N9],0,0,1)*TableauRecette[[#This Row],[poids / unite]]</f>
        <v/>
      </c>
    </row>
    <row r="438">
      <c r="A438" s="547" t="inlineStr">
        <is>
          <t>Vindaloo masala</t>
        </is>
      </c>
      <c r="B438" s="108">
        <f>TableauRecette[[#This Row],[Recette]]&amp;TableauRecette[[#This Row],[Conditionnement]]</f>
        <v/>
      </c>
      <c r="C438" s="108" t="inlineStr">
        <is>
          <t>Coriandre Feuille</t>
        </is>
      </c>
      <c r="D438" s="231" t="n">
        <v>4</v>
      </c>
      <c r="E438" s="108" t="inlineStr">
        <is>
          <t>Epice 100ml</t>
        </is>
      </c>
      <c r="F438" s="23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38" s="231">
        <f>IFERROR(_xlfn.XLOOKUP(TableauRecette[[#This Row],[Ingredients]],TableauIngredients[Ingredients],TableauIngredients[Prix d''achat (kg)],0)*TableauRecette[[#This Row],[poids / unite]],0)</f>
        <v/>
      </c>
      <c r="H438" s="231">
        <f>IFERROR(SUMIFS(TableauRecette[Proportion],TableauRecette[Recette],TableauRecette[[#This Row],[Recette]],TableauRecette[Conditionnement],TableauRecette[[#This Row],[Conditionnement]]),0)</f>
        <v/>
      </c>
      <c r="I438" s="231">
        <f>IFERROR(TableauRecette[[#This Row],[Prix d''achat / kg]],0)</f>
        <v/>
      </c>
      <c r="J438" s="231" t="n"/>
      <c r="K438" s="878" t="n"/>
      <c r="L438" s="879">
        <f>_xlfn.XLOOKUP(TableauRecette[[#This Row],[ID]],TableauProduit[ID],TableauProduit[Total (kg) N1],0,0,1)*TableauRecette[[#This Row],[poids / unite]]</f>
        <v/>
      </c>
      <c r="M438" s="880">
        <f>_xlfn.XLOOKUP(TableauRecette[[#This Row],[ID]],TableauProduit[ID],TableauProduit[Total (kg) N2],0,0,1)*TableauRecette[[#This Row],[poids / unite]]</f>
        <v/>
      </c>
      <c r="N438" s="880">
        <f>_xlfn.XLOOKUP(TableauRecette[[#This Row],[ID]],TableauProduit[ID],TableauProduit[Total (kg) N3],0,0,1)*TableauRecette[[#This Row],[poids / unite]]</f>
        <v/>
      </c>
      <c r="O438" s="880">
        <f>_xlfn.XLOOKUP(TableauRecette[[#This Row],[ID]],TableauProduit[ID],TableauProduit[Total (kg) N4],0,0,1)*TableauRecette[[#This Row],[poids / unite]]</f>
        <v/>
      </c>
      <c r="P438" s="880">
        <f>_xlfn.XLOOKUP(TableauRecette[[#This Row],[ID]],TableauProduit[ID],TableauProduit[Total (kg) N5],0,0,1)*TableauRecette[[#This Row],[poids / unite]]</f>
        <v/>
      </c>
      <c r="Q438" s="880">
        <f>_xlfn.XLOOKUP(TableauRecette[[#This Row],[ID]],TableauProduit[ID],TableauProduit[Total (kg) N6],0,0,1)*TableauRecette[[#This Row],[poids / unite]]</f>
        <v/>
      </c>
      <c r="R438" s="880">
        <f>_xlfn.XLOOKUP(TableauRecette[[#This Row],[ID]],TableauProduit[ID],TableauProduit[Total (kg) N7],0,0,1)*TableauRecette[[#This Row],[poids / unite]]</f>
        <v/>
      </c>
      <c r="S438" s="880">
        <f>_xlfn.XLOOKUP(TableauRecette[[#This Row],[ID]],TableauProduit[ID],TableauProduit[Total (kg) N8],0,0,1)*TableauRecette[[#This Row],[poids / unite]]</f>
        <v/>
      </c>
      <c r="T438" s="880">
        <f>_xlfn.XLOOKUP(TableauRecette[[#This Row],[ID]],TableauProduit[ID],TableauProduit[Total (kg) N9],0,0,1)*TableauRecette[[#This Row],[poids / unite]]</f>
        <v/>
      </c>
    </row>
    <row r="439">
      <c r="A439" s="547" t="inlineStr">
        <is>
          <t>Vindaloo masala</t>
        </is>
      </c>
      <c r="B439" s="108">
        <f>TableauRecette[[#This Row],[Recette]]&amp;TableauRecette[[#This Row],[Conditionnement]]</f>
        <v/>
      </c>
      <c r="C439" s="108" t="inlineStr">
        <is>
          <t>Curcuma Moulu</t>
        </is>
      </c>
      <c r="D439" s="231" t="n">
        <v>1</v>
      </c>
      <c r="E439" s="108" t="inlineStr">
        <is>
          <t>Epice 100ml</t>
        </is>
      </c>
      <c r="F439" s="23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39" s="231">
        <f>IFERROR(_xlfn.XLOOKUP(TableauRecette[[#This Row],[Ingredients]],TableauIngredients[Ingredients],TableauIngredients[Prix d''achat (kg)],0)*TableauRecette[[#This Row],[poids / unite]],0)</f>
        <v/>
      </c>
      <c r="H439" s="231">
        <f>IFERROR(SUMIFS(TableauRecette[Proportion],TableauRecette[Recette],TableauRecette[[#This Row],[Recette]],TableauRecette[Conditionnement],TableauRecette[[#This Row],[Conditionnement]]),0)</f>
        <v/>
      </c>
      <c r="I439" s="231">
        <f>IFERROR(TableauRecette[[#This Row],[Prix d''achat / kg]],0)</f>
        <v/>
      </c>
      <c r="J439" s="231" t="n"/>
      <c r="K439" s="878" t="n"/>
      <c r="L439" s="879">
        <f>_xlfn.XLOOKUP(TableauRecette[[#This Row],[ID]],TableauProduit[ID],TableauProduit[Total (kg) N1],0,0,1)*TableauRecette[[#This Row],[poids / unite]]</f>
        <v/>
      </c>
      <c r="M439" s="880">
        <f>_xlfn.XLOOKUP(TableauRecette[[#This Row],[ID]],TableauProduit[ID],TableauProduit[Total (kg) N2],0,0,1)*TableauRecette[[#This Row],[poids / unite]]</f>
        <v/>
      </c>
      <c r="N439" s="880">
        <f>_xlfn.XLOOKUP(TableauRecette[[#This Row],[ID]],TableauProduit[ID],TableauProduit[Total (kg) N3],0,0,1)*TableauRecette[[#This Row],[poids / unite]]</f>
        <v/>
      </c>
      <c r="O439" s="880">
        <f>_xlfn.XLOOKUP(TableauRecette[[#This Row],[ID]],TableauProduit[ID],TableauProduit[Total (kg) N4],0,0,1)*TableauRecette[[#This Row],[poids / unite]]</f>
        <v/>
      </c>
      <c r="P439" s="880">
        <f>_xlfn.XLOOKUP(TableauRecette[[#This Row],[ID]],TableauProduit[ID],TableauProduit[Total (kg) N5],0,0,1)*TableauRecette[[#This Row],[poids / unite]]</f>
        <v/>
      </c>
      <c r="Q439" s="880">
        <f>_xlfn.XLOOKUP(TableauRecette[[#This Row],[ID]],TableauProduit[ID],TableauProduit[Total (kg) N6],0,0,1)*TableauRecette[[#This Row],[poids / unite]]</f>
        <v/>
      </c>
      <c r="R439" s="880">
        <f>_xlfn.XLOOKUP(TableauRecette[[#This Row],[ID]],TableauProduit[ID],TableauProduit[Total (kg) N7],0,0,1)*TableauRecette[[#This Row],[poids / unite]]</f>
        <v/>
      </c>
      <c r="S439" s="880">
        <f>_xlfn.XLOOKUP(TableauRecette[[#This Row],[ID]],TableauProduit[ID],TableauProduit[Total (kg) N8],0,0,1)*TableauRecette[[#This Row],[poids / unite]]</f>
        <v/>
      </c>
      <c r="T439" s="880">
        <f>_xlfn.XLOOKUP(TableauRecette[[#This Row],[ID]],TableauProduit[ID],TableauProduit[Total (kg) N9],0,0,1)*TableauRecette[[#This Row],[poids / unite]]</f>
        <v/>
      </c>
    </row>
    <row r="440">
      <c r="A440" s="547" t="inlineStr">
        <is>
          <t>Vindaloo masala</t>
        </is>
      </c>
      <c r="B440" s="108">
        <f>TableauRecette[[#This Row],[Recette]]&amp;TableauRecette[[#This Row],[Conditionnement]]</f>
        <v/>
      </c>
      <c r="C440" s="108" t="inlineStr">
        <is>
          <t>Fenugrec</t>
        </is>
      </c>
      <c r="D440" s="231" t="n">
        <v>1</v>
      </c>
      <c r="E440" s="108" t="inlineStr">
        <is>
          <t>Epice 100ml</t>
        </is>
      </c>
      <c r="F440" s="23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40" s="231">
        <f>IFERROR(_xlfn.XLOOKUP(TableauRecette[[#This Row],[Ingredients]],TableauIngredients[Ingredients],TableauIngredients[Prix d''achat (kg)],0)*TableauRecette[[#This Row],[poids / unite]],0)</f>
        <v/>
      </c>
      <c r="H440" s="231">
        <f>IFERROR(SUMIFS(TableauRecette[Proportion],TableauRecette[Recette],TableauRecette[[#This Row],[Recette]],TableauRecette[Conditionnement],TableauRecette[[#This Row],[Conditionnement]]),0)</f>
        <v/>
      </c>
      <c r="I440" s="231">
        <f>IFERROR(TableauRecette[[#This Row],[Prix d''achat / kg]],0)</f>
        <v/>
      </c>
      <c r="J440" s="231" t="n"/>
      <c r="K440" s="878" t="n"/>
      <c r="L440" s="879">
        <f>_xlfn.XLOOKUP(TableauRecette[[#This Row],[ID]],TableauProduit[ID],TableauProduit[Total (kg) N1],0,0,1)*TableauRecette[[#This Row],[poids / unite]]</f>
        <v/>
      </c>
      <c r="M440" s="880">
        <f>_xlfn.XLOOKUP(TableauRecette[[#This Row],[ID]],TableauProduit[ID],TableauProduit[Total (kg) N2],0,0,1)*TableauRecette[[#This Row],[poids / unite]]</f>
        <v/>
      </c>
      <c r="N440" s="880">
        <f>_xlfn.XLOOKUP(TableauRecette[[#This Row],[ID]],TableauProduit[ID],TableauProduit[Total (kg) N3],0,0,1)*TableauRecette[[#This Row],[poids / unite]]</f>
        <v/>
      </c>
      <c r="O440" s="880">
        <f>_xlfn.XLOOKUP(TableauRecette[[#This Row],[ID]],TableauProduit[ID],TableauProduit[Total (kg) N4],0,0,1)*TableauRecette[[#This Row],[poids / unite]]</f>
        <v/>
      </c>
      <c r="P440" s="880">
        <f>_xlfn.XLOOKUP(TableauRecette[[#This Row],[ID]],TableauProduit[ID],TableauProduit[Total (kg) N5],0,0,1)*TableauRecette[[#This Row],[poids / unite]]</f>
        <v/>
      </c>
      <c r="Q440" s="880">
        <f>_xlfn.XLOOKUP(TableauRecette[[#This Row],[ID]],TableauProduit[ID],TableauProduit[Total (kg) N6],0,0,1)*TableauRecette[[#This Row],[poids / unite]]</f>
        <v/>
      </c>
      <c r="R440" s="880">
        <f>_xlfn.XLOOKUP(TableauRecette[[#This Row],[ID]],TableauProduit[ID],TableauProduit[Total (kg) N7],0,0,1)*TableauRecette[[#This Row],[poids / unite]]</f>
        <v/>
      </c>
      <c r="S440" s="880">
        <f>_xlfn.XLOOKUP(TableauRecette[[#This Row],[ID]],TableauProduit[ID],TableauProduit[Total (kg) N8],0,0,1)*TableauRecette[[#This Row],[poids / unite]]</f>
        <v/>
      </c>
      <c r="T440" s="880">
        <f>_xlfn.XLOOKUP(TableauRecette[[#This Row],[ID]],TableauProduit[ID],TableauProduit[Total (kg) N9],0,0,1)*TableauRecette[[#This Row],[poids / unite]]</f>
        <v/>
      </c>
    </row>
    <row r="441">
      <c r="A441" s="547" t="inlineStr">
        <is>
          <t>Vindaloo masala</t>
        </is>
      </c>
      <c r="B441" s="108">
        <f>TableauRecette[[#This Row],[Recette]]&amp;TableauRecette[[#This Row],[Conditionnement]]</f>
        <v/>
      </c>
      <c r="C441" s="557" t="inlineStr">
        <is>
          <t>Gingembre Sec</t>
        </is>
      </c>
      <c r="D441" s="231" t="n">
        <v>1</v>
      </c>
      <c r="E441" s="108" t="inlineStr">
        <is>
          <t>Epice 100ml</t>
        </is>
      </c>
      <c r="F441" s="23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41" s="231">
        <f>IFERROR(_xlfn.XLOOKUP(TableauRecette[[#This Row],[Ingredients]],TableauIngredients[Ingredients],TableauIngredients[Prix d''achat (kg)],0)*TableauRecette[[#This Row],[poids / unite]],0)</f>
        <v/>
      </c>
      <c r="H441" s="231">
        <f>IFERROR(SUMIFS(TableauRecette[Proportion],TableauRecette[Recette],TableauRecette[[#This Row],[Recette]],TableauRecette[Conditionnement],TableauRecette[[#This Row],[Conditionnement]]),0)</f>
        <v/>
      </c>
      <c r="I441" s="231">
        <f>IFERROR(TableauRecette[[#This Row],[Prix d''achat / kg]],0)</f>
        <v/>
      </c>
      <c r="J441" s="231" t="n"/>
      <c r="K441" s="878" t="n"/>
      <c r="L441" s="879">
        <f>_xlfn.XLOOKUP(TableauRecette[[#This Row],[ID]],TableauProduit[ID],TableauProduit[Total (kg) N1],0,0,1)*TableauRecette[[#This Row],[poids / unite]]</f>
        <v/>
      </c>
      <c r="M441" s="880">
        <f>_xlfn.XLOOKUP(TableauRecette[[#This Row],[ID]],TableauProduit[ID],TableauProduit[Total (kg) N2],0,0,1)*TableauRecette[[#This Row],[poids / unite]]</f>
        <v/>
      </c>
      <c r="N441" s="880">
        <f>_xlfn.XLOOKUP(TableauRecette[[#This Row],[ID]],TableauProduit[ID],TableauProduit[Total (kg) N3],0,0,1)*TableauRecette[[#This Row],[poids / unite]]</f>
        <v/>
      </c>
      <c r="O441" s="880">
        <f>_xlfn.XLOOKUP(TableauRecette[[#This Row],[ID]],TableauProduit[ID],TableauProduit[Total (kg) N4],0,0,1)*TableauRecette[[#This Row],[poids / unite]]</f>
        <v/>
      </c>
      <c r="P441" s="880">
        <f>_xlfn.XLOOKUP(TableauRecette[[#This Row],[ID]],TableauProduit[ID],TableauProduit[Total (kg) N5],0,0,1)*TableauRecette[[#This Row],[poids / unite]]</f>
        <v/>
      </c>
      <c r="Q441" s="880">
        <f>_xlfn.XLOOKUP(TableauRecette[[#This Row],[ID]],TableauProduit[ID],TableauProduit[Total (kg) N6],0,0,1)*TableauRecette[[#This Row],[poids / unite]]</f>
        <v/>
      </c>
      <c r="R441" s="880">
        <f>_xlfn.XLOOKUP(TableauRecette[[#This Row],[ID]],TableauProduit[ID],TableauProduit[Total (kg) N7],0,0,1)*TableauRecette[[#This Row],[poids / unite]]</f>
        <v/>
      </c>
      <c r="S441" s="880">
        <f>_xlfn.XLOOKUP(TableauRecette[[#This Row],[ID]],TableauProduit[ID],TableauProduit[Total (kg) N8],0,0,1)*TableauRecette[[#This Row],[poids / unite]]</f>
        <v/>
      </c>
      <c r="T441" s="880">
        <f>_xlfn.XLOOKUP(TableauRecette[[#This Row],[ID]],TableauProduit[ID],TableauProduit[Total (kg) N9],0,0,1)*TableauRecette[[#This Row],[poids / unite]]</f>
        <v/>
      </c>
    </row>
    <row r="442">
      <c r="A442" s="547" t="inlineStr">
        <is>
          <t>Vindaloo masala</t>
        </is>
      </c>
      <c r="B442" s="108">
        <f>TableauRecette[[#This Row],[Recette]]&amp;TableauRecette[[#This Row],[Conditionnement]]</f>
        <v/>
      </c>
      <c r="C442" s="108" t="inlineStr">
        <is>
          <t>Cannelle Moulue</t>
        </is>
      </c>
      <c r="D442" s="231" t="n">
        <v>0.5</v>
      </c>
      <c r="E442" s="108" t="inlineStr">
        <is>
          <t>Epice 100ml</t>
        </is>
      </c>
      <c r="F442" s="23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42" s="231">
        <f>IFERROR(_xlfn.XLOOKUP(TableauRecette[[#This Row],[Ingredients]],TableauIngredients[Ingredients],TableauIngredients[Prix d''achat (kg)],0)*TableauRecette[[#This Row],[poids / unite]],0)</f>
        <v/>
      </c>
      <c r="H442" s="231">
        <f>IFERROR(SUMIFS(TableauRecette[Proportion],TableauRecette[Recette],TableauRecette[[#This Row],[Recette]],TableauRecette[Conditionnement],TableauRecette[[#This Row],[Conditionnement]]),0)</f>
        <v/>
      </c>
      <c r="I442" s="231">
        <f>IFERROR(TableauRecette[[#This Row],[Prix d''achat / kg]],0)</f>
        <v/>
      </c>
      <c r="J442" s="231" t="n"/>
      <c r="K442" s="878" t="n"/>
      <c r="L442" s="879">
        <f>_xlfn.XLOOKUP(TableauRecette[[#This Row],[ID]],TableauProduit[ID],TableauProduit[Total (kg) N1],0,0,1)*TableauRecette[[#This Row],[poids / unite]]</f>
        <v/>
      </c>
      <c r="M442" s="880">
        <f>_xlfn.XLOOKUP(TableauRecette[[#This Row],[ID]],TableauProduit[ID],TableauProduit[Total (kg) N2],0,0,1)*TableauRecette[[#This Row],[poids / unite]]</f>
        <v/>
      </c>
      <c r="N442" s="880">
        <f>_xlfn.XLOOKUP(TableauRecette[[#This Row],[ID]],TableauProduit[ID],TableauProduit[Total (kg) N3],0,0,1)*TableauRecette[[#This Row],[poids / unite]]</f>
        <v/>
      </c>
      <c r="O442" s="880">
        <f>_xlfn.XLOOKUP(TableauRecette[[#This Row],[ID]],TableauProduit[ID],TableauProduit[Total (kg) N4],0,0,1)*TableauRecette[[#This Row],[poids / unite]]</f>
        <v/>
      </c>
      <c r="P442" s="880">
        <f>_xlfn.XLOOKUP(TableauRecette[[#This Row],[ID]],TableauProduit[ID],TableauProduit[Total (kg) N5],0,0,1)*TableauRecette[[#This Row],[poids / unite]]</f>
        <v/>
      </c>
      <c r="Q442" s="880">
        <f>_xlfn.XLOOKUP(TableauRecette[[#This Row],[ID]],TableauProduit[ID],TableauProduit[Total (kg) N6],0,0,1)*TableauRecette[[#This Row],[poids / unite]]</f>
        <v/>
      </c>
      <c r="R442" s="880">
        <f>_xlfn.XLOOKUP(TableauRecette[[#This Row],[ID]],TableauProduit[ID],TableauProduit[Total (kg) N7],0,0,1)*TableauRecette[[#This Row],[poids / unite]]</f>
        <v/>
      </c>
      <c r="S442" s="880">
        <f>_xlfn.XLOOKUP(TableauRecette[[#This Row],[ID]],TableauProduit[ID],TableauProduit[Total (kg) N8],0,0,1)*TableauRecette[[#This Row],[poids / unite]]</f>
        <v/>
      </c>
      <c r="T442" s="880">
        <f>_xlfn.XLOOKUP(TableauRecette[[#This Row],[ID]],TableauProduit[ID],TableauProduit[Total (kg) N9],0,0,1)*TableauRecette[[#This Row],[poids / unite]]</f>
        <v/>
      </c>
    </row>
    <row r="443">
      <c r="A443" s="547" t="inlineStr">
        <is>
          <t>Vindaloo masala</t>
        </is>
      </c>
      <c r="B443" s="108">
        <f>TableauRecette[[#This Row],[Recette]]&amp;TableauRecette[[#This Row],[Conditionnement]]</f>
        <v/>
      </c>
      <c r="C443" s="108" t="inlineStr">
        <is>
          <t>Clous De Girofle</t>
        </is>
      </c>
      <c r="D443" s="231" t="n">
        <v>0.5</v>
      </c>
      <c r="E443" s="108" t="inlineStr">
        <is>
          <t>Epice 100ml</t>
        </is>
      </c>
      <c r="F443" s="23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43" s="231">
        <f>IFERROR(_xlfn.XLOOKUP(TableauRecette[[#This Row],[Ingredients]],TableauIngredients[Ingredients],TableauIngredients[Prix d''achat (kg)],0)*TableauRecette[[#This Row],[poids / unite]],0)</f>
        <v/>
      </c>
      <c r="H443" s="231">
        <f>IFERROR(SUMIFS(TableauRecette[Proportion],TableauRecette[Recette],TableauRecette[[#This Row],[Recette]],TableauRecette[Conditionnement],TableauRecette[[#This Row],[Conditionnement]]),0)</f>
        <v/>
      </c>
      <c r="I443" s="231">
        <f>IFERROR(TableauRecette[[#This Row],[Prix d''achat / kg]],0)</f>
        <v/>
      </c>
      <c r="J443" s="231" t="n"/>
      <c r="K443" s="878" t="n"/>
      <c r="L443" s="879">
        <f>_xlfn.XLOOKUP(TableauRecette[[#This Row],[ID]],TableauProduit[ID],TableauProduit[Total (kg) N1],0,0,1)*TableauRecette[[#This Row],[poids / unite]]</f>
        <v/>
      </c>
      <c r="M443" s="880">
        <f>_xlfn.XLOOKUP(TableauRecette[[#This Row],[ID]],TableauProduit[ID],TableauProduit[Total (kg) N2],0,0,1)*TableauRecette[[#This Row],[poids / unite]]</f>
        <v/>
      </c>
      <c r="N443" s="880">
        <f>_xlfn.XLOOKUP(TableauRecette[[#This Row],[ID]],TableauProduit[ID],TableauProduit[Total (kg) N3],0,0,1)*TableauRecette[[#This Row],[poids / unite]]</f>
        <v/>
      </c>
      <c r="O443" s="880">
        <f>_xlfn.XLOOKUP(TableauRecette[[#This Row],[ID]],TableauProduit[ID],TableauProduit[Total (kg) N4],0,0,1)*TableauRecette[[#This Row],[poids / unite]]</f>
        <v/>
      </c>
      <c r="P443" s="880">
        <f>_xlfn.XLOOKUP(TableauRecette[[#This Row],[ID]],TableauProduit[ID],TableauProduit[Total (kg) N5],0,0,1)*TableauRecette[[#This Row],[poids / unite]]</f>
        <v/>
      </c>
      <c r="Q443" s="880">
        <f>_xlfn.XLOOKUP(TableauRecette[[#This Row],[ID]],TableauProduit[ID],TableauProduit[Total (kg) N6],0,0,1)*TableauRecette[[#This Row],[poids / unite]]</f>
        <v/>
      </c>
      <c r="R443" s="880">
        <f>_xlfn.XLOOKUP(TableauRecette[[#This Row],[ID]],TableauProduit[ID],TableauProduit[Total (kg) N7],0,0,1)*TableauRecette[[#This Row],[poids / unite]]</f>
        <v/>
      </c>
      <c r="S443" s="880">
        <f>_xlfn.XLOOKUP(TableauRecette[[#This Row],[ID]],TableauProduit[ID],TableauProduit[Total (kg) N8],0,0,1)*TableauRecette[[#This Row],[poids / unite]]</f>
        <v/>
      </c>
      <c r="T443" s="880">
        <f>_xlfn.XLOOKUP(TableauRecette[[#This Row],[ID]],TableauProduit[ID],TableauProduit[Total (kg) N9],0,0,1)*TableauRecette[[#This Row],[poids / unite]]</f>
        <v/>
      </c>
    </row>
    <row r="444">
      <c r="A444" s="547" t="inlineStr">
        <is>
          <t>Vindaloo masala</t>
        </is>
      </c>
      <c r="B444" s="108">
        <f>TableauRecette[[#This Row],[Recette]]&amp;TableauRecette[[#This Row],[Conditionnement]]</f>
        <v/>
      </c>
      <c r="C444" s="108" t="inlineStr">
        <is>
          <t>Poivre Noir</t>
        </is>
      </c>
      <c r="D444" s="231" t="n">
        <v>0.5</v>
      </c>
      <c r="E444" s="108" t="inlineStr">
        <is>
          <t>Epice 100ml</t>
        </is>
      </c>
      <c r="F444" s="23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44" s="231">
        <f>IFERROR(_xlfn.XLOOKUP(TableauRecette[[#This Row],[Ingredients]],TableauIngredients[Ingredients],TableauIngredients[Prix d''achat (kg)],0)*TableauRecette[[#This Row],[poids / unite]],0)</f>
        <v/>
      </c>
      <c r="H444" s="231">
        <f>IFERROR(SUMIFS(TableauRecette[Proportion],TableauRecette[Recette],TableauRecette[[#This Row],[Recette]],TableauRecette[Conditionnement],TableauRecette[[#This Row],[Conditionnement]]),0)</f>
        <v/>
      </c>
      <c r="I444" s="231">
        <f>IFERROR(TableauRecette[[#This Row],[Prix d''achat / kg]],0)</f>
        <v/>
      </c>
      <c r="J444" s="231" t="n"/>
      <c r="K444" s="878" t="n"/>
      <c r="L444" s="879">
        <f>_xlfn.XLOOKUP(TableauRecette[[#This Row],[ID]],TableauProduit[ID],TableauProduit[Total (kg) N1],0,0,1)*TableauRecette[[#This Row],[poids / unite]]</f>
        <v/>
      </c>
      <c r="M444" s="880">
        <f>_xlfn.XLOOKUP(TableauRecette[[#This Row],[ID]],TableauProduit[ID],TableauProduit[Total (kg) N2],0,0,1)*TableauRecette[[#This Row],[poids / unite]]</f>
        <v/>
      </c>
      <c r="N444" s="880">
        <f>_xlfn.XLOOKUP(TableauRecette[[#This Row],[ID]],TableauProduit[ID],TableauProduit[Total (kg) N3],0,0,1)*TableauRecette[[#This Row],[poids / unite]]</f>
        <v/>
      </c>
      <c r="O444" s="880">
        <f>_xlfn.XLOOKUP(TableauRecette[[#This Row],[ID]],TableauProduit[ID],TableauProduit[Total (kg) N4],0,0,1)*TableauRecette[[#This Row],[poids / unite]]</f>
        <v/>
      </c>
      <c r="P444" s="880">
        <f>_xlfn.XLOOKUP(TableauRecette[[#This Row],[ID]],TableauProduit[ID],TableauProduit[Total (kg) N5],0,0,1)*TableauRecette[[#This Row],[poids / unite]]</f>
        <v/>
      </c>
      <c r="Q444" s="880">
        <f>_xlfn.XLOOKUP(TableauRecette[[#This Row],[ID]],TableauProduit[ID],TableauProduit[Total (kg) N6],0,0,1)*TableauRecette[[#This Row],[poids / unite]]</f>
        <v/>
      </c>
      <c r="R444" s="880">
        <f>_xlfn.XLOOKUP(TableauRecette[[#This Row],[ID]],TableauProduit[ID],TableauProduit[Total (kg) N7],0,0,1)*TableauRecette[[#This Row],[poids / unite]]</f>
        <v/>
      </c>
      <c r="S444" s="880">
        <f>_xlfn.XLOOKUP(TableauRecette[[#This Row],[ID]],TableauProduit[ID],TableauProduit[Total (kg) N8],0,0,1)*TableauRecette[[#This Row],[poids / unite]]</f>
        <v/>
      </c>
      <c r="T444" s="880">
        <f>_xlfn.XLOOKUP(TableauRecette[[#This Row],[ID]],TableauProduit[ID],TableauProduit[Total (kg) N9],0,0,1)*TableauRecette[[#This Row],[poids / unite]]</f>
        <v/>
      </c>
    </row>
    <row r="445">
      <c r="A445" s="547" t="inlineStr">
        <is>
          <t>Vindaloo masala</t>
        </is>
      </c>
      <c r="B445" s="108">
        <f>TableauRecette[[#This Row],[Recette]]&amp;TableauRecette[[#This Row],[Conditionnement]]</f>
        <v/>
      </c>
      <c r="C445" s="108" t="inlineStr">
        <is>
          <t>Graine De Cardamone</t>
        </is>
      </c>
      <c r="D445" s="231" t="n">
        <v>1</v>
      </c>
      <c r="E445" s="108" t="inlineStr">
        <is>
          <t>Epice 100ml</t>
        </is>
      </c>
      <c r="F445" s="23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45" s="231">
        <f>IFERROR(_xlfn.XLOOKUP(TableauRecette[[#This Row],[Ingredients]],TableauIngredients[Ingredients],TableauIngredients[Prix d''achat (kg)],0)*TableauRecette[[#This Row],[poids / unite]],0)</f>
        <v/>
      </c>
      <c r="H445" s="231">
        <f>IFERROR(SUMIFS(TableauRecette[Proportion],TableauRecette[Recette],TableauRecette[[#This Row],[Recette]],TableauRecette[Conditionnement],TableauRecette[[#This Row],[Conditionnement]]),0)</f>
        <v/>
      </c>
      <c r="I445" s="231">
        <f>IFERROR(TableauRecette[[#This Row],[Prix d''achat / kg]],0)</f>
        <v/>
      </c>
      <c r="J445" s="231" t="n"/>
      <c r="K445" s="878" t="n"/>
      <c r="L445" s="879">
        <f>_xlfn.XLOOKUP(TableauRecette[[#This Row],[ID]],TableauProduit[ID],TableauProduit[Total (kg) N1],0,0,1)*TableauRecette[[#This Row],[poids / unite]]</f>
        <v/>
      </c>
      <c r="M445" s="880">
        <f>_xlfn.XLOOKUP(TableauRecette[[#This Row],[ID]],TableauProduit[ID],TableauProduit[Total (kg) N2],0,0,1)*TableauRecette[[#This Row],[poids / unite]]</f>
        <v/>
      </c>
      <c r="N445" s="880">
        <f>_xlfn.XLOOKUP(TableauRecette[[#This Row],[ID]],TableauProduit[ID],TableauProduit[Total (kg) N3],0,0,1)*TableauRecette[[#This Row],[poids / unite]]</f>
        <v/>
      </c>
      <c r="O445" s="880">
        <f>_xlfn.XLOOKUP(TableauRecette[[#This Row],[ID]],TableauProduit[ID],TableauProduit[Total (kg) N4],0,0,1)*TableauRecette[[#This Row],[poids / unite]]</f>
        <v/>
      </c>
      <c r="P445" s="880">
        <f>_xlfn.XLOOKUP(TableauRecette[[#This Row],[ID]],TableauProduit[ID],TableauProduit[Total (kg) N5],0,0,1)*TableauRecette[[#This Row],[poids / unite]]</f>
        <v/>
      </c>
      <c r="Q445" s="880">
        <f>_xlfn.XLOOKUP(TableauRecette[[#This Row],[ID]],TableauProduit[ID],TableauProduit[Total (kg) N6],0,0,1)*TableauRecette[[#This Row],[poids / unite]]</f>
        <v/>
      </c>
      <c r="R445" s="880">
        <f>_xlfn.XLOOKUP(TableauRecette[[#This Row],[ID]],TableauProduit[ID],TableauProduit[Total (kg) N7],0,0,1)*TableauRecette[[#This Row],[poids / unite]]</f>
        <v/>
      </c>
      <c r="S445" s="880">
        <f>_xlfn.XLOOKUP(TableauRecette[[#This Row],[ID]],TableauProduit[ID],TableauProduit[Total (kg) N8],0,0,1)*TableauRecette[[#This Row],[poids / unite]]</f>
        <v/>
      </c>
      <c r="T445" s="880">
        <f>_xlfn.XLOOKUP(TableauRecette[[#This Row],[ID]],TableauProduit[ID],TableauProduit[Total (kg) N9],0,0,1)*TableauRecette[[#This Row],[poids / unite]]</f>
        <v/>
      </c>
    </row>
    <row r="446">
      <c r="A446" s="547" t="inlineStr">
        <is>
          <t>Vindaloo masala</t>
        </is>
      </c>
      <c r="B446" s="108">
        <f>TableauRecette[[#This Row],[Recette]]&amp;TableauRecette[[#This Row],[Conditionnement]]</f>
        <v/>
      </c>
      <c r="C446" s="108" t="inlineStr">
        <is>
          <t>Piment De Cayenne Jaune</t>
        </is>
      </c>
      <c r="D446" s="231" t="n">
        <v>1</v>
      </c>
      <c r="E446" s="108" t="inlineStr">
        <is>
          <t>Epice 100ml</t>
        </is>
      </c>
      <c r="F446" s="23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46" s="231">
        <f>IFERROR(_xlfn.XLOOKUP(TableauRecette[[#This Row],[Ingredients]],TableauIngredients[Ingredients],TableauIngredients[Prix d''achat (kg)],0)*TableauRecette[[#This Row],[poids / unite]],0)</f>
        <v/>
      </c>
      <c r="H446" s="231">
        <f>IFERROR(SUMIFS(TableauRecette[Proportion],TableauRecette[Recette],TableauRecette[[#This Row],[Recette]],TableauRecette[Conditionnement],TableauRecette[[#This Row],[Conditionnement]]),0)</f>
        <v/>
      </c>
      <c r="I446" s="231">
        <f>IFERROR(TableauRecette[[#This Row],[Prix d''achat / kg]],0)</f>
        <v/>
      </c>
      <c r="J446" s="231" t="n"/>
      <c r="K446" s="878" t="n"/>
      <c r="L446" s="879">
        <f>_xlfn.XLOOKUP(TableauRecette[[#This Row],[ID]],TableauProduit[ID],TableauProduit[Total (kg) N1],0,0,1)*TableauRecette[[#This Row],[poids / unite]]</f>
        <v/>
      </c>
      <c r="M446" s="880">
        <f>_xlfn.XLOOKUP(TableauRecette[[#This Row],[ID]],TableauProduit[ID],TableauProduit[Total (kg) N2],0,0,1)*TableauRecette[[#This Row],[poids / unite]]</f>
        <v/>
      </c>
      <c r="N446" s="880">
        <f>_xlfn.XLOOKUP(TableauRecette[[#This Row],[ID]],TableauProduit[ID],TableauProduit[Total (kg) N3],0,0,1)*TableauRecette[[#This Row],[poids / unite]]</f>
        <v/>
      </c>
      <c r="O446" s="880">
        <f>_xlfn.XLOOKUP(TableauRecette[[#This Row],[ID]],TableauProduit[ID],TableauProduit[Total (kg) N4],0,0,1)*TableauRecette[[#This Row],[poids / unite]]</f>
        <v/>
      </c>
      <c r="P446" s="880">
        <f>_xlfn.XLOOKUP(TableauRecette[[#This Row],[ID]],TableauProduit[ID],TableauProduit[Total (kg) N5],0,0,1)*TableauRecette[[#This Row],[poids / unite]]</f>
        <v/>
      </c>
      <c r="Q446" s="880">
        <f>_xlfn.XLOOKUP(TableauRecette[[#This Row],[ID]],TableauProduit[ID],TableauProduit[Total (kg) N6],0,0,1)*TableauRecette[[#This Row],[poids / unite]]</f>
        <v/>
      </c>
      <c r="R446" s="880">
        <f>_xlfn.XLOOKUP(TableauRecette[[#This Row],[ID]],TableauProduit[ID],TableauProduit[Total (kg) N7],0,0,1)*TableauRecette[[#This Row],[poids / unite]]</f>
        <v/>
      </c>
      <c r="S446" s="880">
        <f>_xlfn.XLOOKUP(TableauRecette[[#This Row],[ID]],TableauProduit[ID],TableauProduit[Total (kg) N8],0,0,1)*TableauRecette[[#This Row],[poids / unite]]</f>
        <v/>
      </c>
      <c r="T446" s="880">
        <f>_xlfn.XLOOKUP(TableauRecette[[#This Row],[ID]],TableauProduit[ID],TableauProduit[Total (kg) N9],0,0,1)*TableauRecette[[#This Row],[poids / unite]]</f>
        <v/>
      </c>
    </row>
    <row r="447">
      <c r="A447" s="547" t="inlineStr">
        <is>
          <t>Vindaloo masala</t>
        </is>
      </c>
      <c r="B447" s="108">
        <f>TableauRecette[[#This Row],[Recette]]&amp;TableauRecette[[#This Row],[Conditionnement]]</f>
        <v/>
      </c>
      <c r="C447" s="108" t="inlineStr">
        <is>
          <t>Graine De Moutarde</t>
        </is>
      </c>
      <c r="D447" s="231" t="n">
        <v>2</v>
      </c>
      <c r="E447" s="108" t="inlineStr">
        <is>
          <t>Epice 100ml</t>
        </is>
      </c>
      <c r="F447" s="23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47" s="231">
        <f>IFERROR(_xlfn.XLOOKUP(TableauRecette[[#This Row],[Ingredients]],TableauIngredients[Ingredients],TableauIngredients[Prix d''achat (kg)],0)*TableauRecette[[#This Row],[poids / unite]],0)</f>
        <v/>
      </c>
      <c r="H447" s="231">
        <f>IFERROR(SUMIFS(TableauRecette[Proportion],TableauRecette[Recette],TableauRecette[[#This Row],[Recette]],TableauRecette[Conditionnement],TableauRecette[[#This Row],[Conditionnement]]),0)</f>
        <v/>
      </c>
      <c r="I447" s="231">
        <f>IFERROR(TableauRecette[[#This Row],[Prix d''achat / kg]],0)</f>
        <v/>
      </c>
      <c r="J447" s="231" t="n"/>
      <c r="K447" s="878" t="n"/>
      <c r="L447" s="879">
        <f>_xlfn.XLOOKUP(TableauRecette[[#This Row],[ID]],TableauProduit[ID],TableauProduit[Total (kg) N1],0,0,1)*TableauRecette[[#This Row],[poids / unite]]</f>
        <v/>
      </c>
      <c r="M447" s="880">
        <f>_xlfn.XLOOKUP(TableauRecette[[#This Row],[ID]],TableauProduit[ID],TableauProduit[Total (kg) N2],0,0,1)*TableauRecette[[#This Row],[poids / unite]]</f>
        <v/>
      </c>
      <c r="N447" s="880">
        <f>_xlfn.XLOOKUP(TableauRecette[[#This Row],[ID]],TableauProduit[ID],TableauProduit[Total (kg) N3],0,0,1)*TableauRecette[[#This Row],[poids / unite]]</f>
        <v/>
      </c>
      <c r="O447" s="880">
        <f>_xlfn.XLOOKUP(TableauRecette[[#This Row],[ID]],TableauProduit[ID],TableauProduit[Total (kg) N4],0,0,1)*TableauRecette[[#This Row],[poids / unite]]</f>
        <v/>
      </c>
      <c r="P447" s="880">
        <f>_xlfn.XLOOKUP(TableauRecette[[#This Row],[ID]],TableauProduit[ID],TableauProduit[Total (kg) N5],0,0,1)*TableauRecette[[#This Row],[poids / unite]]</f>
        <v/>
      </c>
      <c r="Q447" s="880">
        <f>_xlfn.XLOOKUP(TableauRecette[[#This Row],[ID]],TableauProduit[ID],TableauProduit[Total (kg) N6],0,0,1)*TableauRecette[[#This Row],[poids / unite]]</f>
        <v/>
      </c>
      <c r="R447" s="880">
        <f>_xlfn.XLOOKUP(TableauRecette[[#This Row],[ID]],TableauProduit[ID],TableauProduit[Total (kg) N7],0,0,1)*TableauRecette[[#This Row],[poids / unite]]</f>
        <v/>
      </c>
      <c r="S447" s="880">
        <f>_xlfn.XLOOKUP(TableauRecette[[#This Row],[ID]],TableauProduit[ID],TableauProduit[Total (kg) N8],0,0,1)*TableauRecette[[#This Row],[poids / unite]]</f>
        <v/>
      </c>
      <c r="T447" s="880">
        <f>_xlfn.XLOOKUP(TableauRecette[[#This Row],[ID]],TableauProduit[ID],TableauProduit[Total (kg) N9],0,0,1)*TableauRecette[[#This Row],[poids / unite]]</f>
        <v/>
      </c>
    </row>
    <row r="448">
      <c r="A448" s="547" t="inlineStr">
        <is>
          <t>Vindaloo masala</t>
        </is>
      </c>
      <c r="B448" s="108">
        <f>TableauRecette[[#This Row],[Recette]]&amp;TableauRecette[[#This Row],[Conditionnement]]</f>
        <v/>
      </c>
      <c r="C448" s="108" t="inlineStr">
        <is>
          <t>Feuilles De Curry</t>
        </is>
      </c>
      <c r="D448" s="231" t="n">
        <v>2</v>
      </c>
      <c r="E448" s="108" t="inlineStr">
        <is>
          <t>Epice 100ml</t>
        </is>
      </c>
      <c r="F448" s="231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48" s="231">
        <f>IFERROR(_xlfn.XLOOKUP(TableauRecette[[#This Row],[Ingredients]],TableauIngredients[Ingredients],TableauIngredients[Prix d''achat (kg)],0)*TableauRecette[[#This Row],[poids / unite]],0)</f>
        <v/>
      </c>
      <c r="H448" s="231">
        <f>IFERROR(SUMIFS(TableauRecette[Proportion],TableauRecette[Recette],TableauRecette[[#This Row],[Recette]],TableauRecette[Conditionnement],TableauRecette[[#This Row],[Conditionnement]]),0)</f>
        <v/>
      </c>
      <c r="I448" s="231">
        <f>IFERROR(TableauRecette[[#This Row],[Prix d''achat / kg]],0)</f>
        <v/>
      </c>
      <c r="J448" s="231" t="n"/>
      <c r="K448" s="878" t="n"/>
      <c r="L448" s="879">
        <f>_xlfn.XLOOKUP(TableauRecette[[#This Row],[ID]],TableauProduit[ID],TableauProduit[Total (kg) N1],0,0,1)*TableauRecette[[#This Row],[poids / unite]]</f>
        <v/>
      </c>
      <c r="M448" s="880">
        <f>_xlfn.XLOOKUP(TableauRecette[[#This Row],[ID]],TableauProduit[ID],TableauProduit[Total (kg) N2],0,0,1)*TableauRecette[[#This Row],[poids / unite]]</f>
        <v/>
      </c>
      <c r="N448" s="880">
        <f>_xlfn.XLOOKUP(TableauRecette[[#This Row],[ID]],TableauProduit[ID],TableauProduit[Total (kg) N3],0,0,1)*TableauRecette[[#This Row],[poids / unite]]</f>
        <v/>
      </c>
      <c r="O448" s="880">
        <f>_xlfn.XLOOKUP(TableauRecette[[#This Row],[ID]],TableauProduit[ID],TableauProduit[Total (kg) N4],0,0,1)*TableauRecette[[#This Row],[poids / unite]]</f>
        <v/>
      </c>
      <c r="P448" s="880">
        <f>_xlfn.XLOOKUP(TableauRecette[[#This Row],[ID]],TableauProduit[ID],TableauProduit[Total (kg) N5],0,0,1)*TableauRecette[[#This Row],[poids / unite]]</f>
        <v/>
      </c>
      <c r="Q448" s="880">
        <f>_xlfn.XLOOKUP(TableauRecette[[#This Row],[ID]],TableauProduit[ID],TableauProduit[Total (kg) N6],0,0,1)*TableauRecette[[#This Row],[poids / unite]]</f>
        <v/>
      </c>
      <c r="R448" s="880">
        <f>_xlfn.XLOOKUP(TableauRecette[[#This Row],[ID]],TableauProduit[ID],TableauProduit[Total (kg) N7],0,0,1)*TableauRecette[[#This Row],[poids / unite]]</f>
        <v/>
      </c>
      <c r="S448" s="880">
        <f>_xlfn.XLOOKUP(TableauRecette[[#This Row],[ID]],TableauProduit[ID],TableauProduit[Total (kg) N8],0,0,1)*TableauRecette[[#This Row],[poids / unite]]</f>
        <v/>
      </c>
      <c r="T448" s="880">
        <f>_xlfn.XLOOKUP(TableauRecette[[#This Row],[ID]],TableauProduit[ID],TableauProduit[Total (kg) N9],0,0,1)*TableauRecette[[#This Row],[poids / unite]]</f>
        <v/>
      </c>
    </row>
    <row r="449">
      <c r="A449" s="548" t="inlineStr">
        <is>
          <t>Zaatar</t>
        </is>
      </c>
      <c r="B449" s="109">
        <f>TableauRecette[[#This Row],[Recette]]&amp;TableauRecette[[#This Row],[Conditionnement]]</f>
        <v/>
      </c>
      <c r="C449" s="109" t="inlineStr">
        <is>
          <t>Cumin Moulu</t>
        </is>
      </c>
      <c r="D449" s="232" t="n">
        <v>2</v>
      </c>
      <c r="E449" s="109" t="inlineStr">
        <is>
          <t>Epice 100ml</t>
        </is>
      </c>
      <c r="F449" s="23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49" s="232">
        <f>IFERROR(_xlfn.XLOOKUP(TableauRecette[[#This Row],[Ingredients]],TableauIngredients[Ingredients],TableauIngredients[Prix d''achat (kg)],0)*TableauRecette[[#This Row],[poids / unite]],0)</f>
        <v/>
      </c>
      <c r="H449" s="232">
        <f>IFERROR(SUMIFS(TableauRecette[Proportion],TableauRecette[Recette],TableauRecette[[#This Row],[Recette]],TableauRecette[Conditionnement],TableauRecette[[#This Row],[Conditionnement]]),0)</f>
        <v/>
      </c>
      <c r="I449" s="232">
        <f>IFERROR(TableauRecette[[#This Row],[Prix d''achat / kg]],0)</f>
        <v/>
      </c>
      <c r="J449" s="232" t="n"/>
      <c r="K449" s="881" t="n"/>
      <c r="L449" s="882">
        <f>_xlfn.XLOOKUP(TableauRecette[[#This Row],[ID]],TableauProduit[ID],TableauProduit[Total (kg) N1],0,0,1)*TableauRecette[[#This Row],[poids / unite]]</f>
        <v/>
      </c>
      <c r="M449" s="883">
        <f>_xlfn.XLOOKUP(TableauRecette[[#This Row],[ID]],TableauProduit[ID],TableauProduit[Total (kg) N2],0,0,1)*TableauRecette[[#This Row],[poids / unite]]</f>
        <v/>
      </c>
      <c r="N449" s="883">
        <f>_xlfn.XLOOKUP(TableauRecette[[#This Row],[ID]],TableauProduit[ID],TableauProduit[Total (kg) N3],0,0,1)*TableauRecette[[#This Row],[poids / unite]]</f>
        <v/>
      </c>
      <c r="O449" s="883">
        <f>_xlfn.XLOOKUP(TableauRecette[[#This Row],[ID]],TableauProduit[ID],TableauProduit[Total (kg) N4],0,0,1)*TableauRecette[[#This Row],[poids / unite]]</f>
        <v/>
      </c>
      <c r="P449" s="883">
        <f>_xlfn.XLOOKUP(TableauRecette[[#This Row],[ID]],TableauProduit[ID],TableauProduit[Total (kg) N5],0,0,1)*TableauRecette[[#This Row],[poids / unite]]</f>
        <v/>
      </c>
      <c r="Q449" s="883">
        <f>_xlfn.XLOOKUP(TableauRecette[[#This Row],[ID]],TableauProduit[ID],TableauProduit[Total (kg) N6],0,0,1)*TableauRecette[[#This Row],[poids / unite]]</f>
        <v/>
      </c>
      <c r="R449" s="883">
        <f>_xlfn.XLOOKUP(TableauRecette[[#This Row],[ID]],TableauProduit[ID],TableauProduit[Total (kg) N7],0,0,1)*TableauRecette[[#This Row],[poids / unite]]</f>
        <v/>
      </c>
      <c r="S449" s="883">
        <f>_xlfn.XLOOKUP(TableauRecette[[#This Row],[ID]],TableauProduit[ID],TableauProduit[Total (kg) N8],0,0,1)*TableauRecette[[#This Row],[poids / unite]]</f>
        <v/>
      </c>
      <c r="T449" s="883">
        <f>_xlfn.XLOOKUP(TableauRecette[[#This Row],[ID]],TableauProduit[ID],TableauProduit[Total (kg) N9],0,0,1)*TableauRecette[[#This Row],[poids / unite]]</f>
        <v/>
      </c>
    </row>
    <row r="450">
      <c r="A450" s="548" t="inlineStr">
        <is>
          <t>Zaatar</t>
        </is>
      </c>
      <c r="B450" s="109">
        <f>TableauRecette[[#This Row],[Recette]]&amp;TableauRecette[[#This Row],[Conditionnement]]</f>
        <v/>
      </c>
      <c r="C450" s="109" t="inlineStr">
        <is>
          <t>Sel</t>
        </is>
      </c>
      <c r="D450" s="232" t="n">
        <v>1</v>
      </c>
      <c r="E450" s="109" t="inlineStr">
        <is>
          <t>Epice 100ml</t>
        </is>
      </c>
      <c r="F450" s="23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50" s="232">
        <f>IFERROR(_xlfn.XLOOKUP(TableauRecette[[#This Row],[Ingredients]],TableauIngredients[Ingredients],TableauIngredients[Prix d''achat (kg)],0)*TableauRecette[[#This Row],[poids / unite]],0)</f>
        <v/>
      </c>
      <c r="H450" s="232">
        <f>IFERROR(SUMIFS(TableauRecette[Proportion],TableauRecette[Recette],TableauRecette[[#This Row],[Recette]],TableauRecette[Conditionnement],TableauRecette[[#This Row],[Conditionnement]]),0)</f>
        <v/>
      </c>
      <c r="I450" s="232">
        <f>IFERROR(TableauRecette[[#This Row],[Prix d''achat / kg]],0)</f>
        <v/>
      </c>
      <c r="J450" s="232" t="n"/>
      <c r="K450" s="881" t="n"/>
      <c r="L450" s="882">
        <f>_xlfn.XLOOKUP(TableauRecette[[#This Row],[ID]],TableauProduit[ID],TableauProduit[Total (kg) N1],0,0,1)*TableauRecette[[#This Row],[poids / unite]]</f>
        <v/>
      </c>
      <c r="M450" s="883">
        <f>_xlfn.XLOOKUP(TableauRecette[[#This Row],[ID]],TableauProduit[ID],TableauProduit[Total (kg) N2],0,0,1)*TableauRecette[[#This Row],[poids / unite]]</f>
        <v/>
      </c>
      <c r="N450" s="883">
        <f>_xlfn.XLOOKUP(TableauRecette[[#This Row],[ID]],TableauProduit[ID],TableauProduit[Total (kg) N3],0,0,1)*TableauRecette[[#This Row],[poids / unite]]</f>
        <v/>
      </c>
      <c r="O450" s="883">
        <f>_xlfn.XLOOKUP(TableauRecette[[#This Row],[ID]],TableauProduit[ID],TableauProduit[Total (kg) N4],0,0,1)*TableauRecette[[#This Row],[poids / unite]]</f>
        <v/>
      </c>
      <c r="P450" s="883">
        <f>_xlfn.XLOOKUP(TableauRecette[[#This Row],[ID]],TableauProduit[ID],TableauProduit[Total (kg) N5],0,0,1)*TableauRecette[[#This Row],[poids / unite]]</f>
        <v/>
      </c>
      <c r="Q450" s="883">
        <f>_xlfn.XLOOKUP(TableauRecette[[#This Row],[ID]],TableauProduit[ID],TableauProduit[Total (kg) N6],0,0,1)*TableauRecette[[#This Row],[poids / unite]]</f>
        <v/>
      </c>
      <c r="R450" s="883">
        <f>_xlfn.XLOOKUP(TableauRecette[[#This Row],[ID]],TableauProduit[ID],TableauProduit[Total (kg) N7],0,0,1)*TableauRecette[[#This Row],[poids / unite]]</f>
        <v/>
      </c>
      <c r="S450" s="883">
        <f>_xlfn.XLOOKUP(TableauRecette[[#This Row],[ID]],TableauProduit[ID],TableauProduit[Total (kg) N8],0,0,1)*TableauRecette[[#This Row],[poids / unite]]</f>
        <v/>
      </c>
      <c r="T450" s="883">
        <f>_xlfn.XLOOKUP(TableauRecette[[#This Row],[ID]],TableauProduit[ID],TableauProduit[Total (kg) N9],0,0,1)*TableauRecette[[#This Row],[poids / unite]]</f>
        <v/>
      </c>
    </row>
    <row r="451">
      <c r="A451" s="548" t="inlineStr">
        <is>
          <t>Zaatar</t>
        </is>
      </c>
      <c r="B451" s="109">
        <f>TableauRecette[[#This Row],[Recette]]&amp;TableauRecette[[#This Row],[Conditionnement]]</f>
        <v/>
      </c>
      <c r="C451" s="109" t="inlineStr">
        <is>
          <t>Graines De Sésame</t>
        </is>
      </c>
      <c r="D451" s="232" t="n">
        <v>2</v>
      </c>
      <c r="E451" s="109" t="inlineStr">
        <is>
          <t>Epice 100ml</t>
        </is>
      </c>
      <c r="F451" s="23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51" s="232">
        <f>IFERROR(_xlfn.XLOOKUP(TableauRecette[[#This Row],[Ingredients]],TableauIngredients[Ingredients],TableauIngredients[Prix d''achat (kg)],0)*TableauRecette[[#This Row],[poids / unite]],0)</f>
        <v/>
      </c>
      <c r="H451" s="232">
        <f>IFERROR(SUMIFS(TableauRecette[Proportion],TableauRecette[Recette],TableauRecette[[#This Row],[Recette]],TableauRecette[Conditionnement],TableauRecette[[#This Row],[Conditionnement]]),0)</f>
        <v/>
      </c>
      <c r="I451" s="232">
        <f>IFERROR(TableauRecette[[#This Row],[Prix d''achat / kg]],0)</f>
        <v/>
      </c>
      <c r="J451" s="232" t="n"/>
      <c r="K451" s="881" t="n"/>
      <c r="L451" s="882">
        <f>_xlfn.XLOOKUP(TableauRecette[[#This Row],[ID]],TableauProduit[ID],TableauProduit[Total (kg) N1],0,0,1)*TableauRecette[[#This Row],[poids / unite]]</f>
        <v/>
      </c>
      <c r="M451" s="883">
        <f>_xlfn.XLOOKUP(TableauRecette[[#This Row],[ID]],TableauProduit[ID],TableauProduit[Total (kg) N2],0,0,1)*TableauRecette[[#This Row],[poids / unite]]</f>
        <v/>
      </c>
      <c r="N451" s="883">
        <f>_xlfn.XLOOKUP(TableauRecette[[#This Row],[ID]],TableauProduit[ID],TableauProduit[Total (kg) N3],0,0,1)*TableauRecette[[#This Row],[poids / unite]]</f>
        <v/>
      </c>
      <c r="O451" s="883">
        <f>_xlfn.XLOOKUP(TableauRecette[[#This Row],[ID]],TableauProduit[ID],TableauProduit[Total (kg) N4],0,0,1)*TableauRecette[[#This Row],[poids / unite]]</f>
        <v/>
      </c>
      <c r="P451" s="883">
        <f>_xlfn.XLOOKUP(TableauRecette[[#This Row],[ID]],TableauProduit[ID],TableauProduit[Total (kg) N5],0,0,1)*TableauRecette[[#This Row],[poids / unite]]</f>
        <v/>
      </c>
      <c r="Q451" s="883">
        <f>_xlfn.XLOOKUP(TableauRecette[[#This Row],[ID]],TableauProduit[ID],TableauProduit[Total (kg) N6],0,0,1)*TableauRecette[[#This Row],[poids / unite]]</f>
        <v/>
      </c>
      <c r="R451" s="883">
        <f>_xlfn.XLOOKUP(TableauRecette[[#This Row],[ID]],TableauProduit[ID],TableauProduit[Total (kg) N7],0,0,1)*TableauRecette[[#This Row],[poids / unite]]</f>
        <v/>
      </c>
      <c r="S451" s="883">
        <f>_xlfn.XLOOKUP(TableauRecette[[#This Row],[ID]],TableauProduit[ID],TableauProduit[Total (kg) N8],0,0,1)*TableauRecette[[#This Row],[poids / unite]]</f>
        <v/>
      </c>
      <c r="T451" s="883">
        <f>_xlfn.XLOOKUP(TableauRecette[[#This Row],[ID]],TableauProduit[ID],TableauProduit[Total (kg) N9],0,0,1)*TableauRecette[[#This Row],[poids / unite]]</f>
        <v/>
      </c>
    </row>
    <row r="452">
      <c r="A452" s="548" t="inlineStr">
        <is>
          <t>Zaatar</t>
        </is>
      </c>
      <c r="B452" s="109">
        <f>TableauRecette[[#This Row],[Recette]]&amp;TableauRecette[[#This Row],[Conditionnement]]</f>
        <v/>
      </c>
      <c r="C452" s="109" t="inlineStr">
        <is>
          <t>Origan</t>
        </is>
      </c>
      <c r="D452" s="232" t="n">
        <v>2</v>
      </c>
      <c r="E452" s="109" t="inlineStr">
        <is>
          <t>Epice 100ml</t>
        </is>
      </c>
      <c r="F452" s="23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52" s="232">
        <f>IFERROR(_xlfn.XLOOKUP(TableauRecette[[#This Row],[Ingredients]],TableauIngredients[Ingredients],TableauIngredients[Prix d''achat (kg)],0)*TableauRecette[[#This Row],[poids / unite]],0)</f>
        <v/>
      </c>
      <c r="H452" s="232">
        <f>IFERROR(SUMIFS(TableauRecette[Proportion],TableauRecette[Recette],TableauRecette[[#This Row],[Recette]],TableauRecette[Conditionnement],TableauRecette[[#This Row],[Conditionnement]]),0)</f>
        <v/>
      </c>
      <c r="I452" s="232">
        <f>IFERROR(TableauRecette[[#This Row],[Prix d''achat / kg]],0)</f>
        <v/>
      </c>
      <c r="J452" s="232" t="n"/>
      <c r="K452" s="881" t="n"/>
      <c r="L452" s="882">
        <f>_xlfn.XLOOKUP(TableauRecette[[#This Row],[ID]],TableauProduit[ID],TableauProduit[Total (kg) N1],0,0,1)*TableauRecette[[#This Row],[poids / unite]]</f>
        <v/>
      </c>
      <c r="M452" s="883">
        <f>_xlfn.XLOOKUP(TableauRecette[[#This Row],[ID]],TableauProduit[ID],TableauProduit[Total (kg) N2],0,0,1)*TableauRecette[[#This Row],[poids / unite]]</f>
        <v/>
      </c>
      <c r="N452" s="883">
        <f>_xlfn.XLOOKUP(TableauRecette[[#This Row],[ID]],TableauProduit[ID],TableauProduit[Total (kg) N3],0,0,1)*TableauRecette[[#This Row],[poids / unite]]</f>
        <v/>
      </c>
      <c r="O452" s="883">
        <f>_xlfn.XLOOKUP(TableauRecette[[#This Row],[ID]],TableauProduit[ID],TableauProduit[Total (kg) N4],0,0,1)*TableauRecette[[#This Row],[poids / unite]]</f>
        <v/>
      </c>
      <c r="P452" s="883">
        <f>_xlfn.XLOOKUP(TableauRecette[[#This Row],[ID]],TableauProduit[ID],TableauProduit[Total (kg) N5],0,0,1)*TableauRecette[[#This Row],[poids / unite]]</f>
        <v/>
      </c>
      <c r="Q452" s="883">
        <f>_xlfn.XLOOKUP(TableauRecette[[#This Row],[ID]],TableauProduit[ID],TableauProduit[Total (kg) N6],0,0,1)*TableauRecette[[#This Row],[poids / unite]]</f>
        <v/>
      </c>
      <c r="R452" s="883">
        <f>_xlfn.XLOOKUP(TableauRecette[[#This Row],[ID]],TableauProduit[ID],TableauProduit[Total (kg) N7],0,0,1)*TableauRecette[[#This Row],[poids / unite]]</f>
        <v/>
      </c>
      <c r="S452" s="883">
        <f>_xlfn.XLOOKUP(TableauRecette[[#This Row],[ID]],TableauProduit[ID],TableauProduit[Total (kg) N8],0,0,1)*TableauRecette[[#This Row],[poids / unite]]</f>
        <v/>
      </c>
      <c r="T452" s="883">
        <f>_xlfn.XLOOKUP(TableauRecette[[#This Row],[ID]],TableauProduit[ID],TableauProduit[Total (kg) N9],0,0,1)*TableauRecette[[#This Row],[poids / unite]]</f>
        <v/>
      </c>
    </row>
    <row r="453">
      <c r="A453" s="548" t="inlineStr">
        <is>
          <t>Zaatar</t>
        </is>
      </c>
      <c r="B453" s="109">
        <f>TableauRecette[[#This Row],[Recette]]&amp;TableauRecette[[#This Row],[Conditionnement]]</f>
        <v/>
      </c>
      <c r="C453" s="109" t="inlineStr">
        <is>
          <t>Sumac</t>
        </is>
      </c>
      <c r="D453" s="232" t="n">
        <v>2</v>
      </c>
      <c r="E453" s="109" t="inlineStr">
        <is>
          <t>Epice 100ml</t>
        </is>
      </c>
      <c r="F453" s="232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53" s="232">
        <f>IFERROR(_xlfn.XLOOKUP(TableauRecette[[#This Row],[Ingredients]],TableauIngredients[Ingredients],TableauIngredients[Prix d''achat (kg)],0)*TableauRecette[[#This Row],[poids / unite]],0)</f>
        <v/>
      </c>
      <c r="H453" s="232">
        <f>IFERROR(SUMIFS(TableauRecette[Proportion],TableauRecette[Recette],TableauRecette[[#This Row],[Recette]],TableauRecette[Conditionnement],TableauRecette[[#This Row],[Conditionnement]]),0)</f>
        <v/>
      </c>
      <c r="I453" s="232">
        <f>IFERROR(TableauRecette[[#This Row],[Prix d''achat / kg]],0)</f>
        <v/>
      </c>
      <c r="J453" s="232" t="n"/>
      <c r="K453" s="881" t="n"/>
      <c r="L453" s="882">
        <f>_xlfn.XLOOKUP(TableauRecette[[#This Row],[ID]],TableauProduit[ID],TableauProduit[Total (kg) N1],0,0,1)*TableauRecette[[#This Row],[poids / unite]]</f>
        <v/>
      </c>
      <c r="M453" s="883">
        <f>_xlfn.XLOOKUP(TableauRecette[[#This Row],[ID]],TableauProduit[ID],TableauProduit[Total (kg) N2],0,0,1)*TableauRecette[[#This Row],[poids / unite]]</f>
        <v/>
      </c>
      <c r="N453" s="883">
        <f>_xlfn.XLOOKUP(TableauRecette[[#This Row],[ID]],TableauProduit[ID],TableauProduit[Total (kg) N3],0,0,1)*TableauRecette[[#This Row],[poids / unite]]</f>
        <v/>
      </c>
      <c r="O453" s="883">
        <f>_xlfn.XLOOKUP(TableauRecette[[#This Row],[ID]],TableauProduit[ID],TableauProduit[Total (kg) N4],0,0,1)*TableauRecette[[#This Row],[poids / unite]]</f>
        <v/>
      </c>
      <c r="P453" s="883">
        <f>_xlfn.XLOOKUP(TableauRecette[[#This Row],[ID]],TableauProduit[ID],TableauProduit[Total (kg) N5],0,0,1)*TableauRecette[[#This Row],[poids / unite]]</f>
        <v/>
      </c>
      <c r="Q453" s="883">
        <f>_xlfn.XLOOKUP(TableauRecette[[#This Row],[ID]],TableauProduit[ID],TableauProduit[Total (kg) N6],0,0,1)*TableauRecette[[#This Row],[poids / unite]]</f>
        <v/>
      </c>
      <c r="R453" s="883">
        <f>_xlfn.XLOOKUP(TableauRecette[[#This Row],[ID]],TableauProduit[ID],TableauProduit[Total (kg) N7],0,0,1)*TableauRecette[[#This Row],[poids / unite]]</f>
        <v/>
      </c>
      <c r="S453" s="883">
        <f>_xlfn.XLOOKUP(TableauRecette[[#This Row],[ID]],TableauProduit[ID],TableauProduit[Total (kg) N8],0,0,1)*TableauRecette[[#This Row],[poids / unite]]</f>
        <v/>
      </c>
      <c r="T453" s="883">
        <f>_xlfn.XLOOKUP(TableauRecette[[#This Row],[ID]],TableauProduit[ID],TableauProduit[Total (kg) N9],0,0,1)*TableauRecette[[#This Row],[poids / unite]]</f>
        <v/>
      </c>
    </row>
    <row r="454">
      <c r="A454" s="544" t="inlineStr">
        <is>
          <t>Zhug</t>
        </is>
      </c>
      <c r="B454" s="110">
        <f>TableauRecette[[#This Row],[Recette]]&amp;TableauRecette[[#This Row],[Conditionnement]]</f>
        <v/>
      </c>
      <c r="C454" s="110" t="inlineStr">
        <is>
          <t>Ail</t>
        </is>
      </c>
      <c r="D454" s="233" t="n">
        <v>12</v>
      </c>
      <c r="E454" s="110" t="inlineStr">
        <is>
          <t>Epice 100ml</t>
        </is>
      </c>
      <c r="F454" s="23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54" s="233">
        <f>IFERROR(_xlfn.XLOOKUP(TableauRecette[[#This Row],[Ingredients]],TableauIngredients[Ingredients],TableauIngredients[Prix d''achat (kg)],0)*TableauRecette[[#This Row],[poids / unite]],0)</f>
        <v/>
      </c>
      <c r="H454" s="233">
        <f>IFERROR(SUMIFS(TableauRecette[Proportion],TableauRecette[Recette],TableauRecette[[#This Row],[Recette]],TableauRecette[Conditionnement],TableauRecette[[#This Row],[Conditionnement]]),0)</f>
        <v/>
      </c>
      <c r="I454" s="233">
        <f>IFERROR(TableauRecette[[#This Row],[Prix d''achat / kg]],0)</f>
        <v/>
      </c>
      <c r="J454" s="233" t="n"/>
      <c r="K454" s="884" t="n"/>
      <c r="L454" s="885">
        <f>_xlfn.XLOOKUP(TableauRecette[[#This Row],[ID]],TableauProduit[ID],TableauProduit[Total (kg) N1],0,0,1)*TableauRecette[[#This Row],[poids / unite]]</f>
        <v/>
      </c>
      <c r="M454" s="886">
        <f>_xlfn.XLOOKUP(TableauRecette[[#This Row],[ID]],TableauProduit[ID],TableauProduit[Total (kg) N2],0,0,1)*TableauRecette[[#This Row],[poids / unite]]</f>
        <v/>
      </c>
      <c r="N454" s="886">
        <f>_xlfn.XLOOKUP(TableauRecette[[#This Row],[ID]],TableauProduit[ID],TableauProduit[Total (kg) N3],0,0,1)*TableauRecette[[#This Row],[poids / unite]]</f>
        <v/>
      </c>
      <c r="O454" s="886">
        <f>_xlfn.XLOOKUP(TableauRecette[[#This Row],[ID]],TableauProduit[ID],TableauProduit[Total (kg) N4],0,0,1)*TableauRecette[[#This Row],[poids / unite]]</f>
        <v/>
      </c>
      <c r="P454" s="886">
        <f>_xlfn.XLOOKUP(TableauRecette[[#This Row],[ID]],TableauProduit[ID],TableauProduit[Total (kg) N5],0,0,1)*TableauRecette[[#This Row],[poids / unite]]</f>
        <v/>
      </c>
      <c r="Q454" s="886">
        <f>_xlfn.XLOOKUP(TableauRecette[[#This Row],[ID]],TableauProduit[ID],TableauProduit[Total (kg) N6],0,0,1)*TableauRecette[[#This Row],[poids / unite]]</f>
        <v/>
      </c>
      <c r="R454" s="886">
        <f>_xlfn.XLOOKUP(TableauRecette[[#This Row],[ID]],TableauProduit[ID],TableauProduit[Total (kg) N7],0,0,1)*TableauRecette[[#This Row],[poids / unite]]</f>
        <v/>
      </c>
      <c r="S454" s="886">
        <f>_xlfn.XLOOKUP(TableauRecette[[#This Row],[ID]],TableauProduit[ID],TableauProduit[Total (kg) N8],0,0,1)*TableauRecette[[#This Row],[poids / unite]]</f>
        <v/>
      </c>
      <c r="T454" s="886">
        <f>_xlfn.XLOOKUP(TableauRecette[[#This Row],[ID]],TableauProduit[ID],TableauProduit[Total (kg) N9],0,0,1)*TableauRecette[[#This Row],[poids / unite]]</f>
        <v/>
      </c>
    </row>
    <row r="455">
      <c r="A455" s="544" t="inlineStr">
        <is>
          <t>Zhug</t>
        </is>
      </c>
      <c r="B455" s="110">
        <f>TableauRecette[[#This Row],[Recette]]&amp;TableauRecette[[#This Row],[Conditionnement]]</f>
        <v/>
      </c>
      <c r="C455" s="110" t="inlineStr">
        <is>
          <t>Graine De Cardamone</t>
        </is>
      </c>
      <c r="D455" s="233" t="n">
        <v>2.1</v>
      </c>
      <c r="E455" s="110" t="inlineStr">
        <is>
          <t>Epice 100ml</t>
        </is>
      </c>
      <c r="F455" s="23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55" s="233">
        <f>IFERROR(_xlfn.XLOOKUP(TableauRecette[[#This Row],[Ingredients]],TableauIngredients[Ingredients],TableauIngredients[Prix d''achat (kg)],0)*TableauRecette[[#This Row],[poids / unite]],0)</f>
        <v/>
      </c>
      <c r="H455" s="233">
        <f>IFERROR(SUMIFS(TableauRecette[Proportion],TableauRecette[Recette],TableauRecette[[#This Row],[Recette]],TableauRecette[Conditionnement],TableauRecette[[#This Row],[Conditionnement]]),0)</f>
        <v/>
      </c>
      <c r="I455" s="233">
        <f>IFERROR(TableauRecette[[#This Row],[Prix d''achat / kg]],0)</f>
        <v/>
      </c>
      <c r="J455" s="233" t="n"/>
      <c r="K455" s="884" t="n"/>
      <c r="L455" s="885">
        <f>_xlfn.XLOOKUP(TableauRecette[[#This Row],[ID]],TableauProduit[ID],TableauProduit[Total (kg) N1],0,0,1)*TableauRecette[[#This Row],[poids / unite]]</f>
        <v/>
      </c>
      <c r="M455" s="886">
        <f>_xlfn.XLOOKUP(TableauRecette[[#This Row],[ID]],TableauProduit[ID],TableauProduit[Total (kg) N2],0,0,1)*TableauRecette[[#This Row],[poids / unite]]</f>
        <v/>
      </c>
      <c r="N455" s="886">
        <f>_xlfn.XLOOKUP(TableauRecette[[#This Row],[ID]],TableauProduit[ID],TableauProduit[Total (kg) N3],0,0,1)*TableauRecette[[#This Row],[poids / unite]]</f>
        <v/>
      </c>
      <c r="O455" s="886">
        <f>_xlfn.XLOOKUP(TableauRecette[[#This Row],[ID]],TableauProduit[ID],TableauProduit[Total (kg) N4],0,0,1)*TableauRecette[[#This Row],[poids / unite]]</f>
        <v/>
      </c>
      <c r="P455" s="886">
        <f>_xlfn.XLOOKUP(TableauRecette[[#This Row],[ID]],TableauProduit[ID],TableauProduit[Total (kg) N5],0,0,1)*TableauRecette[[#This Row],[poids / unite]]</f>
        <v/>
      </c>
      <c r="Q455" s="886">
        <f>_xlfn.XLOOKUP(TableauRecette[[#This Row],[ID]],TableauProduit[ID],TableauProduit[Total (kg) N6],0,0,1)*TableauRecette[[#This Row],[poids / unite]]</f>
        <v/>
      </c>
      <c r="R455" s="886">
        <f>_xlfn.XLOOKUP(TableauRecette[[#This Row],[ID]],TableauProduit[ID],TableauProduit[Total (kg) N7],0,0,1)*TableauRecette[[#This Row],[poids / unite]]</f>
        <v/>
      </c>
      <c r="S455" s="886">
        <f>_xlfn.XLOOKUP(TableauRecette[[#This Row],[ID]],TableauProduit[ID],TableauProduit[Total (kg) N8],0,0,1)*TableauRecette[[#This Row],[poids / unite]]</f>
        <v/>
      </c>
      <c r="T455" s="886">
        <f>_xlfn.XLOOKUP(TableauRecette[[#This Row],[ID]],TableauProduit[ID],TableauProduit[Total (kg) N9],0,0,1)*TableauRecette[[#This Row],[poids / unite]]</f>
        <v/>
      </c>
    </row>
    <row r="456">
      <c r="A456" s="544" t="inlineStr">
        <is>
          <t>Zhug</t>
        </is>
      </c>
      <c r="B456" s="110">
        <f>TableauRecette[[#This Row],[Recette]]&amp;TableauRecette[[#This Row],[Conditionnement]]</f>
        <v/>
      </c>
      <c r="C456" s="110" t="inlineStr">
        <is>
          <t>Coriandre Graine</t>
        </is>
      </c>
      <c r="D456" s="233" t="n">
        <v>2.4</v>
      </c>
      <c r="E456" s="110" t="inlineStr">
        <is>
          <t>Epice 100ml</t>
        </is>
      </c>
      <c r="F456" s="23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56" s="233">
        <f>IFERROR(_xlfn.XLOOKUP(TableauRecette[[#This Row],[Ingredients]],TableauIngredients[Ingredients],TableauIngredients[Prix d''achat (kg)],0)*TableauRecette[[#This Row],[poids / unite]],0)</f>
        <v/>
      </c>
      <c r="H456" s="233">
        <f>IFERROR(SUMIFS(TableauRecette[Proportion],TableauRecette[Recette],TableauRecette[[#This Row],[Recette]],TableauRecette[Conditionnement],TableauRecette[[#This Row],[Conditionnement]]),0)</f>
        <v/>
      </c>
      <c r="I456" s="233">
        <f>IFERROR(TableauRecette[[#This Row],[Prix d''achat / kg]],0)</f>
        <v/>
      </c>
      <c r="J456" s="233" t="n"/>
      <c r="K456" s="884" t="n"/>
      <c r="L456" s="885">
        <f>_xlfn.XLOOKUP(TableauRecette[[#This Row],[ID]],TableauProduit[ID],TableauProduit[Total (kg) N1],0,0,1)*TableauRecette[[#This Row],[poids / unite]]</f>
        <v/>
      </c>
      <c r="M456" s="886">
        <f>_xlfn.XLOOKUP(TableauRecette[[#This Row],[ID]],TableauProduit[ID],TableauProduit[Total (kg) N2],0,0,1)*TableauRecette[[#This Row],[poids / unite]]</f>
        <v/>
      </c>
      <c r="N456" s="886">
        <f>_xlfn.XLOOKUP(TableauRecette[[#This Row],[ID]],TableauProduit[ID],TableauProduit[Total (kg) N3],0,0,1)*TableauRecette[[#This Row],[poids / unite]]</f>
        <v/>
      </c>
      <c r="O456" s="886">
        <f>_xlfn.XLOOKUP(TableauRecette[[#This Row],[ID]],TableauProduit[ID],TableauProduit[Total (kg) N4],0,0,1)*TableauRecette[[#This Row],[poids / unite]]</f>
        <v/>
      </c>
      <c r="P456" s="886">
        <f>_xlfn.XLOOKUP(TableauRecette[[#This Row],[ID]],TableauProduit[ID],TableauProduit[Total (kg) N5],0,0,1)*TableauRecette[[#This Row],[poids / unite]]</f>
        <v/>
      </c>
      <c r="Q456" s="886">
        <f>_xlfn.XLOOKUP(TableauRecette[[#This Row],[ID]],TableauProduit[ID],TableauProduit[Total (kg) N6],0,0,1)*TableauRecette[[#This Row],[poids / unite]]</f>
        <v/>
      </c>
      <c r="R456" s="886">
        <f>_xlfn.XLOOKUP(TableauRecette[[#This Row],[ID]],TableauProduit[ID],TableauProduit[Total (kg) N7],0,0,1)*TableauRecette[[#This Row],[poids / unite]]</f>
        <v/>
      </c>
      <c r="S456" s="886">
        <f>_xlfn.XLOOKUP(TableauRecette[[#This Row],[ID]],TableauProduit[ID],TableauProduit[Total (kg) N8],0,0,1)*TableauRecette[[#This Row],[poids / unite]]</f>
        <v/>
      </c>
      <c r="T456" s="886">
        <f>_xlfn.XLOOKUP(TableauRecette[[#This Row],[ID]],TableauProduit[ID],TableauProduit[Total (kg) N9],0,0,1)*TableauRecette[[#This Row],[poids / unite]]</f>
        <v/>
      </c>
    </row>
    <row r="457">
      <c r="A457" s="544" t="inlineStr">
        <is>
          <t>Zhug</t>
        </is>
      </c>
      <c r="B457" s="110">
        <f>TableauRecette[[#This Row],[Recette]]&amp;TableauRecette[[#This Row],[Conditionnement]]</f>
        <v/>
      </c>
      <c r="C457" s="110" t="inlineStr">
        <is>
          <t>Cumin Moulu</t>
        </is>
      </c>
      <c r="D457" s="233" t="n">
        <v>1</v>
      </c>
      <c r="E457" s="110" t="inlineStr">
        <is>
          <t>Epice 100ml</t>
        </is>
      </c>
      <c r="F457" s="23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57" s="233">
        <f>IFERROR(_xlfn.XLOOKUP(TableauRecette[[#This Row],[Ingredients]],TableauIngredients[Ingredients],TableauIngredients[Prix d''achat (kg)],0)*TableauRecette[[#This Row],[poids / unite]],0)</f>
        <v/>
      </c>
      <c r="H457" s="233">
        <f>IFERROR(SUMIFS(TableauRecette[Proportion],TableauRecette[Recette],TableauRecette[[#This Row],[Recette]],TableauRecette[Conditionnement],TableauRecette[[#This Row],[Conditionnement]]),0)</f>
        <v/>
      </c>
      <c r="I457" s="233">
        <f>IFERROR(TableauRecette[[#This Row],[Prix d''achat / kg]],0)</f>
        <v/>
      </c>
      <c r="J457" s="233" t="n"/>
      <c r="K457" s="884" t="n"/>
      <c r="L457" s="885">
        <f>_xlfn.XLOOKUP(TableauRecette[[#This Row],[ID]],TableauProduit[ID],TableauProduit[Total (kg) N1],0,0,1)*TableauRecette[[#This Row],[poids / unite]]</f>
        <v/>
      </c>
      <c r="M457" s="886">
        <f>_xlfn.XLOOKUP(TableauRecette[[#This Row],[ID]],TableauProduit[ID],TableauProduit[Total (kg) N2],0,0,1)*TableauRecette[[#This Row],[poids / unite]]</f>
        <v/>
      </c>
      <c r="N457" s="886">
        <f>_xlfn.XLOOKUP(TableauRecette[[#This Row],[ID]],TableauProduit[ID],TableauProduit[Total (kg) N3],0,0,1)*TableauRecette[[#This Row],[poids / unite]]</f>
        <v/>
      </c>
      <c r="O457" s="886">
        <f>_xlfn.XLOOKUP(TableauRecette[[#This Row],[ID]],TableauProduit[ID],TableauProduit[Total (kg) N4],0,0,1)*TableauRecette[[#This Row],[poids / unite]]</f>
        <v/>
      </c>
      <c r="P457" s="886">
        <f>_xlfn.XLOOKUP(TableauRecette[[#This Row],[ID]],TableauProduit[ID],TableauProduit[Total (kg) N5],0,0,1)*TableauRecette[[#This Row],[poids / unite]]</f>
        <v/>
      </c>
      <c r="Q457" s="886">
        <f>_xlfn.XLOOKUP(TableauRecette[[#This Row],[ID]],TableauProduit[ID],TableauProduit[Total (kg) N6],0,0,1)*TableauRecette[[#This Row],[poids / unite]]</f>
        <v/>
      </c>
      <c r="R457" s="886">
        <f>_xlfn.XLOOKUP(TableauRecette[[#This Row],[ID]],TableauProduit[ID],TableauProduit[Total (kg) N7],0,0,1)*TableauRecette[[#This Row],[poids / unite]]</f>
        <v/>
      </c>
      <c r="S457" s="886">
        <f>_xlfn.XLOOKUP(TableauRecette[[#This Row],[ID]],TableauProduit[ID],TableauProduit[Total (kg) N8],0,0,1)*TableauRecette[[#This Row],[poids / unite]]</f>
        <v/>
      </c>
      <c r="T457" s="886">
        <f>_xlfn.XLOOKUP(TableauRecette[[#This Row],[ID]],TableauProduit[ID],TableauProduit[Total (kg) N9],0,0,1)*TableauRecette[[#This Row],[poids / unite]]</f>
        <v/>
      </c>
    </row>
    <row r="458">
      <c r="A458" s="544" t="inlineStr">
        <is>
          <t>Zhug</t>
        </is>
      </c>
      <c r="B458" s="110">
        <f>TableauRecette[[#This Row],[Recette]]&amp;TableauRecette[[#This Row],[Conditionnement]]</f>
        <v/>
      </c>
      <c r="C458" s="110" t="inlineStr">
        <is>
          <t>Piments Verts</t>
        </is>
      </c>
      <c r="D458" s="233" t="n">
        <v>30</v>
      </c>
      <c r="E458" s="110" t="inlineStr">
        <is>
          <t>Epice 100ml</t>
        </is>
      </c>
      <c r="F458" s="23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58" s="233">
        <f>IFERROR(_xlfn.XLOOKUP(TableauRecette[[#This Row],[Ingredients]],TableauIngredients[Ingredients],TableauIngredients[Prix d''achat (kg)],0)*TableauRecette[[#This Row],[poids / unite]],0)</f>
        <v/>
      </c>
      <c r="H458" s="233">
        <f>IFERROR(SUMIFS(TableauRecette[Proportion],TableauRecette[Recette],TableauRecette[[#This Row],[Recette]],TableauRecette[Conditionnement],TableauRecette[[#This Row],[Conditionnement]]),0)</f>
        <v/>
      </c>
      <c r="I458" s="233">
        <f>IFERROR(TableauRecette[[#This Row],[Prix d''achat / kg]],0)</f>
        <v/>
      </c>
      <c r="J458" s="233" t="n"/>
      <c r="K458" s="884" t="n"/>
      <c r="L458" s="885">
        <f>_xlfn.XLOOKUP(TableauRecette[[#This Row],[ID]],TableauProduit[ID],TableauProduit[Total (kg) N1],0,0,1)*TableauRecette[[#This Row],[poids / unite]]</f>
        <v/>
      </c>
      <c r="M458" s="886">
        <f>_xlfn.XLOOKUP(TableauRecette[[#This Row],[ID]],TableauProduit[ID],TableauProduit[Total (kg) N2],0,0,1)*TableauRecette[[#This Row],[poids / unite]]</f>
        <v/>
      </c>
      <c r="N458" s="886">
        <f>_xlfn.XLOOKUP(TableauRecette[[#This Row],[ID]],TableauProduit[ID],TableauProduit[Total (kg) N3],0,0,1)*TableauRecette[[#This Row],[poids / unite]]</f>
        <v/>
      </c>
      <c r="O458" s="886">
        <f>_xlfn.XLOOKUP(TableauRecette[[#This Row],[ID]],TableauProduit[ID],TableauProduit[Total (kg) N4],0,0,1)*TableauRecette[[#This Row],[poids / unite]]</f>
        <v/>
      </c>
      <c r="P458" s="886">
        <f>_xlfn.XLOOKUP(TableauRecette[[#This Row],[ID]],TableauProduit[ID],TableauProduit[Total (kg) N5],0,0,1)*TableauRecette[[#This Row],[poids / unite]]</f>
        <v/>
      </c>
      <c r="Q458" s="886">
        <f>_xlfn.XLOOKUP(TableauRecette[[#This Row],[ID]],TableauProduit[ID],TableauProduit[Total (kg) N6],0,0,1)*TableauRecette[[#This Row],[poids / unite]]</f>
        <v/>
      </c>
      <c r="R458" s="886">
        <f>_xlfn.XLOOKUP(TableauRecette[[#This Row],[ID]],TableauProduit[ID],TableauProduit[Total (kg) N7],0,0,1)*TableauRecette[[#This Row],[poids / unite]]</f>
        <v/>
      </c>
      <c r="S458" s="886">
        <f>_xlfn.XLOOKUP(TableauRecette[[#This Row],[ID]],TableauProduit[ID],TableauProduit[Total (kg) N8],0,0,1)*TableauRecette[[#This Row],[poids / unite]]</f>
        <v/>
      </c>
      <c r="T458" s="886">
        <f>_xlfn.XLOOKUP(TableauRecette[[#This Row],[ID]],TableauProduit[ID],TableauProduit[Total (kg) N9],0,0,1)*TableauRecette[[#This Row],[poids / unite]]</f>
        <v/>
      </c>
    </row>
    <row r="459">
      <c r="A459" s="544" t="inlineStr">
        <is>
          <t>Zhug</t>
        </is>
      </c>
      <c r="B459" s="110">
        <f>TableauRecette[[#This Row],[Recette]]&amp;TableauRecette[[#This Row],[Conditionnement]]</f>
        <v/>
      </c>
      <c r="C459" s="110" t="inlineStr">
        <is>
          <t>Coriandre Feuille</t>
        </is>
      </c>
      <c r="D459" s="233" t="n">
        <v>50</v>
      </c>
      <c r="E459" s="110" t="inlineStr">
        <is>
          <t>Epice 100ml</t>
        </is>
      </c>
      <c r="F459" s="23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59" s="233">
        <f>IFERROR(_xlfn.XLOOKUP(TableauRecette[[#This Row],[Ingredients]],TableauIngredients[Ingredients],TableauIngredients[Prix d''achat (kg)],0)*TableauRecette[[#This Row],[poids / unite]],0)</f>
        <v/>
      </c>
      <c r="H459" s="233">
        <f>IFERROR(SUMIFS(TableauRecette[Proportion],TableauRecette[Recette],TableauRecette[[#This Row],[Recette]],TableauRecette[Conditionnement],TableauRecette[[#This Row],[Conditionnement]]),0)</f>
        <v/>
      </c>
      <c r="I459" s="233">
        <f>IFERROR(TableauRecette[[#This Row],[Prix d''achat / kg]],0)</f>
        <v/>
      </c>
      <c r="J459" s="233" t="n"/>
      <c r="K459" s="884" t="n"/>
      <c r="L459" s="885">
        <f>_xlfn.XLOOKUP(TableauRecette[[#This Row],[ID]],TableauProduit[ID],TableauProduit[Total (kg) N1],0,0,1)*TableauRecette[[#This Row],[poids / unite]]</f>
        <v/>
      </c>
      <c r="M459" s="886">
        <f>_xlfn.XLOOKUP(TableauRecette[[#This Row],[ID]],TableauProduit[ID],TableauProduit[Total (kg) N2],0,0,1)*TableauRecette[[#This Row],[poids / unite]]</f>
        <v/>
      </c>
      <c r="N459" s="886">
        <f>_xlfn.XLOOKUP(TableauRecette[[#This Row],[ID]],TableauProduit[ID],TableauProduit[Total (kg) N3],0,0,1)*TableauRecette[[#This Row],[poids / unite]]</f>
        <v/>
      </c>
      <c r="O459" s="886">
        <f>_xlfn.XLOOKUP(TableauRecette[[#This Row],[ID]],TableauProduit[ID],TableauProduit[Total (kg) N4],0,0,1)*TableauRecette[[#This Row],[poids / unite]]</f>
        <v/>
      </c>
      <c r="P459" s="886">
        <f>_xlfn.XLOOKUP(TableauRecette[[#This Row],[ID]],TableauProduit[ID],TableauProduit[Total (kg) N5],0,0,1)*TableauRecette[[#This Row],[poids / unite]]</f>
        <v/>
      </c>
      <c r="Q459" s="886">
        <f>_xlfn.XLOOKUP(TableauRecette[[#This Row],[ID]],TableauProduit[ID],TableauProduit[Total (kg) N6],0,0,1)*TableauRecette[[#This Row],[poids / unite]]</f>
        <v/>
      </c>
      <c r="R459" s="886">
        <f>_xlfn.XLOOKUP(TableauRecette[[#This Row],[ID]],TableauProduit[ID],TableauProduit[Total (kg) N7],0,0,1)*TableauRecette[[#This Row],[poids / unite]]</f>
        <v/>
      </c>
      <c r="S459" s="886">
        <f>_xlfn.XLOOKUP(TableauRecette[[#This Row],[ID]],TableauProduit[ID],TableauProduit[Total (kg) N8],0,0,1)*TableauRecette[[#This Row],[poids / unite]]</f>
        <v/>
      </c>
      <c r="T459" s="886">
        <f>_xlfn.XLOOKUP(TableauRecette[[#This Row],[ID]],TableauProduit[ID],TableauProduit[Total (kg) N9],0,0,1)*TableauRecette[[#This Row],[poids / unite]]</f>
        <v/>
      </c>
    </row>
    <row r="460">
      <c r="A460" s="544" t="inlineStr">
        <is>
          <t>Zhug</t>
        </is>
      </c>
      <c r="B460" s="110">
        <f>TableauRecette[[#This Row],[Recette]]&amp;TableauRecette[[#This Row],[Conditionnement]]</f>
        <v/>
      </c>
      <c r="C460" s="110" t="inlineStr">
        <is>
          <t>Persil</t>
        </is>
      </c>
      <c r="D460" s="233" t="n">
        <v>50</v>
      </c>
      <c r="E460" s="110" t="inlineStr">
        <is>
          <t>Epice 100ml</t>
        </is>
      </c>
      <c r="F460" s="23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60" s="233">
        <f>IFERROR(_xlfn.XLOOKUP(TableauRecette[[#This Row],[Ingredients]],TableauIngredients[Ingredients],TableauIngredients[Prix d''achat (kg)],0)*TableauRecette[[#This Row],[poids / unite]],0)</f>
        <v/>
      </c>
      <c r="H460" s="233">
        <f>IFERROR(SUMIFS(TableauRecette[Proportion],TableauRecette[Recette],TableauRecette[[#This Row],[Recette]],TableauRecette[Conditionnement],TableauRecette[[#This Row],[Conditionnement]]),0)</f>
        <v/>
      </c>
      <c r="I460" s="233">
        <f>IFERROR(TableauRecette[[#This Row],[Prix d''achat / kg]],0)</f>
        <v/>
      </c>
      <c r="J460" s="233" t="n"/>
      <c r="K460" s="884" t="n"/>
      <c r="L460" s="885">
        <f>_xlfn.XLOOKUP(TableauRecette[[#This Row],[ID]],TableauProduit[ID],TableauProduit[Total (kg) N1],0,0,1)*TableauRecette[[#This Row],[poids / unite]]</f>
        <v/>
      </c>
      <c r="M460" s="886">
        <f>_xlfn.XLOOKUP(TableauRecette[[#This Row],[ID]],TableauProduit[ID],TableauProduit[Total (kg) N2],0,0,1)*TableauRecette[[#This Row],[poids / unite]]</f>
        <v/>
      </c>
      <c r="N460" s="886">
        <f>_xlfn.XLOOKUP(TableauRecette[[#This Row],[ID]],TableauProduit[ID],TableauProduit[Total (kg) N3],0,0,1)*TableauRecette[[#This Row],[poids / unite]]</f>
        <v/>
      </c>
      <c r="O460" s="886">
        <f>_xlfn.XLOOKUP(TableauRecette[[#This Row],[ID]],TableauProduit[ID],TableauProduit[Total (kg) N4],0,0,1)*TableauRecette[[#This Row],[poids / unite]]</f>
        <v/>
      </c>
      <c r="P460" s="886">
        <f>_xlfn.XLOOKUP(TableauRecette[[#This Row],[ID]],TableauProduit[ID],TableauProduit[Total (kg) N5],0,0,1)*TableauRecette[[#This Row],[poids / unite]]</f>
        <v/>
      </c>
      <c r="Q460" s="886">
        <f>_xlfn.XLOOKUP(TableauRecette[[#This Row],[ID]],TableauProduit[ID],TableauProduit[Total (kg) N6],0,0,1)*TableauRecette[[#This Row],[poids / unite]]</f>
        <v/>
      </c>
      <c r="R460" s="886">
        <f>_xlfn.XLOOKUP(TableauRecette[[#This Row],[ID]],TableauProduit[ID],TableauProduit[Total (kg) N7],0,0,1)*TableauRecette[[#This Row],[poids / unite]]</f>
        <v/>
      </c>
      <c r="S460" s="886">
        <f>_xlfn.XLOOKUP(TableauRecette[[#This Row],[ID]],TableauProduit[ID],TableauProduit[Total (kg) N8],0,0,1)*TableauRecette[[#This Row],[poids / unite]]</f>
        <v/>
      </c>
      <c r="T460" s="886">
        <f>_xlfn.XLOOKUP(TableauRecette[[#This Row],[ID]],TableauProduit[ID],TableauProduit[Total (kg) N9],0,0,1)*TableauRecette[[#This Row],[poids / unite]]</f>
        <v/>
      </c>
    </row>
    <row r="461">
      <c r="A461" s="544" t="inlineStr">
        <is>
          <t>Zhug</t>
        </is>
      </c>
      <c r="B461" s="110">
        <f>TableauRecette[[#This Row],[Recette]]&amp;TableauRecette[[#This Row],[Conditionnement]]</f>
        <v/>
      </c>
      <c r="C461" s="110" t="inlineStr">
        <is>
          <t>Huile D'Olive</t>
        </is>
      </c>
      <c r="D461" s="233" t="n">
        <v>16</v>
      </c>
      <c r="E461" s="110" t="inlineStr">
        <is>
          <t>Epice 100ml</t>
        </is>
      </c>
      <c r="F461" s="23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61" s="233">
        <f>IFERROR(_xlfn.XLOOKUP(TableauRecette[[#This Row],[Ingredients]],TableauIngredients[Ingredients],TableauIngredients[Prix d''achat (kg)],0)*TableauRecette[[#This Row],[poids / unite]],0)</f>
        <v/>
      </c>
      <c r="H461" s="233">
        <f>IFERROR(SUMIFS(TableauRecette[Proportion],TableauRecette[Recette],TableauRecette[[#This Row],[Recette]],TableauRecette[Conditionnement],TableauRecette[[#This Row],[Conditionnement]]),0)</f>
        <v/>
      </c>
      <c r="I461" s="233">
        <f>IFERROR(TableauRecette[[#This Row],[Prix d''achat / kg]],0)</f>
        <v/>
      </c>
      <c r="J461" s="233" t="n"/>
      <c r="K461" s="884" t="n"/>
      <c r="L461" s="885">
        <f>_xlfn.XLOOKUP(TableauRecette[[#This Row],[ID]],TableauProduit[ID],TableauProduit[Total (kg) N1],0,0,1)*TableauRecette[[#This Row],[poids / unite]]</f>
        <v/>
      </c>
      <c r="M461" s="886">
        <f>_xlfn.XLOOKUP(TableauRecette[[#This Row],[ID]],TableauProduit[ID],TableauProduit[Total (kg) N2],0,0,1)*TableauRecette[[#This Row],[poids / unite]]</f>
        <v/>
      </c>
      <c r="N461" s="886">
        <f>_xlfn.XLOOKUP(TableauRecette[[#This Row],[ID]],TableauProduit[ID],TableauProduit[Total (kg) N3],0,0,1)*TableauRecette[[#This Row],[poids / unite]]</f>
        <v/>
      </c>
      <c r="O461" s="886">
        <f>_xlfn.XLOOKUP(TableauRecette[[#This Row],[ID]],TableauProduit[ID],TableauProduit[Total (kg) N4],0,0,1)*TableauRecette[[#This Row],[poids / unite]]</f>
        <v/>
      </c>
      <c r="P461" s="886">
        <f>_xlfn.XLOOKUP(TableauRecette[[#This Row],[ID]],TableauProduit[ID],TableauProduit[Total (kg) N5],0,0,1)*TableauRecette[[#This Row],[poids / unite]]</f>
        <v/>
      </c>
      <c r="Q461" s="886">
        <f>_xlfn.XLOOKUP(TableauRecette[[#This Row],[ID]],TableauProduit[ID],TableauProduit[Total (kg) N6],0,0,1)*TableauRecette[[#This Row],[poids / unite]]</f>
        <v/>
      </c>
      <c r="R461" s="886">
        <f>_xlfn.XLOOKUP(TableauRecette[[#This Row],[ID]],TableauProduit[ID],TableauProduit[Total (kg) N7],0,0,1)*TableauRecette[[#This Row],[poids / unite]]</f>
        <v/>
      </c>
      <c r="S461" s="886">
        <f>_xlfn.XLOOKUP(TableauRecette[[#This Row],[ID]],TableauProduit[ID],TableauProduit[Total (kg) N8],0,0,1)*TableauRecette[[#This Row],[poids / unite]]</f>
        <v/>
      </c>
      <c r="T461" s="886">
        <f>_xlfn.XLOOKUP(TableauRecette[[#This Row],[ID]],TableauProduit[ID],TableauProduit[Total (kg) N9],0,0,1)*TableauRecette[[#This Row],[poids / unite]]</f>
        <v/>
      </c>
    </row>
    <row r="462">
      <c r="A462" s="544" t="inlineStr">
        <is>
          <t>Zhug</t>
        </is>
      </c>
      <c r="B462" s="110">
        <f>TableauRecette[[#This Row],[Recette]]&amp;TableauRecette[[#This Row],[Conditionnement]]</f>
        <v/>
      </c>
      <c r="C462" s="110" t="inlineStr">
        <is>
          <t>Citron Jaune</t>
        </is>
      </c>
      <c r="D462" s="233" t="n">
        <v>45</v>
      </c>
      <c r="E462" s="110" t="inlineStr">
        <is>
          <t>Epice 100ml</t>
        </is>
      </c>
      <c r="F462" s="233">
        <f>IFERROR(TableauRecette[[#This Row],[Proportion]]/SUMIFS(TableauRecette[Proportion],TableauRecette[Recette],TableauRecette[[#This Row],[Recette]],TableauRecette[Conditionnement],TableauRecette[[#This Row],[Conditionnement]]),0)</f>
        <v/>
      </c>
      <c r="G462" s="233">
        <f>IFERROR(_xlfn.XLOOKUP(TableauRecette[[#This Row],[Ingredients]],TableauIngredients[Ingredients],TableauIngredients[Prix d''achat (kg)],0)*TableauRecette[[#This Row],[poids / unite]],0)</f>
        <v/>
      </c>
      <c r="H462" s="233">
        <f>IFERROR(SUMIFS(TableauRecette[Proportion],TableauRecette[Recette],TableauRecette[[#This Row],[Recette]],TableauRecette[Conditionnement],TableauRecette[[#This Row],[Conditionnement]]),0)</f>
        <v/>
      </c>
      <c r="I462" s="233">
        <f>IFERROR(TableauRecette[[#This Row],[Prix d''achat / kg]],0)</f>
        <v/>
      </c>
      <c r="J462" s="233" t="n"/>
      <c r="K462" s="884" t="n"/>
      <c r="L462" s="885">
        <f>_xlfn.XLOOKUP(TableauRecette[[#This Row],[ID]],TableauProduit[ID],TableauProduit[Total (kg) N1],0,0,1)*TableauRecette[[#This Row],[poids / unite]]</f>
        <v/>
      </c>
      <c r="M462" s="886">
        <f>_xlfn.XLOOKUP(TableauRecette[[#This Row],[ID]],TableauProduit[ID],TableauProduit[Total (kg) N2],0,0,1)*TableauRecette[[#This Row],[poids / unite]]</f>
        <v/>
      </c>
      <c r="N462" s="886">
        <f>_xlfn.XLOOKUP(TableauRecette[[#This Row],[ID]],TableauProduit[ID],TableauProduit[Total (kg) N3],0,0,1)*TableauRecette[[#This Row],[poids / unite]]</f>
        <v/>
      </c>
      <c r="O462" s="886">
        <f>_xlfn.XLOOKUP(TableauRecette[[#This Row],[ID]],TableauProduit[ID],TableauProduit[Total (kg) N4],0,0,1)*TableauRecette[[#This Row],[poids / unite]]</f>
        <v/>
      </c>
      <c r="P462" s="886">
        <f>_xlfn.XLOOKUP(TableauRecette[[#This Row],[ID]],TableauProduit[ID],TableauProduit[Total (kg) N5],0,0,1)*TableauRecette[[#This Row],[poids / unite]]</f>
        <v/>
      </c>
      <c r="Q462" s="886">
        <f>_xlfn.XLOOKUP(TableauRecette[[#This Row],[ID]],TableauProduit[ID],TableauProduit[Total (kg) N6],0,0,1)*TableauRecette[[#This Row],[poids / unite]]</f>
        <v/>
      </c>
      <c r="R462" s="886">
        <f>_xlfn.XLOOKUP(TableauRecette[[#This Row],[ID]],TableauProduit[ID],TableauProduit[Total (kg) N7],0,0,1)*TableauRecette[[#This Row],[poids / unite]]</f>
        <v/>
      </c>
      <c r="S462" s="886">
        <f>_xlfn.XLOOKUP(TableauRecette[[#This Row],[ID]],TableauProduit[ID],TableauProduit[Total (kg) N8],0,0,1)*TableauRecette[[#This Row],[poids / unite]]</f>
        <v/>
      </c>
      <c r="T462" s="886">
        <f>_xlfn.XLOOKUP(TableauRecette[[#This Row],[ID]],TableauProduit[ID],TableauProduit[Total (kg) N9],0,0,1)*TableauRecette[[#This Row],[poids / unite]]</f>
        <v/>
      </c>
    </row>
    <row r="463">
      <c r="A463" s="610" t="n"/>
      <c r="B463" s="610" t="n"/>
      <c r="C463" s="610" t="n"/>
      <c r="D463" s="978" t="n"/>
      <c r="E463" s="610" t="n"/>
      <c r="F463" s="610" t="n"/>
      <c r="G463" s="610" t="n"/>
      <c r="H463" s="610" t="n"/>
      <c r="I463" s="610" t="n"/>
      <c r="J463" s="978" t="n"/>
      <c r="K463" s="615" t="n"/>
      <c r="L463" s="613" t="n"/>
      <c r="M463" s="614" t="n"/>
      <c r="N463" s="614" t="n"/>
      <c r="O463" s="614" t="n"/>
      <c r="P463" s="614" t="n"/>
      <c r="Q463" s="614" t="n"/>
      <c r="R463" s="614" t="n"/>
      <c r="S463" s="614" t="n"/>
      <c r="T463" s="614" t="n"/>
    </row>
    <row r="464">
      <c r="A464" s="610" t="n"/>
      <c r="B464" s="610" t="n"/>
      <c r="C464" s="610" t="n"/>
      <c r="D464" s="978" t="n"/>
      <c r="E464" s="610" t="n"/>
      <c r="F464" s="610" t="n"/>
      <c r="G464" s="610" t="n"/>
      <c r="H464" s="610" t="n"/>
      <c r="I464" s="610" t="n"/>
      <c r="J464" s="978" t="n"/>
      <c r="K464" s="615" t="n"/>
      <c r="L464" s="613" t="n"/>
      <c r="M464" s="614" t="n"/>
      <c r="N464" s="614" t="n"/>
      <c r="O464" s="614" t="n"/>
      <c r="P464" s="614" t="n"/>
      <c r="Q464" s="614" t="n"/>
      <c r="R464" s="614" t="n"/>
      <c r="S464" s="614" t="n"/>
      <c r="T464" s="614" t="n"/>
    </row>
    <row r="465">
      <c r="A465" s="610" t="n"/>
      <c r="B465" s="610" t="n"/>
      <c r="C465" s="610" t="n"/>
      <c r="D465" s="978" t="n"/>
      <c r="E465" s="610" t="n"/>
      <c r="F465" s="610" t="n"/>
      <c r="G465" s="610" t="n"/>
      <c r="H465" s="610" t="n"/>
      <c r="I465" s="610" t="n"/>
      <c r="J465" s="978" t="n"/>
      <c r="K465" s="615" t="n"/>
      <c r="L465" s="613" t="n"/>
      <c r="M465" s="614" t="n"/>
      <c r="N465" s="614" t="n"/>
      <c r="O465" s="614" t="n"/>
      <c r="P465" s="614" t="n"/>
      <c r="Q465" s="614" t="n"/>
      <c r="R465" s="614" t="n"/>
      <c r="S465" s="614" t="n"/>
      <c r="T465" s="614" t="n"/>
    </row>
    <row r="466">
      <c r="A466" s="610" t="n"/>
      <c r="B466" s="610" t="n"/>
      <c r="C466" s="610" t="n"/>
      <c r="D466" s="978" t="n"/>
      <c r="E466" s="610" t="n"/>
      <c r="F466" s="610" t="n"/>
      <c r="G466" s="610" t="n"/>
      <c r="H466" s="610" t="n"/>
      <c r="I466" s="610" t="n"/>
      <c r="J466" s="978" t="n"/>
      <c r="K466" s="615" t="n"/>
      <c r="L466" s="613" t="n"/>
      <c r="M466" s="614" t="n"/>
      <c r="N466" s="614" t="n"/>
      <c r="O466" s="614" t="n"/>
      <c r="P466" s="614" t="n"/>
      <c r="Q466" s="614" t="n"/>
      <c r="R466" s="614" t="n"/>
      <c r="S466" s="614" t="n"/>
      <c r="T466" s="614" t="n"/>
    </row>
    <row r="467">
      <c r="A467" s="610" t="n"/>
      <c r="B467" s="610" t="n"/>
      <c r="C467" s="610" t="n"/>
      <c r="D467" s="978" t="n"/>
      <c r="E467" s="610" t="n"/>
      <c r="F467" s="610" t="n"/>
      <c r="G467" s="610" t="n"/>
      <c r="H467" s="610" t="n"/>
      <c r="I467" s="610" t="n"/>
      <c r="J467" s="978" t="n"/>
      <c r="K467" s="615" t="n"/>
      <c r="L467" s="613" t="n"/>
      <c r="M467" s="614" t="n"/>
      <c r="N467" s="614" t="n"/>
      <c r="O467" s="614" t="n"/>
      <c r="P467" s="614" t="n"/>
      <c r="Q467" s="614" t="n"/>
      <c r="R467" s="614" t="n"/>
      <c r="S467" s="614" t="n"/>
      <c r="T467" s="614" t="n"/>
    </row>
    <row r="468">
      <c r="A468" s="610" t="n"/>
      <c r="B468" s="610" t="n"/>
      <c r="C468" s="610" t="n"/>
      <c r="D468" s="978" t="n"/>
      <c r="E468" s="610" t="n"/>
      <c r="F468" s="610" t="n"/>
      <c r="G468" s="610" t="n"/>
      <c r="H468" s="610" t="n"/>
      <c r="I468" s="610" t="n"/>
      <c r="J468" s="978" t="n"/>
      <c r="K468" s="615" t="n"/>
      <c r="L468" s="613" t="n"/>
      <c r="M468" s="614" t="n"/>
      <c r="N468" s="614" t="n"/>
      <c r="O468" s="614" t="n"/>
      <c r="P468" s="614" t="n"/>
      <c r="Q468" s="614" t="n"/>
      <c r="R468" s="614" t="n"/>
      <c r="S468" s="614" t="n"/>
      <c r="T468" s="614" t="n"/>
    </row>
    <row r="469">
      <c r="A469" s="610" t="n"/>
      <c r="B469" s="610" t="n"/>
      <c r="C469" s="610" t="n"/>
      <c r="D469" s="978" t="n"/>
      <c r="E469" s="610" t="n"/>
      <c r="F469" s="610" t="n"/>
      <c r="G469" s="610" t="n"/>
      <c r="H469" s="610" t="n"/>
      <c r="I469" s="610" t="n"/>
      <c r="J469" s="978" t="n"/>
      <c r="K469" s="615" t="n"/>
      <c r="L469" s="613" t="n"/>
      <c r="M469" s="614" t="n"/>
      <c r="N469" s="614" t="n"/>
      <c r="O469" s="614" t="n"/>
      <c r="P469" s="614" t="n"/>
      <c r="Q469" s="614" t="n"/>
      <c r="R469" s="614" t="n"/>
      <c r="S469" s="614" t="n"/>
      <c r="T469" s="614" t="n"/>
    </row>
    <row r="470">
      <c r="A470" s="610" t="n"/>
      <c r="B470" s="610" t="n"/>
      <c r="C470" s="610" t="n"/>
      <c r="D470" s="978" t="n"/>
      <c r="E470" s="610" t="n"/>
      <c r="F470" s="610" t="n"/>
      <c r="G470" s="610" t="n"/>
      <c r="H470" s="610" t="n"/>
      <c r="I470" s="610" t="n"/>
      <c r="J470" s="978" t="n"/>
      <c r="K470" s="615" t="n"/>
      <c r="L470" s="613" t="n"/>
      <c r="M470" s="614" t="n"/>
      <c r="N470" s="614" t="n"/>
      <c r="O470" s="614" t="n"/>
      <c r="P470" s="614" t="n"/>
      <c r="Q470" s="614" t="n"/>
      <c r="R470" s="614" t="n"/>
      <c r="S470" s="614" t="n"/>
      <c r="T470" s="614" t="n"/>
    </row>
    <row r="471">
      <c r="A471" s="610" t="n"/>
      <c r="B471" s="610" t="n"/>
      <c r="C471" s="610" t="n"/>
      <c r="D471" s="978" t="n"/>
      <c r="E471" s="610" t="n"/>
      <c r="F471" s="610" t="n"/>
      <c r="G471" s="610" t="n"/>
      <c r="H471" s="610" t="n"/>
      <c r="I471" s="610" t="n"/>
      <c r="J471" s="978" t="n"/>
      <c r="K471" s="615" t="n"/>
      <c r="L471" s="613" t="n"/>
      <c r="M471" s="614" t="n"/>
      <c r="N471" s="614" t="n"/>
      <c r="O471" s="614" t="n"/>
      <c r="P471" s="614" t="n"/>
      <c r="Q471" s="614" t="n"/>
      <c r="R471" s="614" t="n"/>
      <c r="S471" s="614" t="n"/>
      <c r="T471" s="614" t="n"/>
    </row>
    <row r="472">
      <c r="A472" s="610" t="n"/>
      <c r="B472" s="610" t="n"/>
      <c r="C472" s="610" t="n"/>
      <c r="D472" s="978" t="n"/>
      <c r="E472" s="610" t="n"/>
      <c r="F472" s="610" t="n"/>
      <c r="G472" s="610" t="n"/>
      <c r="H472" s="610" t="n"/>
      <c r="I472" s="610" t="n"/>
      <c r="J472" s="978" t="n"/>
      <c r="K472" s="615" t="n"/>
      <c r="L472" s="613" t="n"/>
      <c r="M472" s="614" t="n"/>
      <c r="N472" s="614" t="n"/>
      <c r="O472" s="614" t="n"/>
      <c r="P472" s="614" t="n"/>
      <c r="Q472" s="614" t="n"/>
      <c r="R472" s="614" t="n"/>
      <c r="S472" s="614" t="n"/>
      <c r="T472" s="614" t="n"/>
    </row>
    <row r="473">
      <c r="A473" s="610" t="n"/>
      <c r="B473" s="610" t="n"/>
      <c r="C473" s="610" t="n"/>
      <c r="D473" s="978" t="n"/>
      <c r="E473" s="610" t="n"/>
      <c r="F473" s="610" t="n"/>
      <c r="G473" s="610" t="n"/>
      <c r="H473" s="610" t="n"/>
      <c r="I473" s="610" t="n"/>
      <c r="J473" s="978" t="n"/>
      <c r="K473" s="615" t="n"/>
      <c r="L473" s="613" t="n"/>
      <c r="M473" s="614" t="n"/>
      <c r="N473" s="614" t="n"/>
      <c r="O473" s="614" t="n"/>
      <c r="P473" s="614" t="n"/>
      <c r="Q473" s="614" t="n"/>
      <c r="R473" s="614" t="n"/>
      <c r="S473" s="614" t="n"/>
      <c r="T473" s="614" t="n"/>
    </row>
    <row r="474">
      <c r="A474" s="610" t="n"/>
      <c r="B474" s="610" t="n"/>
      <c r="C474" s="610" t="n"/>
      <c r="D474" s="978" t="n"/>
      <c r="E474" s="610" t="n"/>
      <c r="F474" s="610" t="n"/>
      <c r="G474" s="610" t="n"/>
      <c r="H474" s="610" t="n"/>
      <c r="I474" s="610" t="n"/>
      <c r="J474" s="978" t="n"/>
      <c r="K474" s="615" t="n"/>
      <c r="L474" s="613" t="n"/>
      <c r="M474" s="614" t="n"/>
      <c r="N474" s="614" t="n"/>
      <c r="O474" s="614" t="n"/>
      <c r="P474" s="614" t="n"/>
      <c r="Q474" s="614" t="n"/>
      <c r="R474" s="614" t="n"/>
      <c r="S474" s="614" t="n"/>
      <c r="T474" s="614" t="n"/>
    </row>
    <row r="475">
      <c r="A475" s="610" t="n"/>
      <c r="B475" s="610" t="n"/>
      <c r="C475" s="610" t="n"/>
      <c r="D475" s="978" t="n"/>
      <c r="E475" s="610" t="n"/>
      <c r="F475" s="610" t="n"/>
      <c r="G475" s="610" t="n"/>
      <c r="H475" s="610" t="n"/>
      <c r="I475" s="610" t="n"/>
      <c r="J475" s="978" t="n"/>
      <c r="K475" s="615" t="n"/>
      <c r="L475" s="613" t="n"/>
      <c r="M475" s="614" t="n"/>
      <c r="N475" s="614" t="n"/>
      <c r="O475" s="614" t="n"/>
      <c r="P475" s="614" t="n"/>
      <c r="Q475" s="614" t="n"/>
      <c r="R475" s="614" t="n"/>
      <c r="S475" s="614" t="n"/>
      <c r="T475" s="614" t="n"/>
    </row>
    <row r="476">
      <c r="A476" s="610" t="n"/>
      <c r="B476" s="610" t="n"/>
      <c r="C476" s="610" t="n"/>
      <c r="D476" s="978" t="n"/>
      <c r="E476" s="610" t="n"/>
      <c r="F476" s="610" t="n"/>
      <c r="G476" s="610" t="n"/>
      <c r="H476" s="610" t="n"/>
      <c r="I476" s="610" t="n"/>
      <c r="J476" s="978" t="n"/>
      <c r="K476" s="615" t="n"/>
      <c r="L476" s="613" t="n"/>
      <c r="M476" s="614" t="n"/>
      <c r="N476" s="614" t="n"/>
      <c r="O476" s="614" t="n"/>
      <c r="P476" s="614" t="n"/>
      <c r="Q476" s="614" t="n"/>
      <c r="R476" s="614" t="n"/>
      <c r="S476" s="614" t="n"/>
      <c r="T476" s="614" t="n"/>
    </row>
    <row r="477">
      <c r="A477" s="610" t="n"/>
      <c r="B477" s="610" t="n"/>
      <c r="C477" s="610" t="n"/>
      <c r="D477" s="978" t="n"/>
      <c r="E477" s="610" t="n"/>
      <c r="F477" s="610" t="n"/>
      <c r="G477" s="610" t="n"/>
      <c r="H477" s="610" t="n"/>
      <c r="I477" s="610" t="n"/>
      <c r="J477" s="978" t="n"/>
      <c r="K477" s="615" t="n"/>
      <c r="L477" s="613" t="n"/>
      <c r="M477" s="614" t="n"/>
      <c r="N477" s="614" t="n"/>
      <c r="O477" s="614" t="n"/>
      <c r="P477" s="614" t="n"/>
      <c r="Q477" s="614" t="n"/>
      <c r="R477" s="614" t="n"/>
      <c r="S477" s="614" t="n"/>
      <c r="T477" s="614" t="n"/>
    </row>
    <row r="478">
      <c r="A478" s="610" t="n"/>
      <c r="B478" s="610" t="n"/>
      <c r="C478" s="610" t="n"/>
      <c r="D478" s="978" t="n"/>
      <c r="E478" s="610" t="n"/>
      <c r="F478" s="610" t="n"/>
      <c r="G478" s="610" t="n"/>
      <c r="H478" s="610" t="n"/>
      <c r="I478" s="610" t="n"/>
      <c r="J478" s="978" t="n"/>
      <c r="K478" s="615" t="n"/>
      <c r="L478" s="613" t="n"/>
      <c r="M478" s="614" t="n"/>
      <c r="N478" s="614" t="n"/>
      <c r="O478" s="614" t="n"/>
      <c r="P478" s="614" t="n"/>
      <c r="Q478" s="614" t="n"/>
      <c r="R478" s="614" t="n"/>
      <c r="S478" s="614" t="n"/>
      <c r="T478" s="614" t="n"/>
    </row>
    <row r="479">
      <c r="A479" s="610" t="n"/>
      <c r="B479" s="610" t="n"/>
      <c r="C479" s="610" t="n"/>
      <c r="D479" s="978" t="n"/>
      <c r="E479" s="610" t="n"/>
      <c r="F479" s="610" t="n"/>
      <c r="G479" s="610" t="n"/>
      <c r="H479" s="610" t="n"/>
      <c r="I479" s="610" t="n"/>
      <c r="J479" s="978" t="n"/>
      <c r="K479" s="615" t="n"/>
      <c r="L479" s="613" t="n"/>
      <c r="M479" s="614" t="n"/>
      <c r="N479" s="614" t="n"/>
      <c r="O479" s="614" t="n"/>
      <c r="P479" s="614" t="n"/>
      <c r="Q479" s="614" t="n"/>
      <c r="R479" s="614" t="n"/>
      <c r="S479" s="614" t="n"/>
      <c r="T479" s="614" t="n"/>
    </row>
    <row r="480">
      <c r="A480" s="610" t="n"/>
      <c r="B480" s="610" t="n"/>
      <c r="C480" s="610" t="n"/>
      <c r="D480" s="978" t="n"/>
      <c r="E480" s="610" t="n"/>
      <c r="F480" s="610" t="n"/>
      <c r="G480" s="610" t="n"/>
      <c r="H480" s="610" t="n"/>
      <c r="I480" s="610" t="n"/>
      <c r="J480" s="978" t="n"/>
      <c r="K480" s="615" t="n"/>
      <c r="L480" s="613" t="n"/>
      <c r="M480" s="614" t="n"/>
      <c r="N480" s="614" t="n"/>
      <c r="O480" s="614" t="n"/>
      <c r="P480" s="614" t="n"/>
      <c r="Q480" s="614" t="n"/>
      <c r="R480" s="614" t="n"/>
      <c r="S480" s="614" t="n"/>
      <c r="T480" s="614" t="n"/>
    </row>
    <row r="481">
      <c r="A481" s="610" t="n"/>
      <c r="B481" s="610" t="n"/>
      <c r="C481" s="610" t="n"/>
      <c r="D481" s="978" t="n"/>
      <c r="E481" s="610" t="n"/>
      <c r="F481" s="610" t="n"/>
      <c r="G481" s="610" t="n"/>
      <c r="H481" s="610" t="n"/>
      <c r="I481" s="610" t="n"/>
      <c r="J481" s="978" t="n"/>
      <c r="K481" s="615" t="n"/>
      <c r="L481" s="613" t="n"/>
      <c r="M481" s="614" t="n"/>
      <c r="N481" s="614" t="n"/>
      <c r="O481" s="614" t="n"/>
      <c r="P481" s="614" t="n"/>
      <c r="Q481" s="614" t="n"/>
      <c r="R481" s="614" t="n"/>
      <c r="S481" s="614" t="n"/>
      <c r="T481" s="614" t="n"/>
    </row>
    <row r="482">
      <c r="A482" s="610" t="n"/>
      <c r="B482" s="610" t="n"/>
      <c r="C482" s="610" t="n"/>
      <c r="D482" s="978" t="n"/>
      <c r="E482" s="610" t="n"/>
      <c r="F482" s="610" t="n"/>
      <c r="G482" s="610" t="n"/>
      <c r="H482" s="610" t="n"/>
      <c r="I482" s="610" t="n"/>
      <c r="J482" s="978" t="n"/>
      <c r="K482" s="615" t="n"/>
      <c r="L482" s="613" t="n"/>
      <c r="M482" s="614" t="n"/>
      <c r="N482" s="614" t="n"/>
      <c r="O482" s="614" t="n"/>
      <c r="P482" s="614" t="n"/>
      <c r="Q482" s="614" t="n"/>
      <c r="R482" s="614" t="n"/>
      <c r="S482" s="614" t="n"/>
      <c r="T482" s="614" t="n"/>
    </row>
    <row r="483">
      <c r="A483" s="610" t="n"/>
      <c r="B483" s="610" t="n"/>
      <c r="C483" s="610" t="n"/>
      <c r="D483" s="978" t="n"/>
      <c r="E483" s="610" t="n"/>
      <c r="F483" s="610" t="n"/>
      <c r="G483" s="610" t="n"/>
      <c r="H483" s="610" t="n"/>
      <c r="I483" s="610" t="n"/>
      <c r="J483" s="978" t="n"/>
      <c r="K483" s="615" t="n"/>
      <c r="L483" s="613" t="n"/>
      <c r="M483" s="614" t="n"/>
      <c r="N483" s="614" t="n"/>
      <c r="O483" s="614" t="n"/>
      <c r="P483" s="614" t="n"/>
      <c r="Q483" s="614" t="n"/>
      <c r="R483" s="614" t="n"/>
      <c r="S483" s="614" t="n"/>
      <c r="T483" s="614" t="n"/>
    </row>
    <row r="484">
      <c r="A484" s="610" t="n"/>
      <c r="B484" s="610" t="n"/>
      <c r="C484" s="610" t="n"/>
      <c r="D484" s="978" t="n"/>
      <c r="E484" s="610" t="n"/>
      <c r="F484" s="610" t="n"/>
      <c r="G484" s="610" t="n"/>
      <c r="H484" s="610" t="n"/>
      <c r="I484" s="610" t="n"/>
      <c r="J484" s="978" t="n"/>
      <c r="K484" s="615" t="n"/>
      <c r="L484" s="613" t="n"/>
      <c r="M484" s="614" t="n"/>
      <c r="N484" s="614" t="n"/>
      <c r="O484" s="614" t="n"/>
      <c r="P484" s="614" t="n"/>
      <c r="Q484" s="614" t="n"/>
      <c r="R484" s="614" t="n"/>
      <c r="S484" s="614" t="n"/>
      <c r="T484" s="614" t="n"/>
    </row>
    <row r="485">
      <c r="A485" s="610" t="n"/>
      <c r="B485" s="610" t="n"/>
      <c r="C485" s="610" t="n"/>
      <c r="D485" s="978" t="n"/>
      <c r="E485" s="610" t="n"/>
      <c r="F485" s="610" t="n"/>
      <c r="G485" s="610" t="n"/>
      <c r="H485" s="610" t="n"/>
      <c r="I485" s="610" t="n"/>
      <c r="J485" s="978" t="n"/>
      <c r="K485" s="615" t="n"/>
      <c r="L485" s="613" t="n"/>
      <c r="M485" s="614" t="n"/>
      <c r="N485" s="614" t="n"/>
      <c r="O485" s="614" t="n"/>
      <c r="P485" s="614" t="n"/>
      <c r="Q485" s="614" t="n"/>
      <c r="R485" s="614" t="n"/>
      <c r="S485" s="614" t="n"/>
      <c r="T485" s="614" t="n"/>
    </row>
    <row r="486">
      <c r="A486" s="610" t="n"/>
      <c r="B486" s="610" t="n"/>
      <c r="C486" s="610" t="n"/>
      <c r="D486" s="978" t="n"/>
      <c r="E486" s="610" t="n"/>
      <c r="F486" s="610" t="n"/>
      <c r="G486" s="610" t="n"/>
      <c r="H486" s="610" t="n"/>
      <c r="I486" s="610" t="n"/>
      <c r="J486" s="978" t="n"/>
      <c r="K486" s="615" t="n"/>
      <c r="L486" s="613" t="n"/>
      <c r="M486" s="614" t="n"/>
      <c r="N486" s="614" t="n"/>
      <c r="O486" s="614" t="n"/>
      <c r="P486" s="614" t="n"/>
      <c r="Q486" s="614" t="n"/>
      <c r="R486" s="614" t="n"/>
      <c r="S486" s="614" t="n"/>
      <c r="T486" s="614" t="n"/>
    </row>
    <row r="487">
      <c r="A487" s="610" t="n"/>
      <c r="B487" s="610" t="n"/>
      <c r="C487" s="610" t="n"/>
      <c r="D487" s="978" t="n"/>
      <c r="E487" s="610" t="n"/>
      <c r="F487" s="610" t="n"/>
      <c r="G487" s="610" t="n"/>
      <c r="H487" s="610" t="n"/>
      <c r="I487" s="610" t="n"/>
      <c r="J487" s="978" t="n"/>
      <c r="K487" s="615" t="n"/>
      <c r="L487" s="613" t="n"/>
      <c r="M487" s="614" t="n"/>
      <c r="N487" s="614" t="n"/>
      <c r="O487" s="614" t="n"/>
      <c r="P487" s="614" t="n"/>
      <c r="Q487" s="614" t="n"/>
      <c r="R487" s="614" t="n"/>
      <c r="S487" s="614" t="n"/>
      <c r="T487" s="614" t="n"/>
    </row>
    <row r="488">
      <c r="A488" s="610" t="n"/>
      <c r="B488" s="610" t="n"/>
      <c r="C488" s="610" t="n"/>
      <c r="D488" s="978" t="n"/>
      <c r="E488" s="610" t="n"/>
      <c r="F488" s="610" t="n"/>
      <c r="G488" s="610" t="n"/>
      <c r="H488" s="610" t="n"/>
      <c r="I488" s="610" t="n"/>
      <c r="J488" s="978" t="n"/>
      <c r="K488" s="615" t="n"/>
      <c r="L488" s="613" t="n"/>
      <c r="M488" s="614" t="n"/>
      <c r="N488" s="614" t="n"/>
      <c r="O488" s="614" t="n"/>
      <c r="P488" s="614" t="n"/>
      <c r="Q488" s="614" t="n"/>
      <c r="R488" s="614" t="n"/>
      <c r="S488" s="614" t="n"/>
      <c r="T488" s="614" t="n"/>
    </row>
    <row r="489">
      <c r="A489" s="610" t="n"/>
      <c r="B489" s="610" t="n"/>
      <c r="C489" s="610" t="n"/>
      <c r="D489" s="978" t="n"/>
      <c r="E489" s="610" t="n"/>
      <c r="F489" s="610" t="n"/>
      <c r="G489" s="610" t="n"/>
      <c r="H489" s="610" t="n"/>
      <c r="I489" s="610" t="n"/>
      <c r="J489" s="978" t="n"/>
      <c r="K489" s="615" t="n"/>
      <c r="L489" s="613" t="n"/>
      <c r="M489" s="614" t="n"/>
      <c r="N489" s="614" t="n"/>
      <c r="O489" s="614" t="n"/>
      <c r="P489" s="614" t="n"/>
      <c r="Q489" s="614" t="n"/>
      <c r="R489" s="614" t="n"/>
      <c r="S489" s="614" t="n"/>
      <c r="T489" s="614" t="n"/>
    </row>
    <row r="490">
      <c r="A490" s="610" t="n"/>
      <c r="B490" s="610" t="n"/>
      <c r="C490" s="610" t="n"/>
      <c r="D490" s="978" t="n"/>
      <c r="E490" s="610" t="n"/>
      <c r="F490" s="610" t="n"/>
      <c r="G490" s="610" t="n"/>
      <c r="H490" s="610" t="n"/>
      <c r="I490" s="610" t="n"/>
      <c r="J490" s="978" t="n"/>
      <c r="K490" s="615" t="n"/>
      <c r="L490" s="613" t="n"/>
      <c r="M490" s="614" t="n"/>
      <c r="N490" s="614" t="n"/>
      <c r="O490" s="614" t="n"/>
      <c r="P490" s="614" t="n"/>
      <c r="Q490" s="614" t="n"/>
      <c r="R490" s="614" t="n"/>
      <c r="S490" s="614" t="n"/>
      <c r="T490" s="614" t="n"/>
    </row>
    <row r="491">
      <c r="A491" s="610" t="n"/>
      <c r="B491" s="610" t="n"/>
      <c r="C491" s="610" t="n"/>
      <c r="D491" s="978" t="n"/>
      <c r="E491" s="610" t="n"/>
      <c r="F491" s="610" t="n"/>
      <c r="G491" s="610" t="n"/>
      <c r="H491" s="610" t="n"/>
      <c r="I491" s="610" t="n"/>
      <c r="J491" s="978" t="n"/>
      <c r="K491" s="615" t="n"/>
      <c r="L491" s="613" t="n"/>
      <c r="M491" s="614" t="n"/>
      <c r="N491" s="614" t="n"/>
      <c r="O491" s="614" t="n"/>
      <c r="P491" s="614" t="n"/>
      <c r="Q491" s="614" t="n"/>
      <c r="R491" s="614" t="n"/>
      <c r="S491" s="614" t="n"/>
      <c r="T491" s="614" t="n"/>
    </row>
    <row r="492">
      <c r="A492" s="610" t="n"/>
      <c r="B492" s="610" t="n"/>
      <c r="C492" s="610" t="n"/>
      <c r="D492" s="978" t="n"/>
      <c r="E492" s="610" t="n"/>
      <c r="F492" s="610" t="n"/>
      <c r="G492" s="610" t="n"/>
      <c r="H492" s="610" t="n"/>
      <c r="I492" s="610" t="n"/>
      <c r="J492" s="978" t="n"/>
      <c r="K492" s="615" t="n"/>
      <c r="L492" s="613" t="n"/>
      <c r="M492" s="614" t="n"/>
      <c r="N492" s="614" t="n"/>
      <c r="O492" s="614" t="n"/>
      <c r="P492" s="614" t="n"/>
      <c r="Q492" s="614" t="n"/>
      <c r="R492" s="614" t="n"/>
      <c r="S492" s="614" t="n"/>
      <c r="T492" s="614" t="n"/>
    </row>
    <row r="493">
      <c r="A493" s="610" t="n"/>
      <c r="B493" s="610" t="n"/>
      <c r="C493" s="610" t="n"/>
      <c r="D493" s="978" t="n"/>
      <c r="E493" s="610" t="n"/>
      <c r="F493" s="610" t="n"/>
      <c r="G493" s="610" t="n"/>
      <c r="H493" s="610" t="n"/>
      <c r="I493" s="610" t="n"/>
      <c r="J493" s="978" t="n"/>
      <c r="K493" s="615" t="n"/>
      <c r="L493" s="613" t="n"/>
      <c r="M493" s="614" t="n"/>
      <c r="N493" s="614" t="n"/>
      <c r="O493" s="614" t="n"/>
      <c r="P493" s="614" t="n"/>
      <c r="Q493" s="614" t="n"/>
      <c r="R493" s="614" t="n"/>
      <c r="S493" s="614" t="n"/>
      <c r="T493" s="614" t="n"/>
    </row>
    <row r="494">
      <c r="A494" s="610" t="n"/>
      <c r="B494" s="610" t="n"/>
      <c r="C494" s="610" t="n"/>
      <c r="D494" s="978" t="n"/>
      <c r="E494" s="610" t="n"/>
      <c r="F494" s="610" t="n"/>
      <c r="G494" s="610" t="n"/>
      <c r="H494" s="610" t="n"/>
      <c r="I494" s="610" t="n"/>
      <c r="J494" s="978" t="n"/>
      <c r="K494" s="615" t="n"/>
      <c r="L494" s="613" t="n"/>
      <c r="M494" s="614" t="n"/>
      <c r="N494" s="614" t="n"/>
      <c r="O494" s="614" t="n"/>
      <c r="P494" s="614" t="n"/>
      <c r="Q494" s="614" t="n"/>
      <c r="R494" s="614" t="n"/>
      <c r="S494" s="614" t="n"/>
      <c r="T494" s="614" t="n"/>
    </row>
    <row r="495">
      <c r="A495" s="610" t="n"/>
      <c r="B495" s="610" t="n"/>
      <c r="C495" s="610" t="n"/>
      <c r="D495" s="978" t="n"/>
      <c r="E495" s="610" t="n"/>
      <c r="F495" s="610" t="n"/>
      <c r="G495" s="610" t="n"/>
      <c r="H495" s="610" t="n"/>
      <c r="I495" s="610" t="n"/>
      <c r="J495" s="978" t="n"/>
      <c r="K495" s="615" t="n"/>
      <c r="L495" s="613" t="n"/>
      <c r="M495" s="614" t="n"/>
      <c r="N495" s="614" t="n"/>
      <c r="O495" s="614" t="n"/>
      <c r="P495" s="614" t="n"/>
      <c r="Q495" s="614" t="n"/>
      <c r="R495" s="614" t="n"/>
      <c r="S495" s="614" t="n"/>
      <c r="T495" s="614" t="n"/>
    </row>
    <row r="496">
      <c r="A496" s="610" t="n"/>
      <c r="B496" s="610" t="n"/>
      <c r="C496" s="610" t="n"/>
      <c r="D496" s="978" t="n"/>
      <c r="E496" s="610" t="n"/>
      <c r="F496" s="610" t="n"/>
      <c r="G496" s="610" t="n"/>
      <c r="H496" s="610" t="n"/>
      <c r="I496" s="610" t="n"/>
      <c r="J496" s="978" t="n"/>
      <c r="K496" s="615" t="n"/>
      <c r="L496" s="613" t="n"/>
      <c r="M496" s="614" t="n"/>
      <c r="N496" s="614" t="n"/>
      <c r="O496" s="614" t="n"/>
      <c r="P496" s="614" t="n"/>
      <c r="Q496" s="614" t="n"/>
      <c r="R496" s="614" t="n"/>
      <c r="S496" s="614" t="n"/>
      <c r="T496" s="614" t="n"/>
    </row>
    <row r="497">
      <c r="A497" s="610" t="n"/>
      <c r="B497" s="610" t="n"/>
      <c r="C497" s="610" t="n"/>
      <c r="D497" s="978" t="n"/>
      <c r="E497" s="610" t="n"/>
      <c r="F497" s="610" t="n"/>
      <c r="G497" s="610" t="n"/>
      <c r="H497" s="610" t="n"/>
      <c r="I497" s="610" t="n"/>
      <c r="J497" s="978" t="n"/>
      <c r="K497" s="615" t="n"/>
      <c r="L497" s="613" t="n"/>
      <c r="M497" s="614" t="n"/>
      <c r="N497" s="614" t="n"/>
      <c r="O497" s="614" t="n"/>
      <c r="P497" s="614" t="n"/>
      <c r="Q497" s="614" t="n"/>
      <c r="R497" s="614" t="n"/>
      <c r="S497" s="614" t="n"/>
      <c r="T497" s="614" t="n"/>
    </row>
    <row r="498">
      <c r="A498" s="610" t="n"/>
      <c r="B498" s="610" t="n"/>
      <c r="C498" s="610" t="n"/>
      <c r="D498" s="978" t="n"/>
      <c r="E498" s="610" t="n"/>
      <c r="F498" s="610" t="n"/>
      <c r="G498" s="610" t="n"/>
      <c r="H498" s="610" t="n"/>
      <c r="I498" s="610" t="n"/>
      <c r="J498" s="978" t="n"/>
      <c r="K498" s="615" t="n"/>
      <c r="L498" s="613" t="n"/>
      <c r="M498" s="614" t="n"/>
      <c r="N498" s="614" t="n"/>
      <c r="O498" s="614" t="n"/>
      <c r="P498" s="614" t="n"/>
      <c r="Q498" s="614" t="n"/>
      <c r="R498" s="614" t="n"/>
      <c r="S498" s="614" t="n"/>
      <c r="T498" s="614" t="n"/>
    </row>
    <row r="499">
      <c r="A499" s="610" t="n"/>
      <c r="B499" s="610" t="n"/>
      <c r="C499" s="610" t="n"/>
      <c r="D499" s="978" t="n"/>
      <c r="E499" s="610" t="n"/>
      <c r="F499" s="610" t="n"/>
      <c r="G499" s="610" t="n"/>
      <c r="H499" s="610" t="n"/>
      <c r="I499" s="610" t="n"/>
      <c r="J499" s="978" t="n"/>
      <c r="K499" s="615" t="n"/>
      <c r="L499" s="613" t="n"/>
      <c r="M499" s="614" t="n"/>
      <c r="N499" s="614" t="n"/>
      <c r="O499" s="614" t="n"/>
      <c r="P499" s="614" t="n"/>
      <c r="Q499" s="614" t="n"/>
      <c r="R499" s="614" t="n"/>
      <c r="S499" s="614" t="n"/>
      <c r="T499" s="614" t="n"/>
    </row>
    <row r="500">
      <c r="A500" s="610" t="n"/>
      <c r="B500" s="610" t="n"/>
      <c r="C500" s="610" t="n"/>
      <c r="D500" s="978" t="n"/>
      <c r="E500" s="610" t="n"/>
      <c r="F500" s="610" t="n"/>
      <c r="G500" s="610" t="n"/>
      <c r="H500" s="610" t="n"/>
      <c r="I500" s="610" t="n"/>
      <c r="J500" s="978" t="n"/>
      <c r="K500" s="615" t="n"/>
      <c r="L500" s="613" t="n"/>
      <c r="M500" s="614" t="n"/>
      <c r="N500" s="614" t="n"/>
      <c r="O500" s="614" t="n"/>
      <c r="P500" s="614" t="n"/>
      <c r="Q500" s="614" t="n"/>
      <c r="R500" s="614" t="n"/>
      <c r="S500" s="614" t="n"/>
      <c r="T500" s="614" t="n"/>
    </row>
    <row r="501">
      <c r="A501" s="610" t="n"/>
      <c r="B501" s="610" t="n"/>
      <c r="C501" s="610" t="n"/>
      <c r="D501" s="978" t="n"/>
      <c r="E501" s="610" t="n"/>
      <c r="F501" s="610" t="n"/>
      <c r="G501" s="610" t="n"/>
      <c r="H501" s="610" t="n"/>
      <c r="I501" s="610" t="n"/>
      <c r="J501" s="978" t="n"/>
      <c r="K501" s="615" t="n"/>
      <c r="L501" s="613" t="n"/>
      <c r="M501" s="614" t="n"/>
      <c r="N501" s="614" t="n"/>
      <c r="O501" s="614" t="n"/>
      <c r="P501" s="614" t="n"/>
      <c r="Q501" s="614" t="n"/>
      <c r="R501" s="614" t="n"/>
      <c r="S501" s="614" t="n"/>
      <c r="T501" s="614" t="n"/>
    </row>
    <row r="502">
      <c r="A502" s="610" t="n"/>
      <c r="B502" s="610" t="n"/>
      <c r="C502" s="610" t="n"/>
      <c r="D502" s="978" t="n"/>
      <c r="E502" s="610" t="n"/>
      <c r="F502" s="610" t="n"/>
      <c r="G502" s="610" t="n"/>
      <c r="H502" s="610" t="n"/>
      <c r="I502" s="610" t="n"/>
      <c r="J502" s="978" t="n"/>
      <c r="K502" s="615" t="n"/>
      <c r="L502" s="613" t="n"/>
      <c r="M502" s="614" t="n"/>
      <c r="N502" s="614" t="n"/>
      <c r="O502" s="614" t="n"/>
      <c r="P502" s="614" t="n"/>
      <c r="Q502" s="614" t="n"/>
      <c r="R502" s="614" t="n"/>
      <c r="S502" s="614" t="n"/>
      <c r="T502" s="614" t="n"/>
    </row>
    <row r="503">
      <c r="A503" s="610" t="n"/>
      <c r="B503" s="610" t="n"/>
      <c r="C503" s="610" t="n"/>
      <c r="D503" s="978" t="n"/>
      <c r="E503" s="610" t="n"/>
      <c r="F503" s="610" t="n"/>
      <c r="G503" s="610" t="n"/>
      <c r="H503" s="610" t="n"/>
      <c r="I503" s="610" t="n"/>
      <c r="J503" s="978" t="n"/>
      <c r="K503" s="615" t="n"/>
      <c r="L503" s="613" t="n"/>
      <c r="M503" s="614" t="n"/>
      <c r="N503" s="614" t="n"/>
      <c r="O503" s="614" t="n"/>
      <c r="P503" s="614" t="n"/>
      <c r="Q503" s="614" t="n"/>
      <c r="R503" s="614" t="n"/>
      <c r="S503" s="614" t="n"/>
      <c r="T503" s="614" t="n"/>
    </row>
    <row r="504">
      <c r="A504" s="610" t="n"/>
      <c r="B504" s="610" t="n"/>
      <c r="C504" s="610" t="n"/>
      <c r="D504" s="978" t="n"/>
      <c r="E504" s="610" t="n"/>
      <c r="F504" s="610" t="n"/>
      <c r="G504" s="610" t="n"/>
      <c r="H504" s="610" t="n"/>
      <c r="I504" s="610" t="n"/>
      <c r="J504" s="978" t="n"/>
      <c r="K504" s="615" t="n"/>
      <c r="L504" s="613" t="n"/>
      <c r="M504" s="614" t="n"/>
      <c r="N504" s="614" t="n"/>
      <c r="O504" s="614" t="n"/>
      <c r="P504" s="614" t="n"/>
      <c r="Q504" s="614" t="n"/>
      <c r="R504" s="614" t="n"/>
      <c r="S504" s="614" t="n"/>
      <c r="T504" s="614" t="n"/>
    </row>
    <row r="505">
      <c r="A505" s="610" t="n"/>
      <c r="B505" s="610" t="n"/>
      <c r="C505" s="610" t="n"/>
      <c r="D505" s="978" t="n"/>
      <c r="E505" s="610" t="n"/>
      <c r="F505" s="610" t="n"/>
      <c r="G505" s="610" t="n"/>
      <c r="H505" s="610" t="n"/>
      <c r="I505" s="610" t="n"/>
      <c r="J505" s="978" t="n"/>
      <c r="K505" s="615" t="n"/>
      <c r="L505" s="613" t="n"/>
      <c r="M505" s="614" t="n"/>
      <c r="N505" s="614" t="n"/>
      <c r="O505" s="614" t="n"/>
      <c r="P505" s="614" t="n"/>
      <c r="Q505" s="614" t="n"/>
      <c r="R505" s="614" t="n"/>
      <c r="S505" s="614" t="n"/>
      <c r="T505" s="614" t="n"/>
    </row>
    <row r="506">
      <c r="A506" s="610" t="n"/>
      <c r="B506" s="610" t="n"/>
      <c r="C506" s="610" t="n"/>
      <c r="D506" s="978" t="n"/>
      <c r="E506" s="610" t="n"/>
      <c r="F506" s="610" t="n"/>
      <c r="G506" s="610" t="n"/>
      <c r="H506" s="610" t="n"/>
      <c r="I506" s="610" t="n"/>
      <c r="J506" s="978" t="n"/>
      <c r="K506" s="615" t="n"/>
      <c r="L506" s="613" t="n"/>
      <c r="M506" s="614" t="n"/>
      <c r="N506" s="614" t="n"/>
      <c r="O506" s="614" t="n"/>
      <c r="P506" s="614" t="n"/>
      <c r="Q506" s="614" t="n"/>
      <c r="R506" s="614" t="n"/>
      <c r="S506" s="614" t="n"/>
      <c r="T506" s="614" t="n"/>
    </row>
    <row r="507">
      <c r="A507" s="610" t="n"/>
      <c r="B507" s="610" t="n"/>
      <c r="C507" s="610" t="n"/>
      <c r="D507" s="978" t="n"/>
      <c r="E507" s="610" t="n"/>
      <c r="F507" s="610" t="n"/>
      <c r="G507" s="610" t="n"/>
      <c r="H507" s="610" t="n"/>
      <c r="I507" s="610" t="n"/>
      <c r="J507" s="978" t="n"/>
      <c r="K507" s="615" t="n"/>
      <c r="L507" s="613" t="n"/>
      <c r="M507" s="614" t="n"/>
      <c r="N507" s="614" t="n"/>
      <c r="O507" s="614" t="n"/>
      <c r="P507" s="614" t="n"/>
      <c r="Q507" s="614" t="n"/>
      <c r="R507" s="614" t="n"/>
      <c r="S507" s="614" t="n"/>
      <c r="T507" s="614" t="n"/>
    </row>
    <row r="508">
      <c r="A508" s="610" t="n"/>
      <c r="B508" s="610" t="n"/>
      <c r="C508" s="610" t="n"/>
      <c r="D508" s="978" t="n"/>
      <c r="E508" s="610" t="n"/>
      <c r="F508" s="610" t="n"/>
      <c r="G508" s="610" t="n"/>
      <c r="H508" s="610" t="n"/>
      <c r="I508" s="610" t="n"/>
      <c r="J508" s="978" t="n"/>
      <c r="K508" s="615" t="n"/>
      <c r="L508" s="613" t="n"/>
      <c r="M508" s="614" t="n"/>
      <c r="N508" s="614" t="n"/>
      <c r="O508" s="614" t="n"/>
      <c r="P508" s="614" t="n"/>
      <c r="Q508" s="614" t="n"/>
      <c r="R508" s="614" t="n"/>
      <c r="S508" s="614" t="n"/>
      <c r="T508" s="614" t="n"/>
    </row>
    <row r="509">
      <c r="A509" s="610" t="n"/>
      <c r="B509" s="610" t="n"/>
      <c r="C509" s="610" t="n"/>
      <c r="D509" s="978" t="n"/>
      <c r="E509" s="610" t="n"/>
      <c r="F509" s="610" t="n"/>
      <c r="G509" s="610" t="n"/>
      <c r="H509" s="610" t="n"/>
      <c r="I509" s="610" t="n"/>
      <c r="J509" s="978" t="n"/>
      <c r="K509" s="615" t="n"/>
      <c r="L509" s="613" t="n"/>
      <c r="M509" s="614" t="n"/>
      <c r="N509" s="614" t="n"/>
      <c r="O509" s="614" t="n"/>
      <c r="P509" s="614" t="n"/>
      <c r="Q509" s="614" t="n"/>
      <c r="R509" s="614" t="n"/>
      <c r="S509" s="614" t="n"/>
      <c r="T509" s="614" t="n"/>
    </row>
    <row r="510">
      <c r="A510" s="610" t="n"/>
      <c r="B510" s="610" t="n"/>
      <c r="C510" s="610" t="n"/>
      <c r="D510" s="978" t="n"/>
      <c r="E510" s="610" t="n"/>
      <c r="F510" s="610" t="n"/>
      <c r="G510" s="610" t="n"/>
      <c r="H510" s="610" t="n"/>
      <c r="I510" s="610" t="n"/>
      <c r="J510" s="978" t="n"/>
      <c r="K510" s="615" t="n"/>
      <c r="L510" s="613" t="n"/>
      <c r="M510" s="614" t="n"/>
      <c r="N510" s="614" t="n"/>
      <c r="O510" s="614" t="n"/>
      <c r="P510" s="614" t="n"/>
      <c r="Q510" s="614" t="n"/>
      <c r="R510" s="614" t="n"/>
      <c r="S510" s="614" t="n"/>
      <c r="T510" s="614" t="n"/>
    </row>
    <row r="511">
      <c r="A511" s="610" t="n"/>
      <c r="B511" s="610" t="n"/>
      <c r="C511" s="610" t="n"/>
      <c r="D511" s="978" t="n"/>
      <c r="E511" s="610" t="n"/>
      <c r="F511" s="610" t="n"/>
      <c r="G511" s="610" t="n"/>
      <c r="H511" s="610" t="n"/>
      <c r="I511" s="610" t="n"/>
      <c r="J511" s="978" t="n"/>
      <c r="K511" s="615" t="n"/>
      <c r="L511" s="613" t="n"/>
      <c r="M511" s="614" t="n"/>
      <c r="N511" s="614" t="n"/>
      <c r="O511" s="614" t="n"/>
      <c r="P511" s="614" t="n"/>
      <c r="Q511" s="614" t="n"/>
      <c r="R511" s="614" t="n"/>
      <c r="S511" s="614" t="n"/>
      <c r="T511" s="614" t="n"/>
    </row>
    <row r="512">
      <c r="A512" s="610" t="n"/>
      <c r="B512" s="610" t="n"/>
      <c r="C512" s="610" t="n"/>
      <c r="D512" s="978" t="n"/>
      <c r="E512" s="610" t="n"/>
      <c r="F512" s="610" t="n"/>
      <c r="G512" s="610" t="n"/>
      <c r="H512" s="610" t="n"/>
      <c r="I512" s="610" t="n"/>
      <c r="J512" s="978" t="n"/>
      <c r="K512" s="615" t="n"/>
      <c r="L512" s="613" t="n"/>
      <c r="M512" s="614" t="n"/>
      <c r="N512" s="614" t="n"/>
      <c r="O512" s="614" t="n"/>
      <c r="P512" s="614" t="n"/>
      <c r="Q512" s="614" t="n"/>
      <c r="R512" s="614" t="n"/>
      <c r="S512" s="614" t="n"/>
      <c r="T512" s="614" t="n"/>
    </row>
    <row r="513">
      <c r="A513" s="610" t="n"/>
      <c r="B513" s="610" t="n"/>
      <c r="C513" s="610" t="n"/>
      <c r="D513" s="978" t="n"/>
      <c r="E513" s="610" t="n"/>
      <c r="F513" s="610" t="n"/>
      <c r="G513" s="610" t="n"/>
      <c r="H513" s="610" t="n"/>
      <c r="I513" s="610" t="n"/>
      <c r="J513" s="978" t="n"/>
      <c r="K513" s="615" t="n"/>
      <c r="L513" s="613" t="n"/>
      <c r="M513" s="614" t="n"/>
      <c r="N513" s="614" t="n"/>
      <c r="O513" s="614" t="n"/>
      <c r="P513" s="614" t="n"/>
      <c r="Q513" s="614" t="n"/>
      <c r="R513" s="614" t="n"/>
      <c r="S513" s="614" t="n"/>
      <c r="T513" s="614" t="n"/>
    </row>
    <row r="514">
      <c r="A514" s="610" t="n"/>
      <c r="B514" s="610" t="n"/>
      <c r="C514" s="610" t="n"/>
      <c r="D514" s="978" t="n"/>
      <c r="E514" s="610" t="n"/>
      <c r="F514" s="610" t="n"/>
      <c r="G514" s="610" t="n"/>
      <c r="H514" s="610" t="n"/>
      <c r="I514" s="610" t="n"/>
      <c r="J514" s="978" t="n"/>
      <c r="K514" s="615" t="n"/>
      <c r="L514" s="613" t="n"/>
      <c r="M514" s="614" t="n"/>
      <c r="N514" s="614" t="n"/>
      <c r="O514" s="614" t="n"/>
      <c r="P514" s="614" t="n"/>
      <c r="Q514" s="614" t="n"/>
      <c r="R514" s="614" t="n"/>
      <c r="S514" s="614" t="n"/>
      <c r="T514" s="614" t="n"/>
    </row>
    <row r="515">
      <c r="A515" s="610" t="n"/>
      <c r="B515" s="610" t="n"/>
      <c r="C515" s="610" t="n"/>
      <c r="D515" s="978" t="n"/>
      <c r="E515" s="610" t="n"/>
      <c r="F515" s="610" t="n"/>
      <c r="G515" s="610" t="n"/>
      <c r="H515" s="610" t="n"/>
      <c r="I515" s="610" t="n"/>
      <c r="J515" s="978" t="n"/>
      <c r="K515" s="615" t="n"/>
      <c r="L515" s="613" t="n"/>
      <c r="M515" s="614" t="n"/>
      <c r="N515" s="614" t="n"/>
      <c r="O515" s="614" t="n"/>
      <c r="P515" s="614" t="n"/>
      <c r="Q515" s="614" t="n"/>
      <c r="R515" s="614" t="n"/>
      <c r="S515" s="614" t="n"/>
      <c r="T515" s="614" t="n"/>
    </row>
    <row r="516">
      <c r="A516" s="610" t="n"/>
      <c r="B516" s="610" t="n"/>
      <c r="C516" s="610" t="n"/>
      <c r="D516" s="978" t="n"/>
      <c r="E516" s="610" t="n"/>
      <c r="F516" s="610" t="n"/>
      <c r="G516" s="610" t="n"/>
      <c r="H516" s="610" t="n"/>
      <c r="I516" s="610" t="n"/>
      <c r="J516" s="978" t="n"/>
      <c r="K516" s="615" t="n"/>
      <c r="L516" s="613" t="n"/>
      <c r="M516" s="614" t="n"/>
      <c r="N516" s="614" t="n"/>
      <c r="O516" s="614" t="n"/>
      <c r="P516" s="614" t="n"/>
      <c r="Q516" s="614" t="n"/>
      <c r="R516" s="614" t="n"/>
      <c r="S516" s="614" t="n"/>
      <c r="T516" s="614" t="n"/>
    </row>
    <row r="517">
      <c r="A517" s="610" t="n"/>
      <c r="B517" s="610" t="n"/>
      <c r="C517" s="610" t="n"/>
      <c r="D517" s="978" t="n"/>
      <c r="E517" s="610" t="n"/>
      <c r="F517" s="610" t="n"/>
      <c r="G517" s="610" t="n"/>
      <c r="H517" s="610" t="n"/>
      <c r="I517" s="610" t="n"/>
      <c r="J517" s="978" t="n"/>
      <c r="K517" s="615" t="n"/>
      <c r="L517" s="613" t="n"/>
      <c r="M517" s="614" t="n"/>
      <c r="N517" s="614" t="n"/>
      <c r="O517" s="614" t="n"/>
      <c r="P517" s="614" t="n"/>
      <c r="Q517" s="614" t="n"/>
      <c r="R517" s="614" t="n"/>
      <c r="S517" s="614" t="n"/>
      <c r="T517" s="614" t="n"/>
    </row>
    <row r="518">
      <c r="A518" s="610" t="n"/>
      <c r="B518" s="610" t="n"/>
      <c r="C518" s="610" t="n"/>
      <c r="D518" s="978" t="n"/>
      <c r="E518" s="610" t="n"/>
      <c r="F518" s="610" t="n"/>
      <c r="G518" s="610" t="n"/>
      <c r="H518" s="610" t="n"/>
      <c r="I518" s="610" t="n"/>
      <c r="J518" s="978" t="n"/>
      <c r="K518" s="615" t="n"/>
      <c r="L518" s="613" t="n"/>
      <c r="M518" s="614" t="n"/>
      <c r="N518" s="614" t="n"/>
      <c r="O518" s="614" t="n"/>
      <c r="P518" s="614" t="n"/>
      <c r="Q518" s="614" t="n"/>
      <c r="R518" s="614" t="n"/>
      <c r="S518" s="614" t="n"/>
      <c r="T518" s="614" t="n"/>
    </row>
    <row r="519">
      <c r="A519" s="610" t="n"/>
      <c r="B519" s="610" t="n"/>
      <c r="C519" s="610" t="n"/>
      <c r="D519" s="978" t="n"/>
      <c r="E519" s="610" t="n"/>
      <c r="F519" s="610" t="n"/>
      <c r="G519" s="610" t="n"/>
      <c r="H519" s="610" t="n"/>
      <c r="I519" s="610" t="n"/>
      <c r="J519" s="978" t="n"/>
      <c r="K519" s="615" t="n"/>
      <c r="L519" s="613" t="n"/>
      <c r="M519" s="614" t="n"/>
      <c r="N519" s="614" t="n"/>
      <c r="O519" s="614" t="n"/>
      <c r="P519" s="614" t="n"/>
      <c r="Q519" s="614" t="n"/>
      <c r="R519" s="614" t="n"/>
      <c r="S519" s="614" t="n"/>
      <c r="T519" s="614" t="n"/>
    </row>
    <row r="520">
      <c r="A520" s="610" t="n"/>
      <c r="B520" s="610" t="n"/>
      <c r="C520" s="610" t="n"/>
      <c r="D520" s="978" t="n"/>
      <c r="E520" s="610" t="n"/>
      <c r="F520" s="610" t="n"/>
      <c r="G520" s="610" t="n"/>
      <c r="H520" s="610" t="n"/>
      <c r="I520" s="610" t="n"/>
      <c r="J520" s="978" t="n"/>
      <c r="K520" s="615" t="n"/>
      <c r="L520" s="613" t="n"/>
      <c r="M520" s="614" t="n"/>
      <c r="N520" s="614" t="n"/>
      <c r="O520" s="614" t="n"/>
      <c r="P520" s="614" t="n"/>
      <c r="Q520" s="614" t="n"/>
      <c r="R520" s="614" t="n"/>
      <c r="S520" s="614" t="n"/>
      <c r="T520" s="614" t="n"/>
    </row>
    <row r="521">
      <c r="A521" s="610" t="n"/>
      <c r="B521" s="610" t="n"/>
      <c r="C521" s="610" t="n"/>
      <c r="D521" s="978" t="n"/>
      <c r="E521" s="610" t="n"/>
      <c r="F521" s="610" t="n"/>
      <c r="G521" s="610" t="n"/>
      <c r="H521" s="610" t="n"/>
      <c r="I521" s="610" t="n"/>
      <c r="J521" s="978" t="n"/>
      <c r="K521" s="615" t="n"/>
      <c r="L521" s="613" t="n"/>
      <c r="M521" s="614" t="n"/>
      <c r="N521" s="614" t="n"/>
      <c r="O521" s="614" t="n"/>
      <c r="P521" s="614" t="n"/>
      <c r="Q521" s="614" t="n"/>
      <c r="R521" s="614" t="n"/>
      <c r="S521" s="614" t="n"/>
      <c r="T521" s="614" t="n"/>
    </row>
    <row r="522">
      <c r="A522" s="610" t="n"/>
      <c r="B522" s="610" t="n"/>
      <c r="C522" s="610" t="n"/>
      <c r="D522" s="978" t="n"/>
      <c r="E522" s="610" t="n"/>
      <c r="F522" s="610" t="n"/>
      <c r="G522" s="610" t="n"/>
      <c r="H522" s="610" t="n"/>
      <c r="I522" s="610" t="n"/>
      <c r="J522" s="978" t="n"/>
      <c r="K522" s="615" t="n"/>
      <c r="L522" s="613" t="n"/>
      <c r="M522" s="614" t="n"/>
      <c r="N522" s="614" t="n"/>
      <c r="O522" s="614" t="n"/>
      <c r="P522" s="614" t="n"/>
      <c r="Q522" s="614" t="n"/>
      <c r="R522" s="614" t="n"/>
      <c r="S522" s="614" t="n"/>
      <c r="T522" s="614" t="n"/>
    </row>
    <row r="523">
      <c r="A523" s="610" t="n"/>
      <c r="B523" s="610" t="n"/>
      <c r="C523" s="610" t="n"/>
      <c r="D523" s="978" t="n"/>
      <c r="E523" s="610" t="n"/>
      <c r="F523" s="610" t="n"/>
      <c r="G523" s="610" t="n"/>
      <c r="H523" s="610" t="n"/>
      <c r="I523" s="610" t="n"/>
      <c r="J523" s="978" t="n"/>
      <c r="K523" s="615" t="n"/>
      <c r="L523" s="613" t="n"/>
      <c r="M523" s="614" t="n"/>
      <c r="N523" s="614" t="n"/>
      <c r="O523" s="614" t="n"/>
      <c r="P523" s="614" t="n"/>
      <c r="Q523" s="614" t="n"/>
      <c r="R523" s="614" t="n"/>
      <c r="S523" s="614" t="n"/>
      <c r="T523" s="614" t="n"/>
    </row>
    <row r="524">
      <c r="A524" s="610" t="n"/>
      <c r="B524" s="610" t="n"/>
      <c r="C524" s="610" t="n"/>
      <c r="D524" s="978" t="n"/>
      <c r="E524" s="610" t="n"/>
      <c r="F524" s="610" t="n"/>
      <c r="G524" s="610" t="n"/>
      <c r="H524" s="610" t="n"/>
      <c r="I524" s="610" t="n"/>
      <c r="J524" s="978" t="n"/>
      <c r="K524" s="615" t="n"/>
      <c r="L524" s="613" t="n"/>
      <c r="M524" s="614" t="n"/>
      <c r="N524" s="614" t="n"/>
      <c r="O524" s="614" t="n"/>
      <c r="P524" s="614" t="n"/>
      <c r="Q524" s="614" t="n"/>
      <c r="R524" s="614" t="n"/>
      <c r="S524" s="614" t="n"/>
      <c r="T524" s="614" t="n"/>
    </row>
    <row r="525">
      <c r="A525" s="610" t="n"/>
      <c r="B525" s="610" t="n"/>
      <c r="C525" s="610" t="n"/>
      <c r="D525" s="978" t="n"/>
      <c r="E525" s="610" t="n"/>
      <c r="F525" s="610" t="n"/>
      <c r="G525" s="610" t="n"/>
      <c r="H525" s="610" t="n"/>
      <c r="I525" s="610" t="n"/>
      <c r="J525" s="978" t="n"/>
      <c r="K525" s="615" t="n"/>
      <c r="L525" s="613" t="n"/>
      <c r="M525" s="614" t="n"/>
      <c r="N525" s="614" t="n"/>
      <c r="O525" s="614" t="n"/>
      <c r="P525" s="614" t="n"/>
      <c r="Q525" s="614" t="n"/>
      <c r="R525" s="614" t="n"/>
      <c r="S525" s="614" t="n"/>
      <c r="T525" s="614" t="n"/>
    </row>
    <row r="526">
      <c r="A526" s="610" t="n"/>
      <c r="B526" s="610" t="n"/>
      <c r="C526" s="610" t="n"/>
      <c r="D526" s="978" t="n"/>
      <c r="E526" s="610" t="n"/>
      <c r="F526" s="610" t="n"/>
      <c r="G526" s="610" t="n"/>
      <c r="H526" s="610" t="n"/>
      <c r="I526" s="610" t="n"/>
      <c r="J526" s="978" t="n"/>
      <c r="K526" s="615" t="n"/>
      <c r="L526" s="613" t="n"/>
      <c r="M526" s="614" t="n"/>
      <c r="N526" s="614" t="n"/>
      <c r="O526" s="614" t="n"/>
      <c r="P526" s="614" t="n"/>
      <c r="Q526" s="614" t="n"/>
      <c r="R526" s="614" t="n"/>
      <c r="S526" s="614" t="n"/>
      <c r="T526" s="614" t="n"/>
    </row>
    <row r="527">
      <c r="A527" s="610" t="n"/>
      <c r="B527" s="610" t="n"/>
      <c r="C527" s="610" t="n"/>
      <c r="D527" s="978" t="n"/>
      <c r="E527" s="610" t="n"/>
      <c r="F527" s="610" t="n"/>
      <c r="G527" s="610" t="n"/>
      <c r="H527" s="610" t="n"/>
      <c r="I527" s="610" t="n"/>
      <c r="J527" s="978" t="n"/>
      <c r="K527" s="615" t="n"/>
      <c r="L527" s="613" t="n"/>
      <c r="M527" s="614" t="n"/>
      <c r="N527" s="614" t="n"/>
      <c r="O527" s="614" t="n"/>
      <c r="P527" s="614" t="n"/>
      <c r="Q527" s="614" t="n"/>
      <c r="R527" s="614" t="n"/>
      <c r="S527" s="614" t="n"/>
      <c r="T527" s="614" t="n"/>
    </row>
    <row r="528">
      <c r="A528" s="610" t="n"/>
      <c r="B528" s="610" t="n"/>
      <c r="C528" s="610" t="n"/>
      <c r="D528" s="978" t="n"/>
      <c r="E528" s="610" t="n"/>
      <c r="F528" s="610" t="n"/>
      <c r="G528" s="610" t="n"/>
      <c r="H528" s="610" t="n"/>
      <c r="I528" s="610" t="n"/>
      <c r="J528" s="978" t="n"/>
      <c r="K528" s="615" t="n"/>
      <c r="L528" s="613" t="n"/>
      <c r="M528" s="614" t="n"/>
      <c r="N528" s="614" t="n"/>
      <c r="O528" s="614" t="n"/>
      <c r="P528" s="614" t="n"/>
      <c r="Q528" s="614" t="n"/>
      <c r="R528" s="614" t="n"/>
      <c r="S528" s="614" t="n"/>
      <c r="T528" s="614" t="n"/>
    </row>
    <row r="529">
      <c r="A529" s="610" t="n"/>
      <c r="B529" s="610" t="n"/>
      <c r="C529" s="610" t="n"/>
      <c r="D529" s="978" t="n"/>
      <c r="E529" s="610" t="n"/>
      <c r="F529" s="610" t="n"/>
      <c r="G529" s="610" t="n"/>
      <c r="H529" s="610" t="n"/>
      <c r="I529" s="610" t="n"/>
      <c r="J529" s="978" t="n"/>
      <c r="K529" s="615" t="n"/>
      <c r="L529" s="613" t="n"/>
      <c r="M529" s="614" t="n"/>
      <c r="N529" s="614" t="n"/>
      <c r="O529" s="614" t="n"/>
      <c r="P529" s="614" t="n"/>
      <c r="Q529" s="614" t="n"/>
      <c r="R529" s="614" t="n"/>
      <c r="S529" s="614" t="n"/>
      <c r="T529" s="614" t="n"/>
    </row>
    <row r="530">
      <c r="A530" s="610" t="n"/>
      <c r="B530" s="610" t="n"/>
      <c r="C530" s="610" t="n"/>
      <c r="D530" s="978" t="n"/>
      <c r="E530" s="610" t="n"/>
      <c r="F530" s="610" t="n"/>
      <c r="G530" s="610" t="n"/>
      <c r="H530" s="610" t="n"/>
      <c r="I530" s="610" t="n"/>
      <c r="J530" s="978" t="n"/>
      <c r="K530" s="615" t="n"/>
      <c r="L530" s="613" t="n"/>
      <c r="M530" s="614" t="n"/>
      <c r="N530" s="614" t="n"/>
      <c r="O530" s="614" t="n"/>
      <c r="P530" s="614" t="n"/>
      <c r="Q530" s="614" t="n"/>
      <c r="R530" s="614" t="n"/>
      <c r="S530" s="614" t="n"/>
      <c r="T530" s="614" t="n"/>
    </row>
    <row r="531">
      <c r="A531" s="610" t="n"/>
      <c r="B531" s="610" t="n"/>
      <c r="C531" s="610" t="n"/>
      <c r="D531" s="978" t="n"/>
      <c r="E531" s="610" t="n"/>
      <c r="F531" s="610" t="n"/>
      <c r="G531" s="610" t="n"/>
      <c r="H531" s="610" t="n"/>
      <c r="I531" s="610" t="n"/>
      <c r="J531" s="978" t="n"/>
      <c r="K531" s="615" t="n"/>
      <c r="L531" s="613" t="n"/>
      <c r="M531" s="614" t="n"/>
      <c r="N531" s="614" t="n"/>
      <c r="O531" s="614" t="n"/>
      <c r="P531" s="614" t="n"/>
      <c r="Q531" s="614" t="n"/>
      <c r="R531" s="614" t="n"/>
      <c r="S531" s="614" t="n"/>
      <c r="T531" s="614" t="n"/>
    </row>
    <row r="532">
      <c r="A532" s="610" t="n"/>
      <c r="B532" s="610" t="n"/>
      <c r="C532" s="610" t="n"/>
      <c r="D532" s="978" t="n"/>
      <c r="E532" s="610" t="n"/>
      <c r="F532" s="610" t="n"/>
      <c r="G532" s="610" t="n"/>
      <c r="H532" s="610" t="n"/>
      <c r="I532" s="610" t="n"/>
      <c r="J532" s="978" t="n"/>
      <c r="K532" s="615" t="n"/>
      <c r="L532" s="613" t="n"/>
      <c r="M532" s="614" t="n"/>
      <c r="N532" s="614" t="n"/>
      <c r="O532" s="614" t="n"/>
      <c r="P532" s="614" t="n"/>
      <c r="Q532" s="614" t="n"/>
      <c r="R532" s="614" t="n"/>
      <c r="S532" s="614" t="n"/>
      <c r="T532" s="614" t="n"/>
    </row>
    <row r="533">
      <c r="A533" s="610" t="n"/>
      <c r="B533" s="610" t="n"/>
      <c r="C533" s="610" t="n"/>
      <c r="D533" s="978" t="n"/>
      <c r="E533" s="610" t="n"/>
      <c r="F533" s="610" t="n"/>
      <c r="G533" s="610" t="n"/>
      <c r="H533" s="610" t="n"/>
      <c r="I533" s="610" t="n"/>
      <c r="J533" s="978" t="n"/>
      <c r="K533" s="615" t="n"/>
      <c r="L533" s="613" t="n"/>
      <c r="M533" s="614" t="n"/>
      <c r="N533" s="614" t="n"/>
      <c r="O533" s="614" t="n"/>
      <c r="P533" s="614" t="n"/>
      <c r="Q533" s="614" t="n"/>
      <c r="R533" s="614" t="n"/>
      <c r="S533" s="614" t="n"/>
      <c r="T533" s="614" t="n"/>
    </row>
    <row r="534">
      <c r="A534" s="610" t="n"/>
      <c r="B534" s="610" t="n"/>
      <c r="C534" s="610" t="n"/>
      <c r="D534" s="978" t="n"/>
      <c r="E534" s="610" t="n"/>
      <c r="F534" s="610" t="n"/>
      <c r="G534" s="610" t="n"/>
      <c r="H534" s="610" t="n"/>
      <c r="I534" s="610" t="n"/>
      <c r="J534" s="978" t="n"/>
      <c r="K534" s="615" t="n"/>
      <c r="L534" s="613" t="n"/>
      <c r="M534" s="614" t="n"/>
      <c r="N534" s="614" t="n"/>
      <c r="O534" s="614" t="n"/>
      <c r="P534" s="614" t="n"/>
      <c r="Q534" s="614" t="n"/>
      <c r="R534" s="614" t="n"/>
      <c r="S534" s="614" t="n"/>
      <c r="T534" s="614" t="n"/>
    </row>
    <row r="535">
      <c r="A535" s="610" t="n"/>
      <c r="B535" s="610" t="n"/>
      <c r="C535" s="610" t="n"/>
      <c r="D535" s="978" t="n"/>
      <c r="E535" s="610" t="n"/>
      <c r="F535" s="610" t="n"/>
      <c r="G535" s="610" t="n"/>
      <c r="H535" s="610" t="n"/>
      <c r="I535" s="610" t="n"/>
      <c r="J535" s="978" t="n"/>
      <c r="K535" s="615" t="n"/>
      <c r="L535" s="613" t="n"/>
      <c r="M535" s="614" t="n"/>
      <c r="N535" s="614" t="n"/>
      <c r="O535" s="614" t="n"/>
      <c r="P535" s="614" t="n"/>
      <c r="Q535" s="614" t="n"/>
      <c r="R535" s="614" t="n"/>
      <c r="S535" s="614" t="n"/>
      <c r="T535" s="614" t="n"/>
    </row>
    <row r="536">
      <c r="A536" s="610" t="n"/>
      <c r="B536" s="610" t="n"/>
      <c r="C536" s="610" t="n"/>
      <c r="D536" s="978" t="n"/>
      <c r="E536" s="610" t="n"/>
      <c r="F536" s="610" t="n"/>
      <c r="G536" s="610" t="n"/>
      <c r="H536" s="610" t="n"/>
      <c r="I536" s="610" t="n"/>
      <c r="J536" s="978" t="n"/>
      <c r="K536" s="615" t="n"/>
      <c r="L536" s="613" t="n"/>
      <c r="M536" s="614" t="n"/>
      <c r="N536" s="614" t="n"/>
      <c r="O536" s="614" t="n"/>
      <c r="P536" s="614" t="n"/>
      <c r="Q536" s="614" t="n"/>
      <c r="R536" s="614" t="n"/>
      <c r="S536" s="614" t="n"/>
      <c r="T536" s="614" t="n"/>
    </row>
    <row r="537">
      <c r="A537" s="610" t="n"/>
      <c r="B537" s="610" t="n"/>
      <c r="C537" s="610" t="n"/>
      <c r="D537" s="978" t="n"/>
      <c r="E537" s="610" t="n"/>
      <c r="F537" s="610" t="n"/>
      <c r="G537" s="610" t="n"/>
      <c r="H537" s="610" t="n"/>
      <c r="I537" s="610" t="n"/>
      <c r="J537" s="978" t="n"/>
      <c r="K537" s="615" t="n"/>
      <c r="L537" s="613" t="n"/>
      <c r="M537" s="614" t="n"/>
      <c r="N537" s="614" t="n"/>
      <c r="O537" s="614" t="n"/>
      <c r="P537" s="614" t="n"/>
      <c r="Q537" s="614" t="n"/>
      <c r="R537" s="614" t="n"/>
      <c r="S537" s="614" t="n"/>
      <c r="T537" s="614" t="n"/>
    </row>
    <row r="538">
      <c r="A538" s="610" t="n"/>
      <c r="B538" s="610" t="n"/>
      <c r="C538" s="610" t="n"/>
      <c r="D538" s="978" t="n"/>
      <c r="E538" s="610" t="n"/>
      <c r="F538" s="610" t="n"/>
      <c r="G538" s="610" t="n"/>
      <c r="H538" s="610" t="n"/>
      <c r="I538" s="610" t="n"/>
      <c r="J538" s="978" t="n"/>
      <c r="K538" s="615" t="n"/>
      <c r="L538" s="613" t="n"/>
      <c r="M538" s="614" t="n"/>
      <c r="N538" s="614" t="n"/>
      <c r="O538" s="614" t="n"/>
      <c r="P538" s="614" t="n"/>
      <c r="Q538" s="614" t="n"/>
      <c r="R538" s="614" t="n"/>
      <c r="S538" s="614" t="n"/>
      <c r="T538" s="614" t="n"/>
    </row>
    <row r="539">
      <c r="A539" s="610" t="n"/>
      <c r="B539" s="610" t="n"/>
      <c r="C539" s="610" t="n"/>
      <c r="D539" s="978" t="n"/>
      <c r="E539" s="610" t="n"/>
      <c r="F539" s="610" t="n"/>
      <c r="G539" s="610" t="n"/>
      <c r="H539" s="610" t="n"/>
      <c r="I539" s="610" t="n"/>
      <c r="J539" s="978" t="n"/>
      <c r="K539" s="615" t="n"/>
      <c r="L539" s="613" t="n"/>
      <c r="M539" s="614" t="n"/>
      <c r="N539" s="614" t="n"/>
      <c r="O539" s="614" t="n"/>
      <c r="P539" s="614" t="n"/>
      <c r="Q539" s="614" t="n"/>
      <c r="R539" s="614" t="n"/>
      <c r="S539" s="614" t="n"/>
      <c r="T539" s="614" t="n"/>
    </row>
    <row r="540">
      <c r="A540" s="610" t="n"/>
      <c r="B540" s="610" t="n"/>
      <c r="C540" s="610" t="n"/>
      <c r="D540" s="978" t="n"/>
      <c r="E540" s="610" t="n"/>
      <c r="F540" s="610" t="n"/>
      <c r="G540" s="610" t="n"/>
      <c r="H540" s="610" t="n"/>
      <c r="I540" s="610" t="n"/>
      <c r="J540" s="978" t="n"/>
      <c r="K540" s="615" t="n"/>
      <c r="L540" s="613" t="n"/>
      <c r="M540" s="614" t="n"/>
      <c r="N540" s="614" t="n"/>
      <c r="O540" s="614" t="n"/>
      <c r="P540" s="614" t="n"/>
      <c r="Q540" s="614" t="n"/>
      <c r="R540" s="614" t="n"/>
      <c r="S540" s="614" t="n"/>
      <c r="T540" s="614" t="n"/>
    </row>
    <row r="541">
      <c r="A541" s="610" t="n"/>
      <c r="B541" s="610" t="n"/>
      <c r="C541" s="610" t="n"/>
      <c r="D541" s="978" t="n"/>
      <c r="E541" s="610" t="n"/>
      <c r="F541" s="610" t="n"/>
      <c r="G541" s="610" t="n"/>
      <c r="H541" s="610" t="n"/>
      <c r="I541" s="610" t="n"/>
      <c r="J541" s="978" t="n"/>
      <c r="K541" s="615" t="n"/>
      <c r="L541" s="613" t="n"/>
      <c r="M541" s="614" t="n"/>
      <c r="N541" s="614" t="n"/>
      <c r="O541" s="614" t="n"/>
      <c r="P541" s="614" t="n"/>
      <c r="Q541" s="614" t="n"/>
      <c r="R541" s="614" t="n"/>
      <c r="S541" s="614" t="n"/>
      <c r="T541" s="614" t="n"/>
    </row>
    <row r="542">
      <c r="A542" s="610" t="n"/>
      <c r="B542" s="610" t="n"/>
      <c r="C542" s="610" t="n"/>
      <c r="D542" s="978" t="n"/>
      <c r="E542" s="610" t="n"/>
      <c r="F542" s="610" t="n"/>
      <c r="G542" s="610" t="n"/>
      <c r="H542" s="610" t="n"/>
      <c r="I542" s="610" t="n"/>
      <c r="J542" s="978" t="n"/>
      <c r="K542" s="615" t="n"/>
      <c r="L542" s="613" t="n"/>
      <c r="M542" s="614" t="n"/>
      <c r="N542" s="614" t="n"/>
      <c r="O542" s="614" t="n"/>
      <c r="P542" s="614" t="n"/>
      <c r="Q542" s="614" t="n"/>
      <c r="R542" s="614" t="n"/>
      <c r="S542" s="614" t="n"/>
      <c r="T542" s="614" t="n"/>
    </row>
    <row r="543">
      <c r="A543" s="610" t="n"/>
      <c r="B543" s="610" t="n"/>
      <c r="C543" s="610" t="n"/>
      <c r="D543" s="978" t="n"/>
      <c r="E543" s="610" t="n"/>
      <c r="F543" s="610" t="n"/>
      <c r="G543" s="610" t="n"/>
      <c r="H543" s="610" t="n"/>
      <c r="I543" s="610" t="n"/>
      <c r="J543" s="978" t="n"/>
      <c r="K543" s="615" t="n"/>
      <c r="L543" s="613" t="n"/>
      <c r="M543" s="614" t="n"/>
      <c r="N543" s="614" t="n"/>
      <c r="O543" s="614" t="n"/>
      <c r="P543" s="614" t="n"/>
      <c r="Q543" s="614" t="n"/>
      <c r="R543" s="614" t="n"/>
      <c r="S543" s="614" t="n"/>
      <c r="T543" s="614" t="n"/>
    </row>
    <row r="544">
      <c r="A544" s="610" t="n"/>
      <c r="B544" s="610" t="n"/>
      <c r="C544" s="610" t="n"/>
      <c r="D544" s="978" t="n"/>
      <c r="E544" s="610" t="n"/>
      <c r="F544" s="610" t="n"/>
      <c r="G544" s="610" t="n"/>
      <c r="H544" s="610" t="n"/>
      <c r="I544" s="610" t="n"/>
      <c r="J544" s="978" t="n"/>
      <c r="K544" s="615" t="n"/>
      <c r="L544" s="613" t="n"/>
      <c r="M544" s="614" t="n"/>
      <c r="N544" s="614" t="n"/>
      <c r="O544" s="614" t="n"/>
      <c r="P544" s="614" t="n"/>
      <c r="Q544" s="614" t="n"/>
      <c r="R544" s="614" t="n"/>
      <c r="S544" s="614" t="n"/>
      <c r="T544" s="614" t="n"/>
    </row>
    <row r="545">
      <c r="A545" s="610" t="n"/>
      <c r="B545" s="610" t="n"/>
      <c r="C545" s="610" t="n"/>
      <c r="D545" s="978" t="n"/>
      <c r="E545" s="610" t="n"/>
      <c r="F545" s="610" t="n"/>
      <c r="G545" s="610" t="n"/>
      <c r="H545" s="610" t="n"/>
      <c r="I545" s="610" t="n"/>
      <c r="J545" s="978" t="n"/>
      <c r="K545" s="615" t="n"/>
      <c r="L545" s="613" t="n"/>
      <c r="M545" s="614" t="n"/>
      <c r="N545" s="614" t="n"/>
      <c r="O545" s="614" t="n"/>
      <c r="P545" s="614" t="n"/>
      <c r="Q545" s="614" t="n"/>
      <c r="R545" s="614" t="n"/>
      <c r="S545" s="614" t="n"/>
      <c r="T545" s="614" t="n"/>
    </row>
    <row r="546">
      <c r="A546" s="610" t="n"/>
      <c r="B546" s="610" t="n"/>
      <c r="C546" s="610" t="n"/>
      <c r="D546" s="978" t="n"/>
      <c r="E546" s="610" t="n"/>
      <c r="F546" s="610" t="n"/>
      <c r="G546" s="610" t="n"/>
      <c r="H546" s="610" t="n"/>
      <c r="I546" s="610" t="n"/>
      <c r="J546" s="978" t="n"/>
      <c r="K546" s="615" t="n"/>
      <c r="L546" s="613" t="n"/>
      <c r="M546" s="614" t="n"/>
      <c r="N546" s="614" t="n"/>
      <c r="O546" s="614" t="n"/>
      <c r="P546" s="614" t="n"/>
      <c r="Q546" s="614" t="n"/>
      <c r="R546" s="614" t="n"/>
      <c r="S546" s="614" t="n"/>
      <c r="T546" s="614" t="n"/>
    </row>
    <row r="547">
      <c r="A547" s="610" t="n"/>
      <c r="B547" s="610" t="n"/>
      <c r="C547" s="610" t="n"/>
      <c r="D547" s="978" t="n"/>
      <c r="E547" s="610" t="n"/>
      <c r="F547" s="610" t="n"/>
      <c r="G547" s="610" t="n"/>
      <c r="H547" s="610" t="n"/>
      <c r="I547" s="610" t="n"/>
      <c r="J547" s="978" t="n"/>
      <c r="K547" s="615" t="n"/>
      <c r="L547" s="613" t="n"/>
      <c r="M547" s="614" t="n"/>
      <c r="N547" s="614" t="n"/>
      <c r="O547" s="614" t="n"/>
      <c r="P547" s="614" t="n"/>
      <c r="Q547" s="614" t="n"/>
      <c r="R547" s="614" t="n"/>
      <c r="S547" s="614" t="n"/>
      <c r="T547" s="614" t="n"/>
    </row>
    <row r="548">
      <c r="A548" s="610" t="n"/>
      <c r="B548" s="610" t="n"/>
      <c r="C548" s="610" t="n"/>
      <c r="D548" s="978" t="n"/>
      <c r="E548" s="610" t="n"/>
      <c r="F548" s="610" t="n"/>
      <c r="G548" s="610" t="n"/>
      <c r="H548" s="610" t="n"/>
      <c r="I548" s="610" t="n"/>
      <c r="J548" s="978" t="n"/>
      <c r="K548" s="615" t="n"/>
      <c r="L548" s="613" t="n"/>
      <c r="M548" s="614" t="n"/>
      <c r="N548" s="614" t="n"/>
      <c r="O548" s="614" t="n"/>
      <c r="P548" s="614" t="n"/>
      <c r="Q548" s="614" t="n"/>
      <c r="R548" s="614" t="n"/>
      <c r="S548" s="614" t="n"/>
      <c r="T548" s="614" t="n"/>
    </row>
    <row r="549">
      <c r="A549" s="610" t="n"/>
      <c r="B549" s="610" t="n"/>
      <c r="C549" s="610" t="n"/>
      <c r="D549" s="978" t="n"/>
      <c r="E549" s="610" t="n"/>
      <c r="F549" s="610" t="n"/>
      <c r="G549" s="610" t="n"/>
      <c r="H549" s="610" t="n"/>
      <c r="I549" s="610" t="n"/>
      <c r="J549" s="978" t="n"/>
      <c r="K549" s="615" t="n"/>
      <c r="L549" s="613" t="n"/>
      <c r="M549" s="614" t="n"/>
      <c r="N549" s="614" t="n"/>
      <c r="O549" s="614" t="n"/>
      <c r="P549" s="614" t="n"/>
      <c r="Q549" s="614" t="n"/>
      <c r="R549" s="614" t="n"/>
      <c r="S549" s="614" t="n"/>
      <c r="T549" s="614" t="n"/>
    </row>
    <row r="550">
      <c r="A550" s="610" t="n"/>
      <c r="B550" s="610" t="n"/>
      <c r="C550" s="610" t="n"/>
      <c r="D550" s="978" t="n"/>
      <c r="E550" s="610" t="n"/>
      <c r="F550" s="610" t="n"/>
      <c r="G550" s="610" t="n"/>
      <c r="H550" s="610" t="n"/>
      <c r="I550" s="610" t="n"/>
      <c r="J550" s="978" t="n"/>
      <c r="K550" s="615" t="n"/>
      <c r="L550" s="613" t="n"/>
      <c r="M550" s="614" t="n"/>
      <c r="N550" s="614" t="n"/>
      <c r="O550" s="614" t="n"/>
      <c r="P550" s="614" t="n"/>
      <c r="Q550" s="614" t="n"/>
      <c r="R550" s="614" t="n"/>
      <c r="S550" s="614" t="n"/>
      <c r="T550" s="614" t="n"/>
    </row>
    <row r="551">
      <c r="A551" s="610" t="n"/>
      <c r="B551" s="610" t="n"/>
      <c r="C551" s="610" t="n"/>
      <c r="D551" s="978" t="n"/>
      <c r="E551" s="610" t="n"/>
      <c r="F551" s="610" t="n"/>
      <c r="G551" s="610" t="n"/>
      <c r="H551" s="610" t="n"/>
      <c r="I551" s="610" t="n"/>
      <c r="J551" s="978" t="n"/>
      <c r="K551" s="615" t="n"/>
      <c r="L551" s="613" t="n"/>
      <c r="M551" s="614" t="n"/>
      <c r="N551" s="614" t="n"/>
      <c r="O551" s="614" t="n"/>
      <c r="P551" s="614" t="n"/>
      <c r="Q551" s="614" t="n"/>
      <c r="R551" s="614" t="n"/>
      <c r="S551" s="614" t="n"/>
      <c r="T551" s="614" t="n"/>
    </row>
    <row r="552">
      <c r="A552" s="610" t="n"/>
      <c r="B552" s="610" t="n"/>
      <c r="C552" s="610" t="n"/>
      <c r="D552" s="978" t="n"/>
      <c r="E552" s="610" t="n"/>
      <c r="F552" s="610" t="n"/>
      <c r="G552" s="610" t="n"/>
      <c r="H552" s="610" t="n"/>
      <c r="I552" s="610" t="n"/>
      <c r="J552" s="978" t="n"/>
      <c r="K552" s="615" t="n"/>
      <c r="L552" s="613" t="n"/>
      <c r="M552" s="614" t="n"/>
      <c r="N552" s="614" t="n"/>
      <c r="O552" s="614" t="n"/>
      <c r="P552" s="614" t="n"/>
      <c r="Q552" s="614" t="n"/>
      <c r="R552" s="614" t="n"/>
      <c r="S552" s="614" t="n"/>
      <c r="T552" s="614" t="n"/>
    </row>
    <row r="553">
      <c r="A553" s="610" t="n"/>
      <c r="B553" s="610" t="n"/>
      <c r="C553" s="610" t="n"/>
      <c r="D553" s="978" t="n"/>
      <c r="E553" s="610" t="n"/>
      <c r="F553" s="610" t="n"/>
      <c r="G553" s="610" t="n"/>
      <c r="H553" s="610" t="n"/>
      <c r="I553" s="610" t="n"/>
      <c r="J553" s="978" t="n"/>
      <c r="K553" s="615" t="n"/>
      <c r="L553" s="613" t="n"/>
      <c r="M553" s="614" t="n"/>
      <c r="N553" s="614" t="n"/>
      <c r="O553" s="614" t="n"/>
      <c r="P553" s="614" t="n"/>
      <c r="Q553" s="614" t="n"/>
      <c r="R553" s="614" t="n"/>
      <c r="S553" s="614" t="n"/>
      <c r="T553" s="614" t="n"/>
    </row>
    <row r="554">
      <c r="A554" s="610" t="n"/>
      <c r="B554" s="610" t="n"/>
      <c r="C554" s="610" t="n"/>
      <c r="D554" s="978" t="n"/>
      <c r="E554" s="610" t="n"/>
      <c r="F554" s="610" t="n"/>
      <c r="G554" s="610" t="n"/>
      <c r="H554" s="610" t="n"/>
      <c r="I554" s="610" t="n"/>
      <c r="J554" s="978" t="n"/>
      <c r="K554" s="615" t="n"/>
      <c r="L554" s="613" t="n"/>
      <c r="M554" s="614" t="n"/>
      <c r="N554" s="614" t="n"/>
      <c r="O554" s="614" t="n"/>
      <c r="P554" s="614" t="n"/>
      <c r="Q554" s="614" t="n"/>
      <c r="R554" s="614" t="n"/>
      <c r="S554" s="614" t="n"/>
      <c r="T554" s="614" t="n"/>
    </row>
    <row r="555">
      <c r="A555" s="610" t="n"/>
      <c r="B555" s="610" t="n"/>
      <c r="C555" s="610" t="n"/>
      <c r="D555" s="978" t="n"/>
      <c r="E555" s="610" t="n"/>
      <c r="F555" s="610" t="n"/>
      <c r="G555" s="610" t="n"/>
      <c r="H555" s="610" t="n"/>
      <c r="I555" s="610" t="n"/>
      <c r="J555" s="978" t="n"/>
      <c r="K555" s="615" t="n"/>
      <c r="L555" s="613" t="n"/>
      <c r="M555" s="614" t="n"/>
      <c r="N555" s="614" t="n"/>
      <c r="O555" s="614" t="n"/>
      <c r="P555" s="614" t="n"/>
      <c r="Q555" s="614" t="n"/>
      <c r="R555" s="614" t="n"/>
      <c r="S555" s="614" t="n"/>
      <c r="T555" s="614" t="n"/>
    </row>
    <row r="556">
      <c r="A556" s="610" t="n"/>
      <c r="B556" s="610" t="n"/>
      <c r="C556" s="610" t="n"/>
      <c r="D556" s="978" t="n"/>
      <c r="E556" s="610" t="n"/>
      <c r="F556" s="610" t="n"/>
      <c r="G556" s="610" t="n"/>
      <c r="H556" s="610" t="n"/>
      <c r="I556" s="610" t="n"/>
      <c r="J556" s="978" t="n"/>
      <c r="K556" s="615" t="n"/>
      <c r="L556" s="613" t="n"/>
      <c r="M556" s="614" t="n"/>
      <c r="N556" s="614" t="n"/>
      <c r="O556" s="614" t="n"/>
      <c r="P556" s="614" t="n"/>
      <c r="Q556" s="614" t="n"/>
      <c r="R556" s="614" t="n"/>
      <c r="S556" s="614" t="n"/>
      <c r="T556" s="614" t="n"/>
    </row>
    <row r="557">
      <c r="A557" s="610" t="n"/>
      <c r="B557" s="610" t="n"/>
      <c r="C557" s="610" t="n"/>
      <c r="D557" s="978" t="n"/>
      <c r="E557" s="610" t="n"/>
      <c r="F557" s="610" t="n"/>
      <c r="G557" s="610" t="n"/>
      <c r="H557" s="610" t="n"/>
      <c r="I557" s="610" t="n"/>
      <c r="J557" s="978" t="n"/>
      <c r="K557" s="615" t="n"/>
      <c r="L557" s="613" t="n"/>
      <c r="M557" s="614" t="n"/>
      <c r="N557" s="614" t="n"/>
      <c r="O557" s="614" t="n"/>
      <c r="P557" s="614" t="n"/>
      <c r="Q557" s="614" t="n"/>
      <c r="R557" s="614" t="n"/>
      <c r="S557" s="614" t="n"/>
      <c r="T557" s="614" t="n"/>
    </row>
    <row r="558">
      <c r="A558" s="610" t="n"/>
      <c r="B558" s="610" t="n"/>
      <c r="C558" s="610" t="n"/>
      <c r="D558" s="978" t="n"/>
      <c r="E558" s="610" t="n"/>
      <c r="F558" s="610" t="n"/>
      <c r="G558" s="610" t="n"/>
      <c r="H558" s="610" t="n"/>
      <c r="I558" s="610" t="n"/>
      <c r="J558" s="978" t="n"/>
      <c r="K558" s="615" t="n"/>
      <c r="L558" s="613" t="n"/>
      <c r="M558" s="614" t="n"/>
      <c r="N558" s="614" t="n"/>
      <c r="O558" s="614" t="n"/>
      <c r="P558" s="614" t="n"/>
      <c r="Q558" s="614" t="n"/>
      <c r="R558" s="614" t="n"/>
      <c r="S558" s="614" t="n"/>
      <c r="T558" s="614" t="n"/>
    </row>
    <row r="559">
      <c r="A559" s="610" t="n"/>
      <c r="B559" s="610" t="n"/>
      <c r="C559" s="610" t="n"/>
      <c r="D559" s="978" t="n"/>
      <c r="E559" s="610" t="n"/>
      <c r="F559" s="610" t="n"/>
      <c r="G559" s="610" t="n"/>
      <c r="H559" s="610" t="n"/>
      <c r="I559" s="610" t="n"/>
      <c r="J559" s="978" t="n"/>
      <c r="K559" s="615" t="n"/>
      <c r="L559" s="613" t="n"/>
      <c r="M559" s="614" t="n"/>
      <c r="N559" s="614" t="n"/>
      <c r="O559" s="614" t="n"/>
      <c r="P559" s="614" t="n"/>
      <c r="Q559" s="614" t="n"/>
      <c r="R559" s="614" t="n"/>
      <c r="S559" s="614" t="n"/>
      <c r="T559" s="614" t="n"/>
    </row>
    <row r="560">
      <c r="A560" s="610" t="n"/>
      <c r="B560" s="610" t="n"/>
      <c r="C560" s="610" t="n"/>
      <c r="D560" s="978" t="n"/>
      <c r="E560" s="610" t="n"/>
      <c r="F560" s="610" t="n"/>
      <c r="G560" s="610" t="n"/>
      <c r="H560" s="610" t="n"/>
      <c r="I560" s="610" t="n"/>
      <c r="J560" s="978" t="n"/>
      <c r="K560" s="615" t="n"/>
      <c r="L560" s="613" t="n"/>
      <c r="M560" s="614" t="n"/>
      <c r="N560" s="614" t="n"/>
      <c r="O560" s="614" t="n"/>
      <c r="P560" s="614" t="n"/>
      <c r="Q560" s="614" t="n"/>
      <c r="R560" s="614" t="n"/>
      <c r="S560" s="614" t="n"/>
      <c r="T560" s="614" t="n"/>
    </row>
    <row r="561">
      <c r="A561" s="610" t="n"/>
      <c r="B561" s="610" t="n"/>
      <c r="C561" s="610" t="n"/>
      <c r="D561" s="978" t="n"/>
      <c r="E561" s="610" t="n"/>
      <c r="F561" s="610" t="n"/>
      <c r="G561" s="610" t="n"/>
      <c r="H561" s="610" t="n"/>
      <c r="I561" s="610" t="n"/>
      <c r="J561" s="978" t="n"/>
      <c r="K561" s="615" t="n"/>
      <c r="L561" s="613" t="n"/>
      <c r="M561" s="614" t="n"/>
      <c r="N561" s="614" t="n"/>
      <c r="O561" s="614" t="n"/>
      <c r="P561" s="614" t="n"/>
      <c r="Q561" s="614" t="n"/>
      <c r="R561" s="614" t="n"/>
      <c r="S561" s="614" t="n"/>
      <c r="T561" s="614" t="n"/>
    </row>
    <row r="562">
      <c r="A562" s="610" t="n"/>
      <c r="B562" s="610" t="n"/>
      <c r="C562" s="610" t="n"/>
      <c r="D562" s="978" t="n"/>
      <c r="E562" s="610" t="n"/>
      <c r="F562" s="610" t="n"/>
      <c r="G562" s="610" t="n"/>
      <c r="H562" s="610" t="n"/>
      <c r="I562" s="610" t="n"/>
      <c r="J562" s="978" t="n"/>
      <c r="K562" s="615" t="n"/>
      <c r="L562" s="613" t="n"/>
      <c r="M562" s="614" t="n"/>
      <c r="N562" s="614" t="n"/>
      <c r="O562" s="614" t="n"/>
      <c r="P562" s="614" t="n"/>
      <c r="Q562" s="614" t="n"/>
      <c r="R562" s="614" t="n"/>
      <c r="S562" s="614" t="n"/>
      <c r="T562" s="614" t="n"/>
    </row>
    <row r="563">
      <c r="A563" s="610" t="n"/>
      <c r="B563" s="610" t="n"/>
      <c r="C563" s="610" t="n"/>
      <c r="D563" s="978" t="n"/>
      <c r="E563" s="610" t="n"/>
      <c r="F563" s="610" t="n"/>
      <c r="G563" s="610" t="n"/>
      <c r="H563" s="610" t="n"/>
      <c r="I563" s="610" t="n"/>
      <c r="J563" s="978" t="n"/>
      <c r="K563" s="615" t="n"/>
      <c r="L563" s="613" t="n"/>
      <c r="M563" s="614" t="n"/>
      <c r="N563" s="614" t="n"/>
      <c r="O563" s="614" t="n"/>
      <c r="P563" s="614" t="n"/>
      <c r="Q563" s="614" t="n"/>
      <c r="R563" s="614" t="n"/>
      <c r="S563" s="614" t="n"/>
      <c r="T563" s="614" t="n"/>
    </row>
    <row r="564">
      <c r="A564" s="610" t="n"/>
      <c r="B564" s="610" t="n"/>
      <c r="C564" s="610" t="n"/>
      <c r="D564" s="978" t="n"/>
      <c r="E564" s="610" t="n"/>
      <c r="F564" s="610" t="n"/>
      <c r="G564" s="610" t="n"/>
      <c r="H564" s="610" t="n"/>
      <c r="I564" s="610" t="n"/>
      <c r="J564" s="978" t="n"/>
      <c r="K564" s="615" t="n"/>
      <c r="L564" s="613" t="n"/>
      <c r="M564" s="614" t="n"/>
      <c r="N564" s="614" t="n"/>
      <c r="O564" s="614" t="n"/>
      <c r="P564" s="614" t="n"/>
      <c r="Q564" s="614" t="n"/>
      <c r="R564" s="614" t="n"/>
      <c r="S564" s="614" t="n"/>
      <c r="T564" s="614" t="n"/>
    </row>
    <row r="565">
      <c r="A565" s="610" t="n"/>
      <c r="B565" s="610" t="n"/>
      <c r="C565" s="610" t="n"/>
      <c r="D565" s="978" t="n"/>
      <c r="E565" s="610" t="n"/>
      <c r="F565" s="610" t="n"/>
      <c r="G565" s="610" t="n"/>
      <c r="H565" s="610" t="n"/>
      <c r="I565" s="610" t="n"/>
      <c r="J565" s="978" t="n"/>
      <c r="K565" s="615" t="n"/>
      <c r="L565" s="613" t="n"/>
      <c r="M565" s="614" t="n"/>
      <c r="N565" s="614" t="n"/>
      <c r="O565" s="614" t="n"/>
      <c r="P565" s="614" t="n"/>
      <c r="Q565" s="614" t="n"/>
      <c r="R565" s="614" t="n"/>
      <c r="S565" s="614" t="n"/>
      <c r="T565" s="614" t="n"/>
    </row>
    <row r="566">
      <c r="A566" s="610" t="n"/>
      <c r="B566" s="610" t="n"/>
      <c r="C566" s="610" t="n"/>
      <c r="D566" s="978" t="n"/>
      <c r="E566" s="610" t="n"/>
      <c r="F566" s="610" t="n"/>
      <c r="G566" s="610" t="n"/>
      <c r="H566" s="610" t="n"/>
      <c r="I566" s="610" t="n"/>
      <c r="J566" s="978" t="n"/>
      <c r="K566" s="615" t="n"/>
      <c r="L566" s="613" t="n"/>
      <c r="M566" s="614" t="n"/>
      <c r="N566" s="614" t="n"/>
      <c r="O566" s="614" t="n"/>
      <c r="P566" s="614" t="n"/>
      <c r="Q566" s="614" t="n"/>
      <c r="R566" s="614" t="n"/>
      <c r="S566" s="614" t="n"/>
      <c r="T566" s="614" t="n"/>
    </row>
    <row r="567">
      <c r="A567" s="610" t="n"/>
      <c r="B567" s="610" t="n"/>
      <c r="C567" s="610" t="n"/>
      <c r="D567" s="978" t="n"/>
      <c r="E567" s="610" t="n"/>
      <c r="F567" s="610" t="n"/>
      <c r="G567" s="610" t="n"/>
      <c r="H567" s="610" t="n"/>
      <c r="I567" s="610" t="n"/>
      <c r="J567" s="978" t="n"/>
      <c r="K567" s="615" t="n"/>
      <c r="L567" s="613" t="n"/>
      <c r="M567" s="614" t="n"/>
      <c r="N567" s="614" t="n"/>
      <c r="O567" s="614" t="n"/>
      <c r="P567" s="614" t="n"/>
      <c r="Q567" s="614" t="n"/>
      <c r="R567" s="614" t="n"/>
      <c r="S567" s="614" t="n"/>
      <c r="T567" s="614" t="n"/>
    </row>
    <row r="568">
      <c r="A568" s="610" t="n"/>
      <c r="B568" s="610" t="n"/>
      <c r="C568" s="610" t="n"/>
      <c r="D568" s="978" t="n"/>
      <c r="E568" s="610" t="n"/>
      <c r="F568" s="610" t="n"/>
      <c r="G568" s="610" t="n"/>
      <c r="H568" s="610" t="n"/>
      <c r="I568" s="610" t="n"/>
      <c r="J568" s="978" t="n"/>
      <c r="K568" s="615" t="n"/>
      <c r="L568" s="613" t="n"/>
      <c r="M568" s="614" t="n"/>
      <c r="N568" s="614" t="n"/>
      <c r="O568" s="614" t="n"/>
      <c r="P568" s="614" t="n"/>
      <c r="Q568" s="614" t="n"/>
      <c r="R568" s="614" t="n"/>
      <c r="S568" s="614" t="n"/>
      <c r="T568" s="614" t="n"/>
    </row>
    <row r="569">
      <c r="A569" s="610" t="n"/>
      <c r="B569" s="610" t="n"/>
      <c r="C569" s="610" t="n"/>
      <c r="D569" s="978" t="n"/>
      <c r="E569" s="610" t="n"/>
      <c r="F569" s="610" t="n"/>
      <c r="G569" s="610" t="n"/>
      <c r="H569" s="610" t="n"/>
      <c r="I569" s="610" t="n"/>
      <c r="J569" s="978" t="n"/>
      <c r="K569" s="615" t="n"/>
      <c r="L569" s="613" t="n"/>
      <c r="M569" s="614" t="n"/>
      <c r="N569" s="614" t="n"/>
      <c r="O569" s="614" t="n"/>
      <c r="P569" s="614" t="n"/>
      <c r="Q569" s="614" t="n"/>
      <c r="R569" s="614" t="n"/>
      <c r="S569" s="614" t="n"/>
      <c r="T569" s="614" t="n"/>
    </row>
    <row r="570">
      <c r="A570" s="610" t="n"/>
      <c r="B570" s="610" t="n"/>
      <c r="C570" s="610" t="n"/>
      <c r="D570" s="978" t="n"/>
      <c r="E570" s="610" t="n"/>
      <c r="F570" s="610" t="n"/>
      <c r="G570" s="610" t="n"/>
      <c r="H570" s="610" t="n"/>
      <c r="I570" s="610" t="n"/>
      <c r="J570" s="978" t="n"/>
      <c r="K570" s="615" t="n"/>
      <c r="L570" s="613" t="n"/>
      <c r="M570" s="614" t="n"/>
      <c r="N570" s="614" t="n"/>
      <c r="O570" s="614" t="n"/>
      <c r="P570" s="614" t="n"/>
      <c r="Q570" s="614" t="n"/>
      <c r="R570" s="614" t="n"/>
      <c r="S570" s="614" t="n"/>
      <c r="T570" s="614" t="n"/>
    </row>
    <row r="571">
      <c r="A571" s="610" t="n"/>
      <c r="B571" s="610" t="n"/>
      <c r="C571" s="610" t="n"/>
      <c r="D571" s="978" t="n"/>
      <c r="E571" s="610" t="n"/>
      <c r="F571" s="610" t="n"/>
      <c r="G571" s="610" t="n"/>
      <c r="H571" s="610" t="n"/>
      <c r="I571" s="610" t="n"/>
      <c r="J571" s="978" t="n"/>
      <c r="K571" s="615" t="n"/>
      <c r="L571" s="613" t="n"/>
      <c r="M571" s="614" t="n"/>
      <c r="N571" s="614" t="n"/>
      <c r="O571" s="614" t="n"/>
      <c r="P571" s="614" t="n"/>
      <c r="Q571" s="614" t="n"/>
      <c r="R571" s="614" t="n"/>
      <c r="S571" s="614" t="n"/>
      <c r="T571" s="614" t="n"/>
    </row>
    <row r="572">
      <c r="A572" s="610" t="n"/>
      <c r="B572" s="610" t="n"/>
      <c r="C572" s="610" t="n"/>
      <c r="D572" s="978" t="n"/>
      <c r="E572" s="610" t="n"/>
      <c r="F572" s="610" t="n"/>
      <c r="G572" s="610" t="n"/>
      <c r="H572" s="610" t="n"/>
      <c r="I572" s="610" t="n"/>
      <c r="J572" s="978" t="n"/>
      <c r="K572" s="615" t="n"/>
      <c r="L572" s="613" t="n"/>
      <c r="M572" s="614" t="n"/>
      <c r="N572" s="614" t="n"/>
      <c r="O572" s="614" t="n"/>
      <c r="P572" s="614" t="n"/>
      <c r="Q572" s="614" t="n"/>
      <c r="R572" s="614" t="n"/>
      <c r="S572" s="614" t="n"/>
      <c r="T572" s="614" t="n"/>
    </row>
    <row r="573">
      <c r="A573" s="610" t="n"/>
      <c r="B573" s="610" t="n"/>
      <c r="C573" s="610" t="n"/>
      <c r="D573" s="978" t="n"/>
      <c r="E573" s="610" t="n"/>
      <c r="F573" s="610" t="n"/>
      <c r="G573" s="610" t="n"/>
      <c r="H573" s="610" t="n"/>
      <c r="I573" s="610" t="n"/>
      <c r="J573" s="978" t="n"/>
      <c r="K573" s="615" t="n"/>
      <c r="L573" s="613" t="n"/>
      <c r="M573" s="614" t="n"/>
      <c r="N573" s="614" t="n"/>
      <c r="O573" s="614" t="n"/>
      <c r="P573" s="614" t="n"/>
      <c r="Q573" s="614" t="n"/>
      <c r="R573" s="614" t="n"/>
      <c r="S573" s="614" t="n"/>
      <c r="T573" s="614" t="n"/>
    </row>
    <row r="574">
      <c r="A574" s="610" t="n"/>
      <c r="B574" s="610" t="n"/>
      <c r="C574" s="610" t="n"/>
      <c r="D574" s="978" t="n"/>
      <c r="E574" s="610" t="n"/>
      <c r="F574" s="610" t="n"/>
      <c r="G574" s="610" t="n"/>
      <c r="H574" s="610" t="n"/>
      <c r="I574" s="610" t="n"/>
      <c r="J574" s="978" t="n"/>
      <c r="K574" s="615" t="n"/>
      <c r="L574" s="613" t="n"/>
      <c r="M574" s="614" t="n"/>
      <c r="N574" s="614" t="n"/>
      <c r="O574" s="614" t="n"/>
      <c r="P574" s="614" t="n"/>
      <c r="Q574" s="614" t="n"/>
      <c r="R574" s="614" t="n"/>
      <c r="S574" s="614" t="n"/>
      <c r="T574" s="614" t="n"/>
    </row>
    <row r="575">
      <c r="A575" s="610" t="n"/>
      <c r="B575" s="610" t="n"/>
      <c r="C575" s="610" t="n"/>
      <c r="D575" s="978" t="n"/>
      <c r="E575" s="610" t="n"/>
      <c r="F575" s="610" t="n"/>
      <c r="G575" s="610" t="n"/>
      <c r="H575" s="610" t="n"/>
      <c r="I575" s="610" t="n"/>
      <c r="J575" s="978" t="n"/>
      <c r="K575" s="615" t="n"/>
      <c r="L575" s="613" t="n"/>
      <c r="M575" s="614" t="n"/>
      <c r="N575" s="614" t="n"/>
      <c r="O575" s="614" t="n"/>
      <c r="P575" s="614" t="n"/>
      <c r="Q575" s="614" t="n"/>
      <c r="R575" s="614" t="n"/>
      <c r="S575" s="614" t="n"/>
      <c r="T575" s="614" t="n"/>
    </row>
    <row r="576">
      <c r="A576" s="610" t="n"/>
      <c r="B576" s="610" t="n"/>
      <c r="C576" s="610" t="n"/>
      <c r="D576" s="978" t="n"/>
      <c r="E576" s="610" t="n"/>
      <c r="F576" s="610" t="n"/>
      <c r="G576" s="610" t="n"/>
      <c r="H576" s="610" t="n"/>
      <c r="I576" s="610" t="n"/>
      <c r="J576" s="978" t="n"/>
      <c r="K576" s="615" t="n"/>
      <c r="L576" s="613" t="n"/>
      <c r="M576" s="614" t="n"/>
      <c r="N576" s="614" t="n"/>
      <c r="O576" s="614" t="n"/>
      <c r="P576" s="614" t="n"/>
      <c r="Q576" s="614" t="n"/>
      <c r="R576" s="614" t="n"/>
      <c r="S576" s="614" t="n"/>
      <c r="T576" s="614" t="n"/>
    </row>
    <row r="577">
      <c r="A577" s="610" t="n"/>
      <c r="B577" s="610" t="n"/>
      <c r="C577" s="610" t="n"/>
      <c r="D577" s="978" t="n"/>
      <c r="E577" s="610" t="n"/>
      <c r="F577" s="610" t="n"/>
      <c r="G577" s="610" t="n"/>
      <c r="H577" s="610" t="n"/>
      <c r="I577" s="610" t="n"/>
      <c r="J577" s="978" t="n"/>
      <c r="K577" s="615" t="n"/>
      <c r="L577" s="613" t="n"/>
      <c r="M577" s="614" t="n"/>
      <c r="N577" s="614" t="n"/>
      <c r="O577" s="614" t="n"/>
      <c r="P577" s="614" t="n"/>
      <c r="Q577" s="614" t="n"/>
      <c r="R577" s="614" t="n"/>
      <c r="S577" s="614" t="n"/>
      <c r="T577" s="614" t="n"/>
    </row>
    <row r="578">
      <c r="A578" s="610" t="n"/>
      <c r="B578" s="610" t="n"/>
      <c r="C578" s="610" t="n"/>
      <c r="D578" s="978" t="n"/>
      <c r="E578" s="610" t="n"/>
      <c r="F578" s="610" t="n"/>
      <c r="G578" s="610" t="n"/>
      <c r="H578" s="610" t="n"/>
      <c r="I578" s="610" t="n"/>
      <c r="J578" s="978" t="n"/>
      <c r="K578" s="615" t="n"/>
      <c r="L578" s="613" t="n"/>
      <c r="M578" s="614" t="n"/>
      <c r="N578" s="614" t="n"/>
      <c r="O578" s="614" t="n"/>
      <c r="P578" s="614" t="n"/>
      <c r="Q578" s="614" t="n"/>
      <c r="R578" s="614" t="n"/>
      <c r="S578" s="614" t="n"/>
      <c r="T578" s="614" t="n"/>
    </row>
    <row r="579">
      <c r="A579" s="610" t="n"/>
      <c r="B579" s="610" t="n"/>
      <c r="C579" s="610" t="n"/>
      <c r="D579" s="978" t="n"/>
      <c r="E579" s="610" t="n"/>
      <c r="F579" s="610" t="n"/>
      <c r="G579" s="610" t="n"/>
      <c r="H579" s="610" t="n"/>
      <c r="I579" s="610" t="n"/>
      <c r="J579" s="978" t="n"/>
      <c r="K579" s="615" t="n"/>
      <c r="L579" s="613" t="n"/>
      <c r="M579" s="614" t="n"/>
      <c r="N579" s="614" t="n"/>
      <c r="O579" s="614" t="n"/>
      <c r="P579" s="614" t="n"/>
      <c r="Q579" s="614" t="n"/>
      <c r="R579" s="614" t="n"/>
      <c r="S579" s="614" t="n"/>
      <c r="T579" s="614" t="n"/>
    </row>
    <row r="580">
      <c r="A580" s="610" t="n"/>
      <c r="B580" s="610" t="n"/>
      <c r="C580" s="610" t="n"/>
      <c r="D580" s="978" t="n"/>
      <c r="E580" s="610" t="n"/>
      <c r="F580" s="610" t="n"/>
      <c r="G580" s="610" t="n"/>
      <c r="H580" s="610" t="n"/>
      <c r="I580" s="610" t="n"/>
      <c r="J580" s="978" t="n"/>
      <c r="K580" s="615" t="n"/>
      <c r="L580" s="613" t="n"/>
      <c r="M580" s="614" t="n"/>
      <c r="N580" s="614" t="n"/>
      <c r="O580" s="614" t="n"/>
      <c r="P580" s="614" t="n"/>
      <c r="Q580" s="614" t="n"/>
      <c r="R580" s="614" t="n"/>
      <c r="S580" s="614" t="n"/>
      <c r="T580" s="614" t="n"/>
    </row>
    <row r="581">
      <c r="A581" s="610" t="n"/>
      <c r="B581" s="610" t="n"/>
      <c r="C581" s="610" t="n"/>
      <c r="D581" s="978" t="n"/>
      <c r="E581" s="610" t="n"/>
      <c r="F581" s="610" t="n"/>
      <c r="G581" s="610" t="n"/>
      <c r="H581" s="610" t="n"/>
      <c r="I581" s="610" t="n"/>
      <c r="J581" s="978" t="n"/>
      <c r="K581" s="615" t="n"/>
      <c r="L581" s="613" t="n"/>
      <c r="M581" s="614" t="n"/>
      <c r="N581" s="614" t="n"/>
      <c r="O581" s="614" t="n"/>
      <c r="P581" s="614" t="n"/>
      <c r="Q581" s="614" t="n"/>
      <c r="R581" s="614" t="n"/>
      <c r="S581" s="614" t="n"/>
      <c r="T581" s="614" t="n"/>
    </row>
    <row r="582">
      <c r="A582" s="610" t="n"/>
      <c r="B582" s="610" t="n"/>
      <c r="C582" s="610" t="n"/>
      <c r="D582" s="978" t="n"/>
      <c r="E582" s="610" t="n"/>
      <c r="F582" s="610" t="n"/>
      <c r="G582" s="610" t="n"/>
      <c r="H582" s="610" t="n"/>
      <c r="I582" s="610" t="n"/>
      <c r="J582" s="978" t="n"/>
      <c r="K582" s="615" t="n"/>
      <c r="L582" s="613" t="n"/>
      <c r="M582" s="614" t="n"/>
      <c r="N582" s="614" t="n"/>
      <c r="O582" s="614" t="n"/>
      <c r="P582" s="614" t="n"/>
      <c r="Q582" s="614" t="n"/>
      <c r="R582" s="614" t="n"/>
      <c r="S582" s="614" t="n"/>
      <c r="T582" s="614" t="n"/>
    </row>
    <row r="583">
      <c r="A583" s="610" t="n"/>
      <c r="B583" s="610" t="n"/>
      <c r="C583" s="610" t="n"/>
      <c r="D583" s="978" t="n"/>
      <c r="E583" s="610" t="n"/>
      <c r="F583" s="610" t="n"/>
      <c r="G583" s="610" t="n"/>
      <c r="H583" s="610" t="n"/>
      <c r="I583" s="610" t="n"/>
      <c r="J583" s="978" t="n"/>
      <c r="K583" s="615" t="n"/>
      <c r="L583" s="613" t="n"/>
      <c r="M583" s="614" t="n"/>
      <c r="N583" s="614" t="n"/>
      <c r="O583" s="614" t="n"/>
      <c r="P583" s="614" t="n"/>
      <c r="Q583" s="614" t="n"/>
      <c r="R583" s="614" t="n"/>
      <c r="S583" s="614" t="n"/>
      <c r="T583" s="614" t="n"/>
    </row>
    <row r="584">
      <c r="A584" s="610" t="n"/>
      <c r="B584" s="610" t="n"/>
      <c r="C584" s="610" t="n"/>
      <c r="D584" s="978" t="n"/>
      <c r="E584" s="610" t="n"/>
      <c r="F584" s="610" t="n"/>
      <c r="G584" s="610" t="n"/>
      <c r="H584" s="610" t="n"/>
      <c r="I584" s="610" t="n"/>
      <c r="J584" s="978" t="n"/>
      <c r="K584" s="615" t="n"/>
      <c r="L584" s="613" t="n"/>
      <c r="M584" s="614" t="n"/>
      <c r="N584" s="614" t="n"/>
      <c r="O584" s="614" t="n"/>
      <c r="P584" s="614" t="n"/>
      <c r="Q584" s="614" t="n"/>
      <c r="R584" s="614" t="n"/>
      <c r="S584" s="614" t="n"/>
      <c r="T584" s="614" t="n"/>
    </row>
    <row r="585">
      <c r="A585" s="610" t="n"/>
      <c r="B585" s="610" t="n"/>
      <c r="C585" s="610" t="n"/>
      <c r="D585" s="978" t="n"/>
      <c r="E585" s="610" t="n"/>
      <c r="F585" s="610" t="n"/>
      <c r="G585" s="610" t="n"/>
      <c r="H585" s="610" t="n"/>
      <c r="I585" s="610" t="n"/>
      <c r="J585" s="978" t="n"/>
      <c r="K585" s="615" t="n"/>
      <c r="L585" s="613" t="n"/>
      <c r="M585" s="614" t="n"/>
      <c r="N585" s="614" t="n"/>
      <c r="O585" s="614" t="n"/>
      <c r="P585" s="614" t="n"/>
      <c r="Q585" s="614" t="n"/>
      <c r="R585" s="614" t="n"/>
      <c r="S585" s="614" t="n"/>
      <c r="T585" s="614" t="n"/>
    </row>
    <row r="586">
      <c r="A586" s="610" t="n"/>
      <c r="B586" s="610" t="n"/>
      <c r="C586" s="610" t="n"/>
      <c r="D586" s="978" t="n"/>
      <c r="E586" s="610" t="n"/>
      <c r="F586" s="610" t="n"/>
      <c r="G586" s="610" t="n"/>
      <c r="H586" s="610" t="n"/>
      <c r="I586" s="610" t="n"/>
      <c r="J586" s="978" t="n"/>
      <c r="K586" s="615" t="n"/>
      <c r="L586" s="613" t="n"/>
      <c r="M586" s="614" t="n"/>
      <c r="N586" s="614" t="n"/>
      <c r="O586" s="614" t="n"/>
      <c r="P586" s="614" t="n"/>
      <c r="Q586" s="614" t="n"/>
      <c r="R586" s="614" t="n"/>
      <c r="S586" s="614" t="n"/>
      <c r="T586" s="614" t="n"/>
    </row>
    <row r="587">
      <c r="A587" s="610" t="n"/>
      <c r="B587" s="610" t="n"/>
      <c r="C587" s="610" t="n"/>
      <c r="D587" s="978" t="n"/>
      <c r="E587" s="610" t="n"/>
      <c r="F587" s="610" t="n"/>
      <c r="G587" s="610" t="n"/>
      <c r="H587" s="610" t="n"/>
      <c r="I587" s="610" t="n"/>
      <c r="J587" s="978" t="n"/>
      <c r="K587" s="615" t="n"/>
      <c r="L587" s="613" t="n"/>
      <c r="M587" s="614" t="n"/>
      <c r="N587" s="614" t="n"/>
      <c r="O587" s="614" t="n"/>
      <c r="P587" s="614" t="n"/>
      <c r="Q587" s="614" t="n"/>
      <c r="R587" s="614" t="n"/>
      <c r="S587" s="614" t="n"/>
      <c r="T587" s="614" t="n"/>
    </row>
    <row r="588">
      <c r="A588" s="610" t="n"/>
      <c r="B588" s="610" t="n"/>
      <c r="C588" s="610" t="n"/>
      <c r="D588" s="978" t="n"/>
      <c r="E588" s="610" t="n"/>
      <c r="F588" s="610" t="n"/>
      <c r="G588" s="610" t="n"/>
      <c r="H588" s="610" t="n"/>
      <c r="I588" s="610" t="n"/>
      <c r="J588" s="978" t="n"/>
      <c r="K588" s="615" t="n"/>
      <c r="L588" s="613" t="n"/>
      <c r="M588" s="614" t="n"/>
      <c r="N588" s="614" t="n"/>
      <c r="O588" s="614" t="n"/>
      <c r="P588" s="614" t="n"/>
      <c r="Q588" s="614" t="n"/>
      <c r="R588" s="614" t="n"/>
      <c r="S588" s="614" t="n"/>
      <c r="T588" s="614" t="n"/>
    </row>
    <row r="589">
      <c r="A589" s="610" t="n"/>
      <c r="B589" s="610" t="n"/>
      <c r="C589" s="610" t="n"/>
      <c r="D589" s="978" t="n"/>
      <c r="E589" s="610" t="n"/>
      <c r="F589" s="610" t="n"/>
      <c r="G589" s="610" t="n"/>
      <c r="H589" s="610" t="n"/>
      <c r="I589" s="610" t="n"/>
      <c r="J589" s="978" t="n"/>
      <c r="K589" s="615" t="n"/>
      <c r="L589" s="613" t="n"/>
      <c r="M589" s="614" t="n"/>
      <c r="N589" s="614" t="n"/>
      <c r="O589" s="614" t="n"/>
      <c r="P589" s="614" t="n"/>
      <c r="Q589" s="614" t="n"/>
      <c r="R589" s="614" t="n"/>
      <c r="S589" s="614" t="n"/>
      <c r="T589" s="614" t="n"/>
    </row>
    <row r="590">
      <c r="A590" s="610" t="n"/>
      <c r="B590" s="610" t="n"/>
      <c r="C590" s="610" t="n"/>
      <c r="D590" s="978" t="n"/>
      <c r="E590" s="610" t="n"/>
      <c r="F590" s="610" t="n"/>
      <c r="G590" s="610" t="n"/>
      <c r="H590" s="610" t="n"/>
      <c r="I590" s="610" t="n"/>
      <c r="J590" s="978" t="n"/>
      <c r="K590" s="615" t="n"/>
      <c r="L590" s="613" t="n"/>
      <c r="M590" s="614" t="n"/>
      <c r="N590" s="614" t="n"/>
      <c r="O590" s="614" t="n"/>
      <c r="P590" s="614" t="n"/>
      <c r="Q590" s="614" t="n"/>
      <c r="R590" s="614" t="n"/>
      <c r="S590" s="614" t="n"/>
      <c r="T590" s="614" t="n"/>
    </row>
    <row r="591">
      <c r="A591" s="610" t="n"/>
      <c r="B591" s="610" t="n"/>
      <c r="C591" s="610" t="n"/>
      <c r="D591" s="978" t="n"/>
      <c r="E591" s="610" t="n"/>
      <c r="F591" s="610" t="n"/>
      <c r="G591" s="610" t="n"/>
      <c r="H591" s="610" t="n"/>
      <c r="I591" s="610" t="n"/>
      <c r="J591" s="978" t="n"/>
      <c r="K591" s="615" t="n"/>
      <c r="L591" s="613" t="n"/>
      <c r="M591" s="614" t="n"/>
      <c r="N591" s="614" t="n"/>
      <c r="O591" s="614" t="n"/>
      <c r="P591" s="614" t="n"/>
      <c r="Q591" s="614" t="n"/>
      <c r="R591" s="614" t="n"/>
      <c r="S591" s="614" t="n"/>
      <c r="T591" s="614" t="n"/>
    </row>
    <row r="592">
      <c r="A592" s="610" t="n"/>
      <c r="B592" s="610" t="n"/>
      <c r="C592" s="610" t="n"/>
      <c r="D592" s="978" t="n"/>
      <c r="E592" s="610" t="n"/>
      <c r="F592" s="610" t="n"/>
      <c r="G592" s="610" t="n"/>
      <c r="H592" s="610" t="n"/>
      <c r="I592" s="610" t="n"/>
      <c r="J592" s="978" t="n"/>
      <c r="K592" s="615" t="n"/>
      <c r="L592" s="613" t="n"/>
      <c r="M592" s="614" t="n"/>
      <c r="N592" s="614" t="n"/>
      <c r="O592" s="614" t="n"/>
      <c r="P592" s="614" t="n"/>
      <c r="Q592" s="614" t="n"/>
      <c r="R592" s="614" t="n"/>
      <c r="S592" s="614" t="n"/>
      <c r="T592" s="614" t="n"/>
    </row>
    <row r="593">
      <c r="A593" s="610" t="n"/>
      <c r="B593" s="610" t="n"/>
      <c r="C593" s="610" t="n"/>
      <c r="D593" s="978" t="n"/>
      <c r="E593" s="610" t="n"/>
      <c r="F593" s="610" t="n"/>
      <c r="G593" s="610" t="n"/>
      <c r="H593" s="610" t="n"/>
      <c r="I593" s="610" t="n"/>
      <c r="J593" s="978" t="n"/>
      <c r="K593" s="615" t="n"/>
      <c r="L593" s="613" t="n"/>
      <c r="M593" s="614" t="n"/>
      <c r="N593" s="614" t="n"/>
      <c r="O593" s="614" t="n"/>
      <c r="P593" s="614" t="n"/>
      <c r="Q593" s="614" t="n"/>
      <c r="R593" s="614" t="n"/>
      <c r="S593" s="614" t="n"/>
      <c r="T593" s="614" t="n"/>
    </row>
    <row r="594">
      <c r="A594" s="610" t="n"/>
      <c r="B594" s="610" t="n"/>
      <c r="C594" s="610" t="n"/>
      <c r="D594" s="978" t="n"/>
      <c r="E594" s="610" t="n"/>
      <c r="F594" s="610" t="n"/>
      <c r="G594" s="610" t="n"/>
      <c r="H594" s="610" t="n"/>
      <c r="I594" s="610" t="n"/>
      <c r="J594" s="978" t="n"/>
      <c r="K594" s="615" t="n"/>
      <c r="L594" s="613" t="n"/>
      <c r="M594" s="614" t="n"/>
      <c r="N594" s="614" t="n"/>
      <c r="O594" s="614" t="n"/>
      <c r="P594" s="614" t="n"/>
      <c r="Q594" s="614" t="n"/>
      <c r="R594" s="614" t="n"/>
      <c r="S594" s="614" t="n"/>
      <c r="T594" s="614" t="n"/>
    </row>
    <row r="595">
      <c r="A595" s="610" t="n"/>
      <c r="B595" s="610" t="n"/>
      <c r="C595" s="610" t="n"/>
      <c r="D595" s="978" t="n"/>
      <c r="E595" s="610" t="n"/>
      <c r="F595" s="610" t="n"/>
      <c r="G595" s="610" t="n"/>
      <c r="H595" s="610" t="n"/>
      <c r="I595" s="610" t="n"/>
      <c r="J595" s="978" t="n"/>
      <c r="K595" s="615" t="n"/>
      <c r="L595" s="613" t="n"/>
      <c r="M595" s="614" t="n"/>
      <c r="N595" s="614" t="n"/>
      <c r="O595" s="614" t="n"/>
      <c r="P595" s="614" t="n"/>
      <c r="Q595" s="614" t="n"/>
      <c r="R595" s="614" t="n"/>
      <c r="S595" s="614" t="n"/>
      <c r="T595" s="614" t="n"/>
    </row>
    <row r="596">
      <c r="A596" s="610" t="n"/>
      <c r="B596" s="610" t="n"/>
      <c r="C596" s="610" t="n"/>
      <c r="D596" s="978" t="n"/>
      <c r="E596" s="610" t="n"/>
      <c r="F596" s="610" t="n"/>
      <c r="G596" s="610" t="n"/>
      <c r="H596" s="610" t="n"/>
      <c r="I596" s="610" t="n"/>
      <c r="J596" s="978" t="n"/>
      <c r="K596" s="615" t="n"/>
      <c r="L596" s="613" t="n"/>
      <c r="M596" s="614" t="n"/>
      <c r="N596" s="614" t="n"/>
      <c r="O596" s="614" t="n"/>
      <c r="P596" s="614" t="n"/>
      <c r="Q596" s="614" t="n"/>
      <c r="R596" s="614" t="n"/>
      <c r="S596" s="614" t="n"/>
      <c r="T596" s="614" t="n"/>
    </row>
    <row r="597">
      <c r="A597" s="610" t="n"/>
      <c r="B597" s="610" t="n"/>
      <c r="C597" s="610" t="n"/>
      <c r="D597" s="978" t="n"/>
      <c r="E597" s="610" t="n"/>
      <c r="F597" s="610" t="n"/>
      <c r="G597" s="610" t="n"/>
      <c r="H597" s="610" t="n"/>
      <c r="I597" s="610" t="n"/>
      <c r="J597" s="978" t="n"/>
      <c r="K597" s="615" t="n"/>
      <c r="L597" s="613" t="n"/>
      <c r="M597" s="614" t="n"/>
      <c r="N597" s="614" t="n"/>
      <c r="O597" s="614" t="n"/>
      <c r="P597" s="614" t="n"/>
      <c r="Q597" s="614" t="n"/>
      <c r="R597" s="614" t="n"/>
      <c r="S597" s="614" t="n"/>
      <c r="T597" s="614" t="n"/>
    </row>
    <row r="598">
      <c r="A598" s="610" t="n"/>
      <c r="B598" s="610" t="n"/>
      <c r="C598" s="610" t="n"/>
      <c r="D598" s="978" t="n"/>
      <c r="E598" s="610" t="n"/>
      <c r="F598" s="610" t="n"/>
      <c r="G598" s="610" t="n"/>
      <c r="H598" s="610" t="n"/>
      <c r="I598" s="610" t="n"/>
      <c r="J598" s="978" t="n"/>
      <c r="K598" s="615" t="n"/>
      <c r="L598" s="613" t="n"/>
      <c r="M598" s="614" t="n"/>
      <c r="N598" s="614" t="n"/>
      <c r="O598" s="614" t="n"/>
      <c r="P598" s="614" t="n"/>
      <c r="Q598" s="614" t="n"/>
      <c r="R598" s="614" t="n"/>
      <c r="S598" s="614" t="n"/>
      <c r="T598" s="614" t="n"/>
    </row>
    <row r="599">
      <c r="A599" s="610" t="n"/>
      <c r="B599" s="610" t="n"/>
      <c r="C599" s="610" t="n"/>
      <c r="D599" s="978" t="n"/>
      <c r="E599" s="610" t="n"/>
      <c r="F599" s="610" t="n"/>
      <c r="G599" s="610" t="n"/>
      <c r="H599" s="610" t="n"/>
      <c r="I599" s="610" t="n"/>
      <c r="J599" s="978" t="n"/>
      <c r="K599" s="615" t="n"/>
      <c r="L599" s="613" t="n"/>
      <c r="M599" s="614" t="n"/>
      <c r="N599" s="614" t="n"/>
      <c r="O599" s="614" t="n"/>
      <c r="P599" s="614" t="n"/>
      <c r="Q599" s="614" t="n"/>
      <c r="R599" s="614" t="n"/>
      <c r="S599" s="614" t="n"/>
      <c r="T599" s="614" t="n"/>
    </row>
    <row r="600">
      <c r="A600" s="610" t="n"/>
      <c r="B600" s="610" t="n"/>
      <c r="C600" s="610" t="n"/>
      <c r="D600" s="978" t="n"/>
      <c r="E600" s="610" t="n"/>
      <c r="F600" s="610" t="n"/>
      <c r="G600" s="610" t="n"/>
      <c r="H600" s="610" t="n"/>
      <c r="I600" s="610" t="n"/>
      <c r="J600" s="978" t="n"/>
      <c r="K600" s="615" t="n"/>
      <c r="L600" s="613" t="n"/>
      <c r="M600" s="614" t="n"/>
      <c r="N600" s="614" t="n"/>
      <c r="O600" s="614" t="n"/>
      <c r="P600" s="614" t="n"/>
      <c r="Q600" s="614" t="n"/>
      <c r="R600" s="614" t="n"/>
      <c r="S600" s="614" t="n"/>
      <c r="T600" s="614" t="n"/>
    </row>
    <row r="601">
      <c r="A601" s="610" t="n"/>
      <c r="B601" s="610" t="n"/>
      <c r="C601" s="610" t="n"/>
      <c r="D601" s="978" t="n"/>
      <c r="E601" s="610" t="n"/>
      <c r="F601" s="610" t="n"/>
      <c r="G601" s="610" t="n"/>
      <c r="H601" s="610" t="n"/>
      <c r="I601" s="610" t="n"/>
      <c r="J601" s="978" t="n"/>
      <c r="K601" s="615" t="n"/>
      <c r="L601" s="613" t="n"/>
      <c r="M601" s="614" t="n"/>
      <c r="N601" s="614" t="n"/>
      <c r="O601" s="614" t="n"/>
      <c r="P601" s="614" t="n"/>
      <c r="Q601" s="614" t="n"/>
      <c r="R601" s="614" t="n"/>
      <c r="S601" s="614" t="n"/>
      <c r="T601" s="614" t="n"/>
    </row>
    <row r="602">
      <c r="A602" s="610" t="n"/>
      <c r="B602" s="610" t="n"/>
      <c r="C602" s="610" t="n"/>
      <c r="D602" s="978" t="n"/>
      <c r="E602" s="610" t="n"/>
      <c r="F602" s="610" t="n"/>
      <c r="G602" s="610" t="n"/>
      <c r="H602" s="610" t="n"/>
      <c r="I602" s="610" t="n"/>
      <c r="J602" s="978" t="n"/>
      <c r="K602" s="615" t="n"/>
      <c r="L602" s="613" t="n"/>
      <c r="M602" s="614" t="n"/>
      <c r="N602" s="614" t="n"/>
      <c r="O602" s="614" t="n"/>
      <c r="P602" s="614" t="n"/>
      <c r="Q602" s="614" t="n"/>
      <c r="R602" s="614" t="n"/>
      <c r="S602" s="614" t="n"/>
      <c r="T602" s="614" t="n"/>
    </row>
    <row r="603">
      <c r="A603" s="610" t="n"/>
      <c r="B603" s="610" t="n"/>
      <c r="C603" s="610" t="n"/>
      <c r="D603" s="978" t="n"/>
      <c r="E603" s="610" t="n"/>
      <c r="F603" s="610" t="n"/>
      <c r="G603" s="610" t="n"/>
      <c r="H603" s="610" t="n"/>
      <c r="I603" s="610" t="n"/>
      <c r="J603" s="978" t="n"/>
      <c r="K603" s="615" t="n"/>
      <c r="L603" s="613" t="n"/>
      <c r="M603" s="614" t="n"/>
      <c r="N603" s="614" t="n"/>
      <c r="O603" s="614" t="n"/>
      <c r="P603" s="614" t="n"/>
      <c r="Q603" s="614" t="n"/>
      <c r="R603" s="614" t="n"/>
      <c r="S603" s="614" t="n"/>
      <c r="T603" s="614" t="n"/>
    </row>
    <row r="604">
      <c r="A604" s="610" t="n"/>
      <c r="B604" s="610" t="n"/>
      <c r="C604" s="610" t="n"/>
      <c r="D604" s="978" t="n"/>
      <c r="E604" s="610" t="n"/>
      <c r="F604" s="610" t="n"/>
      <c r="G604" s="610" t="n"/>
      <c r="H604" s="610" t="n"/>
      <c r="I604" s="610" t="n"/>
      <c r="J604" s="978" t="n"/>
      <c r="K604" s="615" t="n"/>
      <c r="L604" s="613" t="n"/>
      <c r="M604" s="614" t="n"/>
      <c r="N604" s="614" t="n"/>
      <c r="O604" s="614" t="n"/>
      <c r="P604" s="614" t="n"/>
      <c r="Q604" s="614" t="n"/>
      <c r="R604" s="614" t="n"/>
      <c r="S604" s="614" t="n"/>
      <c r="T604" s="614" t="n"/>
    </row>
    <row r="605">
      <c r="A605" s="610" t="n"/>
      <c r="B605" s="610" t="n"/>
      <c r="C605" s="610" t="n"/>
      <c r="D605" s="978" t="n"/>
      <c r="E605" s="610" t="n"/>
      <c r="F605" s="610" t="n"/>
      <c r="G605" s="610" t="n"/>
      <c r="H605" s="610" t="n"/>
      <c r="I605" s="610" t="n"/>
      <c r="J605" s="978" t="n"/>
      <c r="K605" s="615" t="n"/>
      <c r="L605" s="613" t="n"/>
      <c r="M605" s="614" t="n"/>
      <c r="N605" s="614" t="n"/>
      <c r="O605" s="614" t="n"/>
      <c r="P605" s="614" t="n"/>
      <c r="Q605" s="614" t="n"/>
      <c r="R605" s="614" t="n"/>
      <c r="S605" s="614" t="n"/>
      <c r="T605" s="614" t="n"/>
    </row>
    <row r="606">
      <c r="A606" s="610" t="n"/>
      <c r="B606" s="610" t="n"/>
      <c r="C606" s="610" t="n"/>
      <c r="D606" s="978" t="n"/>
      <c r="E606" s="610" t="n"/>
      <c r="F606" s="610" t="n"/>
      <c r="G606" s="610" t="n"/>
      <c r="H606" s="610" t="n"/>
      <c r="I606" s="610" t="n"/>
      <c r="J606" s="978" t="n"/>
      <c r="K606" s="615" t="n"/>
      <c r="L606" s="613" t="n"/>
      <c r="M606" s="614" t="n"/>
      <c r="N606" s="614" t="n"/>
      <c r="O606" s="614" t="n"/>
      <c r="P606" s="614" t="n"/>
      <c r="Q606" s="614" t="n"/>
      <c r="R606" s="614" t="n"/>
      <c r="S606" s="614" t="n"/>
      <c r="T606" s="614" t="n"/>
    </row>
    <row r="607">
      <c r="A607" s="610" t="n"/>
      <c r="B607" s="610" t="n"/>
      <c r="C607" s="610" t="n"/>
      <c r="D607" s="978" t="n"/>
      <c r="E607" s="610" t="n"/>
      <c r="F607" s="610" t="n"/>
      <c r="G607" s="610" t="n"/>
      <c r="H607" s="610" t="n"/>
      <c r="I607" s="610" t="n"/>
      <c r="J607" s="978" t="n"/>
      <c r="K607" s="615" t="n"/>
      <c r="L607" s="613" t="n"/>
      <c r="M607" s="614" t="n"/>
      <c r="N607" s="614" t="n"/>
      <c r="O607" s="614" t="n"/>
      <c r="P607" s="614" t="n"/>
      <c r="Q607" s="614" t="n"/>
      <c r="R607" s="614" t="n"/>
      <c r="S607" s="614" t="n"/>
      <c r="T607" s="614" t="n"/>
    </row>
    <row r="608">
      <c r="A608" s="610" t="n"/>
      <c r="B608" s="610" t="n"/>
      <c r="C608" s="610" t="n"/>
      <c r="D608" s="978" t="n"/>
      <c r="E608" s="610" t="n"/>
      <c r="F608" s="610" t="n"/>
      <c r="G608" s="610" t="n"/>
      <c r="H608" s="610" t="n"/>
      <c r="I608" s="610" t="n"/>
      <c r="J608" s="978" t="n"/>
      <c r="K608" s="615" t="n"/>
      <c r="L608" s="613" t="n"/>
      <c r="M608" s="614" t="n"/>
      <c r="N608" s="614" t="n"/>
      <c r="O608" s="614" t="n"/>
      <c r="P608" s="614" t="n"/>
      <c r="Q608" s="614" t="n"/>
      <c r="R608" s="614" t="n"/>
      <c r="S608" s="614" t="n"/>
      <c r="T608" s="614" t="n"/>
    </row>
    <row r="609">
      <c r="A609" s="610" t="n"/>
      <c r="B609" s="610" t="n"/>
      <c r="C609" s="610" t="n"/>
      <c r="D609" s="978" t="n"/>
      <c r="E609" s="610" t="n"/>
      <c r="F609" s="610" t="n"/>
      <c r="G609" s="610" t="n"/>
      <c r="H609" s="610" t="n"/>
      <c r="I609" s="610" t="n"/>
      <c r="J609" s="978" t="n"/>
      <c r="K609" s="615" t="n"/>
      <c r="L609" s="613" t="n"/>
      <c r="M609" s="614" t="n"/>
      <c r="N609" s="614" t="n"/>
      <c r="O609" s="614" t="n"/>
      <c r="P609" s="614" t="n"/>
      <c r="Q609" s="614" t="n"/>
      <c r="R609" s="614" t="n"/>
      <c r="S609" s="614" t="n"/>
      <c r="T609" s="614" t="n"/>
    </row>
    <row r="610">
      <c r="A610" s="610" t="n"/>
      <c r="B610" s="610" t="n"/>
      <c r="C610" s="610" t="n"/>
      <c r="D610" s="978" t="n"/>
      <c r="E610" s="610" t="n"/>
      <c r="F610" s="610" t="n"/>
      <c r="G610" s="610" t="n"/>
      <c r="H610" s="610" t="n"/>
      <c r="I610" s="610" t="n"/>
      <c r="J610" s="978" t="n"/>
      <c r="K610" s="615" t="n"/>
      <c r="L610" s="613" t="n"/>
      <c r="M610" s="614" t="n"/>
      <c r="N610" s="614" t="n"/>
      <c r="O610" s="614" t="n"/>
      <c r="P610" s="614" t="n"/>
      <c r="Q610" s="614" t="n"/>
      <c r="R610" s="614" t="n"/>
      <c r="S610" s="614" t="n"/>
      <c r="T610" s="614" t="n"/>
    </row>
    <row r="611">
      <c r="A611" s="610" t="n"/>
      <c r="B611" s="610" t="n"/>
      <c r="C611" s="610" t="n"/>
      <c r="D611" s="978" t="n"/>
      <c r="E611" s="610" t="n"/>
      <c r="F611" s="610" t="n"/>
      <c r="G611" s="610" t="n"/>
      <c r="H611" s="610" t="n"/>
      <c r="I611" s="610" t="n"/>
      <c r="J611" s="978" t="n"/>
      <c r="K611" s="615" t="n"/>
      <c r="L611" s="613" t="n"/>
      <c r="M611" s="614" t="n"/>
      <c r="N611" s="614" t="n"/>
      <c r="O611" s="614" t="n"/>
      <c r="P611" s="614" t="n"/>
      <c r="Q611" s="614" t="n"/>
      <c r="R611" s="614" t="n"/>
      <c r="S611" s="614" t="n"/>
      <c r="T611" s="614" t="n"/>
    </row>
    <row r="612">
      <c r="A612" s="610" t="n"/>
      <c r="B612" s="610" t="n"/>
      <c r="C612" s="610" t="n"/>
      <c r="D612" s="978" t="n"/>
      <c r="E612" s="610" t="n"/>
      <c r="F612" s="610" t="n"/>
      <c r="G612" s="610" t="n"/>
      <c r="H612" s="610" t="n"/>
      <c r="I612" s="610" t="n"/>
      <c r="J612" s="978" t="n"/>
      <c r="K612" s="615" t="n"/>
      <c r="L612" s="613" t="n"/>
      <c r="M612" s="614" t="n"/>
      <c r="N612" s="614" t="n"/>
      <c r="O612" s="614" t="n"/>
      <c r="P612" s="614" t="n"/>
      <c r="Q612" s="614" t="n"/>
      <c r="R612" s="614" t="n"/>
      <c r="S612" s="614" t="n"/>
      <c r="T612" s="614" t="n"/>
    </row>
    <row r="613">
      <c r="A613" s="610" t="n"/>
      <c r="B613" s="610" t="n"/>
      <c r="C613" s="610" t="n"/>
      <c r="D613" s="978" t="n"/>
      <c r="E613" s="610" t="n"/>
      <c r="F613" s="610" t="n"/>
      <c r="G613" s="610" t="n"/>
      <c r="H613" s="610" t="n"/>
      <c r="I613" s="610" t="n"/>
      <c r="J613" s="978" t="n"/>
      <c r="K613" s="615" t="n"/>
      <c r="L613" s="613" t="n"/>
      <c r="M613" s="614" t="n"/>
      <c r="N613" s="614" t="n"/>
      <c r="O613" s="614" t="n"/>
      <c r="P613" s="614" t="n"/>
      <c r="Q613" s="614" t="n"/>
      <c r="R613" s="614" t="n"/>
      <c r="S613" s="614" t="n"/>
      <c r="T613" s="614" t="n"/>
    </row>
    <row r="614">
      <c r="A614" s="610" t="n"/>
      <c r="B614" s="610" t="n"/>
      <c r="C614" s="610" t="n"/>
      <c r="D614" s="978" t="n"/>
      <c r="E614" s="610" t="n"/>
      <c r="F614" s="610" t="n"/>
      <c r="G614" s="610" t="n"/>
      <c r="H614" s="610" t="n"/>
      <c r="I614" s="610" t="n"/>
      <c r="J614" s="978" t="n"/>
      <c r="K614" s="615" t="n"/>
      <c r="L614" s="613" t="n"/>
      <c r="M614" s="614" t="n"/>
      <c r="N614" s="614" t="n"/>
      <c r="O614" s="614" t="n"/>
      <c r="P614" s="614" t="n"/>
      <c r="Q614" s="614" t="n"/>
      <c r="R614" s="614" t="n"/>
      <c r="S614" s="614" t="n"/>
      <c r="T614" s="614" t="n"/>
    </row>
    <row r="615">
      <c r="A615" s="610" t="n"/>
      <c r="B615" s="610" t="n"/>
      <c r="C615" s="610" t="n"/>
      <c r="D615" s="978" t="n"/>
      <c r="E615" s="610" t="n"/>
      <c r="F615" s="610" t="n"/>
      <c r="G615" s="610" t="n"/>
      <c r="H615" s="610" t="n"/>
      <c r="I615" s="610" t="n"/>
      <c r="J615" s="978" t="n"/>
      <c r="K615" s="615" t="n"/>
      <c r="L615" s="613" t="n"/>
      <c r="M615" s="614" t="n"/>
      <c r="N615" s="614" t="n"/>
      <c r="O615" s="614" t="n"/>
      <c r="P615" s="614" t="n"/>
      <c r="Q615" s="614" t="n"/>
      <c r="R615" s="614" t="n"/>
      <c r="S615" s="614" t="n"/>
      <c r="T615" s="614" t="n"/>
    </row>
    <row r="616">
      <c r="A616" s="610" t="n"/>
      <c r="B616" s="610" t="n"/>
      <c r="C616" s="610" t="n"/>
      <c r="D616" s="978" t="n"/>
      <c r="E616" s="610" t="n"/>
      <c r="F616" s="610" t="n"/>
      <c r="G616" s="610" t="n"/>
      <c r="H616" s="610" t="n"/>
      <c r="I616" s="610" t="n"/>
      <c r="J616" s="978" t="n"/>
      <c r="K616" s="615" t="n"/>
      <c r="L616" s="613" t="n"/>
      <c r="M616" s="614" t="n"/>
      <c r="N616" s="614" t="n"/>
      <c r="O616" s="614" t="n"/>
      <c r="P616" s="614" t="n"/>
      <c r="Q616" s="614" t="n"/>
      <c r="R616" s="614" t="n"/>
      <c r="S616" s="614" t="n"/>
      <c r="T616" s="614" t="n"/>
    </row>
    <row r="617">
      <c r="A617" s="610" t="n"/>
      <c r="B617" s="610" t="n"/>
      <c r="C617" s="610" t="n"/>
      <c r="D617" s="978" t="n"/>
      <c r="E617" s="610" t="n"/>
      <c r="F617" s="610" t="n"/>
      <c r="G617" s="610" t="n"/>
      <c r="H617" s="610" t="n"/>
      <c r="I617" s="610" t="n"/>
      <c r="J617" s="978" t="n"/>
      <c r="K617" s="615" t="n"/>
      <c r="L617" s="613" t="n"/>
      <c r="M617" s="614" t="n"/>
      <c r="N617" s="614" t="n"/>
      <c r="O617" s="614" t="n"/>
      <c r="P617" s="614" t="n"/>
      <c r="Q617" s="614" t="n"/>
      <c r="R617" s="614" t="n"/>
      <c r="S617" s="614" t="n"/>
      <c r="T617" s="614" t="n"/>
    </row>
    <row r="618">
      <c r="A618" s="610" t="n"/>
      <c r="B618" s="610" t="n"/>
      <c r="C618" s="610" t="n"/>
      <c r="D618" s="978" t="n"/>
      <c r="E618" s="610" t="n"/>
      <c r="F618" s="610" t="n"/>
      <c r="G618" s="610" t="n"/>
      <c r="H618" s="610" t="n"/>
      <c r="I618" s="610" t="n"/>
      <c r="J618" s="978" t="n"/>
      <c r="K618" s="615" t="n"/>
      <c r="L618" s="613" t="n"/>
      <c r="M618" s="614" t="n"/>
      <c r="N618" s="614" t="n"/>
      <c r="O618" s="614" t="n"/>
      <c r="P618" s="614" t="n"/>
      <c r="Q618" s="614" t="n"/>
      <c r="R618" s="614" t="n"/>
      <c r="S618" s="614" t="n"/>
      <c r="T618" s="614" t="n"/>
    </row>
    <row r="619">
      <c r="A619" s="610" t="n"/>
      <c r="B619" s="610" t="n"/>
      <c r="C619" s="610" t="n"/>
      <c r="D619" s="978" t="n"/>
      <c r="E619" s="610" t="n"/>
      <c r="F619" s="610" t="n"/>
      <c r="G619" s="610" t="n"/>
      <c r="H619" s="610" t="n"/>
      <c r="I619" s="610" t="n"/>
      <c r="J619" s="978" t="n"/>
      <c r="K619" s="615" t="n"/>
      <c r="L619" s="613" t="n"/>
      <c r="M619" s="614" t="n"/>
      <c r="N619" s="614" t="n"/>
      <c r="O619" s="614" t="n"/>
      <c r="P619" s="614" t="n"/>
      <c r="Q619" s="614" t="n"/>
      <c r="R619" s="614" t="n"/>
      <c r="S619" s="614" t="n"/>
      <c r="T619" s="614" t="n"/>
    </row>
    <row r="620">
      <c r="A620" s="610" t="n"/>
      <c r="B620" s="610" t="n"/>
      <c r="C620" s="610" t="n"/>
      <c r="D620" s="978" t="n"/>
      <c r="E620" s="610" t="n"/>
      <c r="F620" s="610" t="n"/>
      <c r="G620" s="610" t="n"/>
      <c r="H620" s="610" t="n"/>
      <c r="I620" s="610" t="n"/>
      <c r="J620" s="978" t="n"/>
      <c r="K620" s="615" t="n"/>
      <c r="L620" s="613" t="n"/>
      <c r="M620" s="614" t="n"/>
      <c r="N620" s="614" t="n"/>
      <c r="O620" s="614" t="n"/>
      <c r="P620" s="614" t="n"/>
      <c r="Q620" s="614" t="n"/>
      <c r="R620" s="614" t="n"/>
      <c r="S620" s="614" t="n"/>
      <c r="T620" s="614" t="n"/>
    </row>
    <row r="621">
      <c r="A621" s="610" t="n"/>
      <c r="B621" s="610" t="n"/>
      <c r="C621" s="610" t="n"/>
      <c r="D621" s="978" t="n"/>
      <c r="E621" s="610" t="n"/>
      <c r="F621" s="610" t="n"/>
      <c r="G621" s="610" t="n"/>
      <c r="H621" s="610" t="n"/>
      <c r="I621" s="610" t="n"/>
      <c r="J621" s="978" t="n"/>
      <c r="K621" s="615" t="n"/>
      <c r="L621" s="613" t="n"/>
      <c r="M621" s="614" t="n"/>
      <c r="N621" s="614" t="n"/>
      <c r="O621" s="614" t="n"/>
      <c r="P621" s="614" t="n"/>
      <c r="Q621" s="614" t="n"/>
      <c r="R621" s="614" t="n"/>
      <c r="S621" s="614" t="n"/>
      <c r="T621" s="614" t="n"/>
    </row>
    <row r="622">
      <c r="A622" s="610" t="n"/>
      <c r="B622" s="610" t="n"/>
      <c r="C622" s="610" t="n"/>
      <c r="D622" s="978" t="n"/>
      <c r="E622" s="610" t="n"/>
      <c r="F622" s="610" t="n"/>
      <c r="G622" s="610" t="n"/>
      <c r="H622" s="610" t="n"/>
      <c r="I622" s="610" t="n"/>
      <c r="J622" s="978" t="n"/>
      <c r="K622" s="615" t="n"/>
      <c r="L622" s="613" t="n"/>
      <c r="M622" s="614" t="n"/>
      <c r="N622" s="614" t="n"/>
      <c r="O622" s="614" t="n"/>
      <c r="P622" s="614" t="n"/>
      <c r="Q622" s="614" t="n"/>
      <c r="R622" s="614" t="n"/>
      <c r="S622" s="614" t="n"/>
      <c r="T622" s="614" t="n"/>
    </row>
    <row r="623">
      <c r="A623" s="610" t="n"/>
      <c r="B623" s="610" t="n"/>
      <c r="C623" s="610" t="n"/>
      <c r="D623" s="978" t="n"/>
      <c r="E623" s="610" t="n"/>
      <c r="F623" s="610" t="n"/>
      <c r="G623" s="610" t="n"/>
      <c r="H623" s="610" t="n"/>
      <c r="I623" s="610" t="n"/>
      <c r="J623" s="978" t="n"/>
      <c r="K623" s="615" t="n"/>
      <c r="L623" s="613" t="n"/>
      <c r="M623" s="614" t="n"/>
      <c r="N623" s="614" t="n"/>
      <c r="O623" s="614" t="n"/>
      <c r="P623" s="614" t="n"/>
      <c r="Q623" s="614" t="n"/>
      <c r="R623" s="614" t="n"/>
      <c r="S623" s="614" t="n"/>
      <c r="T623" s="614" t="n"/>
    </row>
    <row r="624">
      <c r="A624" s="610" t="n"/>
      <c r="B624" s="610" t="n"/>
      <c r="C624" s="610" t="n"/>
      <c r="D624" s="978" t="n"/>
      <c r="E624" s="610" t="n"/>
      <c r="F624" s="610" t="n"/>
      <c r="G624" s="610" t="n"/>
      <c r="H624" s="610" t="n"/>
      <c r="I624" s="610" t="n"/>
      <c r="J624" s="978" t="n"/>
      <c r="K624" s="615" t="n"/>
      <c r="L624" s="613" t="n"/>
      <c r="M624" s="614" t="n"/>
      <c r="N624" s="614" t="n"/>
      <c r="O624" s="614" t="n"/>
      <c r="P624" s="614" t="n"/>
      <c r="Q624" s="614" t="n"/>
      <c r="R624" s="614" t="n"/>
      <c r="S624" s="614" t="n"/>
      <c r="T624" s="614" t="n"/>
    </row>
    <row r="625">
      <c r="A625" s="610" t="n"/>
      <c r="B625" s="610" t="n"/>
      <c r="C625" s="610" t="n"/>
      <c r="D625" s="978" t="n"/>
      <c r="E625" s="610" t="n"/>
      <c r="F625" s="610" t="n"/>
      <c r="G625" s="610" t="n"/>
      <c r="H625" s="610" t="n"/>
      <c r="I625" s="610" t="n"/>
      <c r="J625" s="978" t="n"/>
      <c r="K625" s="615" t="n"/>
      <c r="L625" s="613" t="n"/>
      <c r="M625" s="614" t="n"/>
      <c r="N625" s="614" t="n"/>
      <c r="O625" s="614" t="n"/>
      <c r="P625" s="614" t="n"/>
      <c r="Q625" s="614" t="n"/>
      <c r="R625" s="614" t="n"/>
      <c r="S625" s="614" t="n"/>
      <c r="T625" s="614" t="n"/>
    </row>
    <row r="626">
      <c r="A626" s="610" t="n"/>
      <c r="B626" s="610" t="n"/>
      <c r="C626" s="610" t="n"/>
      <c r="D626" s="978" t="n"/>
      <c r="E626" s="610" t="n"/>
      <c r="F626" s="610" t="n"/>
      <c r="G626" s="610" t="n"/>
      <c r="H626" s="610" t="n"/>
      <c r="I626" s="610" t="n"/>
      <c r="J626" s="978" t="n"/>
      <c r="K626" s="615" t="n"/>
      <c r="L626" s="613" t="n"/>
      <c r="M626" s="614" t="n"/>
      <c r="N626" s="614" t="n"/>
      <c r="O626" s="614" t="n"/>
      <c r="P626" s="614" t="n"/>
      <c r="Q626" s="614" t="n"/>
      <c r="R626" s="614" t="n"/>
      <c r="S626" s="614" t="n"/>
      <c r="T626" s="614" t="n"/>
    </row>
    <row r="627">
      <c r="A627" s="610" t="n"/>
      <c r="B627" s="610" t="n"/>
      <c r="C627" s="610" t="n"/>
      <c r="D627" s="978" t="n"/>
      <c r="E627" s="610" t="n"/>
      <c r="F627" s="610" t="n"/>
      <c r="G627" s="610" t="n"/>
      <c r="H627" s="610" t="n"/>
      <c r="I627" s="610" t="n"/>
      <c r="J627" s="978" t="n"/>
      <c r="K627" s="615" t="n"/>
      <c r="L627" s="613" t="n"/>
      <c r="M627" s="614" t="n"/>
      <c r="N627" s="614" t="n"/>
      <c r="O627" s="614" t="n"/>
      <c r="P627" s="614" t="n"/>
      <c r="Q627" s="614" t="n"/>
      <c r="R627" s="614" t="n"/>
      <c r="S627" s="614" t="n"/>
      <c r="T627" s="614" t="n"/>
    </row>
    <row r="628">
      <c r="A628" s="610" t="n"/>
      <c r="B628" s="610" t="n"/>
      <c r="C628" s="610" t="n"/>
      <c r="D628" s="978" t="n"/>
      <c r="E628" s="610" t="n"/>
      <c r="F628" s="610" t="n"/>
      <c r="G628" s="610" t="n"/>
      <c r="H628" s="610" t="n"/>
      <c r="I628" s="610" t="n"/>
      <c r="J628" s="978" t="n"/>
      <c r="K628" s="615" t="n"/>
      <c r="L628" s="613" t="n"/>
      <c r="M628" s="614" t="n"/>
      <c r="N628" s="614" t="n"/>
      <c r="O628" s="614" t="n"/>
      <c r="P628" s="614" t="n"/>
      <c r="Q628" s="614" t="n"/>
      <c r="R628" s="614" t="n"/>
      <c r="S628" s="614" t="n"/>
      <c r="T628" s="614" t="n"/>
    </row>
    <row r="629">
      <c r="A629" s="610" t="n"/>
      <c r="B629" s="610" t="n"/>
      <c r="C629" s="610" t="n"/>
      <c r="D629" s="978" t="n"/>
      <c r="E629" s="610" t="n"/>
      <c r="F629" s="610" t="n"/>
      <c r="G629" s="610" t="n"/>
      <c r="H629" s="610" t="n"/>
      <c r="I629" s="610" t="n"/>
      <c r="J629" s="978" t="n"/>
      <c r="K629" s="615" t="n"/>
      <c r="L629" s="613" t="n"/>
      <c r="M629" s="614" t="n"/>
      <c r="N629" s="614" t="n"/>
      <c r="O629" s="614" t="n"/>
      <c r="P629" s="614" t="n"/>
      <c r="Q629" s="614" t="n"/>
      <c r="R629" s="614" t="n"/>
      <c r="S629" s="614" t="n"/>
      <c r="T629" s="614" t="n"/>
    </row>
    <row r="630">
      <c r="A630" s="610" t="n"/>
      <c r="B630" s="610" t="n"/>
      <c r="C630" s="610" t="n"/>
      <c r="D630" s="978" t="n"/>
      <c r="E630" s="610" t="n"/>
      <c r="F630" s="610" t="n"/>
      <c r="G630" s="610" t="n"/>
      <c r="H630" s="610" t="n"/>
      <c r="I630" s="610" t="n"/>
      <c r="J630" s="978" t="n"/>
      <c r="K630" s="615" t="n"/>
      <c r="L630" s="613" t="n"/>
      <c r="M630" s="614" t="n"/>
      <c r="N630" s="614" t="n"/>
      <c r="O630" s="614" t="n"/>
      <c r="P630" s="614" t="n"/>
      <c r="Q630" s="614" t="n"/>
      <c r="R630" s="614" t="n"/>
      <c r="S630" s="614" t="n"/>
      <c r="T630" s="614" t="n"/>
    </row>
    <row r="631">
      <c r="A631" s="610" t="n"/>
      <c r="B631" s="610" t="n"/>
      <c r="C631" s="610" t="n"/>
      <c r="D631" s="978" t="n"/>
      <c r="E631" s="610" t="n"/>
      <c r="F631" s="610" t="n"/>
      <c r="G631" s="610" t="n"/>
      <c r="H631" s="610" t="n"/>
      <c r="I631" s="610" t="n"/>
      <c r="J631" s="978" t="n"/>
      <c r="K631" s="615" t="n"/>
      <c r="L631" s="613" t="n"/>
      <c r="M631" s="614" t="n"/>
      <c r="N631" s="614" t="n"/>
      <c r="O631" s="614" t="n"/>
      <c r="P631" s="614" t="n"/>
      <c r="Q631" s="614" t="n"/>
      <c r="R631" s="614" t="n"/>
      <c r="S631" s="614" t="n"/>
      <c r="T631" s="614" t="n"/>
    </row>
    <row r="632">
      <c r="A632" s="610" t="n"/>
      <c r="B632" s="610" t="n"/>
      <c r="C632" s="610" t="n"/>
      <c r="D632" s="978" t="n"/>
      <c r="E632" s="610" t="n"/>
      <c r="F632" s="610" t="n"/>
      <c r="G632" s="610" t="n"/>
      <c r="H632" s="610" t="n"/>
      <c r="I632" s="610" t="n"/>
      <c r="J632" s="978" t="n"/>
      <c r="K632" s="615" t="n"/>
      <c r="L632" s="613" t="n"/>
      <c r="M632" s="614" t="n"/>
      <c r="N632" s="614" t="n"/>
      <c r="O632" s="614" t="n"/>
      <c r="P632" s="614" t="n"/>
      <c r="Q632" s="614" t="n"/>
      <c r="R632" s="614" t="n"/>
      <c r="S632" s="614" t="n"/>
      <c r="T632" s="614" t="n"/>
    </row>
    <row r="633">
      <c r="A633" s="610" t="n"/>
      <c r="B633" s="610" t="n"/>
      <c r="C633" s="610" t="n"/>
      <c r="D633" s="978" t="n"/>
      <c r="E633" s="610" t="n"/>
      <c r="F633" s="610" t="n"/>
      <c r="G633" s="610" t="n"/>
      <c r="H633" s="610" t="n"/>
      <c r="I633" s="610" t="n"/>
      <c r="J633" s="978" t="n"/>
      <c r="K633" s="615" t="n"/>
      <c r="L633" s="613" t="n"/>
      <c r="M633" s="614" t="n"/>
      <c r="N633" s="614" t="n"/>
      <c r="O633" s="614" t="n"/>
      <c r="P633" s="614" t="n"/>
      <c r="Q633" s="614" t="n"/>
      <c r="R633" s="614" t="n"/>
      <c r="S633" s="614" t="n"/>
      <c r="T633" s="614" t="n"/>
    </row>
    <row r="634">
      <c r="A634" s="610" t="n"/>
      <c r="B634" s="610" t="n"/>
      <c r="C634" s="610" t="n"/>
      <c r="D634" s="978" t="n"/>
      <c r="E634" s="610" t="n"/>
      <c r="F634" s="610" t="n"/>
      <c r="G634" s="610" t="n"/>
      <c r="H634" s="610" t="n"/>
      <c r="I634" s="610" t="n"/>
      <c r="J634" s="978" t="n"/>
      <c r="K634" s="615" t="n"/>
      <c r="L634" s="613" t="n"/>
      <c r="M634" s="614" t="n"/>
      <c r="N634" s="614" t="n"/>
      <c r="O634" s="614" t="n"/>
      <c r="P634" s="614" t="n"/>
      <c r="Q634" s="614" t="n"/>
      <c r="R634" s="614" t="n"/>
      <c r="S634" s="614" t="n"/>
      <c r="T634" s="614" t="n"/>
    </row>
    <row r="635">
      <c r="A635" s="610" t="n"/>
      <c r="B635" s="610" t="n"/>
      <c r="C635" s="610" t="n"/>
      <c r="D635" s="978" t="n"/>
      <c r="E635" s="610" t="n"/>
      <c r="F635" s="610" t="n"/>
      <c r="G635" s="610" t="n"/>
      <c r="H635" s="610" t="n"/>
      <c r="I635" s="610" t="n"/>
      <c r="J635" s="978" t="n"/>
      <c r="K635" s="615" t="n"/>
      <c r="L635" s="613" t="n"/>
      <c r="M635" s="614" t="n"/>
      <c r="N635" s="614" t="n"/>
      <c r="O635" s="614" t="n"/>
      <c r="P635" s="614" t="n"/>
      <c r="Q635" s="614" t="n"/>
      <c r="R635" s="614" t="n"/>
      <c r="S635" s="614" t="n"/>
      <c r="T635" s="614" t="n"/>
    </row>
    <row r="636">
      <c r="A636" s="610" t="n"/>
      <c r="B636" s="610" t="n"/>
      <c r="C636" s="610" t="n"/>
      <c r="D636" s="978" t="n"/>
      <c r="E636" s="610" t="n"/>
      <c r="F636" s="610" t="n"/>
      <c r="G636" s="610" t="n"/>
      <c r="H636" s="610" t="n"/>
      <c r="I636" s="610" t="n"/>
      <c r="J636" s="978" t="n"/>
      <c r="K636" s="615" t="n"/>
      <c r="L636" s="613" t="n"/>
      <c r="M636" s="614" t="n"/>
      <c r="N636" s="614" t="n"/>
      <c r="O636" s="614" t="n"/>
      <c r="P636" s="614" t="n"/>
      <c r="Q636" s="614" t="n"/>
      <c r="R636" s="614" t="n"/>
      <c r="S636" s="614" t="n"/>
      <c r="T636" s="614" t="n"/>
    </row>
    <row r="637">
      <c r="A637" s="610" t="n"/>
      <c r="B637" s="610" t="n"/>
      <c r="C637" s="610" t="n"/>
      <c r="D637" s="978" t="n"/>
      <c r="E637" s="610" t="n"/>
      <c r="F637" s="610" t="n"/>
      <c r="G637" s="610" t="n"/>
      <c r="H637" s="610" t="n"/>
      <c r="I637" s="610" t="n"/>
      <c r="J637" s="978" t="n"/>
      <c r="K637" s="615" t="n"/>
      <c r="L637" s="613" t="n"/>
      <c r="M637" s="614" t="n"/>
      <c r="N637" s="614" t="n"/>
      <c r="O637" s="614" t="n"/>
      <c r="P637" s="614" t="n"/>
      <c r="Q637" s="614" t="n"/>
      <c r="R637" s="614" t="n"/>
      <c r="S637" s="614" t="n"/>
      <c r="T637" s="614" t="n"/>
    </row>
    <row r="638">
      <c r="A638" s="610" t="n"/>
      <c r="B638" s="610" t="n"/>
      <c r="C638" s="610" t="n"/>
      <c r="D638" s="978" t="n"/>
      <c r="E638" s="610" t="n"/>
      <c r="F638" s="610" t="n"/>
      <c r="G638" s="610" t="n"/>
      <c r="H638" s="610" t="n"/>
      <c r="I638" s="610" t="n"/>
      <c r="J638" s="978" t="n"/>
      <c r="K638" s="615" t="n"/>
      <c r="L638" s="613" t="n"/>
      <c r="M638" s="614" t="n"/>
      <c r="N638" s="614" t="n"/>
      <c r="O638" s="614" t="n"/>
      <c r="P638" s="614" t="n"/>
      <c r="Q638" s="614" t="n"/>
      <c r="R638" s="614" t="n"/>
      <c r="S638" s="614" t="n"/>
      <c r="T638" s="614" t="n"/>
    </row>
    <row r="639">
      <c r="A639" s="610" t="n"/>
      <c r="B639" s="610" t="n"/>
      <c r="C639" s="610" t="n"/>
      <c r="D639" s="978" t="n"/>
      <c r="E639" s="610" t="n"/>
      <c r="F639" s="610" t="n"/>
      <c r="G639" s="610" t="n"/>
      <c r="H639" s="610" t="n"/>
      <c r="I639" s="610" t="n"/>
      <c r="J639" s="978" t="n"/>
      <c r="K639" s="615" t="n"/>
      <c r="L639" s="613" t="n"/>
      <c r="M639" s="614" t="n"/>
      <c r="N639" s="614" t="n"/>
      <c r="O639" s="614" t="n"/>
      <c r="P639" s="614" t="n"/>
      <c r="Q639" s="614" t="n"/>
      <c r="R639" s="614" t="n"/>
      <c r="S639" s="614" t="n"/>
      <c r="T639" s="614" t="n"/>
    </row>
    <row r="640">
      <c r="A640" s="610" t="n"/>
      <c r="B640" s="610" t="n"/>
      <c r="C640" s="610" t="n"/>
      <c r="D640" s="978" t="n"/>
      <c r="E640" s="610" t="n"/>
      <c r="F640" s="610" t="n"/>
      <c r="G640" s="610" t="n"/>
      <c r="H640" s="610" t="n"/>
      <c r="I640" s="610" t="n"/>
      <c r="J640" s="978" t="n"/>
      <c r="K640" s="615" t="n"/>
      <c r="L640" s="613" t="n"/>
      <c r="M640" s="614" t="n"/>
      <c r="N640" s="614" t="n"/>
      <c r="O640" s="614" t="n"/>
      <c r="P640" s="614" t="n"/>
      <c r="Q640" s="614" t="n"/>
      <c r="R640" s="614" t="n"/>
      <c r="S640" s="614" t="n"/>
      <c r="T640" s="614" t="n"/>
    </row>
    <row r="641">
      <c r="A641" s="610" t="n"/>
      <c r="B641" s="610" t="n"/>
      <c r="C641" s="610" t="n"/>
      <c r="D641" s="978" t="n"/>
      <c r="E641" s="610" t="n"/>
      <c r="F641" s="610" t="n"/>
      <c r="G641" s="610" t="n"/>
      <c r="H641" s="610" t="n"/>
      <c r="I641" s="610" t="n"/>
      <c r="J641" s="978" t="n"/>
      <c r="K641" s="615" t="n"/>
      <c r="L641" s="613" t="n"/>
      <c r="M641" s="614" t="n"/>
      <c r="N641" s="614" t="n"/>
      <c r="O641" s="614" t="n"/>
      <c r="P641" s="614" t="n"/>
      <c r="Q641" s="614" t="n"/>
      <c r="R641" s="614" t="n"/>
      <c r="S641" s="614" t="n"/>
      <c r="T641" s="614" t="n"/>
    </row>
    <row r="642">
      <c r="A642" s="610" t="n"/>
      <c r="B642" s="610" t="n"/>
      <c r="C642" s="610" t="n"/>
      <c r="D642" s="978" t="n"/>
      <c r="E642" s="610" t="n"/>
      <c r="F642" s="610" t="n"/>
      <c r="G642" s="610" t="n"/>
      <c r="H642" s="610" t="n"/>
      <c r="I642" s="610" t="n"/>
      <c r="J642" s="978" t="n"/>
      <c r="K642" s="615" t="n"/>
      <c r="L642" s="613" t="n"/>
      <c r="M642" s="614" t="n"/>
      <c r="N642" s="614" t="n"/>
      <c r="O642" s="614" t="n"/>
      <c r="P642" s="614" t="n"/>
      <c r="Q642" s="614" t="n"/>
      <c r="R642" s="614" t="n"/>
      <c r="S642" s="614" t="n"/>
      <c r="T642" s="614" t="n"/>
    </row>
    <row r="643">
      <c r="A643" s="610" t="n"/>
      <c r="B643" s="610" t="n"/>
      <c r="C643" s="610" t="n"/>
      <c r="D643" s="978" t="n"/>
      <c r="E643" s="610" t="n"/>
      <c r="F643" s="610" t="n"/>
      <c r="G643" s="610" t="n"/>
      <c r="H643" s="610" t="n"/>
      <c r="I643" s="610" t="n"/>
      <c r="J643" s="978" t="n"/>
      <c r="K643" s="615" t="n"/>
      <c r="L643" s="613" t="n"/>
      <c r="M643" s="614" t="n"/>
      <c r="N643" s="614" t="n"/>
      <c r="O643" s="614" t="n"/>
      <c r="P643" s="614" t="n"/>
      <c r="Q643" s="614" t="n"/>
      <c r="R643" s="614" t="n"/>
      <c r="S643" s="614" t="n"/>
      <c r="T643" s="614" t="n"/>
    </row>
    <row r="644">
      <c r="A644" s="610" t="n"/>
      <c r="B644" s="610" t="n"/>
      <c r="C644" s="610" t="n"/>
      <c r="D644" s="978" t="n"/>
      <c r="E644" s="610" t="n"/>
      <c r="F644" s="610" t="n"/>
      <c r="G644" s="610" t="n"/>
      <c r="H644" s="610" t="n"/>
      <c r="I644" s="610" t="n"/>
      <c r="J644" s="978" t="n"/>
      <c r="K644" s="615" t="n"/>
      <c r="L644" s="613" t="n"/>
      <c r="M644" s="614" t="n"/>
      <c r="N644" s="614" t="n"/>
      <c r="O644" s="614" t="n"/>
      <c r="P644" s="614" t="n"/>
      <c r="Q644" s="614" t="n"/>
      <c r="R644" s="614" t="n"/>
      <c r="S644" s="614" t="n"/>
      <c r="T644" s="614" t="n"/>
    </row>
    <row r="645">
      <c r="A645" s="610" t="n"/>
      <c r="B645" s="610" t="n"/>
      <c r="C645" s="610" t="n"/>
      <c r="D645" s="978" t="n"/>
      <c r="E645" s="610" t="n"/>
      <c r="F645" s="610" t="n"/>
      <c r="G645" s="610" t="n"/>
      <c r="H645" s="610" t="n"/>
      <c r="I645" s="610" t="n"/>
      <c r="J645" s="978" t="n"/>
      <c r="K645" s="615" t="n"/>
      <c r="L645" s="613" t="n"/>
      <c r="M645" s="614" t="n"/>
      <c r="N645" s="614" t="n"/>
      <c r="O645" s="614" t="n"/>
      <c r="P645" s="614" t="n"/>
      <c r="Q645" s="614" t="n"/>
      <c r="R645" s="614" t="n"/>
      <c r="S645" s="614" t="n"/>
      <c r="T645" s="614" t="n"/>
    </row>
    <row r="646">
      <c r="A646" s="610" t="n"/>
      <c r="B646" s="610" t="n"/>
      <c r="C646" s="610" t="n"/>
      <c r="D646" s="978" t="n"/>
      <c r="E646" s="610" t="n"/>
      <c r="F646" s="610" t="n"/>
      <c r="G646" s="610" t="n"/>
      <c r="H646" s="610" t="n"/>
      <c r="I646" s="610" t="n"/>
      <c r="J646" s="978" t="n"/>
      <c r="K646" s="615" t="n"/>
      <c r="L646" s="613" t="n"/>
      <c r="M646" s="614" t="n"/>
      <c r="N646" s="614" t="n"/>
      <c r="O646" s="614" t="n"/>
      <c r="P646" s="614" t="n"/>
      <c r="Q646" s="614" t="n"/>
      <c r="R646" s="614" t="n"/>
      <c r="S646" s="614" t="n"/>
      <c r="T646" s="614" t="n"/>
    </row>
    <row r="647">
      <c r="A647" s="610" t="n"/>
      <c r="B647" s="610" t="n"/>
      <c r="C647" s="610" t="n"/>
      <c r="D647" s="978" t="n"/>
      <c r="E647" s="610" t="n"/>
      <c r="F647" s="610" t="n"/>
      <c r="G647" s="610" t="n"/>
      <c r="H647" s="610" t="n"/>
      <c r="I647" s="610" t="n"/>
      <c r="J647" s="978" t="n"/>
      <c r="K647" s="615" t="n"/>
      <c r="L647" s="613" t="n"/>
      <c r="M647" s="614" t="n"/>
      <c r="N647" s="614" t="n"/>
      <c r="O647" s="614" t="n"/>
      <c r="P647" s="614" t="n"/>
      <c r="Q647" s="614" t="n"/>
      <c r="R647" s="614" t="n"/>
      <c r="S647" s="614" t="n"/>
      <c r="T647" s="614" t="n"/>
    </row>
    <row r="648">
      <c r="A648" s="610" t="n"/>
      <c r="B648" s="610" t="n"/>
      <c r="C648" s="610" t="n"/>
      <c r="D648" s="978" t="n"/>
      <c r="E648" s="610" t="n"/>
      <c r="F648" s="610" t="n"/>
      <c r="G648" s="610" t="n"/>
      <c r="H648" s="610" t="n"/>
      <c r="I648" s="610" t="n"/>
      <c r="J648" s="978" t="n"/>
      <c r="K648" s="615" t="n"/>
      <c r="L648" s="613" t="n"/>
      <c r="M648" s="614" t="n"/>
      <c r="N648" s="614" t="n"/>
      <c r="O648" s="614" t="n"/>
      <c r="P648" s="614" t="n"/>
      <c r="Q648" s="614" t="n"/>
      <c r="R648" s="614" t="n"/>
      <c r="S648" s="614" t="n"/>
      <c r="T648" s="614" t="n"/>
    </row>
    <row r="649">
      <c r="A649" s="610" t="n"/>
      <c r="B649" s="610" t="n"/>
      <c r="C649" s="610" t="n"/>
      <c r="D649" s="978" t="n"/>
      <c r="E649" s="610" t="n"/>
      <c r="F649" s="610" t="n"/>
      <c r="G649" s="610" t="n"/>
      <c r="H649" s="610" t="n"/>
      <c r="I649" s="610" t="n"/>
      <c r="J649" s="978" t="n"/>
      <c r="K649" s="615" t="n"/>
      <c r="L649" s="613" t="n"/>
      <c r="M649" s="614" t="n"/>
      <c r="N649" s="614" t="n"/>
      <c r="O649" s="614" t="n"/>
      <c r="P649" s="614" t="n"/>
      <c r="Q649" s="614" t="n"/>
      <c r="R649" s="614" t="n"/>
      <c r="S649" s="614" t="n"/>
      <c r="T649" s="614" t="n"/>
    </row>
    <row r="650">
      <c r="A650" s="610" t="n"/>
      <c r="B650" s="610" t="n"/>
      <c r="C650" s="610" t="n"/>
      <c r="D650" s="978" t="n"/>
      <c r="E650" s="610" t="n"/>
      <c r="F650" s="610" t="n"/>
      <c r="G650" s="610" t="n"/>
      <c r="H650" s="610" t="n"/>
      <c r="I650" s="610" t="n"/>
      <c r="J650" s="978" t="n"/>
      <c r="K650" s="615" t="n"/>
      <c r="L650" s="613" t="n"/>
      <c r="M650" s="614" t="n"/>
      <c r="N650" s="614" t="n"/>
      <c r="O650" s="614" t="n"/>
      <c r="P650" s="614" t="n"/>
      <c r="Q650" s="614" t="n"/>
      <c r="R650" s="614" t="n"/>
      <c r="S650" s="614" t="n"/>
      <c r="T650" s="614" t="n"/>
    </row>
    <row r="651">
      <c r="A651" s="610" t="n"/>
      <c r="B651" s="610" t="n"/>
      <c r="C651" s="610" t="n"/>
      <c r="D651" s="978" t="n"/>
      <c r="E651" s="610" t="n"/>
      <c r="F651" s="610" t="n"/>
      <c r="G651" s="610" t="n"/>
      <c r="H651" s="610" t="n"/>
      <c r="I651" s="610" t="n"/>
      <c r="J651" s="978" t="n"/>
      <c r="K651" s="615" t="n"/>
      <c r="L651" s="613" t="n"/>
      <c r="M651" s="614" t="n"/>
      <c r="N651" s="614" t="n"/>
      <c r="O651" s="614" t="n"/>
      <c r="P651" s="614" t="n"/>
      <c r="Q651" s="614" t="n"/>
      <c r="R651" s="614" t="n"/>
      <c r="S651" s="614" t="n"/>
      <c r="T651" s="614" t="n"/>
    </row>
    <row r="652">
      <c r="A652" s="610" t="n"/>
      <c r="B652" s="610" t="n"/>
      <c r="C652" s="610" t="n"/>
      <c r="D652" s="978" t="n"/>
      <c r="E652" s="610" t="n"/>
      <c r="F652" s="610" t="n"/>
      <c r="G652" s="610" t="n"/>
      <c r="H652" s="610" t="n"/>
      <c r="I652" s="610" t="n"/>
      <c r="J652" s="978" t="n"/>
      <c r="K652" s="615" t="n"/>
      <c r="L652" s="613" t="n"/>
      <c r="M652" s="614" t="n"/>
      <c r="N652" s="614" t="n"/>
      <c r="O652" s="614" t="n"/>
      <c r="P652" s="614" t="n"/>
      <c r="Q652" s="614" t="n"/>
      <c r="R652" s="614" t="n"/>
      <c r="S652" s="614" t="n"/>
      <c r="T652" s="614" t="n"/>
    </row>
    <row r="653">
      <c r="A653" s="610" t="n"/>
      <c r="B653" s="610" t="n"/>
      <c r="C653" s="610" t="n"/>
      <c r="D653" s="978" t="n"/>
      <c r="E653" s="610" t="n"/>
      <c r="F653" s="610" t="n"/>
      <c r="G653" s="610" t="n"/>
      <c r="H653" s="610" t="n"/>
      <c r="I653" s="610" t="n"/>
      <c r="J653" s="978" t="n"/>
      <c r="K653" s="615" t="n"/>
      <c r="L653" s="613" t="n"/>
      <c r="M653" s="614" t="n"/>
      <c r="N653" s="614" t="n"/>
      <c r="O653" s="614" t="n"/>
      <c r="P653" s="614" t="n"/>
      <c r="Q653" s="614" t="n"/>
      <c r="R653" s="614" t="n"/>
      <c r="S653" s="614" t="n"/>
      <c r="T653" s="614" t="n"/>
    </row>
    <row r="654">
      <c r="A654" s="610" t="n"/>
      <c r="B654" s="610" t="n"/>
      <c r="C654" s="610" t="n"/>
      <c r="D654" s="978" t="n"/>
      <c r="E654" s="610" t="n"/>
      <c r="F654" s="610" t="n"/>
      <c r="G654" s="610" t="n"/>
      <c r="H654" s="610" t="n"/>
      <c r="I654" s="610" t="n"/>
      <c r="J654" s="978" t="n"/>
      <c r="K654" s="615" t="n"/>
      <c r="L654" s="613" t="n"/>
      <c r="M654" s="614" t="n"/>
      <c r="N654" s="614" t="n"/>
      <c r="O654" s="614" t="n"/>
      <c r="P654" s="614" t="n"/>
      <c r="Q654" s="614" t="n"/>
      <c r="R654" s="614" t="n"/>
      <c r="S654" s="614" t="n"/>
      <c r="T654" s="614" t="n"/>
    </row>
    <row r="655">
      <c r="A655" s="610" t="n"/>
      <c r="B655" s="610" t="n"/>
      <c r="C655" s="610" t="n"/>
      <c r="D655" s="978" t="n"/>
      <c r="E655" s="610" t="n"/>
      <c r="F655" s="610" t="n"/>
      <c r="G655" s="610" t="n"/>
      <c r="H655" s="610" t="n"/>
      <c r="I655" s="610" t="n"/>
      <c r="J655" s="978" t="n"/>
      <c r="K655" s="615" t="n"/>
      <c r="L655" s="613" t="n"/>
      <c r="M655" s="614" t="n"/>
      <c r="N655" s="614" t="n"/>
      <c r="O655" s="614" t="n"/>
      <c r="P655" s="614" t="n"/>
      <c r="Q655" s="614" t="n"/>
      <c r="R655" s="614" t="n"/>
      <c r="S655" s="614" t="n"/>
      <c r="T655" s="614" t="n"/>
    </row>
    <row r="656">
      <c r="A656" s="610" t="n"/>
      <c r="B656" s="610" t="n"/>
      <c r="C656" s="610" t="n"/>
      <c r="D656" s="978" t="n"/>
      <c r="E656" s="610" t="n"/>
      <c r="F656" s="610" t="n"/>
      <c r="G656" s="610" t="n"/>
      <c r="H656" s="610" t="n"/>
      <c r="I656" s="610" t="n"/>
      <c r="J656" s="978" t="n"/>
      <c r="K656" s="615" t="n"/>
      <c r="L656" s="613" t="n"/>
      <c r="M656" s="614" t="n"/>
      <c r="N656" s="614" t="n"/>
      <c r="O656" s="614" t="n"/>
      <c r="P656" s="614" t="n"/>
      <c r="Q656" s="614" t="n"/>
      <c r="R656" s="614" t="n"/>
      <c r="S656" s="614" t="n"/>
      <c r="T656" s="614" t="n"/>
    </row>
    <row r="657">
      <c r="A657" s="610" t="n"/>
      <c r="B657" s="610" t="n"/>
      <c r="C657" s="610" t="n"/>
      <c r="D657" s="978" t="n"/>
      <c r="E657" s="610" t="n"/>
      <c r="F657" s="610" t="n"/>
      <c r="G657" s="610" t="n"/>
      <c r="H657" s="610" t="n"/>
      <c r="I657" s="610" t="n"/>
      <c r="J657" s="978" t="n"/>
      <c r="K657" s="615" t="n"/>
      <c r="L657" s="613" t="n"/>
      <c r="M657" s="614" t="n"/>
      <c r="N657" s="614" t="n"/>
      <c r="O657" s="614" t="n"/>
      <c r="P657" s="614" t="n"/>
      <c r="Q657" s="614" t="n"/>
      <c r="R657" s="614" t="n"/>
      <c r="S657" s="614" t="n"/>
      <c r="T657" s="614" t="n"/>
    </row>
    <row r="658">
      <c r="A658" s="610" t="n"/>
      <c r="B658" s="610" t="n"/>
      <c r="C658" s="610" t="n"/>
      <c r="D658" s="978" t="n"/>
      <c r="E658" s="610" t="n"/>
      <c r="F658" s="610" t="n"/>
      <c r="G658" s="610" t="n"/>
      <c r="H658" s="610" t="n"/>
      <c r="I658" s="610" t="n"/>
      <c r="J658" s="978" t="n"/>
      <c r="K658" s="615" t="n"/>
      <c r="L658" s="613" t="n"/>
      <c r="M658" s="614" t="n"/>
      <c r="N658" s="614" t="n"/>
      <c r="O658" s="614" t="n"/>
      <c r="P658" s="614" t="n"/>
      <c r="Q658" s="614" t="n"/>
      <c r="R658" s="614" t="n"/>
      <c r="S658" s="614" t="n"/>
      <c r="T658" s="614" t="n"/>
    </row>
    <row r="659">
      <c r="A659" s="610" t="n"/>
      <c r="B659" s="610" t="n"/>
      <c r="C659" s="610" t="n"/>
      <c r="D659" s="978" t="n"/>
      <c r="E659" s="610" t="n"/>
      <c r="F659" s="610" t="n"/>
      <c r="G659" s="610" t="n"/>
      <c r="H659" s="610" t="n"/>
      <c r="I659" s="610" t="n"/>
      <c r="J659" s="978" t="n"/>
      <c r="K659" s="615" t="n"/>
      <c r="L659" s="613" t="n"/>
      <c r="M659" s="614" t="n"/>
      <c r="N659" s="614" t="n"/>
      <c r="O659" s="614" t="n"/>
      <c r="P659" s="614" t="n"/>
      <c r="Q659" s="614" t="n"/>
      <c r="R659" s="614" t="n"/>
      <c r="S659" s="614" t="n"/>
      <c r="T659" s="614" t="n"/>
    </row>
    <row r="660">
      <c r="A660" s="610" t="n"/>
      <c r="B660" s="610" t="n"/>
      <c r="C660" s="610" t="n"/>
      <c r="D660" s="978" t="n"/>
      <c r="E660" s="610" t="n"/>
      <c r="F660" s="610" t="n"/>
      <c r="G660" s="610" t="n"/>
      <c r="H660" s="610" t="n"/>
      <c r="I660" s="610" t="n"/>
      <c r="J660" s="978" t="n"/>
      <c r="K660" s="615" t="n"/>
      <c r="L660" s="613" t="n"/>
      <c r="M660" s="614" t="n"/>
      <c r="N660" s="614" t="n"/>
      <c r="O660" s="614" t="n"/>
      <c r="P660" s="614" t="n"/>
      <c r="Q660" s="614" t="n"/>
      <c r="R660" s="614" t="n"/>
      <c r="S660" s="614" t="n"/>
      <c r="T660" s="614" t="n"/>
    </row>
    <row r="661">
      <c r="A661" s="610" t="n"/>
      <c r="B661" s="610" t="n"/>
      <c r="C661" s="610" t="n"/>
      <c r="D661" s="978" t="n"/>
      <c r="E661" s="610" t="n"/>
      <c r="F661" s="610" t="n"/>
      <c r="G661" s="610" t="n"/>
      <c r="H661" s="610" t="n"/>
      <c r="I661" s="610" t="n"/>
      <c r="J661" s="978" t="n"/>
      <c r="K661" s="615" t="n"/>
      <c r="L661" s="613" t="n"/>
      <c r="M661" s="614" t="n"/>
      <c r="N661" s="614" t="n"/>
      <c r="O661" s="614" t="n"/>
      <c r="P661" s="614" t="n"/>
      <c r="Q661" s="614" t="n"/>
      <c r="R661" s="614" t="n"/>
      <c r="S661" s="614" t="n"/>
      <c r="T661" s="614" t="n"/>
    </row>
    <row r="662">
      <c r="A662" s="610" t="n"/>
      <c r="B662" s="610" t="n"/>
      <c r="C662" s="610" t="n"/>
      <c r="D662" s="978" t="n"/>
      <c r="E662" s="610" t="n"/>
      <c r="F662" s="610" t="n"/>
      <c r="G662" s="610" t="n"/>
      <c r="H662" s="610" t="n"/>
      <c r="I662" s="610" t="n"/>
      <c r="J662" s="978" t="n"/>
      <c r="K662" s="615" t="n"/>
      <c r="L662" s="613" t="n"/>
      <c r="M662" s="614" t="n"/>
      <c r="N662" s="614" t="n"/>
      <c r="O662" s="614" t="n"/>
      <c r="P662" s="614" t="n"/>
      <c r="Q662" s="614" t="n"/>
      <c r="R662" s="614" t="n"/>
      <c r="S662" s="614" t="n"/>
      <c r="T662" s="614" t="n"/>
    </row>
    <row r="663">
      <c r="A663" s="610" t="n"/>
      <c r="B663" s="610" t="n"/>
      <c r="C663" s="610" t="n"/>
      <c r="D663" s="978" t="n"/>
      <c r="E663" s="610" t="n"/>
      <c r="F663" s="610" t="n"/>
      <c r="G663" s="610" t="n"/>
      <c r="H663" s="610" t="n"/>
      <c r="I663" s="610" t="n"/>
      <c r="J663" s="978" t="n"/>
      <c r="K663" s="615" t="n"/>
      <c r="L663" s="613" t="n"/>
      <c r="M663" s="614" t="n"/>
      <c r="N663" s="614" t="n"/>
      <c r="O663" s="614" t="n"/>
      <c r="P663" s="614" t="n"/>
      <c r="Q663" s="614" t="n"/>
      <c r="R663" s="614" t="n"/>
      <c r="S663" s="614" t="n"/>
      <c r="T663" s="614" t="n"/>
    </row>
    <row r="664">
      <c r="A664" s="610" t="n"/>
      <c r="B664" s="610" t="n"/>
      <c r="C664" s="610" t="n"/>
      <c r="D664" s="978" t="n"/>
      <c r="E664" s="610" t="n"/>
      <c r="F664" s="610" t="n"/>
      <c r="G664" s="610" t="n"/>
      <c r="H664" s="610" t="n"/>
      <c r="I664" s="610" t="n"/>
      <c r="J664" s="978" t="n"/>
      <c r="K664" s="615" t="n"/>
      <c r="L664" s="613" t="n"/>
      <c r="M664" s="614" t="n"/>
      <c r="N664" s="614" t="n"/>
      <c r="O664" s="614" t="n"/>
      <c r="P664" s="614" t="n"/>
      <c r="Q664" s="614" t="n"/>
      <c r="R664" s="614" t="n"/>
      <c r="S664" s="614" t="n"/>
      <c r="T664" s="614" t="n"/>
    </row>
    <row r="665">
      <c r="A665" s="610" t="n"/>
      <c r="B665" s="610" t="n"/>
      <c r="C665" s="610" t="n"/>
      <c r="D665" s="978" t="n"/>
      <c r="E665" s="610" t="n"/>
      <c r="F665" s="610" t="n"/>
      <c r="G665" s="610" t="n"/>
      <c r="H665" s="610" t="n"/>
      <c r="I665" s="610" t="n"/>
      <c r="J665" s="978" t="n"/>
      <c r="K665" s="615" t="n"/>
      <c r="L665" s="613" t="n"/>
      <c r="M665" s="614" t="n"/>
      <c r="N665" s="614" t="n"/>
      <c r="O665" s="614" t="n"/>
      <c r="P665" s="614" t="n"/>
      <c r="Q665" s="614" t="n"/>
      <c r="R665" s="614" t="n"/>
      <c r="S665" s="614" t="n"/>
      <c r="T665" s="614" t="n"/>
    </row>
    <row r="666">
      <c r="A666" s="610" t="n"/>
      <c r="B666" s="610" t="n"/>
      <c r="C666" s="610" t="n"/>
      <c r="D666" s="978" t="n"/>
      <c r="E666" s="610" t="n"/>
      <c r="F666" s="610" t="n"/>
      <c r="G666" s="610" t="n"/>
      <c r="H666" s="610" t="n"/>
      <c r="I666" s="610" t="n"/>
      <c r="J666" s="978" t="n"/>
      <c r="K666" s="615" t="n"/>
      <c r="L666" s="613" t="n"/>
      <c r="M666" s="614" t="n"/>
      <c r="N666" s="614" t="n"/>
      <c r="O666" s="614" t="n"/>
      <c r="P666" s="614" t="n"/>
      <c r="Q666" s="614" t="n"/>
      <c r="R666" s="614" t="n"/>
      <c r="S666" s="614" t="n"/>
      <c r="T666" s="614" t="n"/>
    </row>
    <row r="667">
      <c r="A667" s="610" t="n"/>
      <c r="B667" s="610" t="n"/>
      <c r="C667" s="610" t="n"/>
      <c r="D667" s="978" t="n"/>
      <c r="E667" s="610" t="n"/>
      <c r="F667" s="610" t="n"/>
      <c r="G667" s="610" t="n"/>
      <c r="H667" s="610" t="n"/>
      <c r="I667" s="610" t="n"/>
      <c r="J667" s="978" t="n"/>
      <c r="K667" s="615" t="n"/>
      <c r="L667" s="613" t="n"/>
      <c r="M667" s="614" t="n"/>
      <c r="N667" s="614" t="n"/>
      <c r="O667" s="614" t="n"/>
      <c r="P667" s="614" t="n"/>
      <c r="Q667" s="614" t="n"/>
      <c r="R667" s="614" t="n"/>
      <c r="S667" s="614" t="n"/>
      <c r="T667" s="614" t="n"/>
    </row>
    <row r="668">
      <c r="A668" s="610" t="n"/>
      <c r="B668" s="610" t="n"/>
      <c r="C668" s="610" t="n"/>
      <c r="D668" s="978" t="n"/>
      <c r="E668" s="610" t="n"/>
      <c r="F668" s="610" t="n"/>
      <c r="G668" s="610" t="n"/>
      <c r="H668" s="610" t="n"/>
      <c r="I668" s="610" t="n"/>
      <c r="J668" s="978" t="n"/>
      <c r="K668" s="615" t="n"/>
      <c r="L668" s="613" t="n"/>
      <c r="M668" s="614" t="n"/>
      <c r="N668" s="614" t="n"/>
      <c r="O668" s="614" t="n"/>
      <c r="P668" s="614" t="n"/>
      <c r="Q668" s="614" t="n"/>
      <c r="R668" s="614" t="n"/>
      <c r="S668" s="614" t="n"/>
      <c r="T668" s="614" t="n"/>
    </row>
    <row r="669">
      <c r="A669" s="610" t="n"/>
      <c r="B669" s="610" t="n"/>
      <c r="C669" s="610" t="n"/>
      <c r="D669" s="978" t="n"/>
      <c r="E669" s="610" t="n"/>
      <c r="F669" s="610" t="n"/>
      <c r="G669" s="610" t="n"/>
      <c r="H669" s="610" t="n"/>
      <c r="I669" s="610" t="n"/>
      <c r="J669" s="978" t="n"/>
      <c r="K669" s="615" t="n"/>
      <c r="L669" s="613" t="n"/>
      <c r="M669" s="614" t="n"/>
      <c r="N669" s="614" t="n"/>
      <c r="O669" s="614" t="n"/>
      <c r="P669" s="614" t="n"/>
      <c r="Q669" s="614" t="n"/>
      <c r="R669" s="614" t="n"/>
      <c r="S669" s="614" t="n"/>
      <c r="T669" s="614" t="n"/>
    </row>
    <row r="670">
      <c r="A670" s="610" t="n"/>
      <c r="B670" s="610" t="n"/>
      <c r="C670" s="610" t="n"/>
      <c r="D670" s="978" t="n"/>
      <c r="E670" s="610" t="n"/>
      <c r="F670" s="610" t="n"/>
      <c r="G670" s="610" t="n"/>
      <c r="H670" s="610" t="n"/>
      <c r="I670" s="610" t="n"/>
      <c r="J670" s="978" t="n"/>
      <c r="K670" s="615" t="n"/>
      <c r="L670" s="613" t="n"/>
      <c r="M670" s="614" t="n"/>
      <c r="N670" s="614" t="n"/>
      <c r="O670" s="614" t="n"/>
      <c r="P670" s="614" t="n"/>
      <c r="Q670" s="614" t="n"/>
      <c r="R670" s="614" t="n"/>
      <c r="S670" s="614" t="n"/>
      <c r="T670" s="614" t="n"/>
    </row>
    <row r="671">
      <c r="A671" s="610" t="n"/>
      <c r="B671" s="610" t="n"/>
      <c r="C671" s="610" t="n"/>
      <c r="D671" s="978" t="n"/>
      <c r="E671" s="610" t="n"/>
      <c r="F671" s="610" t="n"/>
      <c r="G671" s="610" t="n"/>
      <c r="H671" s="610" t="n"/>
      <c r="I671" s="610" t="n"/>
      <c r="J671" s="978" t="n"/>
      <c r="K671" s="615" t="n"/>
      <c r="L671" s="613" t="n"/>
      <c r="M671" s="614" t="n"/>
      <c r="N671" s="614" t="n"/>
      <c r="O671" s="614" t="n"/>
      <c r="P671" s="614" t="n"/>
      <c r="Q671" s="614" t="n"/>
      <c r="R671" s="614" t="n"/>
      <c r="S671" s="614" t="n"/>
      <c r="T671" s="614" t="n"/>
    </row>
    <row r="672">
      <c r="A672" s="610" t="n"/>
      <c r="B672" s="610" t="n"/>
      <c r="C672" s="610" t="n"/>
      <c r="D672" s="978" t="n"/>
      <c r="E672" s="610" t="n"/>
      <c r="F672" s="610" t="n"/>
      <c r="G672" s="610" t="n"/>
      <c r="H672" s="610" t="n"/>
      <c r="I672" s="610" t="n"/>
      <c r="J672" s="978" t="n"/>
      <c r="K672" s="615" t="n"/>
      <c r="L672" s="613" t="n"/>
      <c r="M672" s="614" t="n"/>
      <c r="N672" s="614" t="n"/>
      <c r="O672" s="614" t="n"/>
      <c r="P672" s="614" t="n"/>
      <c r="Q672" s="614" t="n"/>
      <c r="R672" s="614" t="n"/>
      <c r="S672" s="614" t="n"/>
      <c r="T672" s="614" t="n"/>
    </row>
    <row r="673">
      <c r="A673" s="610" t="n"/>
      <c r="B673" s="610" t="n"/>
      <c r="C673" s="610" t="n"/>
      <c r="D673" s="978" t="n"/>
      <c r="E673" s="610" t="n"/>
      <c r="F673" s="610" t="n"/>
      <c r="G673" s="610" t="n"/>
      <c r="H673" s="610" t="n"/>
      <c r="I673" s="610" t="n"/>
      <c r="J673" s="978" t="n"/>
      <c r="K673" s="615" t="n"/>
      <c r="L673" s="613" t="n"/>
      <c r="M673" s="614" t="n"/>
      <c r="N673" s="614" t="n"/>
      <c r="O673" s="614" t="n"/>
      <c r="P673" s="614" t="n"/>
      <c r="Q673" s="614" t="n"/>
      <c r="R673" s="614" t="n"/>
      <c r="S673" s="614" t="n"/>
      <c r="T673" s="614" t="n"/>
    </row>
    <row r="674">
      <c r="A674" s="610" t="n"/>
      <c r="B674" s="610" t="n"/>
      <c r="C674" s="610" t="n"/>
      <c r="D674" s="978" t="n"/>
      <c r="E674" s="610" t="n"/>
      <c r="F674" s="610" t="n"/>
      <c r="G674" s="610" t="n"/>
      <c r="H674" s="610" t="n"/>
      <c r="I674" s="610" t="n"/>
      <c r="J674" s="978" t="n"/>
      <c r="K674" s="615" t="n"/>
      <c r="L674" s="613" t="n"/>
      <c r="M674" s="614" t="n"/>
      <c r="N674" s="614" t="n"/>
      <c r="O674" s="614" t="n"/>
      <c r="P674" s="614" t="n"/>
      <c r="Q674" s="614" t="n"/>
      <c r="R674" s="614" t="n"/>
      <c r="S674" s="614" t="n"/>
      <c r="T674" s="614" t="n"/>
    </row>
    <row r="675">
      <c r="A675" s="610" t="n"/>
      <c r="B675" s="610" t="n"/>
      <c r="C675" s="610" t="n"/>
      <c r="D675" s="978" t="n"/>
      <c r="E675" s="610" t="n"/>
      <c r="F675" s="610" t="n"/>
      <c r="G675" s="610" t="n"/>
      <c r="H675" s="610" t="n"/>
      <c r="I675" s="610" t="n"/>
      <c r="J675" s="978" t="n"/>
      <c r="K675" s="615" t="n"/>
      <c r="L675" s="613" t="n"/>
      <c r="M675" s="614" t="n"/>
      <c r="N675" s="614" t="n"/>
      <c r="O675" s="614" t="n"/>
      <c r="P675" s="614" t="n"/>
      <c r="Q675" s="614" t="n"/>
      <c r="R675" s="614" t="n"/>
      <c r="S675" s="614" t="n"/>
      <c r="T675" s="614" t="n"/>
    </row>
    <row r="676">
      <c r="A676" s="610" t="n"/>
      <c r="B676" s="610" t="n"/>
      <c r="C676" s="610" t="n"/>
      <c r="D676" s="978" t="n"/>
      <c r="E676" s="610" t="n"/>
      <c r="F676" s="610" t="n"/>
      <c r="G676" s="610" t="n"/>
      <c r="H676" s="610" t="n"/>
      <c r="I676" s="610" t="n"/>
      <c r="J676" s="978" t="n"/>
      <c r="K676" s="615" t="n"/>
      <c r="L676" s="613" t="n"/>
      <c r="M676" s="614" t="n"/>
      <c r="N676" s="614" t="n"/>
      <c r="O676" s="614" t="n"/>
      <c r="P676" s="614" t="n"/>
      <c r="Q676" s="614" t="n"/>
      <c r="R676" s="614" t="n"/>
      <c r="S676" s="614" t="n"/>
      <c r="T676" s="614" t="n"/>
    </row>
    <row r="677">
      <c r="A677" s="610" t="n"/>
      <c r="B677" s="610" t="n"/>
      <c r="C677" s="610" t="n"/>
      <c r="D677" s="978" t="n"/>
      <c r="E677" s="610" t="n"/>
      <c r="F677" s="610" t="n"/>
      <c r="G677" s="610" t="n"/>
      <c r="H677" s="610" t="n"/>
      <c r="I677" s="610" t="n"/>
      <c r="J677" s="978" t="n"/>
      <c r="K677" s="615" t="n"/>
      <c r="L677" s="613" t="n"/>
      <c r="M677" s="614" t="n"/>
      <c r="N677" s="614" t="n"/>
      <c r="O677" s="614" t="n"/>
      <c r="P677" s="614" t="n"/>
      <c r="Q677" s="614" t="n"/>
      <c r="R677" s="614" t="n"/>
      <c r="S677" s="614" t="n"/>
      <c r="T677" s="614" t="n"/>
    </row>
    <row r="678">
      <c r="A678" s="610" t="n"/>
      <c r="B678" s="610" t="n"/>
      <c r="C678" s="610" t="n"/>
      <c r="D678" s="978" t="n"/>
      <c r="E678" s="610" t="n"/>
      <c r="F678" s="610" t="n"/>
      <c r="G678" s="610" t="n"/>
      <c r="H678" s="610" t="n"/>
      <c r="I678" s="610" t="n"/>
      <c r="J678" s="978" t="n"/>
      <c r="K678" s="615" t="n"/>
      <c r="L678" s="613" t="n"/>
      <c r="M678" s="614" t="n"/>
      <c r="N678" s="614" t="n"/>
      <c r="O678" s="614" t="n"/>
      <c r="P678" s="614" t="n"/>
      <c r="Q678" s="614" t="n"/>
      <c r="R678" s="614" t="n"/>
      <c r="S678" s="614" t="n"/>
      <c r="T678" s="614" t="n"/>
    </row>
    <row r="679">
      <c r="A679" s="610" t="n"/>
      <c r="B679" s="610" t="n"/>
      <c r="C679" s="610" t="n"/>
      <c r="D679" s="978" t="n"/>
      <c r="E679" s="610" t="n"/>
      <c r="F679" s="610" t="n"/>
      <c r="G679" s="610" t="n"/>
      <c r="H679" s="610" t="n"/>
      <c r="I679" s="610" t="n"/>
      <c r="J679" s="978" t="n"/>
      <c r="K679" s="615" t="n"/>
      <c r="L679" s="613" t="n"/>
      <c r="M679" s="614" t="n"/>
      <c r="N679" s="614" t="n"/>
      <c r="O679" s="614" t="n"/>
      <c r="P679" s="614" t="n"/>
      <c r="Q679" s="614" t="n"/>
      <c r="R679" s="614" t="n"/>
      <c r="S679" s="614" t="n"/>
      <c r="T679" s="614" t="n"/>
    </row>
    <row r="680">
      <c r="A680" s="610" t="n"/>
      <c r="B680" s="610" t="n"/>
      <c r="C680" s="610" t="n"/>
      <c r="D680" s="978" t="n"/>
      <c r="E680" s="610" t="n"/>
      <c r="F680" s="610" t="n"/>
      <c r="G680" s="610" t="n"/>
      <c r="H680" s="610" t="n"/>
      <c r="I680" s="610" t="n"/>
      <c r="J680" s="978" t="n"/>
      <c r="K680" s="615" t="n"/>
      <c r="L680" s="613" t="n"/>
      <c r="M680" s="614" t="n"/>
      <c r="N680" s="614" t="n"/>
      <c r="O680" s="614" t="n"/>
      <c r="P680" s="614" t="n"/>
      <c r="Q680" s="614" t="n"/>
      <c r="R680" s="614" t="n"/>
      <c r="S680" s="614" t="n"/>
      <c r="T680" s="614" t="n"/>
    </row>
    <row r="681">
      <c r="A681" s="610" t="n"/>
      <c r="B681" s="610" t="n"/>
      <c r="C681" s="610" t="n"/>
      <c r="D681" s="978" t="n"/>
      <c r="E681" s="610" t="n"/>
      <c r="F681" s="610" t="n"/>
      <c r="G681" s="610" t="n"/>
      <c r="H681" s="610" t="n"/>
      <c r="I681" s="610" t="n"/>
      <c r="J681" s="978" t="n"/>
      <c r="K681" s="615" t="n"/>
      <c r="L681" s="613" t="n"/>
      <c r="M681" s="614" t="n"/>
      <c r="N681" s="614" t="n"/>
      <c r="O681" s="614" t="n"/>
      <c r="P681" s="614" t="n"/>
      <c r="Q681" s="614" t="n"/>
      <c r="R681" s="614" t="n"/>
      <c r="S681" s="614" t="n"/>
      <c r="T681" s="614" t="n"/>
    </row>
    <row r="682">
      <c r="A682" s="610" t="n"/>
      <c r="B682" s="610" t="n"/>
      <c r="C682" s="610" t="n"/>
      <c r="D682" s="978" t="n"/>
      <c r="E682" s="610" t="n"/>
      <c r="F682" s="610" t="n"/>
      <c r="G682" s="610" t="n"/>
      <c r="H682" s="610" t="n"/>
      <c r="I682" s="610" t="n"/>
      <c r="J682" s="978" t="n"/>
      <c r="K682" s="615" t="n"/>
      <c r="L682" s="613" t="n"/>
      <c r="M682" s="614" t="n"/>
      <c r="N682" s="614" t="n"/>
      <c r="O682" s="614" t="n"/>
      <c r="P682" s="614" t="n"/>
      <c r="Q682" s="614" t="n"/>
      <c r="R682" s="614" t="n"/>
      <c r="S682" s="614" t="n"/>
      <c r="T682" s="614" t="n"/>
    </row>
    <row r="683">
      <c r="A683" s="610" t="n"/>
      <c r="B683" s="610" t="n"/>
      <c r="C683" s="610" t="n"/>
      <c r="D683" s="978" t="n"/>
      <c r="E683" s="610" t="n"/>
      <c r="F683" s="610" t="n"/>
      <c r="G683" s="610" t="n"/>
      <c r="H683" s="610" t="n"/>
      <c r="I683" s="610" t="n"/>
      <c r="J683" s="978" t="n"/>
      <c r="K683" s="615" t="n"/>
      <c r="L683" s="613" t="n"/>
      <c r="M683" s="614" t="n"/>
      <c r="N683" s="614" t="n"/>
      <c r="O683" s="614" t="n"/>
      <c r="P683" s="614" t="n"/>
      <c r="Q683" s="614" t="n"/>
      <c r="R683" s="614" t="n"/>
      <c r="S683" s="614" t="n"/>
      <c r="T683" s="614" t="n"/>
    </row>
    <row r="684">
      <c r="A684" s="610" t="n"/>
      <c r="B684" s="610" t="n"/>
      <c r="C684" s="610" t="n"/>
      <c r="D684" s="978" t="n"/>
      <c r="E684" s="610" t="n"/>
      <c r="F684" s="610" t="n"/>
      <c r="G684" s="610" t="n"/>
      <c r="H684" s="610" t="n"/>
      <c r="I684" s="610" t="n"/>
      <c r="J684" s="978" t="n"/>
      <c r="K684" s="615" t="n"/>
      <c r="L684" s="613" t="n"/>
      <c r="M684" s="614" t="n"/>
      <c r="N684" s="614" t="n"/>
      <c r="O684" s="614" t="n"/>
      <c r="P684" s="614" t="n"/>
      <c r="Q684" s="614" t="n"/>
      <c r="R684" s="614" t="n"/>
      <c r="S684" s="614" t="n"/>
      <c r="T684" s="614" t="n"/>
    </row>
    <row r="685">
      <c r="A685" s="610" t="n"/>
      <c r="B685" s="610" t="n"/>
      <c r="C685" s="610" t="n"/>
      <c r="D685" s="978" t="n"/>
      <c r="E685" s="610" t="n"/>
      <c r="F685" s="610" t="n"/>
      <c r="G685" s="610" t="n"/>
      <c r="H685" s="610" t="n"/>
      <c r="I685" s="610" t="n"/>
      <c r="J685" s="978" t="n"/>
      <c r="K685" s="615" t="n"/>
      <c r="L685" s="613" t="n"/>
      <c r="M685" s="614" t="n"/>
      <c r="N685" s="614" t="n"/>
      <c r="O685" s="614" t="n"/>
      <c r="P685" s="614" t="n"/>
      <c r="Q685" s="614" t="n"/>
      <c r="R685" s="614" t="n"/>
      <c r="S685" s="614" t="n"/>
      <c r="T685" s="614" t="n"/>
    </row>
    <row r="686">
      <c r="A686" s="610" t="n"/>
      <c r="B686" s="610" t="n"/>
      <c r="C686" s="610" t="n"/>
      <c r="D686" s="978" t="n"/>
      <c r="E686" s="610" t="n"/>
      <c r="F686" s="610" t="n"/>
      <c r="G686" s="610" t="n"/>
      <c r="H686" s="610" t="n"/>
      <c r="I686" s="610" t="n"/>
      <c r="J686" s="978" t="n"/>
      <c r="K686" s="615" t="n"/>
      <c r="L686" s="613" t="n"/>
      <c r="M686" s="614" t="n"/>
      <c r="N686" s="614" t="n"/>
      <c r="O686" s="614" t="n"/>
      <c r="P686" s="614" t="n"/>
      <c r="Q686" s="614" t="n"/>
      <c r="R686" s="614" t="n"/>
      <c r="S686" s="614" t="n"/>
      <c r="T686" s="614" t="n"/>
    </row>
    <row r="687">
      <c r="A687" s="610" t="n"/>
      <c r="B687" s="610" t="n"/>
      <c r="C687" s="610" t="n"/>
      <c r="D687" s="978" t="n"/>
      <c r="E687" s="610" t="n"/>
      <c r="F687" s="610" t="n"/>
      <c r="G687" s="610" t="n"/>
      <c r="H687" s="610" t="n"/>
      <c r="I687" s="610" t="n"/>
      <c r="J687" s="978" t="n"/>
      <c r="K687" s="615" t="n"/>
      <c r="L687" s="613" t="n"/>
      <c r="M687" s="614" t="n"/>
      <c r="N687" s="614" t="n"/>
      <c r="O687" s="614" t="n"/>
      <c r="P687" s="614" t="n"/>
      <c r="Q687" s="614" t="n"/>
      <c r="R687" s="614" t="n"/>
      <c r="S687" s="614" t="n"/>
      <c r="T687" s="614" t="n"/>
    </row>
    <row r="688">
      <c r="A688" s="610" t="n"/>
      <c r="B688" s="610" t="n"/>
      <c r="C688" s="610" t="n"/>
      <c r="D688" s="978" t="n"/>
      <c r="E688" s="610" t="n"/>
      <c r="F688" s="610" t="n"/>
      <c r="G688" s="610" t="n"/>
      <c r="H688" s="610" t="n"/>
      <c r="I688" s="610" t="n"/>
      <c r="J688" s="978" t="n"/>
      <c r="K688" s="615" t="n"/>
      <c r="L688" s="613" t="n"/>
      <c r="M688" s="614" t="n"/>
      <c r="N688" s="614" t="n"/>
      <c r="O688" s="614" t="n"/>
      <c r="P688" s="614" t="n"/>
      <c r="Q688" s="614" t="n"/>
      <c r="R688" s="614" t="n"/>
      <c r="S688" s="614" t="n"/>
      <c r="T688" s="614" t="n"/>
    </row>
    <row r="689">
      <c r="A689" s="610" t="n"/>
      <c r="B689" s="610" t="n"/>
      <c r="C689" s="610" t="n"/>
      <c r="D689" s="978" t="n"/>
      <c r="E689" s="610" t="n"/>
      <c r="F689" s="610" t="n"/>
      <c r="G689" s="610" t="n"/>
      <c r="H689" s="610" t="n"/>
      <c r="I689" s="610" t="n"/>
      <c r="J689" s="978" t="n"/>
      <c r="K689" s="615" t="n"/>
      <c r="L689" s="613" t="n"/>
      <c r="M689" s="614" t="n"/>
      <c r="N689" s="614" t="n"/>
      <c r="O689" s="614" t="n"/>
      <c r="P689" s="614" t="n"/>
      <c r="Q689" s="614" t="n"/>
      <c r="R689" s="614" t="n"/>
      <c r="S689" s="614" t="n"/>
      <c r="T689" s="614" t="n"/>
    </row>
    <row r="690">
      <c r="A690" s="610" t="n"/>
      <c r="B690" s="610" t="n"/>
      <c r="C690" s="610" t="n"/>
      <c r="D690" s="978" t="n"/>
      <c r="E690" s="610" t="n"/>
      <c r="F690" s="610" t="n"/>
      <c r="G690" s="610" t="n"/>
      <c r="H690" s="610" t="n"/>
      <c r="I690" s="610" t="n"/>
      <c r="J690" s="978" t="n"/>
      <c r="K690" s="615" t="n"/>
      <c r="L690" s="613" t="n"/>
      <c r="M690" s="614" t="n"/>
      <c r="N690" s="614" t="n"/>
      <c r="O690" s="614" t="n"/>
      <c r="P690" s="614" t="n"/>
      <c r="Q690" s="614" t="n"/>
      <c r="R690" s="614" t="n"/>
      <c r="S690" s="614" t="n"/>
      <c r="T690" s="614" t="n"/>
    </row>
    <row r="691">
      <c r="A691" s="610" t="n"/>
      <c r="B691" s="610" t="n"/>
      <c r="C691" s="610" t="n"/>
      <c r="D691" s="978" t="n"/>
      <c r="E691" s="610" t="n"/>
      <c r="F691" s="610" t="n"/>
      <c r="G691" s="610" t="n"/>
      <c r="H691" s="610" t="n"/>
      <c r="I691" s="610" t="n"/>
      <c r="J691" s="978" t="n"/>
      <c r="K691" s="615" t="n"/>
      <c r="L691" s="613" t="n"/>
      <c r="M691" s="614" t="n"/>
      <c r="N691" s="614" t="n"/>
      <c r="O691" s="614" t="n"/>
      <c r="P691" s="614" t="n"/>
      <c r="Q691" s="614" t="n"/>
      <c r="R691" s="614" t="n"/>
      <c r="S691" s="614" t="n"/>
      <c r="T691" s="614" t="n"/>
    </row>
    <row r="692">
      <c r="A692" s="610" t="n"/>
      <c r="B692" s="610" t="n"/>
      <c r="C692" s="610" t="n"/>
      <c r="D692" s="978" t="n"/>
      <c r="E692" s="610" t="n"/>
      <c r="F692" s="610" t="n"/>
      <c r="G692" s="610" t="n"/>
      <c r="H692" s="610" t="n"/>
      <c r="I692" s="610" t="n"/>
      <c r="J692" s="978" t="n"/>
      <c r="K692" s="615" t="n"/>
      <c r="L692" s="613" t="n"/>
      <c r="M692" s="614" t="n"/>
      <c r="N692" s="614" t="n"/>
      <c r="O692" s="614" t="n"/>
      <c r="P692" s="614" t="n"/>
      <c r="Q692" s="614" t="n"/>
      <c r="R692" s="614" t="n"/>
      <c r="S692" s="614" t="n"/>
      <c r="T692" s="614" t="n"/>
    </row>
    <row r="693">
      <c r="A693" s="610" t="n"/>
      <c r="B693" s="610" t="n"/>
      <c r="C693" s="610" t="n"/>
      <c r="D693" s="978" t="n"/>
      <c r="E693" s="610" t="n"/>
      <c r="F693" s="610" t="n"/>
      <c r="G693" s="610" t="n"/>
      <c r="H693" s="610" t="n"/>
      <c r="I693" s="610" t="n"/>
      <c r="J693" s="978" t="n"/>
      <c r="K693" s="615" t="n"/>
      <c r="L693" s="613" t="n"/>
      <c r="M693" s="614" t="n"/>
      <c r="N693" s="614" t="n"/>
      <c r="O693" s="614" t="n"/>
      <c r="P693" s="614" t="n"/>
      <c r="Q693" s="614" t="n"/>
      <c r="R693" s="614" t="n"/>
      <c r="S693" s="614" t="n"/>
      <c r="T693" s="614" t="n"/>
    </row>
    <row r="694">
      <c r="A694" s="610" t="n"/>
      <c r="B694" s="610" t="n"/>
      <c r="C694" s="610" t="n"/>
      <c r="D694" s="978" t="n"/>
      <c r="E694" s="610" t="n"/>
      <c r="F694" s="610" t="n"/>
      <c r="G694" s="610" t="n"/>
      <c r="H694" s="610" t="n"/>
      <c r="I694" s="610" t="n"/>
      <c r="J694" s="978" t="n"/>
      <c r="K694" s="615" t="n"/>
      <c r="L694" s="613" t="n"/>
      <c r="M694" s="614" t="n"/>
      <c r="N694" s="614" t="n"/>
      <c r="O694" s="614" t="n"/>
      <c r="P694" s="614" t="n"/>
      <c r="Q694" s="614" t="n"/>
      <c r="R694" s="614" t="n"/>
      <c r="S694" s="614" t="n"/>
      <c r="T694" s="614" t="n"/>
    </row>
    <row r="695">
      <c r="A695" s="610" t="n"/>
      <c r="B695" s="610" t="n"/>
      <c r="C695" s="610" t="n"/>
      <c r="D695" s="978" t="n"/>
      <c r="E695" s="610" t="n"/>
      <c r="F695" s="610" t="n"/>
      <c r="G695" s="610" t="n"/>
      <c r="H695" s="610" t="n"/>
      <c r="I695" s="610" t="n"/>
      <c r="J695" s="978" t="n"/>
      <c r="K695" s="615" t="n"/>
      <c r="L695" s="613" t="n"/>
      <c r="M695" s="614" t="n"/>
      <c r="N695" s="614" t="n"/>
      <c r="O695" s="614" t="n"/>
      <c r="P695" s="614" t="n"/>
      <c r="Q695" s="614" t="n"/>
      <c r="R695" s="614" t="n"/>
      <c r="S695" s="614" t="n"/>
      <c r="T695" s="614" t="n"/>
    </row>
    <row r="696">
      <c r="A696" s="610" t="n"/>
      <c r="B696" s="610" t="n"/>
      <c r="C696" s="610" t="n"/>
      <c r="D696" s="978" t="n"/>
      <c r="E696" s="610" t="n"/>
      <c r="F696" s="610" t="n"/>
      <c r="G696" s="610" t="n"/>
      <c r="H696" s="610" t="n"/>
      <c r="I696" s="610" t="n"/>
      <c r="J696" s="978" t="n"/>
      <c r="K696" s="615" t="n"/>
      <c r="L696" s="613" t="n"/>
      <c r="M696" s="614" t="n"/>
      <c r="N696" s="614" t="n"/>
      <c r="O696" s="614" t="n"/>
      <c r="P696" s="614" t="n"/>
      <c r="Q696" s="614" t="n"/>
      <c r="R696" s="614" t="n"/>
      <c r="S696" s="614" t="n"/>
      <c r="T696" s="614" t="n"/>
    </row>
    <row r="697">
      <c r="A697" s="610" t="n"/>
      <c r="B697" s="610" t="n"/>
      <c r="C697" s="610" t="n"/>
      <c r="D697" s="978" t="n"/>
      <c r="E697" s="610" t="n"/>
      <c r="F697" s="610" t="n"/>
      <c r="G697" s="610" t="n"/>
      <c r="H697" s="610" t="n"/>
      <c r="I697" s="610" t="n"/>
      <c r="J697" s="978" t="n"/>
      <c r="K697" s="615" t="n"/>
      <c r="L697" s="613" t="n"/>
      <c r="M697" s="614" t="n"/>
      <c r="N697" s="614" t="n"/>
      <c r="O697" s="614" t="n"/>
      <c r="P697" s="614" t="n"/>
      <c r="Q697" s="614" t="n"/>
      <c r="R697" s="614" t="n"/>
      <c r="S697" s="614" t="n"/>
      <c r="T697" s="614" t="n"/>
    </row>
    <row r="698">
      <c r="A698" s="610" t="n"/>
      <c r="B698" s="610" t="n"/>
      <c r="C698" s="610" t="n"/>
      <c r="D698" s="978" t="n"/>
      <c r="E698" s="610" t="n"/>
      <c r="F698" s="610" t="n"/>
      <c r="G698" s="610" t="n"/>
      <c r="H698" s="610" t="n"/>
      <c r="I698" s="610" t="n"/>
      <c r="J698" s="978" t="n"/>
      <c r="K698" s="615" t="n"/>
      <c r="L698" s="613" t="n"/>
      <c r="M698" s="614" t="n"/>
      <c r="N698" s="614" t="n"/>
      <c r="O698" s="614" t="n"/>
      <c r="P698" s="614" t="n"/>
      <c r="Q698" s="614" t="n"/>
      <c r="R698" s="614" t="n"/>
      <c r="S698" s="614" t="n"/>
      <c r="T698" s="614" t="n"/>
    </row>
    <row r="699">
      <c r="A699" s="610" t="n"/>
      <c r="B699" s="610" t="n"/>
      <c r="C699" s="610" t="n"/>
      <c r="D699" s="978" t="n"/>
      <c r="E699" s="610" t="n"/>
      <c r="F699" s="610" t="n"/>
      <c r="G699" s="610" t="n"/>
      <c r="H699" s="610" t="n"/>
      <c r="I699" s="610" t="n"/>
      <c r="J699" s="978" t="n"/>
      <c r="K699" s="615" t="n"/>
      <c r="L699" s="613" t="n"/>
      <c r="M699" s="614" t="n"/>
      <c r="N699" s="614" t="n"/>
      <c r="O699" s="614" t="n"/>
      <c r="P699" s="614" t="n"/>
      <c r="Q699" s="614" t="n"/>
      <c r="R699" s="614" t="n"/>
      <c r="S699" s="614" t="n"/>
      <c r="T699" s="614" t="n"/>
    </row>
    <row r="700">
      <c r="A700" s="610" t="n"/>
      <c r="B700" s="610" t="n"/>
      <c r="C700" s="610" t="n"/>
      <c r="D700" s="978" t="n"/>
      <c r="E700" s="610" t="n"/>
      <c r="F700" s="610" t="n"/>
      <c r="G700" s="610" t="n"/>
      <c r="H700" s="610" t="n"/>
      <c r="I700" s="610" t="n"/>
      <c r="J700" s="978" t="n"/>
      <c r="K700" s="615" t="n"/>
      <c r="L700" s="613" t="n"/>
      <c r="M700" s="614" t="n"/>
      <c r="N700" s="614" t="n"/>
      <c r="O700" s="614" t="n"/>
      <c r="P700" s="614" t="n"/>
      <c r="Q700" s="614" t="n"/>
      <c r="R700" s="614" t="n"/>
      <c r="S700" s="614" t="n"/>
      <c r="T700" s="614" t="n"/>
    </row>
    <row r="701">
      <c r="A701" s="610" t="n"/>
      <c r="B701" s="610" t="n"/>
      <c r="C701" s="610" t="n"/>
      <c r="D701" s="978" t="n"/>
      <c r="E701" s="610" t="n"/>
      <c r="F701" s="610" t="n"/>
      <c r="G701" s="610" t="n"/>
      <c r="H701" s="610" t="n"/>
      <c r="I701" s="610" t="n"/>
      <c r="J701" s="978" t="n"/>
      <c r="K701" s="615" t="n"/>
      <c r="L701" s="613" t="n"/>
      <c r="M701" s="614" t="n"/>
      <c r="N701" s="614" t="n"/>
      <c r="O701" s="614" t="n"/>
      <c r="P701" s="614" t="n"/>
      <c r="Q701" s="614" t="n"/>
      <c r="R701" s="614" t="n"/>
      <c r="S701" s="614" t="n"/>
      <c r="T701" s="614" t="n"/>
    </row>
    <row r="702">
      <c r="A702" s="610" t="n"/>
      <c r="B702" s="610" t="n"/>
      <c r="C702" s="610" t="n"/>
      <c r="D702" s="978" t="n"/>
      <c r="E702" s="610" t="n"/>
      <c r="F702" s="610" t="n"/>
      <c r="G702" s="610" t="n"/>
      <c r="H702" s="610" t="n"/>
      <c r="I702" s="610" t="n"/>
      <c r="J702" s="978" t="n"/>
      <c r="K702" s="615" t="n"/>
      <c r="L702" s="613" t="n"/>
      <c r="M702" s="614" t="n"/>
      <c r="N702" s="614" t="n"/>
      <c r="O702" s="614" t="n"/>
      <c r="P702" s="614" t="n"/>
      <c r="Q702" s="614" t="n"/>
      <c r="R702" s="614" t="n"/>
      <c r="S702" s="614" t="n"/>
      <c r="T702" s="614" t="n"/>
    </row>
    <row r="703">
      <c r="A703" s="610" t="n"/>
      <c r="B703" s="610" t="n"/>
      <c r="C703" s="610" t="n"/>
      <c r="D703" s="978" t="n"/>
      <c r="E703" s="610" t="n"/>
      <c r="F703" s="610" t="n"/>
      <c r="G703" s="610" t="n"/>
      <c r="H703" s="610" t="n"/>
      <c r="I703" s="610" t="n"/>
      <c r="J703" s="978" t="n"/>
      <c r="K703" s="615" t="n"/>
      <c r="L703" s="613" t="n"/>
      <c r="M703" s="614" t="n"/>
      <c r="N703" s="614" t="n"/>
      <c r="O703" s="614" t="n"/>
      <c r="P703" s="614" t="n"/>
      <c r="Q703" s="614" t="n"/>
      <c r="R703" s="614" t="n"/>
      <c r="S703" s="614" t="n"/>
      <c r="T703" s="614" t="n"/>
    </row>
    <row r="704">
      <c r="A704" s="610" t="n"/>
      <c r="B704" s="610" t="n"/>
      <c r="C704" s="610" t="n"/>
      <c r="D704" s="978" t="n"/>
      <c r="E704" s="610" t="n"/>
      <c r="F704" s="610" t="n"/>
      <c r="G704" s="610" t="n"/>
      <c r="H704" s="610" t="n"/>
      <c r="I704" s="610" t="n"/>
      <c r="J704" s="978" t="n"/>
      <c r="K704" s="615" t="n"/>
      <c r="L704" s="613" t="n"/>
      <c r="M704" s="614" t="n"/>
      <c r="N704" s="614" t="n"/>
      <c r="O704" s="614" t="n"/>
      <c r="P704" s="614" t="n"/>
      <c r="Q704" s="614" t="n"/>
      <c r="R704" s="614" t="n"/>
      <c r="S704" s="614" t="n"/>
      <c r="T704" s="614" t="n"/>
    </row>
    <row r="705">
      <c r="A705" s="610" t="n"/>
      <c r="B705" s="610" t="n"/>
      <c r="C705" s="610" t="n"/>
      <c r="D705" s="978" t="n"/>
      <c r="E705" s="610" t="n"/>
      <c r="F705" s="610" t="n"/>
      <c r="G705" s="610" t="n"/>
      <c r="H705" s="610" t="n"/>
      <c r="I705" s="610" t="n"/>
      <c r="J705" s="978" t="n"/>
      <c r="K705" s="615" t="n"/>
      <c r="L705" s="613" t="n"/>
      <c r="M705" s="614" t="n"/>
      <c r="N705" s="614" t="n"/>
      <c r="O705" s="614" t="n"/>
      <c r="P705" s="614" t="n"/>
      <c r="Q705" s="614" t="n"/>
      <c r="R705" s="614" t="n"/>
      <c r="S705" s="614" t="n"/>
      <c r="T705" s="614" t="n"/>
    </row>
    <row r="706">
      <c r="A706" s="610" t="n"/>
      <c r="B706" s="610" t="n"/>
      <c r="C706" s="610" t="n"/>
      <c r="D706" s="978" t="n"/>
      <c r="E706" s="610" t="n"/>
      <c r="F706" s="610" t="n"/>
      <c r="G706" s="610" t="n"/>
      <c r="H706" s="610" t="n"/>
      <c r="I706" s="610" t="n"/>
      <c r="J706" s="978" t="n"/>
      <c r="K706" s="615" t="n"/>
      <c r="L706" s="613" t="n"/>
      <c r="M706" s="614" t="n"/>
      <c r="N706" s="614" t="n"/>
      <c r="O706" s="614" t="n"/>
      <c r="P706" s="614" t="n"/>
      <c r="Q706" s="614" t="n"/>
      <c r="R706" s="614" t="n"/>
      <c r="S706" s="614" t="n"/>
      <c r="T706" s="614" t="n"/>
    </row>
    <row r="707">
      <c r="A707" s="610" t="n"/>
      <c r="B707" s="610" t="n"/>
      <c r="C707" s="610" t="n"/>
      <c r="D707" s="978" t="n"/>
      <c r="E707" s="610" t="n"/>
      <c r="F707" s="610" t="n"/>
      <c r="G707" s="610" t="n"/>
      <c r="H707" s="610" t="n"/>
      <c r="I707" s="610" t="n"/>
      <c r="J707" s="978" t="n"/>
      <c r="K707" s="615" t="n"/>
      <c r="L707" s="613" t="n"/>
      <c r="M707" s="614" t="n"/>
      <c r="N707" s="614" t="n"/>
      <c r="O707" s="614" t="n"/>
      <c r="P707" s="614" t="n"/>
      <c r="Q707" s="614" t="n"/>
      <c r="R707" s="614" t="n"/>
      <c r="S707" s="614" t="n"/>
      <c r="T707" s="614" t="n"/>
    </row>
    <row r="708">
      <c r="A708" s="610" t="n"/>
      <c r="B708" s="610" t="n"/>
      <c r="C708" s="610" t="n"/>
      <c r="D708" s="978" t="n"/>
      <c r="E708" s="610" t="n"/>
      <c r="F708" s="610" t="n"/>
      <c r="G708" s="610" t="n"/>
      <c r="H708" s="610" t="n"/>
      <c r="I708" s="610" t="n"/>
      <c r="J708" s="978" t="n"/>
      <c r="K708" s="615" t="n"/>
      <c r="L708" s="613" t="n"/>
      <c r="M708" s="614" t="n"/>
      <c r="N708" s="614" t="n"/>
      <c r="O708" s="614" t="n"/>
      <c r="P708" s="614" t="n"/>
      <c r="Q708" s="614" t="n"/>
      <c r="R708" s="614" t="n"/>
      <c r="S708" s="614" t="n"/>
      <c r="T708" s="614" t="n"/>
    </row>
    <row r="709">
      <c r="A709" s="610" t="n"/>
      <c r="B709" s="610" t="n"/>
      <c r="C709" s="610" t="n"/>
      <c r="D709" s="978" t="n"/>
      <c r="E709" s="610" t="n"/>
      <c r="F709" s="610" t="n"/>
      <c r="G709" s="610" t="n"/>
      <c r="H709" s="610" t="n"/>
      <c r="I709" s="610" t="n"/>
      <c r="J709" s="978" t="n"/>
      <c r="K709" s="615" t="n"/>
      <c r="L709" s="613" t="n"/>
      <c r="M709" s="614" t="n"/>
      <c r="N709" s="614" t="n"/>
      <c r="O709" s="614" t="n"/>
      <c r="P709" s="614" t="n"/>
      <c r="Q709" s="614" t="n"/>
      <c r="R709" s="614" t="n"/>
      <c r="S709" s="614" t="n"/>
      <c r="T709" s="614" t="n"/>
    </row>
    <row r="710">
      <c r="A710" s="610" t="n"/>
      <c r="B710" s="610" t="n"/>
      <c r="C710" s="610" t="n"/>
      <c r="D710" s="978" t="n"/>
      <c r="E710" s="610" t="n"/>
      <c r="F710" s="610" t="n"/>
      <c r="G710" s="610" t="n"/>
      <c r="H710" s="610" t="n"/>
      <c r="I710" s="610" t="n"/>
      <c r="J710" s="978" t="n"/>
      <c r="K710" s="615" t="n"/>
      <c r="L710" s="613" t="n"/>
      <c r="M710" s="614" t="n"/>
      <c r="N710" s="614" t="n"/>
      <c r="O710" s="614" t="n"/>
      <c r="P710" s="614" t="n"/>
      <c r="Q710" s="614" t="n"/>
      <c r="R710" s="614" t="n"/>
      <c r="S710" s="614" t="n"/>
      <c r="T710" s="614" t="n"/>
    </row>
    <row r="711">
      <c r="A711" s="610" t="n"/>
      <c r="B711" s="610" t="n"/>
      <c r="C711" s="610" t="n"/>
      <c r="D711" s="978" t="n"/>
      <c r="E711" s="610" t="n"/>
      <c r="F711" s="610" t="n"/>
      <c r="G711" s="610" t="n"/>
      <c r="H711" s="610" t="n"/>
      <c r="I711" s="610" t="n"/>
      <c r="J711" s="978" t="n"/>
      <c r="K711" s="615" t="n"/>
      <c r="L711" s="613" t="n"/>
      <c r="M711" s="614" t="n"/>
      <c r="N711" s="614" t="n"/>
      <c r="O711" s="614" t="n"/>
      <c r="P711" s="614" t="n"/>
      <c r="Q711" s="614" t="n"/>
      <c r="R711" s="614" t="n"/>
      <c r="S711" s="614" t="n"/>
      <c r="T711" s="614" t="n"/>
    </row>
    <row r="712">
      <c r="A712" s="610" t="n"/>
      <c r="B712" s="610" t="n"/>
      <c r="C712" s="610" t="n"/>
      <c r="D712" s="978" t="n"/>
      <c r="E712" s="610" t="n"/>
      <c r="F712" s="610" t="n"/>
      <c r="G712" s="610" t="n"/>
      <c r="H712" s="610" t="n"/>
      <c r="I712" s="610" t="n"/>
      <c r="J712" s="978" t="n"/>
      <c r="K712" s="615" t="n"/>
      <c r="L712" s="613" t="n"/>
      <c r="M712" s="614" t="n"/>
      <c r="N712" s="614" t="n"/>
      <c r="O712" s="614" t="n"/>
      <c r="P712" s="614" t="n"/>
      <c r="Q712" s="614" t="n"/>
      <c r="R712" s="614" t="n"/>
      <c r="S712" s="614" t="n"/>
      <c r="T712" s="614" t="n"/>
    </row>
    <row r="713">
      <c r="A713" s="610" t="n"/>
      <c r="B713" s="610" t="n"/>
      <c r="C713" s="610" t="n"/>
      <c r="D713" s="978" t="n"/>
      <c r="E713" s="610" t="n"/>
      <c r="F713" s="610" t="n"/>
      <c r="G713" s="610" t="n"/>
      <c r="H713" s="610" t="n"/>
      <c r="I713" s="610" t="n"/>
      <c r="J713" s="978" t="n"/>
      <c r="K713" s="615" t="n"/>
      <c r="L713" s="613" t="n"/>
      <c r="M713" s="614" t="n"/>
      <c r="N713" s="614" t="n"/>
      <c r="O713" s="614" t="n"/>
      <c r="P713" s="614" t="n"/>
      <c r="Q713" s="614" t="n"/>
      <c r="R713" s="614" t="n"/>
      <c r="S713" s="614" t="n"/>
      <c r="T713" s="614" t="n"/>
    </row>
    <row r="714">
      <c r="A714" s="610" t="n"/>
      <c r="B714" s="610" t="n"/>
      <c r="C714" s="610" t="n"/>
      <c r="D714" s="978" t="n"/>
      <c r="E714" s="610" t="n"/>
      <c r="F714" s="610" t="n"/>
      <c r="G714" s="610" t="n"/>
      <c r="H714" s="610" t="n"/>
      <c r="I714" s="610" t="n"/>
      <c r="J714" s="978" t="n"/>
      <c r="K714" s="615" t="n"/>
      <c r="L714" s="613" t="n"/>
      <c r="M714" s="614" t="n"/>
      <c r="N714" s="614" t="n"/>
      <c r="O714" s="614" t="n"/>
      <c r="P714" s="614" t="n"/>
      <c r="Q714" s="614" t="n"/>
      <c r="R714" s="614" t="n"/>
      <c r="S714" s="614" t="n"/>
      <c r="T714" s="614" t="n"/>
    </row>
    <row r="715">
      <c r="A715" s="610" t="n"/>
      <c r="B715" s="610" t="n"/>
      <c r="C715" s="610" t="n"/>
      <c r="D715" s="978" t="n"/>
      <c r="E715" s="610" t="n"/>
      <c r="F715" s="610" t="n"/>
      <c r="G715" s="610" t="n"/>
      <c r="H715" s="610" t="n"/>
      <c r="I715" s="610" t="n"/>
      <c r="J715" s="978" t="n"/>
      <c r="K715" s="615" t="n"/>
      <c r="L715" s="613" t="n"/>
      <c r="M715" s="614" t="n"/>
      <c r="N715" s="614" t="n"/>
      <c r="O715" s="614" t="n"/>
      <c r="P715" s="614" t="n"/>
      <c r="Q715" s="614" t="n"/>
      <c r="R715" s="614" t="n"/>
      <c r="S715" s="614" t="n"/>
      <c r="T715" s="614" t="n"/>
    </row>
    <row r="716">
      <c r="A716" s="610" t="n"/>
      <c r="B716" s="610" t="n"/>
      <c r="C716" s="610" t="n"/>
      <c r="D716" s="978" t="n"/>
      <c r="E716" s="610" t="n"/>
      <c r="F716" s="610" t="n"/>
      <c r="G716" s="610" t="n"/>
      <c r="H716" s="610" t="n"/>
      <c r="I716" s="610" t="n"/>
      <c r="J716" s="978" t="n"/>
      <c r="K716" s="615" t="n"/>
      <c r="L716" s="613" t="n"/>
      <c r="M716" s="614" t="n"/>
      <c r="N716" s="614" t="n"/>
      <c r="O716" s="614" t="n"/>
      <c r="P716" s="614" t="n"/>
      <c r="Q716" s="614" t="n"/>
      <c r="R716" s="614" t="n"/>
      <c r="S716" s="614" t="n"/>
      <c r="T716" s="614" t="n"/>
    </row>
    <row r="717">
      <c r="A717" s="610" t="n"/>
      <c r="B717" s="610" t="n"/>
      <c r="C717" s="610" t="n"/>
      <c r="D717" s="978" t="n"/>
      <c r="E717" s="610" t="n"/>
      <c r="F717" s="610" t="n"/>
      <c r="G717" s="610" t="n"/>
      <c r="H717" s="610" t="n"/>
      <c r="I717" s="610" t="n"/>
      <c r="J717" s="978" t="n"/>
      <c r="K717" s="615" t="n"/>
      <c r="L717" s="613" t="n"/>
      <c r="M717" s="614" t="n"/>
      <c r="N717" s="614" t="n"/>
      <c r="O717" s="614" t="n"/>
      <c r="P717" s="614" t="n"/>
      <c r="Q717" s="614" t="n"/>
      <c r="R717" s="614" t="n"/>
      <c r="S717" s="614" t="n"/>
      <c r="T717" s="614" t="n"/>
    </row>
    <row r="718">
      <c r="A718" s="610" t="n"/>
      <c r="B718" s="610" t="n"/>
      <c r="C718" s="610" t="n"/>
      <c r="D718" s="978" t="n"/>
      <c r="E718" s="610" t="n"/>
      <c r="F718" s="610" t="n"/>
      <c r="G718" s="610" t="n"/>
      <c r="H718" s="610" t="n"/>
      <c r="I718" s="610" t="n"/>
      <c r="J718" s="978" t="n"/>
      <c r="K718" s="615" t="n"/>
      <c r="L718" s="613" t="n"/>
      <c r="M718" s="614" t="n"/>
      <c r="N718" s="614" t="n"/>
      <c r="O718" s="614" t="n"/>
      <c r="P718" s="614" t="n"/>
      <c r="Q718" s="614" t="n"/>
      <c r="R718" s="614" t="n"/>
      <c r="S718" s="614" t="n"/>
      <c r="T718" s="614" t="n"/>
    </row>
    <row r="719">
      <c r="A719" s="610" t="n"/>
      <c r="B719" s="610" t="n"/>
      <c r="C719" s="610" t="n"/>
      <c r="D719" s="978" t="n"/>
      <c r="E719" s="610" t="n"/>
      <c r="F719" s="610" t="n"/>
      <c r="G719" s="610" t="n"/>
      <c r="H719" s="610" t="n"/>
      <c r="I719" s="610" t="n"/>
      <c r="J719" s="978" t="n"/>
      <c r="K719" s="615" t="n"/>
      <c r="L719" s="613" t="n"/>
      <c r="M719" s="614" t="n"/>
      <c r="N719" s="614" t="n"/>
      <c r="O719" s="614" t="n"/>
      <c r="P719" s="614" t="n"/>
      <c r="Q719" s="614" t="n"/>
      <c r="R719" s="614" t="n"/>
      <c r="S719" s="614" t="n"/>
      <c r="T719" s="614" t="n"/>
    </row>
    <row r="720">
      <c r="A720" s="610" t="n"/>
      <c r="B720" s="610" t="n"/>
      <c r="C720" s="610" t="n"/>
      <c r="D720" s="978" t="n"/>
      <c r="E720" s="610" t="n"/>
      <c r="F720" s="610" t="n"/>
      <c r="G720" s="610" t="n"/>
      <c r="H720" s="610" t="n"/>
      <c r="I720" s="610" t="n"/>
      <c r="J720" s="978" t="n"/>
      <c r="K720" s="615" t="n"/>
      <c r="L720" s="613" t="n"/>
      <c r="M720" s="614" t="n"/>
      <c r="N720" s="614" t="n"/>
      <c r="O720" s="614" t="n"/>
      <c r="P720" s="614" t="n"/>
      <c r="Q720" s="614" t="n"/>
      <c r="R720" s="614" t="n"/>
      <c r="S720" s="614" t="n"/>
      <c r="T720" s="614" t="n"/>
    </row>
    <row r="721">
      <c r="A721" s="610" t="n"/>
      <c r="B721" s="610" t="n"/>
      <c r="C721" s="610" t="n"/>
      <c r="D721" s="978" t="n"/>
      <c r="E721" s="610" t="n"/>
      <c r="F721" s="610" t="n"/>
      <c r="G721" s="610" t="n"/>
      <c r="H721" s="610" t="n"/>
      <c r="I721" s="610" t="n"/>
      <c r="J721" s="978" t="n"/>
      <c r="K721" s="615" t="n"/>
      <c r="L721" s="613" t="n"/>
      <c r="M721" s="614" t="n"/>
      <c r="N721" s="614" t="n"/>
      <c r="O721" s="614" t="n"/>
      <c r="P721" s="614" t="n"/>
      <c r="Q721" s="614" t="n"/>
      <c r="R721" s="614" t="n"/>
      <c r="S721" s="614" t="n"/>
      <c r="T721" s="614" t="n"/>
    </row>
    <row r="722">
      <c r="A722" s="610" t="n"/>
      <c r="B722" s="610" t="n"/>
      <c r="C722" s="610" t="n"/>
      <c r="D722" s="978" t="n"/>
      <c r="E722" s="610" t="n"/>
      <c r="F722" s="610" t="n"/>
      <c r="G722" s="610" t="n"/>
      <c r="H722" s="610" t="n"/>
      <c r="I722" s="610" t="n"/>
      <c r="J722" s="978" t="n"/>
      <c r="K722" s="615" t="n"/>
      <c r="L722" s="613" t="n"/>
      <c r="M722" s="614" t="n"/>
      <c r="N722" s="614" t="n"/>
      <c r="O722" s="614" t="n"/>
      <c r="P722" s="614" t="n"/>
      <c r="Q722" s="614" t="n"/>
      <c r="R722" s="614" t="n"/>
      <c r="S722" s="614" t="n"/>
      <c r="T722" s="614" t="n"/>
    </row>
    <row r="723">
      <c r="A723" s="610" t="n"/>
      <c r="B723" s="610" t="n"/>
      <c r="C723" s="610" t="n"/>
      <c r="D723" s="978" t="n"/>
      <c r="E723" s="610" t="n"/>
      <c r="F723" s="610" t="n"/>
      <c r="G723" s="610" t="n"/>
      <c r="H723" s="610" t="n"/>
      <c r="I723" s="610" t="n"/>
      <c r="J723" s="978" t="n"/>
      <c r="K723" s="615" t="n"/>
      <c r="L723" s="613" t="n"/>
      <c r="M723" s="614" t="n"/>
      <c r="N723" s="614" t="n"/>
      <c r="O723" s="614" t="n"/>
      <c r="P723" s="614" t="n"/>
      <c r="Q723" s="614" t="n"/>
      <c r="R723" s="614" t="n"/>
      <c r="S723" s="614" t="n"/>
      <c r="T723" s="614" t="n"/>
    </row>
    <row r="724">
      <c r="A724" s="610" t="n"/>
      <c r="B724" s="610" t="n"/>
      <c r="C724" s="610" t="n"/>
      <c r="D724" s="978" t="n"/>
      <c r="E724" s="610" t="n"/>
      <c r="F724" s="610" t="n"/>
      <c r="G724" s="610" t="n"/>
      <c r="H724" s="610" t="n"/>
      <c r="I724" s="610" t="n"/>
      <c r="J724" s="978" t="n"/>
      <c r="K724" s="615" t="n"/>
      <c r="L724" s="613" t="n"/>
      <c r="M724" s="614" t="n"/>
      <c r="N724" s="614" t="n"/>
      <c r="O724" s="614" t="n"/>
      <c r="P724" s="614" t="n"/>
      <c r="Q724" s="614" t="n"/>
      <c r="R724" s="614" t="n"/>
      <c r="S724" s="614" t="n"/>
      <c r="T724" s="614" t="n"/>
    </row>
    <row r="725">
      <c r="A725" s="610" t="n"/>
      <c r="B725" s="610" t="n"/>
      <c r="C725" s="610" t="n"/>
      <c r="D725" s="978" t="n"/>
      <c r="E725" s="610" t="n"/>
      <c r="F725" s="610" t="n"/>
      <c r="G725" s="610" t="n"/>
      <c r="H725" s="610" t="n"/>
      <c r="I725" s="610" t="n"/>
      <c r="J725" s="978" t="n"/>
      <c r="K725" s="615" t="n"/>
      <c r="L725" s="613" t="n"/>
      <c r="M725" s="614" t="n"/>
      <c r="N725" s="614" t="n"/>
      <c r="O725" s="614" t="n"/>
      <c r="P725" s="614" t="n"/>
      <c r="Q725" s="614" t="n"/>
      <c r="R725" s="614" t="n"/>
      <c r="S725" s="614" t="n"/>
      <c r="T725" s="614" t="n"/>
    </row>
    <row r="726">
      <c r="A726" s="610" t="n"/>
      <c r="B726" s="610" t="n"/>
      <c r="C726" s="610" t="n"/>
      <c r="D726" s="978" t="n"/>
      <c r="E726" s="610" t="n"/>
      <c r="F726" s="610" t="n"/>
      <c r="G726" s="610" t="n"/>
      <c r="H726" s="610" t="n"/>
      <c r="I726" s="610" t="n"/>
      <c r="J726" s="978" t="n"/>
      <c r="K726" s="615" t="n"/>
      <c r="L726" s="613" t="n"/>
      <c r="M726" s="614" t="n"/>
      <c r="N726" s="614" t="n"/>
      <c r="O726" s="614" t="n"/>
      <c r="P726" s="614" t="n"/>
      <c r="Q726" s="614" t="n"/>
      <c r="R726" s="614" t="n"/>
      <c r="S726" s="614" t="n"/>
      <c r="T726" s="614" t="n"/>
    </row>
    <row r="727">
      <c r="A727" s="610" t="n"/>
      <c r="B727" s="610" t="n"/>
      <c r="C727" s="610" t="n"/>
      <c r="D727" s="978" t="n"/>
      <c r="E727" s="610" t="n"/>
      <c r="F727" s="610" t="n"/>
      <c r="G727" s="610" t="n"/>
      <c r="H727" s="610" t="n"/>
      <c r="I727" s="610" t="n"/>
      <c r="J727" s="978" t="n"/>
      <c r="K727" s="615" t="n"/>
      <c r="L727" s="613" t="n"/>
      <c r="M727" s="614" t="n"/>
      <c r="N727" s="614" t="n"/>
      <c r="O727" s="614" t="n"/>
      <c r="P727" s="614" t="n"/>
      <c r="Q727" s="614" t="n"/>
      <c r="R727" s="614" t="n"/>
      <c r="S727" s="614" t="n"/>
      <c r="T727" s="614" t="n"/>
    </row>
    <row r="728">
      <c r="A728" s="610" t="n"/>
      <c r="B728" s="610" t="n"/>
      <c r="C728" s="610" t="n"/>
      <c r="D728" s="978" t="n"/>
      <c r="E728" s="610" t="n"/>
      <c r="F728" s="610" t="n"/>
      <c r="G728" s="610" t="n"/>
      <c r="H728" s="610" t="n"/>
      <c r="I728" s="610" t="n"/>
      <c r="J728" s="978" t="n"/>
      <c r="K728" s="615" t="n"/>
      <c r="L728" s="613" t="n"/>
      <c r="M728" s="614" t="n"/>
      <c r="N728" s="614" t="n"/>
      <c r="O728" s="614" t="n"/>
      <c r="P728" s="614" t="n"/>
      <c r="Q728" s="614" t="n"/>
      <c r="R728" s="614" t="n"/>
      <c r="S728" s="614" t="n"/>
      <c r="T728" s="614" t="n"/>
    </row>
    <row r="729">
      <c r="A729" s="610" t="n"/>
      <c r="B729" s="610" t="n"/>
      <c r="C729" s="610" t="n"/>
      <c r="D729" s="978" t="n"/>
      <c r="E729" s="610" t="n"/>
      <c r="F729" s="610" t="n"/>
      <c r="G729" s="610" t="n"/>
      <c r="H729" s="610" t="n"/>
      <c r="I729" s="610" t="n"/>
      <c r="J729" s="978" t="n"/>
      <c r="K729" s="615" t="n"/>
      <c r="L729" s="613" t="n"/>
      <c r="M729" s="614" t="n"/>
      <c r="N729" s="614" t="n"/>
      <c r="O729" s="614" t="n"/>
      <c r="P729" s="614" t="n"/>
      <c r="Q729" s="614" t="n"/>
      <c r="R729" s="614" t="n"/>
      <c r="S729" s="614" t="n"/>
      <c r="T729" s="614" t="n"/>
    </row>
    <row r="730">
      <c r="A730" s="610" t="n"/>
      <c r="B730" s="610" t="n"/>
      <c r="C730" s="610" t="n"/>
      <c r="D730" s="978" t="n"/>
      <c r="E730" s="610" t="n"/>
      <c r="F730" s="610" t="n"/>
      <c r="G730" s="610" t="n"/>
      <c r="H730" s="610" t="n"/>
      <c r="I730" s="610" t="n"/>
      <c r="J730" s="978" t="n"/>
      <c r="K730" s="615" t="n"/>
      <c r="L730" s="613" t="n"/>
      <c r="M730" s="614" t="n"/>
      <c r="N730" s="614" t="n"/>
      <c r="O730" s="614" t="n"/>
      <c r="P730" s="614" t="n"/>
      <c r="Q730" s="614" t="n"/>
      <c r="R730" s="614" t="n"/>
      <c r="S730" s="614" t="n"/>
      <c r="T730" s="614" t="n"/>
    </row>
    <row r="731">
      <c r="A731" s="610" t="n"/>
      <c r="B731" s="610" t="n"/>
      <c r="C731" s="610" t="n"/>
      <c r="D731" s="978" t="n"/>
      <c r="E731" s="610" t="n"/>
      <c r="F731" s="610" t="n"/>
      <c r="G731" s="610" t="n"/>
      <c r="H731" s="610" t="n"/>
      <c r="I731" s="610" t="n"/>
      <c r="J731" s="978" t="n"/>
      <c r="K731" s="615" t="n"/>
      <c r="L731" s="613" t="n"/>
      <c r="M731" s="614" t="n"/>
      <c r="N731" s="614" t="n"/>
      <c r="O731" s="614" t="n"/>
      <c r="P731" s="614" t="n"/>
      <c r="Q731" s="614" t="n"/>
      <c r="R731" s="614" t="n"/>
      <c r="S731" s="614" t="n"/>
      <c r="T731" s="614" t="n"/>
    </row>
    <row r="732">
      <c r="A732" s="610" t="n"/>
      <c r="B732" s="610" t="n"/>
      <c r="C732" s="610" t="n"/>
      <c r="D732" s="978" t="n"/>
      <c r="E732" s="610" t="n"/>
      <c r="F732" s="610" t="n"/>
      <c r="G732" s="610" t="n"/>
      <c r="H732" s="610" t="n"/>
      <c r="I732" s="610" t="n"/>
      <c r="J732" s="978" t="n"/>
      <c r="K732" s="615" t="n"/>
      <c r="L732" s="613" t="n"/>
      <c r="M732" s="614" t="n"/>
      <c r="N732" s="614" t="n"/>
      <c r="O732" s="614" t="n"/>
      <c r="P732" s="614" t="n"/>
      <c r="Q732" s="614" t="n"/>
      <c r="R732" s="614" t="n"/>
      <c r="S732" s="614" t="n"/>
      <c r="T732" s="614" t="n"/>
    </row>
    <row r="733">
      <c r="A733" s="610" t="n"/>
      <c r="B733" s="610" t="n"/>
      <c r="C733" s="610" t="n"/>
      <c r="D733" s="978" t="n"/>
      <c r="E733" s="610" t="n"/>
      <c r="F733" s="610" t="n"/>
      <c r="G733" s="610" t="n"/>
      <c r="H733" s="610" t="n"/>
      <c r="I733" s="610" t="n"/>
      <c r="J733" s="978" t="n"/>
      <c r="K733" s="615" t="n"/>
      <c r="L733" s="613" t="n"/>
      <c r="M733" s="614" t="n"/>
      <c r="N733" s="614" t="n"/>
      <c r="O733" s="614" t="n"/>
      <c r="P733" s="614" t="n"/>
      <c r="Q733" s="614" t="n"/>
      <c r="R733" s="614" t="n"/>
      <c r="S733" s="614" t="n"/>
      <c r="T733" s="614" t="n"/>
    </row>
    <row r="734">
      <c r="A734" s="610" t="n"/>
      <c r="B734" s="610" t="n"/>
      <c r="C734" s="610" t="n"/>
      <c r="D734" s="978" t="n"/>
      <c r="E734" s="610" t="n"/>
      <c r="F734" s="610" t="n"/>
      <c r="G734" s="610" t="n"/>
      <c r="H734" s="610" t="n"/>
      <c r="I734" s="610" t="n"/>
      <c r="J734" s="978" t="n"/>
      <c r="K734" s="615" t="n"/>
      <c r="L734" s="613" t="n"/>
      <c r="M734" s="614" t="n"/>
      <c r="N734" s="614" t="n"/>
      <c r="O734" s="614" t="n"/>
      <c r="P734" s="614" t="n"/>
      <c r="Q734" s="614" t="n"/>
      <c r="R734" s="614" t="n"/>
      <c r="S734" s="614" t="n"/>
      <c r="T734" s="614" t="n"/>
    </row>
    <row r="735">
      <c r="A735" s="610" t="n"/>
      <c r="B735" s="610" t="n"/>
      <c r="C735" s="610" t="n"/>
      <c r="D735" s="978" t="n"/>
      <c r="E735" s="610" t="n"/>
      <c r="F735" s="610" t="n"/>
      <c r="G735" s="610" t="n"/>
      <c r="H735" s="610" t="n"/>
      <c r="I735" s="610" t="n"/>
      <c r="J735" s="978" t="n"/>
      <c r="K735" s="615" t="n"/>
      <c r="L735" s="613" t="n"/>
      <c r="M735" s="614" t="n"/>
      <c r="N735" s="614" t="n"/>
      <c r="O735" s="614" t="n"/>
      <c r="P735" s="614" t="n"/>
      <c r="Q735" s="614" t="n"/>
      <c r="R735" s="614" t="n"/>
      <c r="S735" s="614" t="n"/>
      <c r="T735" s="614" t="n"/>
    </row>
    <row r="736">
      <c r="A736" s="610" t="n"/>
      <c r="B736" s="610" t="n"/>
      <c r="C736" s="610" t="n"/>
      <c r="D736" s="978" t="n"/>
      <c r="E736" s="610" t="n"/>
      <c r="F736" s="610" t="n"/>
      <c r="G736" s="610" t="n"/>
      <c r="H736" s="610" t="n"/>
      <c r="I736" s="610" t="n"/>
      <c r="J736" s="978" t="n"/>
      <c r="K736" s="615" t="n"/>
      <c r="L736" s="613" t="n"/>
      <c r="M736" s="614" t="n"/>
      <c r="N736" s="614" t="n"/>
      <c r="O736" s="614" t="n"/>
      <c r="P736" s="614" t="n"/>
      <c r="Q736" s="614" t="n"/>
      <c r="R736" s="614" t="n"/>
      <c r="S736" s="614" t="n"/>
      <c r="T736" s="614" t="n"/>
    </row>
    <row r="737">
      <c r="A737" s="610" t="n"/>
      <c r="B737" s="610" t="n"/>
      <c r="C737" s="610" t="n"/>
      <c r="D737" s="978" t="n"/>
      <c r="E737" s="610" t="n"/>
      <c r="F737" s="610" t="n"/>
      <c r="G737" s="610" t="n"/>
      <c r="H737" s="610" t="n"/>
      <c r="I737" s="610" t="n"/>
      <c r="J737" s="978" t="n"/>
      <c r="K737" s="615" t="n"/>
      <c r="L737" s="613" t="n"/>
      <c r="M737" s="614" t="n"/>
      <c r="N737" s="614" t="n"/>
      <c r="O737" s="614" t="n"/>
      <c r="P737" s="614" t="n"/>
      <c r="Q737" s="614" t="n"/>
      <c r="R737" s="614" t="n"/>
      <c r="S737" s="614" t="n"/>
      <c r="T737" s="614" t="n"/>
    </row>
    <row r="738">
      <c r="A738" s="610" t="n"/>
      <c r="B738" s="610" t="n"/>
      <c r="C738" s="610" t="n"/>
      <c r="D738" s="978" t="n"/>
      <c r="E738" s="610" t="n"/>
      <c r="F738" s="610" t="n"/>
      <c r="G738" s="610" t="n"/>
      <c r="H738" s="610" t="n"/>
      <c r="I738" s="610" t="n"/>
      <c r="J738" s="978" t="n"/>
      <c r="K738" s="615" t="n"/>
      <c r="L738" s="613" t="n"/>
      <c r="M738" s="614" t="n"/>
      <c r="N738" s="614" t="n"/>
      <c r="O738" s="614" t="n"/>
      <c r="P738" s="614" t="n"/>
      <c r="Q738" s="614" t="n"/>
      <c r="R738" s="614" t="n"/>
      <c r="S738" s="614" t="n"/>
      <c r="T738" s="614" t="n"/>
    </row>
    <row r="739">
      <c r="A739" s="610" t="n"/>
      <c r="B739" s="610" t="n"/>
      <c r="C739" s="610" t="n"/>
      <c r="D739" s="978" t="n"/>
      <c r="E739" s="610" t="n"/>
      <c r="F739" s="610" t="n"/>
      <c r="G739" s="610" t="n"/>
      <c r="H739" s="610" t="n"/>
      <c r="I739" s="610" t="n"/>
      <c r="J739" s="978" t="n"/>
      <c r="K739" s="615" t="n"/>
      <c r="L739" s="613" t="n"/>
      <c r="M739" s="614" t="n"/>
      <c r="N739" s="614" t="n"/>
      <c r="O739" s="614" t="n"/>
      <c r="P739" s="614" t="n"/>
      <c r="Q739" s="614" t="n"/>
      <c r="R739" s="614" t="n"/>
      <c r="S739" s="614" t="n"/>
      <c r="T739" s="614" t="n"/>
    </row>
    <row r="740">
      <c r="A740" s="610" t="n"/>
      <c r="B740" s="610" t="n"/>
      <c r="C740" s="610" t="n"/>
      <c r="D740" s="978" t="n"/>
      <c r="E740" s="610" t="n"/>
      <c r="F740" s="610" t="n"/>
      <c r="G740" s="610" t="n"/>
      <c r="H740" s="610" t="n"/>
      <c r="I740" s="610" t="n"/>
      <c r="J740" s="978" t="n"/>
      <c r="K740" s="615" t="n"/>
      <c r="L740" s="613" t="n"/>
      <c r="M740" s="614" t="n"/>
      <c r="N740" s="614" t="n"/>
      <c r="O740" s="614" t="n"/>
      <c r="P740" s="614" t="n"/>
      <c r="Q740" s="614" t="n"/>
      <c r="R740" s="614" t="n"/>
      <c r="S740" s="614" t="n"/>
      <c r="T740" s="614" t="n"/>
    </row>
    <row r="741">
      <c r="A741" s="610" t="n"/>
      <c r="B741" s="610" t="n"/>
      <c r="C741" s="610" t="n"/>
      <c r="D741" s="978" t="n"/>
      <c r="E741" s="610" t="n"/>
      <c r="F741" s="610" t="n"/>
      <c r="G741" s="610" t="n"/>
      <c r="H741" s="610" t="n"/>
      <c r="I741" s="610" t="n"/>
      <c r="J741" s="978" t="n"/>
      <c r="K741" s="615" t="n"/>
      <c r="L741" s="613" t="n"/>
      <c r="M741" s="614" t="n"/>
      <c r="N741" s="614" t="n"/>
      <c r="O741" s="614" t="n"/>
      <c r="P741" s="614" t="n"/>
      <c r="Q741" s="614" t="n"/>
      <c r="R741" s="614" t="n"/>
      <c r="S741" s="614" t="n"/>
      <c r="T741" s="614" t="n"/>
    </row>
    <row r="742">
      <c r="A742" s="610" t="n"/>
      <c r="B742" s="610" t="n"/>
      <c r="C742" s="610" t="n"/>
      <c r="D742" s="978" t="n"/>
      <c r="E742" s="610" t="n"/>
      <c r="F742" s="610" t="n"/>
      <c r="G742" s="610" t="n"/>
      <c r="H742" s="610" t="n"/>
      <c r="I742" s="610" t="n"/>
      <c r="J742" s="978" t="n"/>
      <c r="K742" s="615" t="n"/>
      <c r="L742" s="613" t="n"/>
      <c r="M742" s="614" t="n"/>
      <c r="N742" s="614" t="n"/>
      <c r="O742" s="614" t="n"/>
      <c r="P742" s="614" t="n"/>
      <c r="Q742" s="614" t="n"/>
      <c r="R742" s="614" t="n"/>
      <c r="S742" s="614" t="n"/>
      <c r="T742" s="614" t="n"/>
    </row>
    <row r="743">
      <c r="A743" s="610" t="n"/>
      <c r="B743" s="610" t="n"/>
      <c r="C743" s="610" t="n"/>
      <c r="D743" s="978" t="n"/>
      <c r="E743" s="610" t="n"/>
      <c r="F743" s="610" t="n"/>
      <c r="G743" s="610" t="n"/>
      <c r="H743" s="610" t="n"/>
      <c r="I743" s="610" t="n"/>
      <c r="J743" s="978" t="n"/>
      <c r="K743" s="615" t="n"/>
      <c r="L743" s="613" t="n"/>
      <c r="M743" s="614" t="n"/>
      <c r="N743" s="614" t="n"/>
      <c r="O743" s="614" t="n"/>
      <c r="P743" s="614" t="n"/>
      <c r="Q743" s="614" t="n"/>
      <c r="R743" s="614" t="n"/>
      <c r="S743" s="614" t="n"/>
      <c r="T743" s="614" t="n"/>
    </row>
    <row r="744">
      <c r="A744" s="610" t="n"/>
      <c r="B744" s="610" t="n"/>
      <c r="C744" s="610" t="n"/>
      <c r="D744" s="978" t="n"/>
      <c r="E744" s="610" t="n"/>
      <c r="F744" s="610" t="n"/>
      <c r="G744" s="610" t="n"/>
      <c r="H744" s="610" t="n"/>
      <c r="I744" s="610" t="n"/>
      <c r="J744" s="978" t="n"/>
      <c r="K744" s="615" t="n"/>
      <c r="L744" s="613" t="n"/>
      <c r="M744" s="614" t="n"/>
      <c r="N744" s="614" t="n"/>
      <c r="O744" s="614" t="n"/>
      <c r="P744" s="614" t="n"/>
      <c r="Q744" s="614" t="n"/>
      <c r="R744" s="614" t="n"/>
      <c r="S744" s="614" t="n"/>
      <c r="T744" s="614" t="n"/>
    </row>
    <row r="745">
      <c r="A745" s="610" t="n"/>
      <c r="B745" s="610" t="n"/>
      <c r="C745" s="610" t="n"/>
      <c r="D745" s="978" t="n"/>
      <c r="E745" s="610" t="n"/>
      <c r="F745" s="610" t="n"/>
      <c r="G745" s="610" t="n"/>
      <c r="H745" s="610" t="n"/>
      <c r="I745" s="610" t="n"/>
      <c r="J745" s="978" t="n"/>
      <c r="K745" s="615" t="n"/>
      <c r="L745" s="613" t="n"/>
      <c r="M745" s="614" t="n"/>
      <c r="N745" s="614" t="n"/>
      <c r="O745" s="614" t="n"/>
      <c r="P745" s="614" t="n"/>
      <c r="Q745" s="614" t="n"/>
      <c r="R745" s="614" t="n"/>
      <c r="S745" s="614" t="n"/>
      <c r="T745" s="614" t="n"/>
    </row>
    <row r="746">
      <c r="A746" s="610" t="n"/>
      <c r="B746" s="610" t="n"/>
      <c r="C746" s="610" t="n"/>
      <c r="D746" s="978" t="n"/>
      <c r="E746" s="610" t="n"/>
      <c r="F746" s="610" t="n"/>
      <c r="G746" s="610" t="n"/>
      <c r="H746" s="610" t="n"/>
      <c r="I746" s="610" t="n"/>
      <c r="J746" s="978" t="n"/>
      <c r="K746" s="615" t="n"/>
      <c r="L746" s="613" t="n"/>
      <c r="M746" s="614" t="n"/>
      <c r="N746" s="614" t="n"/>
      <c r="O746" s="614" t="n"/>
      <c r="P746" s="614" t="n"/>
      <c r="Q746" s="614" t="n"/>
      <c r="R746" s="614" t="n"/>
      <c r="S746" s="614" t="n"/>
      <c r="T746" s="614" t="n"/>
    </row>
    <row r="747">
      <c r="A747" s="610" t="n"/>
      <c r="B747" s="610" t="n"/>
      <c r="C747" s="610" t="n"/>
      <c r="D747" s="978" t="n"/>
      <c r="E747" s="610" t="n"/>
      <c r="F747" s="610" t="n"/>
      <c r="G747" s="610" t="n"/>
      <c r="H747" s="610" t="n"/>
      <c r="I747" s="610" t="n"/>
      <c r="J747" s="978" t="n"/>
      <c r="K747" s="615" t="n"/>
      <c r="L747" s="613" t="n"/>
      <c r="M747" s="614" t="n"/>
      <c r="N747" s="614" t="n"/>
      <c r="O747" s="614" t="n"/>
      <c r="P747" s="614" t="n"/>
      <c r="Q747" s="614" t="n"/>
      <c r="R747" s="614" t="n"/>
      <c r="S747" s="614" t="n"/>
      <c r="T747" s="614" t="n"/>
    </row>
    <row r="748">
      <c r="A748" s="610" t="n"/>
      <c r="B748" s="610" t="n"/>
      <c r="C748" s="610" t="n"/>
      <c r="D748" s="978" t="n"/>
      <c r="E748" s="610" t="n"/>
      <c r="F748" s="610" t="n"/>
      <c r="G748" s="610" t="n"/>
      <c r="H748" s="610" t="n"/>
      <c r="I748" s="610" t="n"/>
      <c r="J748" s="978" t="n"/>
      <c r="K748" s="615" t="n"/>
      <c r="L748" s="613" t="n"/>
      <c r="M748" s="614" t="n"/>
      <c r="N748" s="614" t="n"/>
      <c r="O748" s="614" t="n"/>
      <c r="P748" s="614" t="n"/>
      <c r="Q748" s="614" t="n"/>
      <c r="R748" s="614" t="n"/>
      <c r="S748" s="614" t="n"/>
      <c r="T748" s="614" t="n"/>
    </row>
    <row r="749">
      <c r="A749" s="610" t="n"/>
      <c r="B749" s="610" t="n"/>
      <c r="C749" s="610" t="n"/>
      <c r="D749" s="978" t="n"/>
      <c r="E749" s="610" t="n"/>
      <c r="F749" s="610" t="n"/>
      <c r="G749" s="610" t="n"/>
      <c r="H749" s="610" t="n"/>
      <c r="I749" s="610" t="n"/>
      <c r="J749" s="978" t="n"/>
      <c r="K749" s="615" t="n"/>
      <c r="L749" s="613" t="n"/>
      <c r="M749" s="614" t="n"/>
      <c r="N749" s="614" t="n"/>
      <c r="O749" s="614" t="n"/>
      <c r="P749" s="614" t="n"/>
      <c r="Q749" s="614" t="n"/>
      <c r="R749" s="614" t="n"/>
      <c r="S749" s="614" t="n"/>
      <c r="T749" s="614" t="n"/>
    </row>
    <row r="750">
      <c r="A750" s="610" t="n"/>
      <c r="B750" s="610" t="n"/>
      <c r="C750" s="610" t="n"/>
      <c r="D750" s="978" t="n"/>
      <c r="E750" s="610" t="n"/>
      <c r="F750" s="610" t="n"/>
      <c r="G750" s="610" t="n"/>
      <c r="H750" s="610" t="n"/>
      <c r="I750" s="610" t="n"/>
      <c r="J750" s="978" t="n"/>
      <c r="K750" s="615" t="n"/>
      <c r="L750" s="613" t="n"/>
      <c r="M750" s="614" t="n"/>
      <c r="N750" s="614" t="n"/>
      <c r="O750" s="614" t="n"/>
      <c r="P750" s="614" t="n"/>
      <c r="Q750" s="614" t="n"/>
      <c r="R750" s="614" t="n"/>
      <c r="S750" s="614" t="n"/>
      <c r="T750" s="614" t="n"/>
    </row>
    <row r="751">
      <c r="A751" s="610" t="n"/>
      <c r="B751" s="610" t="n"/>
      <c r="C751" s="610" t="n"/>
      <c r="D751" s="978" t="n"/>
      <c r="E751" s="610" t="n"/>
      <c r="F751" s="610" t="n"/>
      <c r="G751" s="610" t="n"/>
      <c r="H751" s="610" t="n"/>
      <c r="I751" s="610" t="n"/>
      <c r="J751" s="978" t="n"/>
      <c r="K751" s="615" t="n"/>
      <c r="L751" s="613" t="n"/>
      <c r="M751" s="614" t="n"/>
      <c r="N751" s="614" t="n"/>
      <c r="O751" s="614" t="n"/>
      <c r="P751" s="614" t="n"/>
      <c r="Q751" s="614" t="n"/>
      <c r="R751" s="614" t="n"/>
      <c r="S751" s="614" t="n"/>
      <c r="T751" s="614" t="n"/>
    </row>
    <row r="752">
      <c r="A752" s="610" t="n"/>
      <c r="B752" s="610" t="n"/>
      <c r="C752" s="610" t="n"/>
      <c r="D752" s="978" t="n"/>
      <c r="E752" s="610" t="n"/>
      <c r="F752" s="610" t="n"/>
      <c r="G752" s="610" t="n"/>
      <c r="H752" s="610" t="n"/>
      <c r="I752" s="610" t="n"/>
      <c r="J752" s="978" t="n"/>
      <c r="K752" s="615" t="n"/>
      <c r="L752" s="613" t="n"/>
      <c r="M752" s="614" t="n"/>
      <c r="N752" s="614" t="n"/>
      <c r="O752" s="614" t="n"/>
      <c r="P752" s="614" t="n"/>
      <c r="Q752" s="614" t="n"/>
      <c r="R752" s="614" t="n"/>
      <c r="S752" s="614" t="n"/>
      <c r="T752" s="614" t="n"/>
    </row>
    <row r="753">
      <c r="A753" s="610" t="n"/>
      <c r="B753" s="610" t="n"/>
      <c r="C753" s="610" t="n"/>
      <c r="D753" s="978" t="n"/>
      <c r="E753" s="610" t="n"/>
      <c r="F753" s="610" t="n"/>
      <c r="G753" s="610" t="n"/>
      <c r="H753" s="610" t="n"/>
      <c r="I753" s="610" t="n"/>
      <c r="J753" s="978" t="n"/>
      <c r="K753" s="615" t="n"/>
      <c r="L753" s="613" t="n"/>
      <c r="M753" s="614" t="n"/>
      <c r="N753" s="614" t="n"/>
      <c r="O753" s="614" t="n"/>
      <c r="P753" s="614" t="n"/>
      <c r="Q753" s="614" t="n"/>
      <c r="R753" s="614" t="n"/>
      <c r="S753" s="614" t="n"/>
      <c r="T753" s="614" t="n"/>
    </row>
    <row r="754">
      <c r="A754" s="610" t="n"/>
      <c r="B754" s="610" t="n"/>
      <c r="C754" s="610" t="n"/>
      <c r="D754" s="978" t="n"/>
      <c r="E754" s="610" t="n"/>
      <c r="F754" s="610" t="n"/>
      <c r="G754" s="610" t="n"/>
      <c r="H754" s="610" t="n"/>
      <c r="I754" s="610" t="n"/>
      <c r="J754" s="978" t="n"/>
      <c r="K754" s="615" t="n"/>
      <c r="L754" s="613" t="n"/>
      <c r="M754" s="614" t="n"/>
      <c r="N754" s="614" t="n"/>
      <c r="O754" s="614" t="n"/>
      <c r="P754" s="614" t="n"/>
      <c r="Q754" s="614" t="n"/>
      <c r="R754" s="614" t="n"/>
      <c r="S754" s="614" t="n"/>
      <c r="T754" s="614" t="n"/>
    </row>
    <row r="755">
      <c r="A755" s="610" t="n"/>
      <c r="B755" s="610" t="n"/>
      <c r="C755" s="610" t="n"/>
      <c r="D755" s="978" t="n"/>
      <c r="E755" s="610" t="n"/>
      <c r="F755" s="610" t="n"/>
      <c r="G755" s="610" t="n"/>
      <c r="H755" s="610" t="n"/>
      <c r="I755" s="610" t="n"/>
      <c r="J755" s="978" t="n"/>
      <c r="K755" s="615" t="n"/>
      <c r="L755" s="613" t="n"/>
      <c r="M755" s="614" t="n"/>
      <c r="N755" s="614" t="n"/>
      <c r="O755" s="614" t="n"/>
      <c r="P755" s="614" t="n"/>
      <c r="Q755" s="614" t="n"/>
      <c r="R755" s="614" t="n"/>
      <c r="S755" s="614" t="n"/>
      <c r="T755" s="614" t="n"/>
    </row>
    <row r="756">
      <c r="A756" s="610" t="n"/>
      <c r="B756" s="610" t="n"/>
      <c r="C756" s="610" t="n"/>
      <c r="D756" s="978" t="n"/>
      <c r="E756" s="610" t="n"/>
      <c r="F756" s="610" t="n"/>
      <c r="G756" s="610" t="n"/>
      <c r="H756" s="610" t="n"/>
      <c r="I756" s="610" t="n"/>
      <c r="J756" s="978" t="n"/>
      <c r="K756" s="615" t="n"/>
      <c r="L756" s="613" t="n"/>
      <c r="M756" s="614" t="n"/>
      <c r="N756" s="614" t="n"/>
      <c r="O756" s="614" t="n"/>
      <c r="P756" s="614" t="n"/>
      <c r="Q756" s="614" t="n"/>
      <c r="R756" s="614" t="n"/>
      <c r="S756" s="614" t="n"/>
      <c r="T756" s="614" t="n"/>
    </row>
    <row r="757">
      <c r="A757" s="610" t="n"/>
      <c r="B757" s="610" t="n"/>
      <c r="C757" s="610" t="n"/>
      <c r="D757" s="978" t="n"/>
      <c r="E757" s="610" t="n"/>
      <c r="F757" s="610" t="n"/>
      <c r="G757" s="610" t="n"/>
      <c r="H757" s="610" t="n"/>
      <c r="I757" s="610" t="n"/>
      <c r="J757" s="978" t="n"/>
      <c r="K757" s="615" t="n"/>
      <c r="L757" s="613" t="n"/>
      <c r="M757" s="614" t="n"/>
      <c r="N757" s="614" t="n"/>
      <c r="O757" s="614" t="n"/>
      <c r="P757" s="614" t="n"/>
      <c r="Q757" s="614" t="n"/>
      <c r="R757" s="614" t="n"/>
      <c r="S757" s="614" t="n"/>
      <c r="T757" s="614" t="n"/>
    </row>
    <row r="758">
      <c r="A758" s="610" t="n"/>
      <c r="B758" s="610" t="n"/>
      <c r="C758" s="610" t="n"/>
      <c r="D758" s="978" t="n"/>
      <c r="E758" s="610" t="n"/>
      <c r="F758" s="610" t="n"/>
      <c r="G758" s="610" t="n"/>
      <c r="H758" s="610" t="n"/>
      <c r="I758" s="610" t="n"/>
      <c r="J758" s="978" t="n"/>
      <c r="K758" s="615" t="n"/>
      <c r="L758" s="613" t="n"/>
      <c r="M758" s="614" t="n"/>
      <c r="N758" s="614" t="n"/>
      <c r="O758" s="614" t="n"/>
      <c r="P758" s="614" t="n"/>
      <c r="Q758" s="614" t="n"/>
      <c r="R758" s="614" t="n"/>
      <c r="S758" s="614" t="n"/>
      <c r="T758" s="614" t="n"/>
    </row>
    <row r="759">
      <c r="A759" s="610" t="n"/>
      <c r="B759" s="610" t="n"/>
      <c r="C759" s="610" t="n"/>
      <c r="D759" s="978" t="n"/>
      <c r="E759" s="610" t="n"/>
      <c r="F759" s="610" t="n"/>
      <c r="G759" s="610" t="n"/>
      <c r="H759" s="610" t="n"/>
      <c r="I759" s="610" t="n"/>
      <c r="J759" s="978" t="n"/>
      <c r="K759" s="615" t="n"/>
      <c r="L759" s="613" t="n"/>
      <c r="M759" s="614" t="n"/>
      <c r="N759" s="614" t="n"/>
      <c r="O759" s="614" t="n"/>
      <c r="P759" s="614" t="n"/>
      <c r="Q759" s="614" t="n"/>
      <c r="R759" s="614" t="n"/>
      <c r="S759" s="614" t="n"/>
      <c r="T759" s="614" t="n"/>
    </row>
    <row r="760">
      <c r="A760" s="610" t="n"/>
      <c r="B760" s="610" t="n"/>
      <c r="C760" s="610" t="n"/>
      <c r="D760" s="978" t="n"/>
      <c r="E760" s="610" t="n"/>
      <c r="F760" s="610" t="n"/>
      <c r="G760" s="610" t="n"/>
      <c r="H760" s="610" t="n"/>
      <c r="I760" s="610" t="n"/>
      <c r="J760" s="978" t="n"/>
      <c r="K760" s="615" t="n"/>
      <c r="L760" s="613" t="n"/>
      <c r="M760" s="614" t="n"/>
      <c r="N760" s="614" t="n"/>
      <c r="O760" s="614" t="n"/>
      <c r="P760" s="614" t="n"/>
      <c r="Q760" s="614" t="n"/>
      <c r="R760" s="614" t="n"/>
      <c r="S760" s="614" t="n"/>
      <c r="T760" s="614" t="n"/>
    </row>
    <row r="761">
      <c r="A761" s="610" t="n"/>
      <c r="B761" s="610" t="n"/>
      <c r="C761" s="610" t="n"/>
      <c r="D761" s="978" t="n"/>
      <c r="E761" s="610" t="n"/>
      <c r="F761" s="610" t="n"/>
      <c r="G761" s="610" t="n"/>
      <c r="H761" s="610" t="n"/>
      <c r="I761" s="610" t="n"/>
      <c r="J761" s="978" t="n"/>
      <c r="K761" s="615" t="n"/>
      <c r="L761" s="613" t="n"/>
      <c r="M761" s="614" t="n"/>
      <c r="N761" s="614" t="n"/>
      <c r="O761" s="614" t="n"/>
      <c r="P761" s="614" t="n"/>
      <c r="Q761" s="614" t="n"/>
      <c r="R761" s="614" t="n"/>
      <c r="S761" s="614" t="n"/>
      <c r="T761" s="614" t="n"/>
    </row>
    <row r="762">
      <c r="A762" s="610" t="n"/>
      <c r="B762" s="610" t="n"/>
      <c r="C762" s="610" t="n"/>
      <c r="D762" s="978" t="n"/>
      <c r="E762" s="610" t="n"/>
      <c r="F762" s="610" t="n"/>
      <c r="G762" s="610" t="n"/>
      <c r="H762" s="610" t="n"/>
      <c r="I762" s="610" t="n"/>
      <c r="J762" s="978" t="n"/>
      <c r="K762" s="615" t="n"/>
      <c r="L762" s="613" t="n"/>
      <c r="M762" s="614" t="n"/>
      <c r="N762" s="614" t="n"/>
      <c r="O762" s="614" t="n"/>
      <c r="P762" s="614" t="n"/>
      <c r="Q762" s="614" t="n"/>
      <c r="R762" s="614" t="n"/>
      <c r="S762" s="614" t="n"/>
      <c r="T762" s="614" t="n"/>
    </row>
    <row r="763">
      <c r="A763" s="610" t="n"/>
      <c r="B763" s="610" t="n"/>
      <c r="C763" s="610" t="n"/>
      <c r="D763" s="978" t="n"/>
      <c r="E763" s="610" t="n"/>
      <c r="F763" s="610" t="n"/>
      <c r="G763" s="610" t="n"/>
      <c r="H763" s="610" t="n"/>
      <c r="I763" s="610" t="n"/>
      <c r="J763" s="978" t="n"/>
      <c r="K763" s="615" t="n"/>
      <c r="L763" s="613" t="n"/>
      <c r="M763" s="614" t="n"/>
      <c r="N763" s="614" t="n"/>
      <c r="O763" s="614" t="n"/>
      <c r="P763" s="614" t="n"/>
      <c r="Q763" s="614" t="n"/>
      <c r="R763" s="614" t="n"/>
      <c r="S763" s="614" t="n"/>
      <c r="T763" s="614" t="n"/>
    </row>
    <row r="764">
      <c r="A764" s="610" t="n"/>
      <c r="B764" s="610" t="n"/>
      <c r="C764" s="610" t="n"/>
      <c r="D764" s="978" t="n"/>
      <c r="E764" s="610" t="n"/>
      <c r="F764" s="610" t="n"/>
      <c r="G764" s="610" t="n"/>
      <c r="H764" s="610" t="n"/>
      <c r="I764" s="610" t="n"/>
      <c r="J764" s="978" t="n"/>
      <c r="K764" s="615" t="n"/>
      <c r="L764" s="613" t="n"/>
      <c r="M764" s="614" t="n"/>
      <c r="N764" s="614" t="n"/>
      <c r="O764" s="614" t="n"/>
      <c r="P764" s="614" t="n"/>
      <c r="Q764" s="614" t="n"/>
      <c r="R764" s="614" t="n"/>
      <c r="S764" s="614" t="n"/>
      <c r="T764" s="614" t="n"/>
    </row>
    <row r="765">
      <c r="A765" s="610" t="n"/>
      <c r="B765" s="610" t="n"/>
      <c r="C765" s="610" t="n"/>
      <c r="D765" s="978" t="n"/>
      <c r="E765" s="610" t="n"/>
      <c r="F765" s="610" t="n"/>
      <c r="G765" s="610" t="n"/>
      <c r="H765" s="610" t="n"/>
      <c r="I765" s="610" t="n"/>
      <c r="J765" s="978" t="n"/>
      <c r="K765" s="615" t="n"/>
      <c r="L765" s="613" t="n"/>
      <c r="M765" s="614" t="n"/>
      <c r="N765" s="614" t="n"/>
      <c r="O765" s="614" t="n"/>
      <c r="P765" s="614" t="n"/>
      <c r="Q765" s="614" t="n"/>
      <c r="R765" s="614" t="n"/>
      <c r="S765" s="614" t="n"/>
      <c r="T765" s="614" t="n"/>
    </row>
    <row r="766">
      <c r="A766" s="610" t="n"/>
      <c r="B766" s="610" t="n"/>
      <c r="C766" s="610" t="n"/>
      <c r="D766" s="978" t="n"/>
      <c r="E766" s="610" t="n"/>
      <c r="F766" s="610" t="n"/>
      <c r="G766" s="610" t="n"/>
      <c r="H766" s="610" t="n"/>
      <c r="I766" s="610" t="n"/>
      <c r="J766" s="978" t="n"/>
      <c r="K766" s="615" t="n"/>
      <c r="L766" s="613" t="n"/>
      <c r="M766" s="614" t="n"/>
      <c r="N766" s="614" t="n"/>
      <c r="O766" s="614" t="n"/>
      <c r="P766" s="614" t="n"/>
      <c r="Q766" s="614" t="n"/>
      <c r="R766" s="614" t="n"/>
      <c r="S766" s="614" t="n"/>
      <c r="T766" s="614" t="n"/>
    </row>
    <row r="767">
      <c r="A767" s="610" t="n"/>
      <c r="B767" s="610" t="n"/>
      <c r="C767" s="610" t="n"/>
      <c r="D767" s="978" t="n"/>
      <c r="E767" s="610" t="n"/>
      <c r="F767" s="610" t="n"/>
      <c r="G767" s="610" t="n"/>
      <c r="H767" s="610" t="n"/>
      <c r="I767" s="610" t="n"/>
      <c r="J767" s="978" t="n"/>
      <c r="K767" s="615" t="n"/>
      <c r="L767" s="613" t="n"/>
      <c r="M767" s="614" t="n"/>
      <c r="N767" s="614" t="n"/>
      <c r="O767" s="614" t="n"/>
      <c r="P767" s="614" t="n"/>
      <c r="Q767" s="614" t="n"/>
      <c r="R767" s="614" t="n"/>
      <c r="S767" s="614" t="n"/>
      <c r="T767" s="614" t="n"/>
    </row>
    <row r="768">
      <c r="A768" s="610" t="n"/>
      <c r="B768" s="610" t="n"/>
      <c r="C768" s="610" t="n"/>
      <c r="D768" s="978" t="n"/>
      <c r="E768" s="610" t="n"/>
      <c r="F768" s="610" t="n"/>
      <c r="G768" s="610" t="n"/>
      <c r="H768" s="610" t="n"/>
      <c r="I768" s="610" t="n"/>
      <c r="J768" s="978" t="n"/>
      <c r="K768" s="615" t="n"/>
      <c r="L768" s="613" t="n"/>
      <c r="M768" s="614" t="n"/>
      <c r="N768" s="614" t="n"/>
      <c r="O768" s="614" t="n"/>
      <c r="P768" s="614" t="n"/>
      <c r="Q768" s="614" t="n"/>
      <c r="R768" s="614" t="n"/>
      <c r="S768" s="614" t="n"/>
      <c r="T768" s="614" t="n"/>
    </row>
    <row r="769">
      <c r="A769" s="610" t="n"/>
      <c r="B769" s="610" t="n"/>
      <c r="C769" s="610" t="n"/>
      <c r="D769" s="978" t="n"/>
      <c r="E769" s="610" t="n"/>
      <c r="F769" s="610" t="n"/>
      <c r="G769" s="610" t="n"/>
      <c r="H769" s="610" t="n"/>
      <c r="I769" s="610" t="n"/>
      <c r="J769" s="978" t="n"/>
      <c r="K769" s="615" t="n"/>
      <c r="L769" s="613" t="n"/>
      <c r="M769" s="614" t="n"/>
      <c r="N769" s="614" t="n"/>
      <c r="O769" s="614" t="n"/>
      <c r="P769" s="614" t="n"/>
      <c r="Q769" s="614" t="n"/>
      <c r="R769" s="614" t="n"/>
      <c r="S769" s="614" t="n"/>
      <c r="T769" s="614" t="n"/>
    </row>
    <row r="770">
      <c r="A770" s="610" t="n"/>
      <c r="B770" s="610" t="n"/>
      <c r="C770" s="610" t="n"/>
      <c r="D770" s="978" t="n"/>
      <c r="E770" s="610" t="n"/>
      <c r="F770" s="610" t="n"/>
      <c r="G770" s="610" t="n"/>
      <c r="H770" s="610" t="n"/>
      <c r="I770" s="610" t="n"/>
      <c r="J770" s="978" t="n"/>
      <c r="K770" s="615" t="n"/>
      <c r="L770" s="613" t="n"/>
      <c r="M770" s="614" t="n"/>
      <c r="N770" s="614" t="n"/>
      <c r="O770" s="614" t="n"/>
      <c r="P770" s="614" t="n"/>
      <c r="Q770" s="614" t="n"/>
      <c r="R770" s="614" t="n"/>
      <c r="S770" s="614" t="n"/>
      <c r="T770" s="614" t="n"/>
    </row>
    <row r="771">
      <c r="A771" s="610" t="n"/>
      <c r="B771" s="610" t="n"/>
      <c r="C771" s="610" t="n"/>
      <c r="D771" s="978" t="n"/>
      <c r="E771" s="610" t="n"/>
      <c r="F771" s="610" t="n"/>
      <c r="G771" s="610" t="n"/>
      <c r="H771" s="610" t="n"/>
      <c r="I771" s="610" t="n"/>
      <c r="J771" s="978" t="n"/>
      <c r="K771" s="615" t="n"/>
      <c r="L771" s="613" t="n"/>
      <c r="M771" s="614" t="n"/>
      <c r="N771" s="614" t="n"/>
      <c r="O771" s="614" t="n"/>
      <c r="P771" s="614" t="n"/>
      <c r="Q771" s="614" t="n"/>
      <c r="R771" s="614" t="n"/>
      <c r="S771" s="614" t="n"/>
      <c r="T771" s="614" t="n"/>
    </row>
    <row r="772">
      <c r="A772" s="610" t="n"/>
      <c r="B772" s="610" t="n"/>
      <c r="C772" s="610" t="n"/>
      <c r="D772" s="978" t="n"/>
      <c r="E772" s="610" t="n"/>
      <c r="F772" s="610" t="n"/>
      <c r="G772" s="610" t="n"/>
      <c r="H772" s="610" t="n"/>
      <c r="I772" s="610" t="n"/>
      <c r="J772" s="978" t="n"/>
      <c r="K772" s="615" t="n"/>
      <c r="L772" s="613" t="n"/>
      <c r="M772" s="614" t="n"/>
      <c r="N772" s="614" t="n"/>
      <c r="O772" s="614" t="n"/>
      <c r="P772" s="614" t="n"/>
      <c r="Q772" s="614" t="n"/>
      <c r="R772" s="614" t="n"/>
      <c r="S772" s="614" t="n"/>
      <c r="T772" s="614" t="n"/>
    </row>
    <row r="773">
      <c r="A773" s="610" t="n"/>
      <c r="B773" s="610" t="n"/>
      <c r="C773" s="610" t="n"/>
      <c r="D773" s="978" t="n"/>
      <c r="E773" s="610" t="n"/>
      <c r="F773" s="610" t="n"/>
      <c r="G773" s="610" t="n"/>
      <c r="H773" s="610" t="n"/>
      <c r="I773" s="610" t="n"/>
      <c r="J773" s="978" t="n"/>
      <c r="K773" s="615" t="n"/>
      <c r="L773" s="613" t="n"/>
      <c r="M773" s="614" t="n"/>
      <c r="N773" s="614" t="n"/>
      <c r="O773" s="614" t="n"/>
      <c r="P773" s="614" t="n"/>
      <c r="Q773" s="614" t="n"/>
      <c r="R773" s="614" t="n"/>
      <c r="S773" s="614" t="n"/>
      <c r="T773" s="614" t="n"/>
    </row>
    <row r="774">
      <c r="A774" s="610" t="n"/>
      <c r="B774" s="610" t="n"/>
      <c r="C774" s="610" t="n"/>
      <c r="D774" s="978" t="n"/>
      <c r="E774" s="610" t="n"/>
      <c r="F774" s="610" t="n"/>
      <c r="G774" s="610" t="n"/>
      <c r="H774" s="610" t="n"/>
      <c r="I774" s="610" t="n"/>
      <c r="J774" s="978" t="n"/>
      <c r="K774" s="615" t="n"/>
      <c r="L774" s="613" t="n"/>
      <c r="M774" s="614" t="n"/>
      <c r="N774" s="614" t="n"/>
      <c r="O774" s="614" t="n"/>
      <c r="P774" s="614" t="n"/>
      <c r="Q774" s="614" t="n"/>
      <c r="R774" s="614" t="n"/>
      <c r="S774" s="614" t="n"/>
      <c r="T774" s="614" t="n"/>
    </row>
    <row r="775">
      <c r="A775" s="610" t="n"/>
      <c r="B775" s="610" t="n"/>
      <c r="C775" s="610" t="n"/>
      <c r="D775" s="978" t="n"/>
      <c r="E775" s="610" t="n"/>
      <c r="F775" s="610" t="n"/>
      <c r="G775" s="610" t="n"/>
      <c r="H775" s="610" t="n"/>
      <c r="I775" s="610" t="n"/>
      <c r="J775" s="978" t="n"/>
      <c r="K775" s="615" t="n"/>
      <c r="L775" s="613" t="n"/>
      <c r="M775" s="614" t="n"/>
      <c r="N775" s="614" t="n"/>
      <c r="O775" s="614" t="n"/>
      <c r="P775" s="614" t="n"/>
      <c r="Q775" s="614" t="n"/>
      <c r="R775" s="614" t="n"/>
      <c r="S775" s="614" t="n"/>
      <c r="T775" s="614" t="n"/>
    </row>
    <row r="776">
      <c r="A776" s="610" t="n"/>
      <c r="B776" s="610" t="n"/>
      <c r="C776" s="610" t="n"/>
      <c r="D776" s="978" t="n"/>
      <c r="E776" s="610" t="n"/>
      <c r="F776" s="610" t="n"/>
      <c r="G776" s="610" t="n"/>
      <c r="H776" s="610" t="n"/>
      <c r="I776" s="610" t="n"/>
      <c r="J776" s="978" t="n"/>
      <c r="K776" s="615" t="n"/>
      <c r="L776" s="613" t="n"/>
      <c r="M776" s="614" t="n"/>
      <c r="N776" s="614" t="n"/>
      <c r="O776" s="614" t="n"/>
      <c r="P776" s="614" t="n"/>
      <c r="Q776" s="614" t="n"/>
      <c r="R776" s="614" t="n"/>
      <c r="S776" s="614" t="n"/>
      <c r="T776" s="614" t="n"/>
    </row>
    <row r="777">
      <c r="A777" s="610" t="n"/>
      <c r="B777" s="610" t="n"/>
      <c r="C777" s="610" t="n"/>
      <c r="D777" s="978" t="n"/>
      <c r="E777" s="610" t="n"/>
      <c r="F777" s="610" t="n"/>
      <c r="G777" s="610" t="n"/>
      <c r="H777" s="610" t="n"/>
      <c r="I777" s="610" t="n"/>
      <c r="J777" s="978" t="n"/>
      <c r="K777" s="615" t="n"/>
      <c r="L777" s="613" t="n"/>
      <c r="M777" s="614" t="n"/>
      <c r="N777" s="614" t="n"/>
      <c r="O777" s="614" t="n"/>
      <c r="P777" s="614" t="n"/>
      <c r="Q777" s="614" t="n"/>
      <c r="R777" s="614" t="n"/>
      <c r="S777" s="614" t="n"/>
      <c r="T777" s="614" t="n"/>
    </row>
    <row r="778">
      <c r="A778" s="610" t="n"/>
      <c r="B778" s="610" t="n"/>
      <c r="C778" s="610" t="n"/>
      <c r="D778" s="978" t="n"/>
      <c r="E778" s="610" t="n"/>
      <c r="F778" s="610" t="n"/>
      <c r="G778" s="610" t="n"/>
      <c r="H778" s="610" t="n"/>
      <c r="I778" s="610" t="n"/>
      <c r="J778" s="978" t="n"/>
      <c r="K778" s="615" t="n"/>
      <c r="L778" s="613" t="n"/>
      <c r="M778" s="614" t="n"/>
      <c r="N778" s="614" t="n"/>
      <c r="O778" s="614" t="n"/>
      <c r="P778" s="614" t="n"/>
      <c r="Q778" s="614" t="n"/>
      <c r="R778" s="614" t="n"/>
      <c r="S778" s="614" t="n"/>
      <c r="T778" s="614" t="n"/>
    </row>
    <row r="779">
      <c r="A779" s="610" t="n"/>
      <c r="B779" s="610" t="n"/>
      <c r="C779" s="610" t="n"/>
      <c r="D779" s="978" t="n"/>
      <c r="E779" s="610" t="n"/>
      <c r="F779" s="610" t="n"/>
      <c r="G779" s="610" t="n"/>
      <c r="H779" s="610" t="n"/>
      <c r="I779" s="610" t="n"/>
      <c r="J779" s="978" t="n"/>
      <c r="K779" s="615" t="n"/>
      <c r="L779" s="613" t="n"/>
      <c r="M779" s="614" t="n"/>
      <c r="N779" s="614" t="n"/>
      <c r="O779" s="614" t="n"/>
      <c r="P779" s="614" t="n"/>
      <c r="Q779" s="614" t="n"/>
      <c r="R779" s="614" t="n"/>
      <c r="S779" s="614" t="n"/>
      <c r="T779" s="614" t="n"/>
    </row>
    <row r="780">
      <c r="A780" s="610" t="n"/>
      <c r="B780" s="610" t="n"/>
      <c r="C780" s="610" t="n"/>
      <c r="D780" s="978" t="n"/>
      <c r="E780" s="610" t="n"/>
      <c r="F780" s="610" t="n"/>
      <c r="G780" s="610" t="n"/>
      <c r="H780" s="610" t="n"/>
      <c r="I780" s="610" t="n"/>
      <c r="J780" s="978" t="n"/>
      <c r="K780" s="615" t="n"/>
      <c r="L780" s="613" t="n"/>
      <c r="M780" s="614" t="n"/>
      <c r="N780" s="614" t="n"/>
      <c r="O780" s="614" t="n"/>
      <c r="P780" s="614" t="n"/>
      <c r="Q780" s="614" t="n"/>
      <c r="R780" s="614" t="n"/>
      <c r="S780" s="614" t="n"/>
      <c r="T780" s="614" t="n"/>
    </row>
    <row r="781">
      <c r="A781" s="610" t="n"/>
      <c r="B781" s="610" t="n"/>
      <c r="C781" s="610" t="n"/>
      <c r="D781" s="978" t="n"/>
      <c r="E781" s="610" t="n"/>
      <c r="F781" s="610" t="n"/>
      <c r="G781" s="610" t="n"/>
      <c r="H781" s="610" t="n"/>
      <c r="I781" s="610" t="n"/>
      <c r="J781" s="978" t="n"/>
      <c r="K781" s="615" t="n"/>
      <c r="L781" s="613" t="n"/>
      <c r="M781" s="614" t="n"/>
      <c r="N781" s="614" t="n"/>
      <c r="O781" s="614" t="n"/>
      <c r="P781" s="614" t="n"/>
      <c r="Q781" s="614" t="n"/>
      <c r="R781" s="614" t="n"/>
      <c r="S781" s="614" t="n"/>
      <c r="T781" s="614" t="n"/>
    </row>
    <row r="782">
      <c r="A782" s="610" t="n"/>
      <c r="B782" s="610" t="n"/>
      <c r="C782" s="610" t="n"/>
      <c r="D782" s="978" t="n"/>
      <c r="E782" s="610" t="n"/>
      <c r="F782" s="610" t="n"/>
      <c r="G782" s="610" t="n"/>
      <c r="H782" s="610" t="n"/>
      <c r="I782" s="610" t="n"/>
      <c r="J782" s="978" t="n"/>
      <c r="K782" s="615" t="n"/>
      <c r="L782" s="613" t="n"/>
      <c r="M782" s="614" t="n"/>
      <c r="N782" s="614" t="n"/>
      <c r="O782" s="614" t="n"/>
      <c r="P782" s="614" t="n"/>
      <c r="Q782" s="614" t="n"/>
      <c r="R782" s="614" t="n"/>
      <c r="S782" s="614" t="n"/>
      <c r="T782" s="614" t="n"/>
    </row>
    <row r="783">
      <c r="A783" s="610" t="n"/>
      <c r="B783" s="610" t="n"/>
      <c r="C783" s="610" t="n"/>
      <c r="D783" s="978" t="n"/>
      <c r="E783" s="610" t="n"/>
      <c r="F783" s="610" t="n"/>
      <c r="G783" s="610" t="n"/>
      <c r="H783" s="610" t="n"/>
      <c r="I783" s="610" t="n"/>
      <c r="J783" s="978" t="n"/>
      <c r="K783" s="615" t="n"/>
      <c r="L783" s="613" t="n"/>
      <c r="M783" s="614" t="n"/>
      <c r="N783" s="614" t="n"/>
      <c r="O783" s="614" t="n"/>
      <c r="P783" s="614" t="n"/>
      <c r="Q783" s="614" t="n"/>
      <c r="R783" s="614" t="n"/>
      <c r="S783" s="614" t="n"/>
      <c r="T783" s="614" t="n"/>
    </row>
    <row r="784">
      <c r="A784" s="610" t="n"/>
      <c r="B784" s="610" t="n"/>
      <c r="C784" s="610" t="n"/>
      <c r="D784" s="978" t="n"/>
      <c r="E784" s="610" t="n"/>
      <c r="F784" s="610" t="n"/>
      <c r="G784" s="610" t="n"/>
      <c r="H784" s="610" t="n"/>
      <c r="I784" s="610" t="n"/>
      <c r="J784" s="978" t="n"/>
      <c r="K784" s="615" t="n"/>
      <c r="L784" s="613" t="n"/>
      <c r="M784" s="614" t="n"/>
      <c r="N784" s="614" t="n"/>
      <c r="O784" s="614" t="n"/>
      <c r="P784" s="614" t="n"/>
      <c r="Q784" s="614" t="n"/>
      <c r="R784" s="614" t="n"/>
      <c r="S784" s="614" t="n"/>
      <c r="T784" s="614" t="n"/>
    </row>
    <row r="785">
      <c r="A785" s="610" t="n"/>
      <c r="B785" s="610" t="n"/>
      <c r="C785" s="610" t="n"/>
      <c r="D785" s="978" t="n"/>
      <c r="E785" s="610" t="n"/>
      <c r="F785" s="610" t="n"/>
      <c r="G785" s="610" t="n"/>
      <c r="H785" s="610" t="n"/>
      <c r="I785" s="610" t="n"/>
      <c r="J785" s="978" t="n"/>
      <c r="K785" s="615" t="n"/>
      <c r="L785" s="613" t="n"/>
      <c r="M785" s="614" t="n"/>
      <c r="N785" s="614" t="n"/>
      <c r="O785" s="614" t="n"/>
      <c r="P785" s="614" t="n"/>
      <c r="Q785" s="614" t="n"/>
      <c r="R785" s="614" t="n"/>
      <c r="S785" s="614" t="n"/>
      <c r="T785" s="614" t="n"/>
    </row>
    <row r="786">
      <c r="A786" s="610" t="n"/>
      <c r="B786" s="610" t="n"/>
      <c r="C786" s="610" t="n"/>
      <c r="D786" s="978" t="n"/>
      <c r="E786" s="610" t="n"/>
      <c r="F786" s="610" t="n"/>
      <c r="G786" s="610" t="n"/>
      <c r="H786" s="610" t="n"/>
      <c r="I786" s="610" t="n"/>
      <c r="J786" s="978" t="n"/>
      <c r="K786" s="615" t="n"/>
      <c r="L786" s="613" t="n"/>
      <c r="M786" s="614" t="n"/>
      <c r="N786" s="614" t="n"/>
      <c r="O786" s="614" t="n"/>
      <c r="P786" s="614" t="n"/>
      <c r="Q786" s="614" t="n"/>
      <c r="R786" s="614" t="n"/>
      <c r="S786" s="614" t="n"/>
      <c r="T786" s="614" t="n"/>
    </row>
    <row r="787">
      <c r="A787" s="610" t="n"/>
      <c r="B787" s="610" t="n"/>
      <c r="C787" s="610" t="n"/>
      <c r="D787" s="978" t="n"/>
      <c r="E787" s="610" t="n"/>
      <c r="F787" s="610" t="n"/>
      <c r="G787" s="610" t="n"/>
      <c r="H787" s="610" t="n"/>
      <c r="I787" s="610" t="n"/>
      <c r="J787" s="978" t="n"/>
      <c r="K787" s="615" t="n"/>
      <c r="L787" s="613" t="n"/>
      <c r="M787" s="614" t="n"/>
      <c r="N787" s="614" t="n"/>
      <c r="O787" s="614" t="n"/>
      <c r="P787" s="614" t="n"/>
      <c r="Q787" s="614" t="n"/>
      <c r="R787" s="614" t="n"/>
      <c r="S787" s="614" t="n"/>
      <c r="T787" s="614" t="n"/>
    </row>
    <row r="788">
      <c r="A788" s="610" t="n"/>
      <c r="B788" s="610" t="n"/>
      <c r="C788" s="610" t="n"/>
      <c r="D788" s="978" t="n"/>
      <c r="E788" s="610" t="n"/>
      <c r="F788" s="610" t="n"/>
      <c r="G788" s="610" t="n"/>
      <c r="H788" s="610" t="n"/>
      <c r="I788" s="610" t="n"/>
      <c r="J788" s="978" t="n"/>
      <c r="K788" s="615" t="n"/>
      <c r="L788" s="613" t="n"/>
      <c r="M788" s="614" t="n"/>
      <c r="N788" s="614" t="n"/>
      <c r="O788" s="614" t="n"/>
      <c r="P788" s="614" t="n"/>
      <c r="Q788" s="614" t="n"/>
      <c r="R788" s="614" t="n"/>
      <c r="S788" s="614" t="n"/>
      <c r="T788" s="614" t="n"/>
    </row>
    <row r="789">
      <c r="A789" s="610" t="n"/>
      <c r="B789" s="610" t="n"/>
      <c r="C789" s="610" t="n"/>
      <c r="D789" s="978" t="n"/>
      <c r="E789" s="610" t="n"/>
      <c r="F789" s="610" t="n"/>
      <c r="G789" s="610" t="n"/>
      <c r="H789" s="610" t="n"/>
      <c r="I789" s="610" t="n"/>
      <c r="J789" s="978" t="n"/>
      <c r="K789" s="615" t="n"/>
      <c r="L789" s="613" t="n"/>
      <c r="M789" s="614" t="n"/>
      <c r="N789" s="614" t="n"/>
      <c r="O789" s="614" t="n"/>
      <c r="P789" s="614" t="n"/>
      <c r="Q789" s="614" t="n"/>
      <c r="R789" s="614" t="n"/>
      <c r="S789" s="614" t="n"/>
      <c r="T789" s="614" t="n"/>
    </row>
    <row r="790">
      <c r="A790" s="610" t="n"/>
      <c r="B790" s="610" t="n"/>
      <c r="C790" s="610" t="n"/>
      <c r="D790" s="978" t="n"/>
      <c r="E790" s="610" t="n"/>
      <c r="F790" s="610" t="n"/>
      <c r="G790" s="610" t="n"/>
      <c r="H790" s="610" t="n"/>
      <c r="I790" s="610" t="n"/>
      <c r="J790" s="978" t="n"/>
      <c r="K790" s="615" t="n"/>
      <c r="L790" s="613" t="n"/>
      <c r="M790" s="614" t="n"/>
      <c r="N790" s="614" t="n"/>
      <c r="O790" s="614" t="n"/>
      <c r="P790" s="614" t="n"/>
      <c r="Q790" s="614" t="n"/>
      <c r="R790" s="614" t="n"/>
      <c r="S790" s="614" t="n"/>
      <c r="T790" s="614" t="n"/>
    </row>
    <row r="791">
      <c r="A791" s="610" t="n"/>
      <c r="B791" s="610" t="n"/>
      <c r="C791" s="610" t="n"/>
      <c r="D791" s="978" t="n"/>
      <c r="E791" s="610" t="n"/>
      <c r="F791" s="610" t="n"/>
      <c r="G791" s="610" t="n"/>
      <c r="H791" s="610" t="n"/>
      <c r="I791" s="610" t="n"/>
      <c r="J791" s="978" t="n"/>
      <c r="K791" s="615" t="n"/>
      <c r="L791" s="613" t="n"/>
      <c r="M791" s="614" t="n"/>
      <c r="N791" s="614" t="n"/>
      <c r="O791" s="614" t="n"/>
      <c r="P791" s="614" t="n"/>
      <c r="Q791" s="614" t="n"/>
      <c r="R791" s="614" t="n"/>
      <c r="S791" s="614" t="n"/>
      <c r="T791" s="614" t="n"/>
    </row>
    <row r="792">
      <c r="A792" s="610" t="n"/>
      <c r="B792" s="610" t="n"/>
      <c r="C792" s="610" t="n"/>
      <c r="D792" s="978" t="n"/>
      <c r="E792" s="610" t="n"/>
      <c r="F792" s="610" t="n"/>
      <c r="G792" s="610" t="n"/>
      <c r="H792" s="610" t="n"/>
      <c r="I792" s="610" t="n"/>
      <c r="J792" s="978" t="n"/>
      <c r="K792" s="615" t="n"/>
      <c r="L792" s="613" t="n"/>
      <c r="M792" s="614" t="n"/>
      <c r="N792" s="614" t="n"/>
      <c r="O792" s="614" t="n"/>
      <c r="P792" s="614" t="n"/>
      <c r="Q792" s="614" t="n"/>
      <c r="R792" s="614" t="n"/>
      <c r="S792" s="614" t="n"/>
      <c r="T792" s="614" t="n"/>
    </row>
    <row r="793">
      <c r="A793" s="610" t="n"/>
      <c r="B793" s="610" t="n"/>
      <c r="C793" s="610" t="n"/>
      <c r="D793" s="978" t="n"/>
      <c r="E793" s="610" t="n"/>
      <c r="F793" s="610" t="n"/>
      <c r="G793" s="610" t="n"/>
      <c r="H793" s="610" t="n"/>
      <c r="I793" s="610" t="n"/>
      <c r="J793" s="978" t="n"/>
      <c r="K793" s="615" t="n"/>
      <c r="L793" s="613" t="n"/>
      <c r="M793" s="614" t="n"/>
      <c r="N793" s="614" t="n"/>
      <c r="O793" s="614" t="n"/>
      <c r="P793" s="614" t="n"/>
      <c r="Q793" s="614" t="n"/>
      <c r="R793" s="614" t="n"/>
      <c r="S793" s="614" t="n"/>
      <c r="T793" s="614" t="n"/>
    </row>
    <row r="794">
      <c r="A794" s="610" t="n"/>
      <c r="B794" s="610" t="n"/>
      <c r="C794" s="610" t="n"/>
      <c r="D794" s="978" t="n"/>
      <c r="E794" s="610" t="n"/>
      <c r="F794" s="610" t="n"/>
      <c r="G794" s="610" t="n"/>
      <c r="H794" s="610" t="n"/>
      <c r="I794" s="610" t="n"/>
      <c r="J794" s="978" t="n"/>
      <c r="K794" s="615" t="n"/>
      <c r="L794" s="613" t="n"/>
      <c r="M794" s="614" t="n"/>
      <c r="N794" s="614" t="n"/>
      <c r="O794" s="614" t="n"/>
      <c r="P794" s="614" t="n"/>
      <c r="Q794" s="614" t="n"/>
      <c r="R794" s="614" t="n"/>
      <c r="S794" s="614" t="n"/>
      <c r="T794" s="614" t="n"/>
    </row>
    <row r="795">
      <c r="A795" s="610" t="n"/>
      <c r="B795" s="610" t="n"/>
      <c r="C795" s="610" t="n"/>
      <c r="D795" s="978" t="n"/>
      <c r="E795" s="610" t="n"/>
      <c r="F795" s="610" t="n"/>
      <c r="G795" s="610" t="n"/>
      <c r="H795" s="610" t="n"/>
      <c r="I795" s="610" t="n"/>
      <c r="J795" s="978" t="n"/>
      <c r="K795" s="615" t="n"/>
      <c r="L795" s="613" t="n"/>
      <c r="M795" s="614" t="n"/>
      <c r="N795" s="614" t="n"/>
      <c r="O795" s="614" t="n"/>
      <c r="P795" s="614" t="n"/>
      <c r="Q795" s="614" t="n"/>
      <c r="R795" s="614" t="n"/>
      <c r="S795" s="614" t="n"/>
      <c r="T795" s="614" t="n"/>
    </row>
    <row r="796">
      <c r="A796" s="610" t="n"/>
      <c r="B796" s="610" t="n"/>
      <c r="C796" s="610" t="n"/>
      <c r="D796" s="978" t="n"/>
      <c r="E796" s="610" t="n"/>
      <c r="F796" s="610" t="n"/>
      <c r="G796" s="610" t="n"/>
      <c r="H796" s="610" t="n"/>
      <c r="I796" s="610" t="n"/>
      <c r="J796" s="978" t="n"/>
      <c r="K796" s="615" t="n"/>
      <c r="L796" s="613" t="n"/>
      <c r="M796" s="614" t="n"/>
      <c r="N796" s="614" t="n"/>
      <c r="O796" s="614" t="n"/>
      <c r="P796" s="614" t="n"/>
      <c r="Q796" s="614" t="n"/>
      <c r="R796" s="614" t="n"/>
      <c r="S796" s="614" t="n"/>
      <c r="T796" s="614" t="n"/>
    </row>
    <row r="797">
      <c r="A797" s="610" t="n"/>
      <c r="B797" s="610" t="n"/>
      <c r="C797" s="610" t="n"/>
      <c r="D797" s="978" t="n"/>
      <c r="E797" s="610" t="n"/>
      <c r="F797" s="610" t="n"/>
      <c r="G797" s="610" t="n"/>
      <c r="H797" s="610" t="n"/>
      <c r="I797" s="610" t="n"/>
      <c r="J797" s="978" t="n"/>
      <c r="K797" s="615" t="n"/>
      <c r="L797" s="613" t="n"/>
      <c r="M797" s="614" t="n"/>
      <c r="N797" s="614" t="n"/>
      <c r="O797" s="614" t="n"/>
      <c r="P797" s="614" t="n"/>
      <c r="Q797" s="614" t="n"/>
      <c r="R797" s="614" t="n"/>
      <c r="S797" s="614" t="n"/>
      <c r="T797" s="614" t="n"/>
    </row>
    <row r="798">
      <c r="A798" s="610" t="n"/>
      <c r="B798" s="610" t="n"/>
      <c r="C798" s="610" t="n"/>
      <c r="D798" s="978" t="n"/>
      <c r="E798" s="610" t="n"/>
      <c r="F798" s="610" t="n"/>
      <c r="G798" s="610" t="n"/>
      <c r="H798" s="610" t="n"/>
      <c r="I798" s="610" t="n"/>
      <c r="J798" s="978" t="n"/>
      <c r="K798" s="615" t="n"/>
      <c r="L798" s="613" t="n"/>
      <c r="M798" s="614" t="n"/>
      <c r="N798" s="614" t="n"/>
      <c r="O798" s="614" t="n"/>
      <c r="P798" s="614" t="n"/>
      <c r="Q798" s="614" t="n"/>
      <c r="R798" s="614" t="n"/>
      <c r="S798" s="614" t="n"/>
      <c r="T798" s="614" t="n"/>
    </row>
    <row r="799">
      <c r="A799" s="610" t="n"/>
      <c r="B799" s="610" t="n"/>
      <c r="C799" s="610" t="n"/>
      <c r="D799" s="978" t="n"/>
      <c r="E799" s="610" t="n"/>
      <c r="F799" s="610" t="n"/>
      <c r="G799" s="610" t="n"/>
      <c r="H799" s="610" t="n"/>
      <c r="I799" s="610" t="n"/>
      <c r="J799" s="978" t="n"/>
      <c r="K799" s="615" t="n"/>
      <c r="L799" s="613" t="n"/>
      <c r="M799" s="614" t="n"/>
      <c r="N799" s="614" t="n"/>
      <c r="O799" s="614" t="n"/>
      <c r="P799" s="614" t="n"/>
      <c r="Q799" s="614" t="n"/>
      <c r="R799" s="614" t="n"/>
      <c r="S799" s="614" t="n"/>
      <c r="T799" s="614" t="n"/>
    </row>
    <row r="800">
      <c r="A800" s="610" t="n"/>
      <c r="B800" s="610" t="n"/>
      <c r="C800" s="610" t="n"/>
      <c r="D800" s="978" t="n"/>
      <c r="E800" s="610" t="n"/>
      <c r="F800" s="610" t="n"/>
      <c r="G800" s="610" t="n"/>
      <c r="H800" s="610" t="n"/>
      <c r="I800" s="610" t="n"/>
      <c r="J800" s="978" t="n"/>
      <c r="K800" s="615" t="n"/>
      <c r="L800" s="613" t="n"/>
      <c r="M800" s="614" t="n"/>
      <c r="N800" s="614" t="n"/>
      <c r="O800" s="614" t="n"/>
      <c r="P800" s="614" t="n"/>
      <c r="Q800" s="614" t="n"/>
      <c r="R800" s="614" t="n"/>
      <c r="S800" s="614" t="n"/>
      <c r="T800" s="614" t="n"/>
    </row>
    <row r="801">
      <c r="A801" s="610" t="n"/>
      <c r="B801" s="610" t="n"/>
      <c r="C801" s="610" t="n"/>
      <c r="D801" s="978" t="n"/>
      <c r="E801" s="610" t="n"/>
      <c r="F801" s="610" t="n"/>
      <c r="G801" s="610" t="n"/>
      <c r="H801" s="610" t="n"/>
      <c r="I801" s="610" t="n"/>
      <c r="J801" s="978" t="n"/>
      <c r="K801" s="615" t="n"/>
      <c r="L801" s="613" t="n"/>
      <c r="M801" s="614" t="n"/>
      <c r="N801" s="614" t="n"/>
      <c r="O801" s="614" t="n"/>
      <c r="P801" s="614" t="n"/>
      <c r="Q801" s="614" t="n"/>
      <c r="R801" s="614" t="n"/>
      <c r="S801" s="614" t="n"/>
      <c r="T801" s="614" t="n"/>
    </row>
    <row r="802">
      <c r="A802" s="610" t="n"/>
      <c r="B802" s="610" t="n"/>
      <c r="C802" s="610" t="n"/>
      <c r="D802" s="978" t="n"/>
      <c r="E802" s="610" t="n"/>
      <c r="F802" s="610" t="n"/>
      <c r="G802" s="610" t="n"/>
      <c r="H802" s="610" t="n"/>
      <c r="I802" s="610" t="n"/>
      <c r="J802" s="978" t="n"/>
      <c r="K802" s="615" t="n"/>
      <c r="L802" s="613" t="n"/>
      <c r="M802" s="614" t="n"/>
      <c r="N802" s="614" t="n"/>
      <c r="O802" s="614" t="n"/>
      <c r="P802" s="614" t="n"/>
      <c r="Q802" s="614" t="n"/>
      <c r="R802" s="614" t="n"/>
      <c r="S802" s="614" t="n"/>
      <c r="T802" s="614" t="n"/>
    </row>
    <row r="803">
      <c r="A803" s="610" t="n"/>
      <c r="B803" s="610" t="n"/>
      <c r="C803" s="610" t="n"/>
      <c r="D803" s="978" t="n"/>
      <c r="E803" s="610" t="n"/>
      <c r="F803" s="610" t="n"/>
      <c r="G803" s="610" t="n"/>
      <c r="H803" s="610" t="n"/>
      <c r="I803" s="610" t="n"/>
      <c r="J803" s="978" t="n"/>
      <c r="K803" s="615" t="n"/>
      <c r="L803" s="613" t="n"/>
      <c r="M803" s="614" t="n"/>
      <c r="N803" s="614" t="n"/>
      <c r="O803" s="614" t="n"/>
      <c r="P803" s="614" t="n"/>
      <c r="Q803" s="614" t="n"/>
      <c r="R803" s="614" t="n"/>
      <c r="S803" s="614" t="n"/>
      <c r="T803" s="614" t="n"/>
    </row>
    <row r="804">
      <c r="A804" s="610" t="n"/>
      <c r="B804" s="610" t="n"/>
      <c r="C804" s="610" t="n"/>
      <c r="D804" s="978" t="n"/>
      <c r="E804" s="610" t="n"/>
      <c r="F804" s="610" t="n"/>
      <c r="G804" s="610" t="n"/>
      <c r="H804" s="610" t="n"/>
      <c r="I804" s="610" t="n"/>
      <c r="J804" s="978" t="n"/>
      <c r="K804" s="615" t="n"/>
      <c r="L804" s="613" t="n"/>
      <c r="M804" s="614" t="n"/>
      <c r="N804" s="614" t="n"/>
      <c r="O804" s="614" t="n"/>
      <c r="P804" s="614" t="n"/>
      <c r="Q804" s="614" t="n"/>
      <c r="R804" s="614" t="n"/>
      <c r="S804" s="614" t="n"/>
      <c r="T804" s="614" t="n"/>
    </row>
    <row r="805">
      <c r="A805" s="610" t="n"/>
      <c r="B805" s="610" t="n"/>
      <c r="C805" s="610" t="n"/>
      <c r="D805" s="978" t="n"/>
      <c r="E805" s="610" t="n"/>
      <c r="F805" s="610" t="n"/>
      <c r="G805" s="610" t="n"/>
      <c r="H805" s="610" t="n"/>
      <c r="I805" s="610" t="n"/>
      <c r="J805" s="978" t="n"/>
      <c r="K805" s="615" t="n"/>
      <c r="L805" s="613" t="n"/>
      <c r="M805" s="614" t="n"/>
      <c r="N805" s="614" t="n"/>
      <c r="O805" s="614" t="n"/>
      <c r="P805" s="614" t="n"/>
      <c r="Q805" s="614" t="n"/>
      <c r="R805" s="614" t="n"/>
      <c r="S805" s="614" t="n"/>
      <c r="T805" s="614" t="n"/>
    </row>
    <row r="806">
      <c r="A806" s="610" t="n"/>
      <c r="B806" s="610" t="n"/>
      <c r="C806" s="610" t="n"/>
      <c r="D806" s="978" t="n"/>
      <c r="E806" s="610" t="n"/>
      <c r="F806" s="610" t="n"/>
      <c r="G806" s="610" t="n"/>
      <c r="H806" s="610" t="n"/>
      <c r="I806" s="610" t="n"/>
      <c r="J806" s="978" t="n"/>
      <c r="K806" s="615" t="n"/>
      <c r="L806" s="613" t="n"/>
      <c r="M806" s="614" t="n"/>
      <c r="N806" s="614" t="n"/>
      <c r="O806" s="614" t="n"/>
      <c r="P806" s="614" t="n"/>
      <c r="Q806" s="614" t="n"/>
      <c r="R806" s="614" t="n"/>
      <c r="S806" s="614" t="n"/>
      <c r="T806" s="614" t="n"/>
    </row>
    <row r="807">
      <c r="A807" s="610" t="n"/>
      <c r="B807" s="610" t="n"/>
      <c r="C807" s="610" t="n"/>
      <c r="D807" s="978" t="n"/>
      <c r="E807" s="610" t="n"/>
      <c r="F807" s="610" t="n"/>
      <c r="G807" s="610" t="n"/>
      <c r="H807" s="610" t="n"/>
      <c r="I807" s="610" t="n"/>
      <c r="J807" s="978" t="n"/>
      <c r="K807" s="615" t="n"/>
      <c r="L807" s="613" t="n"/>
      <c r="M807" s="614" t="n"/>
      <c r="N807" s="614" t="n"/>
      <c r="O807" s="614" t="n"/>
      <c r="P807" s="614" t="n"/>
      <c r="Q807" s="614" t="n"/>
      <c r="R807" s="614" t="n"/>
      <c r="S807" s="614" t="n"/>
      <c r="T807" s="614" t="n"/>
    </row>
    <row r="808">
      <c r="A808" s="610" t="n"/>
      <c r="B808" s="610" t="n"/>
      <c r="C808" s="610" t="n"/>
      <c r="D808" s="978" t="n"/>
      <c r="E808" s="610" t="n"/>
      <c r="F808" s="610" t="n"/>
      <c r="G808" s="610" t="n"/>
      <c r="H808" s="610" t="n"/>
      <c r="I808" s="610" t="n"/>
      <c r="J808" s="978" t="n"/>
      <c r="K808" s="615" t="n"/>
      <c r="L808" s="613" t="n"/>
      <c r="M808" s="614" t="n"/>
      <c r="N808" s="614" t="n"/>
      <c r="O808" s="614" t="n"/>
      <c r="P808" s="614" t="n"/>
      <c r="Q808" s="614" t="n"/>
      <c r="R808" s="614" t="n"/>
      <c r="S808" s="614" t="n"/>
      <c r="T808" s="614" t="n"/>
    </row>
    <row r="809">
      <c r="A809" s="610" t="n"/>
      <c r="B809" s="610" t="n"/>
      <c r="C809" s="610" t="n"/>
      <c r="D809" s="978" t="n"/>
      <c r="E809" s="610" t="n"/>
      <c r="F809" s="610" t="n"/>
      <c r="G809" s="610" t="n"/>
      <c r="H809" s="610" t="n"/>
      <c r="I809" s="610" t="n"/>
      <c r="J809" s="978" t="n"/>
      <c r="K809" s="615" t="n"/>
      <c r="L809" s="613" t="n"/>
      <c r="M809" s="614" t="n"/>
      <c r="N809" s="614" t="n"/>
      <c r="O809" s="614" t="n"/>
      <c r="P809" s="614" t="n"/>
      <c r="Q809" s="614" t="n"/>
      <c r="R809" s="614" t="n"/>
      <c r="S809" s="614" t="n"/>
      <c r="T809" s="614" t="n"/>
    </row>
    <row r="810">
      <c r="A810" s="610" t="n"/>
      <c r="B810" s="610" t="n"/>
      <c r="C810" s="610" t="n"/>
      <c r="D810" s="978" t="n"/>
      <c r="E810" s="610" t="n"/>
      <c r="F810" s="610" t="n"/>
      <c r="G810" s="610" t="n"/>
      <c r="H810" s="610" t="n"/>
      <c r="I810" s="610" t="n"/>
      <c r="J810" s="978" t="n"/>
      <c r="K810" s="615" t="n"/>
      <c r="L810" s="613" t="n"/>
      <c r="M810" s="614" t="n"/>
      <c r="N810" s="614" t="n"/>
      <c r="O810" s="614" t="n"/>
      <c r="P810" s="614" t="n"/>
      <c r="Q810" s="614" t="n"/>
      <c r="R810" s="614" t="n"/>
      <c r="S810" s="614" t="n"/>
      <c r="T810" s="614" t="n"/>
    </row>
    <row r="811">
      <c r="A811" s="610" t="n"/>
      <c r="B811" s="610" t="n"/>
      <c r="C811" s="610" t="n"/>
      <c r="D811" s="978" t="n"/>
      <c r="E811" s="610" t="n"/>
      <c r="F811" s="610" t="n"/>
      <c r="G811" s="610" t="n"/>
      <c r="H811" s="610" t="n"/>
      <c r="I811" s="610" t="n"/>
      <c r="J811" s="978" t="n"/>
      <c r="K811" s="615" t="n"/>
      <c r="L811" s="613" t="n"/>
      <c r="M811" s="614" t="n"/>
      <c r="N811" s="614" t="n"/>
      <c r="O811" s="614" t="n"/>
      <c r="P811" s="614" t="n"/>
      <c r="Q811" s="614" t="n"/>
      <c r="R811" s="614" t="n"/>
      <c r="S811" s="614" t="n"/>
      <c r="T811" s="614" t="n"/>
    </row>
    <row r="812">
      <c r="A812" s="610" t="n"/>
      <c r="B812" s="610" t="n"/>
      <c r="C812" s="610" t="n"/>
      <c r="D812" s="978" t="n"/>
      <c r="E812" s="610" t="n"/>
      <c r="F812" s="610" t="n"/>
      <c r="G812" s="610" t="n"/>
      <c r="H812" s="610" t="n"/>
      <c r="I812" s="610" t="n"/>
      <c r="J812" s="978" t="n"/>
      <c r="K812" s="615" t="n"/>
      <c r="L812" s="613" t="n"/>
      <c r="M812" s="614" t="n"/>
      <c r="N812" s="614" t="n"/>
      <c r="O812" s="614" t="n"/>
      <c r="P812" s="614" t="n"/>
      <c r="Q812" s="614" t="n"/>
      <c r="R812" s="614" t="n"/>
      <c r="S812" s="614" t="n"/>
      <c r="T812" s="614" t="n"/>
    </row>
    <row r="813">
      <c r="A813" s="610" t="n"/>
      <c r="B813" s="610" t="n"/>
      <c r="C813" s="610" t="n"/>
      <c r="D813" s="978" t="n"/>
      <c r="E813" s="610" t="n"/>
      <c r="F813" s="610" t="n"/>
      <c r="G813" s="610" t="n"/>
      <c r="H813" s="610" t="n"/>
      <c r="I813" s="610" t="n"/>
      <c r="J813" s="978" t="n"/>
      <c r="K813" s="615" t="n"/>
      <c r="L813" s="613" t="n"/>
      <c r="M813" s="614" t="n"/>
      <c r="N813" s="614" t="n"/>
      <c r="O813" s="614" t="n"/>
      <c r="P813" s="614" t="n"/>
      <c r="Q813" s="614" t="n"/>
      <c r="R813" s="614" t="n"/>
      <c r="S813" s="614" t="n"/>
      <c r="T813" s="614" t="n"/>
    </row>
    <row r="814">
      <c r="A814" s="610" t="n"/>
      <c r="B814" s="610" t="n"/>
      <c r="C814" s="610" t="n"/>
      <c r="D814" s="978" t="n"/>
      <c r="E814" s="610" t="n"/>
      <c r="F814" s="610" t="n"/>
      <c r="G814" s="610" t="n"/>
      <c r="H814" s="610" t="n"/>
      <c r="I814" s="610" t="n"/>
      <c r="J814" s="978" t="n"/>
      <c r="K814" s="615" t="n"/>
      <c r="L814" s="613" t="n"/>
      <c r="M814" s="614" t="n"/>
      <c r="N814" s="614" t="n"/>
      <c r="O814" s="614" t="n"/>
      <c r="P814" s="614" t="n"/>
      <c r="Q814" s="614" t="n"/>
      <c r="R814" s="614" t="n"/>
      <c r="S814" s="614" t="n"/>
      <c r="T814" s="614" t="n"/>
    </row>
    <row r="815">
      <c r="A815" s="610" t="n"/>
      <c r="B815" s="610" t="n"/>
      <c r="C815" s="610" t="n"/>
      <c r="D815" s="978" t="n"/>
      <c r="E815" s="610" t="n"/>
      <c r="F815" s="610" t="n"/>
      <c r="G815" s="610" t="n"/>
      <c r="H815" s="610" t="n"/>
      <c r="I815" s="610" t="n"/>
      <c r="J815" s="978" t="n"/>
      <c r="K815" s="615" t="n"/>
      <c r="L815" s="613" t="n"/>
      <c r="M815" s="614" t="n"/>
      <c r="N815" s="614" t="n"/>
      <c r="O815" s="614" t="n"/>
      <c r="P815" s="614" t="n"/>
      <c r="Q815" s="614" t="n"/>
      <c r="R815" s="614" t="n"/>
      <c r="S815" s="614" t="n"/>
      <c r="T815" s="614" t="n"/>
    </row>
    <row r="816">
      <c r="A816" s="610" t="n"/>
      <c r="B816" s="610" t="n"/>
      <c r="C816" s="610" t="n"/>
      <c r="D816" s="978" t="n"/>
      <c r="E816" s="610" t="n"/>
      <c r="F816" s="610" t="n"/>
      <c r="G816" s="610" t="n"/>
      <c r="H816" s="610" t="n"/>
      <c r="I816" s="610" t="n"/>
      <c r="J816" s="978" t="n"/>
      <c r="K816" s="615" t="n"/>
      <c r="L816" s="613" t="n"/>
      <c r="M816" s="614" t="n"/>
      <c r="N816" s="614" t="n"/>
      <c r="O816" s="614" t="n"/>
      <c r="P816" s="614" t="n"/>
      <c r="Q816" s="614" t="n"/>
      <c r="R816" s="614" t="n"/>
      <c r="S816" s="614" t="n"/>
      <c r="T816" s="614" t="n"/>
    </row>
    <row r="817">
      <c r="A817" s="610" t="n"/>
      <c r="B817" s="610" t="n"/>
      <c r="C817" s="610" t="n"/>
      <c r="D817" s="978" t="n"/>
      <c r="E817" s="610" t="n"/>
      <c r="F817" s="610" t="n"/>
      <c r="G817" s="610" t="n"/>
      <c r="H817" s="610" t="n"/>
      <c r="I817" s="610" t="n"/>
      <c r="J817" s="978" t="n"/>
      <c r="K817" s="615" t="n"/>
      <c r="L817" s="613" t="n"/>
      <c r="M817" s="614" t="n"/>
      <c r="N817" s="614" t="n"/>
      <c r="O817" s="614" t="n"/>
      <c r="P817" s="614" t="n"/>
      <c r="Q817" s="614" t="n"/>
      <c r="R817" s="614" t="n"/>
      <c r="S817" s="614" t="n"/>
      <c r="T817" s="614" t="n"/>
    </row>
    <row r="818">
      <c r="A818" s="610" t="n"/>
      <c r="B818" s="610" t="n"/>
      <c r="C818" s="610" t="n"/>
      <c r="D818" s="978" t="n"/>
      <c r="E818" s="610" t="n"/>
      <c r="F818" s="610" t="n"/>
      <c r="G818" s="610" t="n"/>
      <c r="H818" s="610" t="n"/>
      <c r="I818" s="610" t="n"/>
      <c r="J818" s="978" t="n"/>
      <c r="K818" s="615" t="n"/>
      <c r="L818" s="613" t="n"/>
      <c r="M818" s="614" t="n"/>
      <c r="N818" s="614" t="n"/>
      <c r="O818" s="614" t="n"/>
      <c r="P818" s="614" t="n"/>
      <c r="Q818" s="614" t="n"/>
      <c r="R818" s="614" t="n"/>
      <c r="S818" s="614" t="n"/>
      <c r="T818" s="614" t="n"/>
    </row>
    <row r="819">
      <c r="A819" s="610" t="n"/>
      <c r="B819" s="610" t="n"/>
      <c r="C819" s="610" t="n"/>
      <c r="D819" s="978" t="n"/>
      <c r="E819" s="610" t="n"/>
      <c r="F819" s="610" t="n"/>
      <c r="G819" s="610" t="n"/>
      <c r="H819" s="610" t="n"/>
      <c r="I819" s="610" t="n"/>
      <c r="J819" s="978" t="n"/>
      <c r="K819" s="615" t="n"/>
      <c r="L819" s="613" t="n"/>
      <c r="M819" s="614" t="n"/>
      <c r="N819" s="614" t="n"/>
      <c r="O819" s="614" t="n"/>
      <c r="P819" s="614" t="n"/>
      <c r="Q819" s="614" t="n"/>
      <c r="R819" s="614" t="n"/>
      <c r="S819" s="614" t="n"/>
      <c r="T819" s="614" t="n"/>
    </row>
    <row r="820">
      <c r="A820" s="610" t="n"/>
      <c r="B820" s="610" t="n"/>
      <c r="C820" s="610" t="n"/>
      <c r="D820" s="978" t="n"/>
      <c r="E820" s="610" t="n"/>
      <c r="F820" s="610" t="n"/>
      <c r="G820" s="610" t="n"/>
      <c r="H820" s="610" t="n"/>
      <c r="I820" s="610" t="n"/>
      <c r="J820" s="978" t="n"/>
      <c r="K820" s="615" t="n"/>
      <c r="L820" s="613" t="n"/>
      <c r="M820" s="614" t="n"/>
      <c r="N820" s="614" t="n"/>
      <c r="O820" s="614" t="n"/>
      <c r="P820" s="614" t="n"/>
      <c r="Q820" s="614" t="n"/>
      <c r="R820" s="614" t="n"/>
      <c r="S820" s="614" t="n"/>
      <c r="T820" s="614" t="n"/>
    </row>
    <row r="821">
      <c r="A821" s="610" t="n"/>
      <c r="B821" s="610" t="n"/>
      <c r="C821" s="610" t="n"/>
      <c r="D821" s="978" t="n"/>
      <c r="E821" s="610" t="n"/>
      <c r="F821" s="610" t="n"/>
      <c r="G821" s="610" t="n"/>
      <c r="H821" s="610" t="n"/>
      <c r="I821" s="610" t="n"/>
      <c r="J821" s="978" t="n"/>
      <c r="K821" s="615" t="n"/>
      <c r="L821" s="613" t="n"/>
      <c r="M821" s="614" t="n"/>
      <c r="N821" s="614" t="n"/>
      <c r="O821" s="614" t="n"/>
      <c r="P821" s="614" t="n"/>
      <c r="Q821" s="614" t="n"/>
      <c r="R821" s="614" t="n"/>
      <c r="S821" s="614" t="n"/>
      <c r="T821" s="614" t="n"/>
    </row>
    <row r="822">
      <c r="A822" s="610" t="n"/>
      <c r="B822" s="610" t="n"/>
      <c r="C822" s="610" t="n"/>
      <c r="D822" s="978" t="n"/>
      <c r="E822" s="610" t="n"/>
      <c r="F822" s="610" t="n"/>
      <c r="G822" s="610" t="n"/>
      <c r="H822" s="610" t="n"/>
      <c r="I822" s="610" t="n"/>
      <c r="J822" s="978" t="n"/>
      <c r="K822" s="615" t="n"/>
      <c r="L822" s="613" t="n"/>
      <c r="M822" s="614" t="n"/>
      <c r="N822" s="614" t="n"/>
      <c r="O822" s="614" t="n"/>
      <c r="P822" s="614" t="n"/>
      <c r="Q822" s="614" t="n"/>
      <c r="R822" s="614" t="n"/>
      <c r="S822" s="614" t="n"/>
      <c r="T822" s="614" t="n"/>
    </row>
    <row r="823">
      <c r="A823" s="610" t="n"/>
      <c r="B823" s="610" t="n"/>
      <c r="C823" s="610" t="n"/>
      <c r="D823" s="978" t="n"/>
      <c r="E823" s="610" t="n"/>
      <c r="F823" s="610" t="n"/>
      <c r="G823" s="610" t="n"/>
      <c r="H823" s="610" t="n"/>
      <c r="I823" s="610" t="n"/>
      <c r="J823" s="978" t="n"/>
      <c r="K823" s="615" t="n"/>
      <c r="L823" s="613" t="n"/>
      <c r="M823" s="614" t="n"/>
      <c r="N823" s="614" t="n"/>
      <c r="O823" s="614" t="n"/>
      <c r="P823" s="614" t="n"/>
      <c r="Q823" s="614" t="n"/>
      <c r="R823" s="614" t="n"/>
      <c r="S823" s="614" t="n"/>
      <c r="T823" s="614" t="n"/>
    </row>
    <row r="824">
      <c r="A824" s="610" t="n"/>
      <c r="B824" s="610" t="n"/>
      <c r="C824" s="610" t="n"/>
      <c r="D824" s="978" t="n"/>
      <c r="E824" s="610" t="n"/>
      <c r="F824" s="610" t="n"/>
      <c r="G824" s="610" t="n"/>
      <c r="H824" s="610" t="n"/>
      <c r="I824" s="610" t="n"/>
      <c r="J824" s="978" t="n"/>
      <c r="K824" s="615" t="n"/>
      <c r="L824" s="613" t="n"/>
      <c r="M824" s="614" t="n"/>
      <c r="N824" s="614" t="n"/>
      <c r="O824" s="614" t="n"/>
      <c r="P824" s="614" t="n"/>
      <c r="Q824" s="614" t="n"/>
      <c r="R824" s="614" t="n"/>
      <c r="S824" s="614" t="n"/>
      <c r="T824" s="614" t="n"/>
    </row>
    <row r="825">
      <c r="A825" s="610" t="n"/>
      <c r="B825" s="610" t="n"/>
      <c r="C825" s="610" t="n"/>
      <c r="D825" s="978" t="n"/>
      <c r="E825" s="610" t="n"/>
      <c r="F825" s="610" t="n"/>
      <c r="G825" s="610" t="n"/>
      <c r="H825" s="610" t="n"/>
      <c r="I825" s="610" t="n"/>
      <c r="J825" s="978" t="n"/>
      <c r="K825" s="615" t="n"/>
      <c r="L825" s="613" t="n"/>
      <c r="M825" s="614" t="n"/>
      <c r="N825" s="614" t="n"/>
      <c r="O825" s="614" t="n"/>
      <c r="P825" s="614" t="n"/>
      <c r="Q825" s="614" t="n"/>
      <c r="R825" s="614" t="n"/>
      <c r="S825" s="614" t="n"/>
      <c r="T825" s="614" t="n"/>
    </row>
    <row r="826">
      <c r="A826" s="610" t="n"/>
      <c r="B826" s="610" t="n"/>
      <c r="C826" s="610" t="n"/>
      <c r="D826" s="978" t="n"/>
      <c r="E826" s="610" t="n"/>
      <c r="F826" s="610" t="n"/>
      <c r="G826" s="610" t="n"/>
      <c r="H826" s="610" t="n"/>
      <c r="I826" s="610" t="n"/>
      <c r="J826" s="978" t="n"/>
      <c r="K826" s="615" t="n"/>
      <c r="L826" s="613" t="n"/>
      <c r="M826" s="614" t="n"/>
      <c r="N826" s="614" t="n"/>
      <c r="O826" s="614" t="n"/>
      <c r="P826" s="614" t="n"/>
      <c r="Q826" s="614" t="n"/>
      <c r="R826" s="614" t="n"/>
      <c r="S826" s="614" t="n"/>
      <c r="T826" s="614" t="n"/>
    </row>
    <row r="827">
      <c r="A827" s="610" t="n"/>
      <c r="B827" s="610" t="n"/>
      <c r="C827" s="610" t="n"/>
      <c r="D827" s="978" t="n"/>
      <c r="E827" s="610" t="n"/>
      <c r="F827" s="610" t="n"/>
      <c r="G827" s="610" t="n"/>
      <c r="H827" s="610" t="n"/>
      <c r="I827" s="610" t="n"/>
      <c r="J827" s="978" t="n"/>
      <c r="K827" s="615" t="n"/>
      <c r="L827" s="613" t="n"/>
      <c r="M827" s="614" t="n"/>
      <c r="N827" s="614" t="n"/>
      <c r="O827" s="614" t="n"/>
      <c r="P827" s="614" t="n"/>
      <c r="Q827" s="614" t="n"/>
      <c r="R827" s="614" t="n"/>
      <c r="S827" s="614" t="n"/>
      <c r="T827" s="614" t="n"/>
    </row>
    <row r="828">
      <c r="A828" s="610" t="n"/>
      <c r="B828" s="610" t="n"/>
      <c r="C828" s="610" t="n"/>
      <c r="D828" s="978" t="n"/>
      <c r="E828" s="610" t="n"/>
      <c r="F828" s="610" t="n"/>
      <c r="G828" s="610" t="n"/>
      <c r="H828" s="610" t="n"/>
      <c r="I828" s="610" t="n"/>
      <c r="J828" s="978" t="n"/>
      <c r="K828" s="615" t="n"/>
      <c r="L828" s="613" t="n"/>
      <c r="M828" s="614" t="n"/>
      <c r="N828" s="614" t="n"/>
      <c r="O828" s="614" t="n"/>
      <c r="P828" s="614" t="n"/>
      <c r="Q828" s="614" t="n"/>
      <c r="R828" s="614" t="n"/>
      <c r="S828" s="614" t="n"/>
      <c r="T828" s="614" t="n"/>
    </row>
    <row r="829">
      <c r="A829" s="610" t="n"/>
      <c r="B829" s="610" t="n"/>
      <c r="C829" s="610" t="n"/>
      <c r="D829" s="978" t="n"/>
      <c r="E829" s="610" t="n"/>
      <c r="F829" s="610" t="n"/>
      <c r="G829" s="610" t="n"/>
      <c r="H829" s="610" t="n"/>
      <c r="I829" s="610" t="n"/>
      <c r="J829" s="978" t="n"/>
      <c r="K829" s="615" t="n"/>
      <c r="L829" s="613" t="n"/>
      <c r="M829" s="614" t="n"/>
      <c r="N829" s="614" t="n"/>
      <c r="O829" s="614" t="n"/>
      <c r="P829" s="614" t="n"/>
      <c r="Q829" s="614" t="n"/>
      <c r="R829" s="614" t="n"/>
      <c r="S829" s="614" t="n"/>
      <c r="T829" s="614" t="n"/>
    </row>
    <row r="830">
      <c r="A830" s="610" t="n"/>
      <c r="B830" s="610" t="n"/>
      <c r="C830" s="610" t="n"/>
      <c r="D830" s="978" t="n"/>
      <c r="E830" s="610" t="n"/>
      <c r="F830" s="610" t="n"/>
      <c r="G830" s="610" t="n"/>
      <c r="H830" s="610" t="n"/>
      <c r="I830" s="610" t="n"/>
      <c r="J830" s="978" t="n"/>
      <c r="K830" s="615" t="n"/>
      <c r="L830" s="613" t="n"/>
      <c r="M830" s="614" t="n"/>
      <c r="N830" s="614" t="n"/>
      <c r="O830" s="614" t="n"/>
      <c r="P830" s="614" t="n"/>
      <c r="Q830" s="614" t="n"/>
      <c r="R830" s="614" t="n"/>
      <c r="S830" s="614" t="n"/>
      <c r="T830" s="614" t="n"/>
    </row>
    <row r="831">
      <c r="A831" s="610" t="n"/>
      <c r="B831" s="610" t="n"/>
      <c r="C831" s="610" t="n"/>
      <c r="D831" s="978" t="n"/>
      <c r="E831" s="610" t="n"/>
      <c r="F831" s="610" t="n"/>
      <c r="G831" s="610" t="n"/>
      <c r="H831" s="610" t="n"/>
      <c r="I831" s="610" t="n"/>
      <c r="J831" s="978" t="n"/>
      <c r="K831" s="615" t="n"/>
      <c r="L831" s="613" t="n"/>
      <c r="M831" s="614" t="n"/>
      <c r="N831" s="614" t="n"/>
      <c r="O831" s="614" t="n"/>
      <c r="P831" s="614" t="n"/>
      <c r="Q831" s="614" t="n"/>
      <c r="R831" s="614" t="n"/>
      <c r="S831" s="614" t="n"/>
      <c r="T831" s="614" t="n"/>
    </row>
    <row r="832">
      <c r="A832" s="610" t="n"/>
      <c r="B832" s="610" t="n"/>
      <c r="C832" s="610" t="n"/>
      <c r="D832" s="978" t="n"/>
      <c r="E832" s="610" t="n"/>
      <c r="F832" s="610" t="n"/>
      <c r="G832" s="610" t="n"/>
      <c r="H832" s="610" t="n"/>
      <c r="I832" s="610" t="n"/>
      <c r="J832" s="978" t="n"/>
      <c r="K832" s="615" t="n"/>
      <c r="L832" s="613" t="n"/>
      <c r="M832" s="614" t="n"/>
      <c r="N832" s="614" t="n"/>
      <c r="O832" s="614" t="n"/>
      <c r="P832" s="614" t="n"/>
      <c r="Q832" s="614" t="n"/>
      <c r="R832" s="614" t="n"/>
      <c r="S832" s="614" t="n"/>
      <c r="T832" s="614" t="n"/>
    </row>
    <row r="833">
      <c r="A833" s="610" t="n"/>
      <c r="B833" s="610" t="n"/>
      <c r="C833" s="610" t="n"/>
      <c r="D833" s="978" t="n"/>
      <c r="E833" s="610" t="n"/>
      <c r="F833" s="610" t="n"/>
      <c r="G833" s="610" t="n"/>
      <c r="H833" s="610" t="n"/>
      <c r="I833" s="610" t="n"/>
      <c r="J833" s="978" t="n"/>
      <c r="K833" s="615" t="n"/>
      <c r="L833" s="613" t="n"/>
      <c r="M833" s="614" t="n"/>
      <c r="N833" s="614" t="n"/>
      <c r="O833" s="614" t="n"/>
      <c r="P833" s="614" t="n"/>
      <c r="Q833" s="614" t="n"/>
      <c r="R833" s="614" t="n"/>
      <c r="S833" s="614" t="n"/>
      <c r="T833" s="614" t="n"/>
    </row>
    <row r="834">
      <c r="A834" s="610" t="n"/>
      <c r="B834" s="610" t="n"/>
      <c r="C834" s="610" t="n"/>
      <c r="D834" s="978" t="n"/>
      <c r="E834" s="610" t="n"/>
      <c r="F834" s="610" t="n"/>
      <c r="G834" s="610" t="n"/>
      <c r="H834" s="610" t="n"/>
      <c r="I834" s="610" t="n"/>
      <c r="J834" s="978" t="n"/>
      <c r="K834" s="615" t="n"/>
      <c r="L834" s="613" t="n"/>
      <c r="M834" s="614" t="n"/>
      <c r="N834" s="614" t="n"/>
      <c r="O834" s="614" t="n"/>
      <c r="P834" s="614" t="n"/>
      <c r="Q834" s="614" t="n"/>
      <c r="R834" s="614" t="n"/>
      <c r="S834" s="614" t="n"/>
      <c r="T834" s="614" t="n"/>
    </row>
    <row r="835">
      <c r="A835" s="610" t="n"/>
      <c r="B835" s="610" t="n"/>
      <c r="C835" s="610" t="n"/>
      <c r="D835" s="978" t="n"/>
      <c r="E835" s="610" t="n"/>
      <c r="F835" s="610" t="n"/>
      <c r="G835" s="610" t="n"/>
      <c r="H835" s="610" t="n"/>
      <c r="I835" s="610" t="n"/>
      <c r="J835" s="978" t="n"/>
      <c r="K835" s="615" t="n"/>
      <c r="L835" s="613" t="n"/>
      <c r="M835" s="614" t="n"/>
      <c r="N835" s="614" t="n"/>
      <c r="O835" s="614" t="n"/>
      <c r="P835" s="614" t="n"/>
      <c r="Q835" s="614" t="n"/>
      <c r="R835" s="614" t="n"/>
      <c r="S835" s="614" t="n"/>
      <c r="T835" s="614" t="n"/>
    </row>
    <row r="836">
      <c r="A836" s="610" t="n"/>
      <c r="B836" s="610" t="n"/>
      <c r="C836" s="610" t="n"/>
      <c r="D836" s="978" t="n"/>
      <c r="E836" s="610" t="n"/>
      <c r="F836" s="610" t="n"/>
      <c r="G836" s="610" t="n"/>
      <c r="H836" s="610" t="n"/>
      <c r="I836" s="610" t="n"/>
      <c r="J836" s="978" t="n"/>
      <c r="K836" s="615" t="n"/>
      <c r="L836" s="613" t="n"/>
      <c r="M836" s="614" t="n"/>
      <c r="N836" s="614" t="n"/>
      <c r="O836" s="614" t="n"/>
      <c r="P836" s="614" t="n"/>
      <c r="Q836" s="614" t="n"/>
      <c r="R836" s="614" t="n"/>
      <c r="S836" s="614" t="n"/>
      <c r="T836" s="614" t="n"/>
    </row>
    <row r="837">
      <c r="A837" s="610" t="n"/>
      <c r="B837" s="610" t="n"/>
      <c r="C837" s="610" t="n"/>
      <c r="D837" s="978" t="n"/>
      <c r="E837" s="610" t="n"/>
      <c r="F837" s="610" t="n"/>
      <c r="G837" s="610" t="n"/>
      <c r="H837" s="610" t="n"/>
      <c r="I837" s="610" t="n"/>
      <c r="J837" s="978" t="n"/>
      <c r="K837" s="615" t="n"/>
      <c r="L837" s="613" t="n"/>
      <c r="M837" s="614" t="n"/>
      <c r="N837" s="614" t="n"/>
      <c r="O837" s="614" t="n"/>
      <c r="P837" s="614" t="n"/>
      <c r="Q837" s="614" t="n"/>
      <c r="R837" s="614" t="n"/>
      <c r="S837" s="614" t="n"/>
      <c r="T837" s="614" t="n"/>
    </row>
    <row r="838">
      <c r="A838" s="610" t="n"/>
      <c r="B838" s="610" t="n"/>
      <c r="C838" s="610" t="n"/>
      <c r="D838" s="978" t="n"/>
      <c r="E838" s="610" t="n"/>
      <c r="F838" s="610" t="n"/>
      <c r="G838" s="610" t="n"/>
      <c r="H838" s="610" t="n"/>
      <c r="I838" s="610" t="n"/>
      <c r="J838" s="978" t="n"/>
      <c r="K838" s="615" t="n"/>
      <c r="L838" s="613" t="n"/>
      <c r="M838" s="614" t="n"/>
      <c r="N838" s="614" t="n"/>
      <c r="O838" s="614" t="n"/>
      <c r="P838" s="614" t="n"/>
      <c r="Q838" s="614" t="n"/>
      <c r="R838" s="614" t="n"/>
      <c r="S838" s="614" t="n"/>
      <c r="T838" s="614" t="n"/>
    </row>
    <row r="839">
      <c r="A839" s="610" t="n"/>
      <c r="B839" s="610" t="n"/>
      <c r="C839" s="610" t="n"/>
      <c r="D839" s="978" t="n"/>
      <c r="E839" s="610" t="n"/>
      <c r="F839" s="610" t="n"/>
      <c r="G839" s="610" t="n"/>
      <c r="H839" s="610" t="n"/>
      <c r="I839" s="610" t="n"/>
      <c r="J839" s="978" t="n"/>
      <c r="K839" s="615" t="n"/>
      <c r="L839" s="613" t="n"/>
      <c r="M839" s="614" t="n"/>
      <c r="N839" s="614" t="n"/>
      <c r="O839" s="614" t="n"/>
      <c r="P839" s="614" t="n"/>
      <c r="Q839" s="614" t="n"/>
      <c r="R839" s="614" t="n"/>
      <c r="S839" s="614" t="n"/>
      <c r="T839" s="614" t="n"/>
    </row>
    <row r="840">
      <c r="A840" s="610" t="n"/>
      <c r="B840" s="610" t="n"/>
      <c r="C840" s="610" t="n"/>
      <c r="D840" s="978" t="n"/>
      <c r="E840" s="610" t="n"/>
      <c r="F840" s="610" t="n"/>
      <c r="G840" s="610" t="n"/>
      <c r="H840" s="610" t="n"/>
      <c r="I840" s="610" t="n"/>
      <c r="J840" s="978" t="n"/>
      <c r="K840" s="615" t="n"/>
      <c r="L840" s="613" t="n"/>
      <c r="M840" s="614" t="n"/>
      <c r="N840" s="614" t="n"/>
      <c r="O840" s="614" t="n"/>
      <c r="P840" s="614" t="n"/>
      <c r="Q840" s="614" t="n"/>
      <c r="R840" s="614" t="n"/>
      <c r="S840" s="614" t="n"/>
      <c r="T840" s="614" t="n"/>
    </row>
    <row r="841">
      <c r="A841" s="610" t="n"/>
      <c r="B841" s="610" t="n"/>
      <c r="C841" s="610" t="n"/>
      <c r="D841" s="978" t="n"/>
      <c r="E841" s="610" t="n"/>
      <c r="F841" s="610" t="n"/>
      <c r="G841" s="610" t="n"/>
      <c r="H841" s="610" t="n"/>
      <c r="I841" s="610" t="n"/>
      <c r="J841" s="978" t="n"/>
      <c r="K841" s="615" t="n"/>
      <c r="L841" s="613" t="n"/>
      <c r="M841" s="614" t="n"/>
      <c r="N841" s="614" t="n"/>
      <c r="O841" s="614" t="n"/>
      <c r="P841" s="614" t="n"/>
      <c r="Q841" s="614" t="n"/>
      <c r="R841" s="614" t="n"/>
      <c r="S841" s="614" t="n"/>
      <c r="T841" s="614" t="n"/>
    </row>
    <row r="842">
      <c r="A842" s="610" t="n"/>
      <c r="B842" s="610" t="n"/>
      <c r="C842" s="610" t="n"/>
      <c r="D842" s="978" t="n"/>
      <c r="E842" s="610" t="n"/>
      <c r="F842" s="610" t="n"/>
      <c r="G842" s="610" t="n"/>
      <c r="H842" s="610" t="n"/>
      <c r="I842" s="610" t="n"/>
      <c r="J842" s="978" t="n"/>
      <c r="K842" s="615" t="n"/>
      <c r="L842" s="613" t="n"/>
      <c r="M842" s="614" t="n"/>
      <c r="N842" s="614" t="n"/>
      <c r="O842" s="614" t="n"/>
      <c r="P842" s="614" t="n"/>
      <c r="Q842" s="614" t="n"/>
      <c r="R842" s="614" t="n"/>
      <c r="S842" s="614" t="n"/>
      <c r="T842" s="614" t="n"/>
    </row>
    <row r="843">
      <c r="A843" s="610" t="n"/>
      <c r="B843" s="610" t="n"/>
      <c r="C843" s="610" t="n"/>
      <c r="D843" s="978" t="n"/>
      <c r="E843" s="610" t="n"/>
      <c r="F843" s="610" t="n"/>
      <c r="G843" s="610" t="n"/>
      <c r="H843" s="610" t="n"/>
      <c r="I843" s="610" t="n"/>
      <c r="J843" s="978" t="n"/>
      <c r="K843" s="615" t="n"/>
      <c r="L843" s="613" t="n"/>
      <c r="M843" s="614" t="n"/>
      <c r="N843" s="614" t="n"/>
      <c r="O843" s="614" t="n"/>
      <c r="P843" s="614" t="n"/>
      <c r="Q843" s="614" t="n"/>
      <c r="R843" s="614" t="n"/>
      <c r="S843" s="614" t="n"/>
      <c r="T843" s="614" t="n"/>
    </row>
    <row r="844">
      <c r="A844" s="610" t="n"/>
      <c r="B844" s="610" t="n"/>
      <c r="C844" s="610" t="n"/>
      <c r="D844" s="978" t="n"/>
      <c r="E844" s="610" t="n"/>
      <c r="F844" s="610" t="n"/>
      <c r="G844" s="610" t="n"/>
      <c r="H844" s="610" t="n"/>
      <c r="I844" s="610" t="n"/>
      <c r="J844" s="978" t="n"/>
      <c r="K844" s="615" t="n"/>
      <c r="L844" s="613" t="n"/>
      <c r="M844" s="614" t="n"/>
      <c r="N844" s="614" t="n"/>
      <c r="O844" s="614" t="n"/>
      <c r="P844" s="614" t="n"/>
      <c r="Q844" s="614" t="n"/>
      <c r="R844" s="614" t="n"/>
      <c r="S844" s="614" t="n"/>
      <c r="T844" s="614" t="n"/>
    </row>
    <row r="845">
      <c r="A845" s="610" t="n"/>
      <c r="B845" s="610" t="n"/>
      <c r="C845" s="610" t="n"/>
      <c r="D845" s="978" t="n"/>
      <c r="E845" s="610" t="n"/>
      <c r="F845" s="610" t="n"/>
      <c r="G845" s="610" t="n"/>
      <c r="H845" s="610" t="n"/>
      <c r="I845" s="610" t="n"/>
      <c r="J845" s="978" t="n"/>
      <c r="K845" s="615" t="n"/>
      <c r="L845" s="613" t="n"/>
      <c r="M845" s="614" t="n"/>
      <c r="N845" s="614" t="n"/>
      <c r="O845" s="614" t="n"/>
      <c r="P845" s="614" t="n"/>
      <c r="Q845" s="614" t="n"/>
      <c r="R845" s="614" t="n"/>
      <c r="S845" s="614" t="n"/>
      <c r="T845" s="614" t="n"/>
    </row>
    <row r="846">
      <c r="A846" s="610" t="n"/>
      <c r="B846" s="610" t="n"/>
      <c r="C846" s="610" t="n"/>
      <c r="D846" s="978" t="n"/>
      <c r="E846" s="610" t="n"/>
      <c r="F846" s="610" t="n"/>
      <c r="G846" s="610" t="n"/>
      <c r="H846" s="610" t="n"/>
      <c r="I846" s="610" t="n"/>
      <c r="J846" s="978" t="n"/>
      <c r="K846" s="615" t="n"/>
      <c r="L846" s="613" t="n"/>
      <c r="M846" s="614" t="n"/>
      <c r="N846" s="614" t="n"/>
      <c r="O846" s="614" t="n"/>
      <c r="P846" s="614" t="n"/>
      <c r="Q846" s="614" t="n"/>
      <c r="R846" s="614" t="n"/>
      <c r="S846" s="614" t="n"/>
      <c r="T846" s="614" t="n"/>
    </row>
    <row r="847">
      <c r="A847" s="610" t="n"/>
      <c r="B847" s="610" t="n"/>
      <c r="C847" s="610" t="n"/>
      <c r="D847" s="978" t="n"/>
      <c r="E847" s="610" t="n"/>
      <c r="F847" s="610" t="n"/>
      <c r="G847" s="610" t="n"/>
      <c r="H847" s="610" t="n"/>
      <c r="I847" s="610" t="n"/>
      <c r="J847" s="978" t="n"/>
      <c r="K847" s="615" t="n"/>
      <c r="L847" s="613" t="n"/>
      <c r="M847" s="614" t="n"/>
      <c r="N847" s="614" t="n"/>
      <c r="O847" s="614" t="n"/>
      <c r="P847" s="614" t="n"/>
      <c r="Q847" s="614" t="n"/>
      <c r="R847" s="614" t="n"/>
      <c r="S847" s="614" t="n"/>
      <c r="T847" s="614" t="n"/>
    </row>
    <row r="848">
      <c r="A848" s="610" t="n"/>
      <c r="B848" s="610" t="n"/>
      <c r="C848" s="610" t="n"/>
      <c r="D848" s="978" t="n"/>
      <c r="E848" s="610" t="n"/>
      <c r="F848" s="610" t="n"/>
      <c r="G848" s="610" t="n"/>
      <c r="H848" s="610" t="n"/>
      <c r="I848" s="610" t="n"/>
      <c r="J848" s="978" t="n"/>
      <c r="K848" s="615" t="n"/>
      <c r="L848" s="613" t="n"/>
      <c r="M848" s="614" t="n"/>
      <c r="N848" s="614" t="n"/>
      <c r="O848" s="614" t="n"/>
      <c r="P848" s="614" t="n"/>
      <c r="Q848" s="614" t="n"/>
      <c r="R848" s="614" t="n"/>
      <c r="S848" s="614" t="n"/>
      <c r="T848" s="614" t="n"/>
    </row>
    <row r="849">
      <c r="A849" s="610" t="n"/>
      <c r="B849" s="610" t="n"/>
      <c r="C849" s="610" t="n"/>
      <c r="D849" s="978" t="n"/>
      <c r="E849" s="610" t="n"/>
      <c r="F849" s="610" t="n"/>
      <c r="G849" s="610" t="n"/>
      <c r="H849" s="610" t="n"/>
      <c r="I849" s="610" t="n"/>
      <c r="J849" s="978" t="n"/>
      <c r="K849" s="615" t="n"/>
      <c r="L849" s="613" t="n"/>
      <c r="M849" s="614" t="n"/>
      <c r="N849" s="614" t="n"/>
      <c r="O849" s="614" t="n"/>
      <c r="P849" s="614" t="n"/>
      <c r="Q849" s="614" t="n"/>
      <c r="R849" s="614" t="n"/>
      <c r="S849" s="614" t="n"/>
      <c r="T849" s="614" t="n"/>
    </row>
    <row r="850">
      <c r="A850" s="610" t="n"/>
      <c r="B850" s="610" t="n"/>
      <c r="C850" s="610" t="n"/>
      <c r="D850" s="978" t="n"/>
      <c r="E850" s="610" t="n"/>
      <c r="F850" s="610" t="n"/>
      <c r="G850" s="610" t="n"/>
      <c r="H850" s="610" t="n"/>
      <c r="I850" s="610" t="n"/>
      <c r="J850" s="978" t="n"/>
      <c r="K850" s="615" t="n"/>
      <c r="L850" s="613" t="n"/>
      <c r="M850" s="614" t="n"/>
      <c r="N850" s="614" t="n"/>
      <c r="O850" s="614" t="n"/>
      <c r="P850" s="614" t="n"/>
      <c r="Q850" s="614" t="n"/>
      <c r="R850" s="614" t="n"/>
      <c r="S850" s="614" t="n"/>
      <c r="T850" s="614" t="n"/>
    </row>
    <row r="851">
      <c r="A851" s="610" t="n"/>
      <c r="B851" s="610" t="n"/>
      <c r="C851" s="610" t="n"/>
      <c r="D851" s="978" t="n"/>
      <c r="E851" s="610" t="n"/>
      <c r="F851" s="610" t="n"/>
      <c r="G851" s="610" t="n"/>
      <c r="H851" s="610" t="n"/>
      <c r="I851" s="610" t="n"/>
      <c r="J851" s="978" t="n"/>
      <c r="K851" s="615" t="n"/>
      <c r="L851" s="613" t="n"/>
      <c r="M851" s="614" t="n"/>
      <c r="N851" s="614" t="n"/>
      <c r="O851" s="614" t="n"/>
      <c r="P851" s="614" t="n"/>
      <c r="Q851" s="614" t="n"/>
      <c r="R851" s="614" t="n"/>
      <c r="S851" s="614" t="n"/>
      <c r="T851" s="614" t="n"/>
    </row>
    <row r="852">
      <c r="A852" s="610" t="n"/>
      <c r="B852" s="610" t="n"/>
      <c r="C852" s="610" t="n"/>
      <c r="D852" s="978" t="n"/>
      <c r="E852" s="610" t="n"/>
      <c r="F852" s="610" t="n"/>
      <c r="G852" s="610" t="n"/>
      <c r="H852" s="610" t="n"/>
      <c r="I852" s="610" t="n"/>
      <c r="J852" s="978" t="n"/>
      <c r="K852" s="615" t="n"/>
      <c r="L852" s="613" t="n"/>
      <c r="M852" s="614" t="n"/>
      <c r="N852" s="614" t="n"/>
      <c r="O852" s="614" t="n"/>
      <c r="P852" s="614" t="n"/>
      <c r="Q852" s="614" t="n"/>
      <c r="R852" s="614" t="n"/>
      <c r="S852" s="614" t="n"/>
      <c r="T852" s="614" t="n"/>
    </row>
    <row r="853">
      <c r="A853" s="610" t="n"/>
      <c r="B853" s="610" t="n"/>
      <c r="C853" s="610" t="n"/>
      <c r="D853" s="978" t="n"/>
      <c r="E853" s="610" t="n"/>
      <c r="F853" s="610" t="n"/>
      <c r="G853" s="610" t="n"/>
      <c r="H853" s="610" t="n"/>
      <c r="I853" s="610" t="n"/>
      <c r="J853" s="978" t="n"/>
      <c r="K853" s="615" t="n"/>
      <c r="L853" s="613" t="n"/>
      <c r="M853" s="614" t="n"/>
      <c r="N853" s="614" t="n"/>
      <c r="O853" s="614" t="n"/>
      <c r="P853" s="614" t="n"/>
      <c r="Q853" s="614" t="n"/>
      <c r="R853" s="614" t="n"/>
      <c r="S853" s="614" t="n"/>
      <c r="T853" s="614" t="n"/>
    </row>
    <row r="854">
      <c r="A854" s="610" t="n"/>
      <c r="B854" s="610" t="n"/>
      <c r="C854" s="610" t="n"/>
      <c r="D854" s="978" t="n"/>
      <c r="E854" s="610" t="n"/>
      <c r="F854" s="610" t="n"/>
      <c r="G854" s="610" t="n"/>
      <c r="H854" s="610" t="n"/>
      <c r="I854" s="610" t="n"/>
      <c r="J854" s="978" t="n"/>
      <c r="K854" s="615" t="n"/>
      <c r="L854" s="613" t="n"/>
      <c r="M854" s="614" t="n"/>
      <c r="N854" s="614" t="n"/>
      <c r="O854" s="614" t="n"/>
      <c r="P854" s="614" t="n"/>
      <c r="Q854" s="614" t="n"/>
      <c r="R854" s="614" t="n"/>
      <c r="S854" s="614" t="n"/>
      <c r="T854" s="614" t="n"/>
    </row>
    <row r="855">
      <c r="A855" s="610" t="n"/>
      <c r="B855" s="610" t="n"/>
      <c r="C855" s="610" t="n"/>
      <c r="D855" s="978" t="n"/>
      <c r="E855" s="610" t="n"/>
      <c r="F855" s="610" t="n"/>
      <c r="G855" s="610" t="n"/>
      <c r="H855" s="610" t="n"/>
      <c r="I855" s="610" t="n"/>
      <c r="J855" s="978" t="n"/>
      <c r="K855" s="615" t="n"/>
      <c r="L855" s="613" t="n"/>
      <c r="M855" s="614" t="n"/>
      <c r="N855" s="614" t="n"/>
      <c r="O855" s="614" t="n"/>
      <c r="P855" s="614" t="n"/>
      <c r="Q855" s="614" t="n"/>
      <c r="R855" s="614" t="n"/>
      <c r="S855" s="614" t="n"/>
      <c r="T855" s="614" t="n"/>
    </row>
    <row r="856">
      <c r="A856" s="610" t="n"/>
      <c r="B856" s="610" t="n"/>
      <c r="C856" s="610" t="n"/>
      <c r="D856" s="978" t="n"/>
      <c r="E856" s="610" t="n"/>
      <c r="F856" s="610" t="n"/>
      <c r="G856" s="610" t="n"/>
      <c r="H856" s="610" t="n"/>
      <c r="I856" s="610" t="n"/>
      <c r="J856" s="978" t="n"/>
      <c r="K856" s="615" t="n"/>
      <c r="L856" s="613" t="n"/>
      <c r="M856" s="614" t="n"/>
      <c r="N856" s="614" t="n"/>
      <c r="O856" s="614" t="n"/>
      <c r="P856" s="614" t="n"/>
      <c r="Q856" s="614" t="n"/>
      <c r="R856" s="614" t="n"/>
      <c r="S856" s="614" t="n"/>
      <c r="T856" s="614" t="n"/>
    </row>
    <row r="857">
      <c r="A857" s="610" t="n"/>
      <c r="B857" s="610" t="n"/>
      <c r="C857" s="610" t="n"/>
      <c r="D857" s="978" t="n"/>
      <c r="E857" s="610" t="n"/>
      <c r="F857" s="610" t="n"/>
      <c r="G857" s="610" t="n"/>
      <c r="H857" s="610" t="n"/>
      <c r="I857" s="610" t="n"/>
      <c r="J857" s="978" t="n"/>
      <c r="K857" s="615" t="n"/>
      <c r="L857" s="613" t="n"/>
      <c r="M857" s="614" t="n"/>
      <c r="N857" s="614" t="n"/>
      <c r="O857" s="614" t="n"/>
      <c r="P857" s="614" t="n"/>
      <c r="Q857" s="614" t="n"/>
      <c r="R857" s="614" t="n"/>
      <c r="S857" s="614" t="n"/>
      <c r="T857" s="614" t="n"/>
    </row>
    <row r="858">
      <c r="A858" s="610" t="n"/>
      <c r="B858" s="610" t="n"/>
      <c r="C858" s="610" t="n"/>
      <c r="D858" s="978" t="n"/>
      <c r="E858" s="610" t="n"/>
      <c r="F858" s="610" t="n"/>
      <c r="G858" s="610" t="n"/>
      <c r="H858" s="610" t="n"/>
      <c r="I858" s="610" t="n"/>
      <c r="J858" s="978" t="n"/>
      <c r="K858" s="615" t="n"/>
      <c r="L858" s="613" t="n"/>
      <c r="M858" s="614" t="n"/>
      <c r="N858" s="614" t="n"/>
      <c r="O858" s="614" t="n"/>
      <c r="P858" s="614" t="n"/>
      <c r="Q858" s="614" t="n"/>
      <c r="R858" s="614" t="n"/>
      <c r="S858" s="614" t="n"/>
      <c r="T858" s="614" t="n"/>
    </row>
    <row r="859">
      <c r="A859" s="610" t="n"/>
      <c r="B859" s="610" t="n"/>
      <c r="C859" s="610" t="n"/>
      <c r="D859" s="978" t="n"/>
      <c r="E859" s="610" t="n"/>
      <c r="F859" s="610" t="n"/>
      <c r="G859" s="610" t="n"/>
      <c r="H859" s="610" t="n"/>
      <c r="I859" s="610" t="n"/>
      <c r="J859" s="978" t="n"/>
      <c r="K859" s="615" t="n"/>
      <c r="L859" s="613" t="n"/>
      <c r="M859" s="614" t="n"/>
      <c r="N859" s="614" t="n"/>
      <c r="O859" s="614" t="n"/>
      <c r="P859" s="614" t="n"/>
      <c r="Q859" s="614" t="n"/>
      <c r="R859" s="614" t="n"/>
      <c r="S859" s="614" t="n"/>
      <c r="T859" s="614" t="n"/>
    </row>
    <row r="860">
      <c r="A860" s="610" t="n"/>
      <c r="B860" s="610" t="n"/>
      <c r="C860" s="610" t="n"/>
      <c r="D860" s="978" t="n"/>
      <c r="E860" s="610" t="n"/>
      <c r="F860" s="610" t="n"/>
      <c r="G860" s="610" t="n"/>
      <c r="H860" s="610" t="n"/>
      <c r="I860" s="610" t="n"/>
      <c r="J860" s="978" t="n"/>
      <c r="K860" s="615" t="n"/>
      <c r="L860" s="613" t="n"/>
      <c r="M860" s="614" t="n"/>
      <c r="N860" s="614" t="n"/>
      <c r="O860" s="614" t="n"/>
      <c r="P860" s="614" t="n"/>
      <c r="Q860" s="614" t="n"/>
      <c r="R860" s="614" t="n"/>
      <c r="S860" s="614" t="n"/>
      <c r="T860" s="614" t="n"/>
    </row>
    <row r="861">
      <c r="A861" s="610" t="n"/>
      <c r="B861" s="610" t="n"/>
      <c r="C861" s="610" t="n"/>
      <c r="D861" s="978" t="n"/>
      <c r="E861" s="610" t="n"/>
      <c r="F861" s="610" t="n"/>
      <c r="G861" s="610" t="n"/>
      <c r="H861" s="610" t="n"/>
      <c r="I861" s="610" t="n"/>
      <c r="J861" s="978" t="n"/>
      <c r="K861" s="615" t="n"/>
      <c r="L861" s="613" t="n"/>
      <c r="M861" s="614" t="n"/>
      <c r="N861" s="614" t="n"/>
      <c r="O861" s="614" t="n"/>
      <c r="P861" s="614" t="n"/>
      <c r="Q861" s="614" t="n"/>
      <c r="R861" s="614" t="n"/>
      <c r="S861" s="614" t="n"/>
      <c r="T861" s="614" t="n"/>
    </row>
    <row r="862">
      <c r="A862" s="610" t="n"/>
      <c r="B862" s="610" t="n"/>
      <c r="C862" s="610" t="n"/>
      <c r="D862" s="978" t="n"/>
      <c r="E862" s="610" t="n"/>
      <c r="F862" s="610" t="n"/>
      <c r="G862" s="610" t="n"/>
      <c r="H862" s="610" t="n"/>
      <c r="I862" s="610" t="n"/>
      <c r="J862" s="978" t="n"/>
      <c r="K862" s="615" t="n"/>
      <c r="L862" s="613" t="n"/>
      <c r="M862" s="614" t="n"/>
      <c r="N862" s="614" t="n"/>
      <c r="O862" s="614" t="n"/>
      <c r="P862" s="614" t="n"/>
      <c r="Q862" s="614" t="n"/>
      <c r="R862" s="614" t="n"/>
      <c r="S862" s="614" t="n"/>
      <c r="T862" s="614" t="n"/>
    </row>
    <row r="863">
      <c r="A863" s="610" t="n"/>
      <c r="B863" s="610" t="n"/>
      <c r="C863" s="610" t="n"/>
      <c r="D863" s="978" t="n"/>
      <c r="E863" s="610" t="n"/>
      <c r="F863" s="610" t="n"/>
      <c r="G863" s="610" t="n"/>
      <c r="H863" s="610" t="n"/>
      <c r="I863" s="610" t="n"/>
      <c r="J863" s="978" t="n"/>
      <c r="K863" s="615" t="n"/>
      <c r="L863" s="613" t="n"/>
      <c r="M863" s="614" t="n"/>
      <c r="N863" s="614" t="n"/>
      <c r="O863" s="614" t="n"/>
      <c r="P863" s="614" t="n"/>
      <c r="Q863" s="614" t="n"/>
      <c r="R863" s="614" t="n"/>
      <c r="S863" s="614" t="n"/>
      <c r="T863" s="614" t="n"/>
    </row>
    <row r="864">
      <c r="A864" s="610" t="n"/>
      <c r="B864" s="610" t="n"/>
      <c r="C864" s="610" t="n"/>
      <c r="D864" s="978" t="n"/>
      <c r="E864" s="610" t="n"/>
      <c r="F864" s="610" t="n"/>
      <c r="G864" s="610" t="n"/>
      <c r="H864" s="610" t="n"/>
      <c r="I864" s="610" t="n"/>
      <c r="J864" s="978" t="n"/>
      <c r="K864" s="615" t="n"/>
      <c r="L864" s="613" t="n"/>
      <c r="M864" s="614" t="n"/>
      <c r="N864" s="614" t="n"/>
      <c r="O864" s="614" t="n"/>
      <c r="P864" s="614" t="n"/>
      <c r="Q864" s="614" t="n"/>
      <c r="R864" s="614" t="n"/>
      <c r="S864" s="614" t="n"/>
      <c r="T864" s="614" t="n"/>
    </row>
    <row r="865">
      <c r="A865" s="610" t="n"/>
      <c r="B865" s="610" t="n"/>
      <c r="C865" s="610" t="n"/>
      <c r="D865" s="978" t="n"/>
      <c r="E865" s="610" t="n"/>
      <c r="F865" s="610" t="n"/>
      <c r="G865" s="610" t="n"/>
      <c r="H865" s="610" t="n"/>
      <c r="I865" s="610" t="n"/>
      <c r="J865" s="978" t="n"/>
      <c r="K865" s="615" t="n"/>
      <c r="L865" s="613" t="n"/>
      <c r="M865" s="614" t="n"/>
      <c r="N865" s="614" t="n"/>
      <c r="O865" s="614" t="n"/>
      <c r="P865" s="614" t="n"/>
      <c r="Q865" s="614" t="n"/>
      <c r="R865" s="614" t="n"/>
      <c r="S865" s="614" t="n"/>
      <c r="T865" s="614" t="n"/>
    </row>
    <row r="866">
      <c r="A866" s="610" t="n"/>
      <c r="B866" s="610" t="n"/>
      <c r="C866" s="610" t="n"/>
      <c r="D866" s="978" t="n"/>
      <c r="E866" s="610" t="n"/>
      <c r="F866" s="610" t="n"/>
      <c r="G866" s="610" t="n"/>
      <c r="H866" s="610" t="n"/>
      <c r="I866" s="610" t="n"/>
      <c r="J866" s="978" t="n"/>
      <c r="K866" s="615" t="n"/>
      <c r="L866" s="613" t="n"/>
      <c r="M866" s="614" t="n"/>
      <c r="N866" s="614" t="n"/>
      <c r="O866" s="614" t="n"/>
      <c r="P866" s="614" t="n"/>
      <c r="Q866" s="614" t="n"/>
      <c r="R866" s="614" t="n"/>
      <c r="S866" s="614" t="n"/>
      <c r="T866" s="614" t="n"/>
    </row>
    <row r="867">
      <c r="A867" s="610" t="n"/>
      <c r="B867" s="610" t="n"/>
      <c r="C867" s="610" t="n"/>
      <c r="D867" s="978" t="n"/>
      <c r="E867" s="610" t="n"/>
      <c r="F867" s="610" t="n"/>
      <c r="G867" s="610" t="n"/>
      <c r="H867" s="610" t="n"/>
      <c r="I867" s="610" t="n"/>
      <c r="J867" s="978" t="n"/>
      <c r="K867" s="615" t="n"/>
      <c r="L867" s="613" t="n"/>
      <c r="M867" s="614" t="n"/>
      <c r="N867" s="614" t="n"/>
      <c r="O867" s="614" t="n"/>
      <c r="P867" s="614" t="n"/>
      <c r="Q867" s="614" t="n"/>
      <c r="R867" s="614" t="n"/>
      <c r="S867" s="614" t="n"/>
      <c r="T867" s="614" t="n"/>
    </row>
    <row r="868">
      <c r="A868" s="610" t="n"/>
      <c r="B868" s="610" t="n"/>
      <c r="C868" s="610" t="n"/>
      <c r="D868" s="978" t="n"/>
      <c r="E868" s="610" t="n"/>
      <c r="F868" s="610" t="n"/>
      <c r="G868" s="610" t="n"/>
      <c r="H868" s="610" t="n"/>
      <c r="I868" s="610" t="n"/>
      <c r="J868" s="978" t="n"/>
      <c r="K868" s="615" t="n"/>
      <c r="L868" s="613" t="n"/>
      <c r="M868" s="614" t="n"/>
      <c r="N868" s="614" t="n"/>
      <c r="O868" s="614" t="n"/>
      <c r="P868" s="614" t="n"/>
      <c r="Q868" s="614" t="n"/>
      <c r="R868" s="614" t="n"/>
      <c r="S868" s="614" t="n"/>
      <c r="T868" s="614" t="n"/>
    </row>
    <row r="869">
      <c r="A869" s="610" t="n"/>
      <c r="B869" s="610" t="n"/>
      <c r="C869" s="610" t="n"/>
      <c r="D869" s="978" t="n"/>
      <c r="E869" s="610" t="n"/>
      <c r="F869" s="610" t="n"/>
      <c r="G869" s="610" t="n"/>
      <c r="H869" s="610" t="n"/>
      <c r="I869" s="610" t="n"/>
      <c r="J869" s="978" t="n"/>
      <c r="K869" s="615" t="n"/>
      <c r="L869" s="613" t="n"/>
      <c r="M869" s="614" t="n"/>
      <c r="N869" s="614" t="n"/>
      <c r="O869" s="614" t="n"/>
      <c r="P869" s="614" t="n"/>
      <c r="Q869" s="614" t="n"/>
      <c r="R869" s="614" t="n"/>
      <c r="S869" s="614" t="n"/>
      <c r="T869" s="614" t="n"/>
    </row>
    <row r="870">
      <c r="A870" s="610" t="n"/>
      <c r="B870" s="610" t="n"/>
      <c r="C870" s="610" t="n"/>
      <c r="D870" s="978" t="n"/>
      <c r="E870" s="610" t="n"/>
      <c r="F870" s="610" t="n"/>
      <c r="G870" s="610" t="n"/>
      <c r="H870" s="610" t="n"/>
      <c r="I870" s="610" t="n"/>
      <c r="J870" s="978" t="n"/>
      <c r="K870" s="615" t="n"/>
      <c r="L870" s="613" t="n"/>
      <c r="M870" s="614" t="n"/>
      <c r="N870" s="614" t="n"/>
      <c r="O870" s="614" t="n"/>
      <c r="P870" s="614" t="n"/>
      <c r="Q870" s="614" t="n"/>
      <c r="R870" s="614" t="n"/>
      <c r="S870" s="614" t="n"/>
      <c r="T870" s="614" t="n"/>
    </row>
    <row r="871">
      <c r="A871" s="610" t="n"/>
      <c r="B871" s="610" t="n"/>
      <c r="C871" s="610" t="n"/>
      <c r="D871" s="978" t="n"/>
      <c r="E871" s="610" t="n"/>
      <c r="F871" s="610" t="n"/>
      <c r="G871" s="610" t="n"/>
      <c r="H871" s="610" t="n"/>
      <c r="I871" s="610" t="n"/>
      <c r="J871" s="978" t="n"/>
      <c r="K871" s="615" t="n"/>
      <c r="L871" s="613" t="n"/>
      <c r="M871" s="614" t="n"/>
      <c r="N871" s="614" t="n"/>
      <c r="O871" s="614" t="n"/>
      <c r="P871" s="614" t="n"/>
      <c r="Q871" s="614" t="n"/>
      <c r="R871" s="614" t="n"/>
      <c r="S871" s="614" t="n"/>
      <c r="T871" s="614" t="n"/>
    </row>
    <row r="872">
      <c r="A872" s="610" t="n"/>
      <c r="B872" s="610" t="n"/>
      <c r="C872" s="610" t="n"/>
      <c r="D872" s="978" t="n"/>
      <c r="E872" s="610" t="n"/>
      <c r="F872" s="610" t="n"/>
      <c r="G872" s="610" t="n"/>
      <c r="H872" s="610" t="n"/>
      <c r="I872" s="610" t="n"/>
      <c r="J872" s="978" t="n"/>
      <c r="K872" s="615" t="n"/>
      <c r="L872" s="613" t="n"/>
      <c r="M872" s="614" t="n"/>
      <c r="N872" s="614" t="n"/>
      <c r="O872" s="614" t="n"/>
      <c r="P872" s="614" t="n"/>
      <c r="Q872" s="614" t="n"/>
      <c r="R872" s="614" t="n"/>
      <c r="S872" s="614" t="n"/>
      <c r="T872" s="614" t="n"/>
    </row>
    <row r="873">
      <c r="A873" s="610" t="n"/>
      <c r="B873" s="610" t="n"/>
      <c r="C873" s="610" t="n"/>
      <c r="D873" s="978" t="n"/>
      <c r="E873" s="610" t="n"/>
      <c r="F873" s="610" t="n"/>
      <c r="G873" s="610" t="n"/>
      <c r="H873" s="610" t="n"/>
      <c r="I873" s="610" t="n"/>
      <c r="J873" s="978" t="n"/>
      <c r="K873" s="615" t="n"/>
      <c r="L873" s="613" t="n"/>
      <c r="M873" s="614" t="n"/>
      <c r="N873" s="614" t="n"/>
      <c r="O873" s="614" t="n"/>
      <c r="P873" s="614" t="n"/>
      <c r="Q873" s="614" t="n"/>
      <c r="R873" s="614" t="n"/>
      <c r="S873" s="614" t="n"/>
      <c r="T873" s="614" t="n"/>
    </row>
    <row r="874">
      <c r="A874" s="610" t="n"/>
      <c r="B874" s="610" t="n"/>
      <c r="C874" s="610" t="n"/>
      <c r="D874" s="978" t="n"/>
      <c r="E874" s="610" t="n"/>
      <c r="F874" s="610" t="n"/>
      <c r="G874" s="610" t="n"/>
      <c r="H874" s="610" t="n"/>
      <c r="I874" s="610" t="n"/>
      <c r="J874" s="978" t="n"/>
      <c r="K874" s="615" t="n"/>
      <c r="L874" s="613" t="n"/>
      <c r="M874" s="614" t="n"/>
      <c r="N874" s="614" t="n"/>
      <c r="O874" s="614" t="n"/>
      <c r="P874" s="614" t="n"/>
      <c r="Q874" s="614" t="n"/>
      <c r="R874" s="614" t="n"/>
      <c r="S874" s="614" t="n"/>
      <c r="T874" s="614" t="n"/>
    </row>
    <row r="875">
      <c r="A875" s="610" t="n"/>
      <c r="B875" s="610" t="n"/>
      <c r="C875" s="610" t="n"/>
      <c r="D875" s="978" t="n"/>
      <c r="E875" s="610" t="n"/>
      <c r="F875" s="610" t="n"/>
      <c r="G875" s="610" t="n"/>
      <c r="H875" s="610" t="n"/>
      <c r="I875" s="610" t="n"/>
      <c r="J875" s="978" t="n"/>
      <c r="K875" s="615" t="n"/>
      <c r="L875" s="613" t="n"/>
      <c r="M875" s="614" t="n"/>
      <c r="N875" s="614" t="n"/>
      <c r="O875" s="614" t="n"/>
      <c r="P875" s="614" t="n"/>
      <c r="Q875" s="614" t="n"/>
      <c r="R875" s="614" t="n"/>
      <c r="S875" s="614" t="n"/>
      <c r="T875" s="614" t="n"/>
    </row>
    <row r="876">
      <c r="A876" s="610" t="n"/>
      <c r="B876" s="610" t="n"/>
      <c r="C876" s="610" t="n"/>
      <c r="D876" s="978" t="n"/>
      <c r="E876" s="610" t="n"/>
      <c r="F876" s="610" t="n"/>
      <c r="G876" s="610" t="n"/>
      <c r="H876" s="610" t="n"/>
      <c r="I876" s="610" t="n"/>
      <c r="J876" s="978" t="n"/>
      <c r="K876" s="615" t="n"/>
      <c r="L876" s="613" t="n"/>
      <c r="M876" s="614" t="n"/>
      <c r="N876" s="614" t="n"/>
      <c r="O876" s="614" t="n"/>
      <c r="P876" s="614" t="n"/>
      <c r="Q876" s="614" t="n"/>
      <c r="R876" s="614" t="n"/>
      <c r="S876" s="614" t="n"/>
      <c r="T876" s="614" t="n"/>
    </row>
    <row r="877">
      <c r="A877" s="610" t="n"/>
      <c r="B877" s="610" t="n"/>
      <c r="C877" s="610" t="n"/>
      <c r="D877" s="978" t="n"/>
      <c r="E877" s="610" t="n"/>
      <c r="F877" s="610" t="n"/>
      <c r="G877" s="610" t="n"/>
      <c r="H877" s="610" t="n"/>
      <c r="I877" s="610" t="n"/>
      <c r="J877" s="978" t="n"/>
      <c r="K877" s="615" t="n"/>
      <c r="L877" s="613" t="n"/>
      <c r="M877" s="614" t="n"/>
      <c r="N877" s="614" t="n"/>
      <c r="O877" s="614" t="n"/>
      <c r="P877" s="614" t="n"/>
      <c r="Q877" s="614" t="n"/>
      <c r="R877" s="614" t="n"/>
      <c r="S877" s="614" t="n"/>
      <c r="T877" s="614" t="n"/>
    </row>
    <row r="878">
      <c r="A878" s="610" t="n"/>
      <c r="B878" s="610" t="n"/>
      <c r="C878" s="610" t="n"/>
      <c r="D878" s="978" t="n"/>
      <c r="E878" s="610" t="n"/>
      <c r="F878" s="610" t="n"/>
      <c r="G878" s="610" t="n"/>
      <c r="H878" s="610" t="n"/>
      <c r="I878" s="610" t="n"/>
      <c r="J878" s="978" t="n"/>
      <c r="K878" s="615" t="n"/>
      <c r="L878" s="613" t="n"/>
      <c r="M878" s="614" t="n"/>
      <c r="N878" s="614" t="n"/>
      <c r="O878" s="614" t="n"/>
      <c r="P878" s="614" t="n"/>
      <c r="Q878" s="614" t="n"/>
      <c r="R878" s="614" t="n"/>
      <c r="S878" s="614" t="n"/>
      <c r="T878" s="614" t="n"/>
    </row>
    <row r="879">
      <c r="A879" s="610" t="n"/>
      <c r="B879" s="610" t="n"/>
      <c r="C879" s="610" t="n"/>
      <c r="D879" s="978" t="n"/>
      <c r="E879" s="610" t="n"/>
      <c r="F879" s="610" t="n"/>
      <c r="G879" s="610" t="n"/>
      <c r="H879" s="610" t="n"/>
      <c r="I879" s="610" t="n"/>
      <c r="J879" s="978" t="n"/>
      <c r="K879" s="615" t="n"/>
      <c r="L879" s="613" t="n"/>
      <c r="M879" s="614" t="n"/>
      <c r="N879" s="614" t="n"/>
      <c r="O879" s="614" t="n"/>
      <c r="P879" s="614" t="n"/>
      <c r="Q879" s="614" t="n"/>
      <c r="R879" s="614" t="n"/>
      <c r="S879" s="614" t="n"/>
      <c r="T879" s="614" t="n"/>
    </row>
    <row r="880">
      <c r="A880" s="610" t="n"/>
      <c r="B880" s="610" t="n"/>
      <c r="C880" s="610" t="n"/>
      <c r="D880" s="978" t="n"/>
      <c r="E880" s="610" t="n"/>
      <c r="F880" s="610" t="n"/>
      <c r="G880" s="610" t="n"/>
      <c r="H880" s="610" t="n"/>
      <c r="I880" s="610" t="n"/>
      <c r="J880" s="978" t="n"/>
      <c r="K880" s="615" t="n"/>
      <c r="L880" s="613" t="n"/>
      <c r="M880" s="614" t="n"/>
      <c r="N880" s="614" t="n"/>
      <c r="O880" s="614" t="n"/>
      <c r="P880" s="614" t="n"/>
      <c r="Q880" s="614" t="n"/>
      <c r="R880" s="614" t="n"/>
      <c r="S880" s="614" t="n"/>
      <c r="T880" s="614" t="n"/>
    </row>
    <row r="881">
      <c r="A881" s="610" t="n"/>
      <c r="B881" s="610" t="n"/>
      <c r="C881" s="610" t="n"/>
      <c r="D881" s="978" t="n"/>
      <c r="E881" s="610" t="n"/>
      <c r="F881" s="610" t="n"/>
      <c r="G881" s="610" t="n"/>
      <c r="H881" s="610" t="n"/>
      <c r="I881" s="610" t="n"/>
      <c r="J881" s="978" t="n"/>
      <c r="K881" s="615" t="n"/>
      <c r="L881" s="613" t="n"/>
      <c r="M881" s="614" t="n"/>
      <c r="N881" s="614" t="n"/>
      <c r="O881" s="614" t="n"/>
      <c r="P881" s="614" t="n"/>
      <c r="Q881" s="614" t="n"/>
      <c r="R881" s="614" t="n"/>
      <c r="S881" s="614" t="n"/>
      <c r="T881" s="614" t="n"/>
    </row>
    <row r="882">
      <c r="A882" s="610" t="n"/>
      <c r="B882" s="610" t="n"/>
      <c r="C882" s="610" t="n"/>
      <c r="D882" s="978" t="n"/>
      <c r="E882" s="610" t="n"/>
      <c r="F882" s="610" t="n"/>
      <c r="G882" s="610" t="n"/>
      <c r="H882" s="610" t="n"/>
      <c r="I882" s="610" t="n"/>
      <c r="J882" s="978" t="n"/>
      <c r="K882" s="615" t="n"/>
      <c r="L882" s="613" t="n"/>
      <c r="M882" s="614" t="n"/>
      <c r="N882" s="614" t="n"/>
      <c r="O882" s="614" t="n"/>
      <c r="P882" s="614" t="n"/>
      <c r="Q882" s="614" t="n"/>
      <c r="R882" s="614" t="n"/>
      <c r="S882" s="614" t="n"/>
      <c r="T882" s="614" t="n"/>
    </row>
    <row r="883">
      <c r="A883" s="610" t="n"/>
      <c r="B883" s="610" t="n"/>
      <c r="C883" s="610" t="n"/>
      <c r="D883" s="978" t="n"/>
      <c r="E883" s="610" t="n"/>
      <c r="F883" s="610" t="n"/>
      <c r="G883" s="610" t="n"/>
      <c r="H883" s="610" t="n"/>
      <c r="I883" s="610" t="n"/>
      <c r="J883" s="978" t="n"/>
      <c r="K883" s="615" t="n"/>
      <c r="L883" s="613" t="n"/>
      <c r="M883" s="614" t="n"/>
      <c r="N883" s="614" t="n"/>
      <c r="O883" s="614" t="n"/>
      <c r="P883" s="614" t="n"/>
      <c r="Q883" s="614" t="n"/>
      <c r="R883" s="614" t="n"/>
      <c r="S883" s="614" t="n"/>
      <c r="T883" s="614" t="n"/>
    </row>
    <row r="884">
      <c r="A884" s="610" t="n"/>
      <c r="B884" s="610" t="n"/>
      <c r="C884" s="610" t="n"/>
      <c r="D884" s="978" t="n"/>
      <c r="E884" s="610" t="n"/>
      <c r="F884" s="610" t="n"/>
      <c r="G884" s="610" t="n"/>
      <c r="H884" s="610" t="n"/>
      <c r="I884" s="610" t="n"/>
      <c r="J884" s="978" t="n"/>
      <c r="K884" s="615" t="n"/>
      <c r="L884" s="613" t="n"/>
      <c r="M884" s="614" t="n"/>
      <c r="N884" s="614" t="n"/>
      <c r="O884" s="614" t="n"/>
      <c r="P884" s="614" t="n"/>
      <c r="Q884" s="614" t="n"/>
      <c r="R884" s="614" t="n"/>
      <c r="S884" s="614" t="n"/>
      <c r="T884" s="614" t="n"/>
    </row>
    <row r="885">
      <c r="A885" s="610" t="n"/>
      <c r="B885" s="610" t="n"/>
      <c r="C885" s="610" t="n"/>
      <c r="D885" s="978" t="n"/>
      <c r="E885" s="610" t="n"/>
      <c r="F885" s="610" t="n"/>
      <c r="G885" s="610" t="n"/>
      <c r="H885" s="610" t="n"/>
      <c r="I885" s="610" t="n"/>
      <c r="J885" s="978" t="n"/>
      <c r="K885" s="615" t="n"/>
      <c r="L885" s="613" t="n"/>
      <c r="M885" s="614" t="n"/>
      <c r="N885" s="614" t="n"/>
      <c r="O885" s="614" t="n"/>
      <c r="P885" s="614" t="n"/>
      <c r="Q885" s="614" t="n"/>
      <c r="R885" s="614" t="n"/>
      <c r="S885" s="614" t="n"/>
      <c r="T885" s="614" t="n"/>
    </row>
    <row r="886">
      <c r="A886" s="610" t="n"/>
      <c r="B886" s="610" t="n"/>
      <c r="C886" s="610" t="n"/>
      <c r="D886" s="978" t="n"/>
      <c r="E886" s="610" t="n"/>
      <c r="F886" s="610" t="n"/>
      <c r="G886" s="610" t="n"/>
      <c r="H886" s="610" t="n"/>
      <c r="I886" s="610" t="n"/>
      <c r="J886" s="978" t="n"/>
      <c r="K886" s="615" t="n"/>
      <c r="L886" s="613" t="n"/>
      <c r="M886" s="614" t="n"/>
      <c r="N886" s="614" t="n"/>
      <c r="O886" s="614" t="n"/>
      <c r="P886" s="614" t="n"/>
      <c r="Q886" s="614" t="n"/>
      <c r="R886" s="614" t="n"/>
      <c r="S886" s="614" t="n"/>
      <c r="T886" s="614" t="n"/>
    </row>
    <row r="887">
      <c r="A887" s="610" t="n"/>
      <c r="B887" s="610" t="n"/>
      <c r="C887" s="610" t="n"/>
      <c r="D887" s="978" t="n"/>
      <c r="E887" s="610" t="n"/>
      <c r="F887" s="610" t="n"/>
      <c r="G887" s="610" t="n"/>
      <c r="H887" s="610" t="n"/>
      <c r="I887" s="610" t="n"/>
      <c r="J887" s="978" t="n"/>
      <c r="K887" s="615" t="n"/>
      <c r="L887" s="613" t="n"/>
      <c r="M887" s="614" t="n"/>
      <c r="N887" s="614" t="n"/>
      <c r="O887" s="614" t="n"/>
      <c r="P887" s="614" t="n"/>
      <c r="Q887" s="614" t="n"/>
      <c r="R887" s="614" t="n"/>
      <c r="S887" s="614" t="n"/>
      <c r="T887" s="614" t="n"/>
    </row>
    <row r="888">
      <c r="A888" s="610" t="n"/>
      <c r="B888" s="610" t="n"/>
      <c r="C888" s="610" t="n"/>
      <c r="D888" s="978" t="n"/>
      <c r="E888" s="610" t="n"/>
      <c r="F888" s="610" t="n"/>
      <c r="G888" s="610" t="n"/>
      <c r="H888" s="610" t="n"/>
      <c r="I888" s="610" t="n"/>
      <c r="J888" s="978" t="n"/>
      <c r="K888" s="615" t="n"/>
      <c r="L888" s="613" t="n"/>
      <c r="M888" s="614" t="n"/>
      <c r="N888" s="614" t="n"/>
      <c r="O888" s="614" t="n"/>
      <c r="P888" s="614" t="n"/>
      <c r="Q888" s="614" t="n"/>
      <c r="R888" s="614" t="n"/>
      <c r="S888" s="614" t="n"/>
      <c r="T888" s="614" t="n"/>
    </row>
    <row r="889">
      <c r="A889" s="610" t="n"/>
      <c r="B889" s="610" t="n"/>
      <c r="C889" s="610" t="n"/>
      <c r="D889" s="978" t="n"/>
      <c r="E889" s="610" t="n"/>
      <c r="F889" s="610" t="n"/>
      <c r="G889" s="610" t="n"/>
      <c r="H889" s="610" t="n"/>
      <c r="I889" s="610" t="n"/>
      <c r="J889" s="978" t="n"/>
      <c r="K889" s="615" t="n"/>
      <c r="L889" s="613" t="n"/>
      <c r="M889" s="614" t="n"/>
      <c r="N889" s="614" t="n"/>
      <c r="O889" s="614" t="n"/>
      <c r="P889" s="614" t="n"/>
      <c r="Q889" s="614" t="n"/>
      <c r="R889" s="614" t="n"/>
      <c r="S889" s="614" t="n"/>
      <c r="T889" s="614" t="n"/>
    </row>
    <row r="890">
      <c r="A890" s="610" t="n"/>
      <c r="B890" s="610" t="n"/>
      <c r="C890" s="610" t="n"/>
      <c r="D890" s="978" t="n"/>
      <c r="E890" s="610" t="n"/>
      <c r="F890" s="610" t="n"/>
      <c r="G890" s="610" t="n"/>
      <c r="H890" s="610" t="n"/>
      <c r="I890" s="610" t="n"/>
      <c r="J890" s="978" t="n"/>
      <c r="K890" s="615" t="n"/>
      <c r="L890" s="613" t="n"/>
      <c r="M890" s="614" t="n"/>
      <c r="N890" s="614" t="n"/>
      <c r="O890" s="614" t="n"/>
      <c r="P890" s="614" t="n"/>
      <c r="Q890" s="614" t="n"/>
      <c r="R890" s="614" t="n"/>
      <c r="S890" s="614" t="n"/>
      <c r="T890" s="614" t="n"/>
    </row>
    <row r="891">
      <c r="A891" s="610" t="n"/>
      <c r="B891" s="610" t="n"/>
      <c r="C891" s="610" t="n"/>
      <c r="D891" s="978" t="n"/>
      <c r="E891" s="610" t="n"/>
      <c r="F891" s="610" t="n"/>
      <c r="G891" s="610" t="n"/>
      <c r="H891" s="610" t="n"/>
      <c r="I891" s="610" t="n"/>
      <c r="J891" s="978" t="n"/>
      <c r="K891" s="615" t="n"/>
      <c r="L891" s="613" t="n"/>
      <c r="M891" s="614" t="n"/>
      <c r="N891" s="614" t="n"/>
      <c r="O891" s="614" t="n"/>
      <c r="P891" s="614" t="n"/>
      <c r="Q891" s="614" t="n"/>
      <c r="R891" s="614" t="n"/>
      <c r="S891" s="614" t="n"/>
      <c r="T891" s="614" t="n"/>
    </row>
    <row r="892">
      <c r="A892" s="610" t="n"/>
      <c r="B892" s="610" t="n"/>
      <c r="C892" s="610" t="n"/>
      <c r="D892" s="978" t="n"/>
      <c r="E892" s="610" t="n"/>
      <c r="F892" s="610" t="n"/>
      <c r="G892" s="610" t="n"/>
      <c r="H892" s="610" t="n"/>
      <c r="I892" s="610" t="n"/>
      <c r="J892" s="978" t="n"/>
      <c r="K892" s="615" t="n"/>
      <c r="L892" s="613" t="n"/>
      <c r="M892" s="614" t="n"/>
      <c r="N892" s="614" t="n"/>
      <c r="O892" s="614" t="n"/>
      <c r="P892" s="614" t="n"/>
      <c r="Q892" s="614" t="n"/>
      <c r="R892" s="614" t="n"/>
      <c r="S892" s="614" t="n"/>
      <c r="T892" s="614" t="n"/>
    </row>
    <row r="893">
      <c r="A893" s="610" t="n"/>
      <c r="B893" s="610" t="n"/>
      <c r="C893" s="610" t="n"/>
      <c r="D893" s="978" t="n"/>
      <c r="E893" s="610" t="n"/>
      <c r="F893" s="610" t="n"/>
      <c r="G893" s="610" t="n"/>
      <c r="H893" s="610" t="n"/>
      <c r="I893" s="610" t="n"/>
      <c r="J893" s="978" t="n"/>
      <c r="K893" s="615" t="n"/>
      <c r="L893" s="613" t="n"/>
      <c r="M893" s="614" t="n"/>
      <c r="N893" s="614" t="n"/>
      <c r="O893" s="614" t="n"/>
      <c r="P893" s="614" t="n"/>
      <c r="Q893" s="614" t="n"/>
      <c r="R893" s="614" t="n"/>
      <c r="S893" s="614" t="n"/>
      <c r="T893" s="614" t="n"/>
    </row>
    <row r="894">
      <c r="A894" s="610" t="n"/>
      <c r="B894" s="610" t="n"/>
      <c r="C894" s="610" t="n"/>
      <c r="D894" s="978" t="n"/>
      <c r="E894" s="610" t="n"/>
      <c r="F894" s="610" t="n"/>
      <c r="G894" s="610" t="n"/>
      <c r="H894" s="610" t="n"/>
      <c r="I894" s="610" t="n"/>
      <c r="J894" s="978" t="n"/>
      <c r="K894" s="615" t="n"/>
      <c r="L894" s="613" t="n"/>
      <c r="M894" s="614" t="n"/>
      <c r="N894" s="614" t="n"/>
      <c r="O894" s="614" t="n"/>
      <c r="P894" s="614" t="n"/>
      <c r="Q894" s="614" t="n"/>
      <c r="R894" s="614" t="n"/>
      <c r="S894" s="614" t="n"/>
      <c r="T894" s="614" t="n"/>
    </row>
    <row r="895">
      <c r="A895" s="610" t="n"/>
      <c r="B895" s="610" t="n"/>
      <c r="C895" s="610" t="n"/>
      <c r="D895" s="978" t="n"/>
      <c r="E895" s="610" t="n"/>
      <c r="F895" s="610" t="n"/>
      <c r="G895" s="610" t="n"/>
      <c r="H895" s="610" t="n"/>
      <c r="I895" s="610" t="n"/>
      <c r="J895" s="978" t="n"/>
      <c r="K895" s="615" t="n"/>
      <c r="L895" s="613" t="n"/>
      <c r="M895" s="614" t="n"/>
      <c r="N895" s="614" t="n"/>
      <c r="O895" s="614" t="n"/>
      <c r="P895" s="614" t="n"/>
      <c r="Q895" s="614" t="n"/>
      <c r="R895" s="614" t="n"/>
      <c r="S895" s="614" t="n"/>
      <c r="T895" s="614" t="n"/>
    </row>
    <row r="896">
      <c r="A896" s="610" t="n"/>
      <c r="B896" s="610" t="n"/>
      <c r="C896" s="610" t="n"/>
      <c r="D896" s="978" t="n"/>
      <c r="E896" s="610" t="n"/>
      <c r="F896" s="610" t="n"/>
      <c r="G896" s="610" t="n"/>
      <c r="H896" s="610" t="n"/>
      <c r="I896" s="610" t="n"/>
      <c r="J896" s="978" t="n"/>
      <c r="K896" s="615" t="n"/>
      <c r="L896" s="613" t="n"/>
      <c r="M896" s="614" t="n"/>
      <c r="N896" s="614" t="n"/>
      <c r="O896" s="614" t="n"/>
      <c r="P896" s="614" t="n"/>
      <c r="Q896" s="614" t="n"/>
      <c r="R896" s="614" t="n"/>
      <c r="S896" s="614" t="n"/>
      <c r="T896" s="614" t="n"/>
    </row>
    <row r="897">
      <c r="A897" s="610" t="n"/>
      <c r="B897" s="610" t="n"/>
      <c r="C897" s="610" t="n"/>
      <c r="D897" s="978" t="n"/>
      <c r="E897" s="610" t="n"/>
      <c r="F897" s="610" t="n"/>
      <c r="G897" s="610" t="n"/>
      <c r="H897" s="610" t="n"/>
      <c r="I897" s="610" t="n"/>
      <c r="J897" s="978" t="n"/>
      <c r="K897" s="615" t="n"/>
      <c r="L897" s="613" t="n"/>
      <c r="M897" s="614" t="n"/>
      <c r="N897" s="614" t="n"/>
      <c r="O897" s="614" t="n"/>
      <c r="P897" s="614" t="n"/>
      <c r="Q897" s="614" t="n"/>
      <c r="R897" s="614" t="n"/>
      <c r="S897" s="614" t="n"/>
      <c r="T897" s="614" t="n"/>
    </row>
    <row r="898">
      <c r="A898" s="610" t="n"/>
      <c r="B898" s="610" t="n"/>
      <c r="C898" s="610" t="n"/>
      <c r="D898" s="978" t="n"/>
      <c r="E898" s="610" t="n"/>
      <c r="F898" s="610" t="n"/>
      <c r="G898" s="610" t="n"/>
      <c r="H898" s="610" t="n"/>
      <c r="I898" s="610" t="n"/>
      <c r="J898" s="978" t="n"/>
      <c r="K898" s="615" t="n"/>
      <c r="L898" s="613" t="n"/>
      <c r="M898" s="614" t="n"/>
      <c r="N898" s="614" t="n"/>
      <c r="O898" s="614" t="n"/>
      <c r="P898" s="614" t="n"/>
      <c r="Q898" s="614" t="n"/>
      <c r="R898" s="614" t="n"/>
      <c r="S898" s="614" t="n"/>
      <c r="T898" s="614" t="n"/>
    </row>
    <row r="899">
      <c r="A899" s="610" t="n"/>
      <c r="B899" s="610" t="n"/>
      <c r="C899" s="610" t="n"/>
      <c r="D899" s="978" t="n"/>
      <c r="E899" s="610" t="n"/>
      <c r="F899" s="610" t="n"/>
      <c r="G899" s="610" t="n"/>
      <c r="H899" s="610" t="n"/>
      <c r="I899" s="610" t="n"/>
      <c r="J899" s="978" t="n"/>
      <c r="K899" s="615" t="n"/>
      <c r="L899" s="613" t="n"/>
      <c r="M899" s="614" t="n"/>
      <c r="N899" s="614" t="n"/>
      <c r="O899" s="614" t="n"/>
      <c r="P899" s="614" t="n"/>
      <c r="Q899" s="614" t="n"/>
      <c r="R899" s="614" t="n"/>
      <c r="S899" s="614" t="n"/>
      <c r="T899" s="614" t="n"/>
    </row>
    <row r="900">
      <c r="A900" s="610" t="n"/>
      <c r="B900" s="610" t="n"/>
      <c r="C900" s="610" t="n"/>
      <c r="D900" s="978" t="n"/>
      <c r="E900" s="610" t="n"/>
      <c r="F900" s="610" t="n"/>
      <c r="G900" s="610" t="n"/>
      <c r="H900" s="610" t="n"/>
      <c r="I900" s="610" t="n"/>
      <c r="J900" s="978" t="n"/>
      <c r="K900" s="615" t="n"/>
      <c r="L900" s="613" t="n"/>
      <c r="M900" s="614" t="n"/>
      <c r="N900" s="614" t="n"/>
      <c r="O900" s="614" t="n"/>
      <c r="P900" s="614" t="n"/>
      <c r="Q900" s="614" t="n"/>
      <c r="R900" s="614" t="n"/>
      <c r="S900" s="614" t="n"/>
      <c r="T900" s="614" t="n"/>
    </row>
    <row r="901">
      <c r="A901" s="610" t="n"/>
      <c r="B901" s="610" t="n"/>
      <c r="C901" s="610" t="n"/>
      <c r="D901" s="978" t="n"/>
      <c r="E901" s="610" t="n"/>
      <c r="F901" s="610" t="n"/>
      <c r="G901" s="610" t="n"/>
      <c r="H901" s="610" t="n"/>
      <c r="I901" s="610" t="n"/>
      <c r="J901" s="978" t="n"/>
      <c r="K901" s="615" t="n"/>
      <c r="L901" s="613" t="n"/>
      <c r="M901" s="614" t="n"/>
      <c r="N901" s="614" t="n"/>
      <c r="O901" s="614" t="n"/>
      <c r="P901" s="614" t="n"/>
      <c r="Q901" s="614" t="n"/>
      <c r="R901" s="614" t="n"/>
      <c r="S901" s="614" t="n"/>
      <c r="T901" s="614" t="n"/>
    </row>
    <row r="902">
      <c r="A902" s="610" t="n"/>
      <c r="B902" s="610" t="n"/>
      <c r="C902" s="610" t="n"/>
      <c r="D902" s="978" t="n"/>
      <c r="E902" s="610" t="n"/>
      <c r="F902" s="610" t="n"/>
      <c r="G902" s="610" t="n"/>
      <c r="H902" s="610" t="n"/>
      <c r="I902" s="610" t="n"/>
      <c r="J902" s="978" t="n"/>
      <c r="K902" s="615" t="n"/>
      <c r="L902" s="613" t="n"/>
      <c r="M902" s="614" t="n"/>
      <c r="N902" s="614" t="n"/>
      <c r="O902" s="614" t="n"/>
      <c r="P902" s="614" t="n"/>
      <c r="Q902" s="614" t="n"/>
      <c r="R902" s="614" t="n"/>
      <c r="S902" s="614" t="n"/>
      <c r="T902" s="614" t="n"/>
    </row>
    <row r="903">
      <c r="A903" s="610" t="n"/>
      <c r="B903" s="610" t="n"/>
      <c r="C903" s="610" t="n"/>
      <c r="D903" s="978" t="n"/>
      <c r="E903" s="610" t="n"/>
      <c r="F903" s="610" t="n"/>
      <c r="G903" s="610" t="n"/>
      <c r="H903" s="610" t="n"/>
      <c r="I903" s="610" t="n"/>
      <c r="J903" s="978" t="n"/>
      <c r="K903" s="615" t="n"/>
      <c r="L903" s="613" t="n"/>
      <c r="M903" s="614" t="n"/>
      <c r="N903" s="614" t="n"/>
      <c r="O903" s="614" t="n"/>
      <c r="P903" s="614" t="n"/>
      <c r="Q903" s="614" t="n"/>
      <c r="R903" s="614" t="n"/>
      <c r="S903" s="614" t="n"/>
      <c r="T903" s="614" t="n"/>
    </row>
    <row r="904">
      <c r="A904" s="610" t="n"/>
      <c r="B904" s="610" t="n"/>
      <c r="C904" s="610" t="n"/>
      <c r="D904" s="978" t="n"/>
      <c r="E904" s="610" t="n"/>
      <c r="F904" s="610" t="n"/>
      <c r="G904" s="610" t="n"/>
      <c r="H904" s="610" t="n"/>
      <c r="I904" s="610" t="n"/>
      <c r="J904" s="978" t="n"/>
      <c r="K904" s="615" t="n"/>
      <c r="L904" s="613" t="n"/>
      <c r="M904" s="614" t="n"/>
      <c r="N904" s="614" t="n"/>
      <c r="O904" s="614" t="n"/>
      <c r="P904" s="614" t="n"/>
      <c r="Q904" s="614" t="n"/>
      <c r="R904" s="614" t="n"/>
      <c r="S904" s="614" t="n"/>
      <c r="T904" s="614" t="n"/>
    </row>
    <row r="905">
      <c r="A905" s="610" t="n"/>
      <c r="B905" s="610" t="n"/>
      <c r="C905" s="610" t="n"/>
      <c r="D905" s="978" t="n"/>
      <c r="E905" s="610" t="n"/>
      <c r="F905" s="610" t="n"/>
      <c r="G905" s="610" t="n"/>
      <c r="H905" s="610" t="n"/>
      <c r="I905" s="610" t="n"/>
      <c r="J905" s="978" t="n"/>
      <c r="K905" s="615" t="n"/>
      <c r="L905" s="613" t="n"/>
      <c r="M905" s="614" t="n"/>
      <c r="N905" s="614" t="n"/>
      <c r="O905" s="614" t="n"/>
      <c r="P905" s="614" t="n"/>
      <c r="Q905" s="614" t="n"/>
      <c r="R905" s="614" t="n"/>
      <c r="S905" s="614" t="n"/>
      <c r="T905" s="614" t="n"/>
    </row>
    <row r="906">
      <c r="A906" s="610" t="n"/>
      <c r="B906" s="610" t="n"/>
      <c r="C906" s="610" t="n"/>
      <c r="D906" s="978" t="n"/>
      <c r="E906" s="610" t="n"/>
      <c r="F906" s="610" t="n"/>
      <c r="G906" s="610" t="n"/>
      <c r="H906" s="610" t="n"/>
      <c r="I906" s="610" t="n"/>
      <c r="J906" s="978" t="n"/>
      <c r="K906" s="615" t="n"/>
      <c r="L906" s="613" t="n"/>
      <c r="M906" s="614" t="n"/>
      <c r="N906" s="614" t="n"/>
      <c r="O906" s="614" t="n"/>
      <c r="P906" s="614" t="n"/>
      <c r="Q906" s="614" t="n"/>
      <c r="R906" s="614" t="n"/>
      <c r="S906" s="614" t="n"/>
      <c r="T906" s="614" t="n"/>
    </row>
    <row r="907">
      <c r="A907" s="610" t="n"/>
      <c r="B907" s="610" t="n"/>
      <c r="C907" s="610" t="n"/>
      <c r="D907" s="978" t="n"/>
      <c r="E907" s="610" t="n"/>
      <c r="F907" s="610" t="n"/>
      <c r="G907" s="610" t="n"/>
      <c r="H907" s="610" t="n"/>
      <c r="I907" s="610" t="n"/>
      <c r="J907" s="978" t="n"/>
      <c r="K907" s="615" t="n"/>
      <c r="L907" s="613" t="n"/>
      <c r="M907" s="614" t="n"/>
      <c r="N907" s="614" t="n"/>
      <c r="O907" s="614" t="n"/>
      <c r="P907" s="614" t="n"/>
      <c r="Q907" s="614" t="n"/>
      <c r="R907" s="614" t="n"/>
      <c r="S907" s="614" t="n"/>
      <c r="T907" s="614" t="n"/>
    </row>
    <row r="908">
      <c r="A908" s="610" t="n"/>
      <c r="B908" s="610" t="n"/>
      <c r="C908" s="610" t="n"/>
      <c r="D908" s="978" t="n"/>
      <c r="E908" s="610" t="n"/>
      <c r="F908" s="610" t="n"/>
      <c r="G908" s="610" t="n"/>
      <c r="H908" s="610" t="n"/>
      <c r="I908" s="610" t="n"/>
      <c r="J908" s="978" t="n"/>
      <c r="K908" s="615" t="n"/>
      <c r="L908" s="613" t="n"/>
      <c r="M908" s="614" t="n"/>
      <c r="N908" s="614" t="n"/>
      <c r="O908" s="614" t="n"/>
      <c r="P908" s="614" t="n"/>
      <c r="Q908" s="614" t="n"/>
      <c r="R908" s="614" t="n"/>
      <c r="S908" s="614" t="n"/>
      <c r="T908" s="614" t="n"/>
    </row>
    <row r="909">
      <c r="A909" s="610" t="n"/>
      <c r="B909" s="610" t="n"/>
      <c r="C909" s="610" t="n"/>
      <c r="D909" s="978" t="n"/>
      <c r="E909" s="610" t="n"/>
      <c r="F909" s="610" t="n"/>
      <c r="G909" s="610" t="n"/>
      <c r="H909" s="610" t="n"/>
      <c r="I909" s="610" t="n"/>
      <c r="J909" s="978" t="n"/>
      <c r="K909" s="615" t="n"/>
      <c r="L909" s="613" t="n"/>
      <c r="M909" s="614" t="n"/>
      <c r="N909" s="614" t="n"/>
      <c r="O909" s="614" t="n"/>
      <c r="P909" s="614" t="n"/>
      <c r="Q909" s="614" t="n"/>
      <c r="R909" s="614" t="n"/>
      <c r="S909" s="614" t="n"/>
      <c r="T909" s="614" t="n"/>
    </row>
    <row r="910">
      <c r="A910" s="610" t="n"/>
      <c r="B910" s="610" t="n"/>
      <c r="C910" s="610" t="n"/>
      <c r="D910" s="978" t="n"/>
      <c r="E910" s="610" t="n"/>
      <c r="F910" s="610" t="n"/>
      <c r="G910" s="610" t="n"/>
      <c r="H910" s="610" t="n"/>
      <c r="I910" s="610" t="n"/>
      <c r="J910" s="978" t="n"/>
      <c r="K910" s="615" t="n"/>
      <c r="L910" s="613" t="n"/>
      <c r="M910" s="614" t="n"/>
      <c r="N910" s="614" t="n"/>
      <c r="O910" s="614" t="n"/>
      <c r="P910" s="614" t="n"/>
      <c r="Q910" s="614" t="n"/>
      <c r="R910" s="614" t="n"/>
      <c r="S910" s="614" t="n"/>
      <c r="T910" s="614" t="n"/>
    </row>
    <row r="911">
      <c r="A911" s="610" t="n"/>
      <c r="B911" s="610" t="n"/>
      <c r="C911" s="610" t="n"/>
      <c r="D911" s="978" t="n"/>
      <c r="E911" s="610" t="n"/>
      <c r="F911" s="610" t="n"/>
      <c r="G911" s="610" t="n"/>
      <c r="H911" s="610" t="n"/>
      <c r="I911" s="610" t="n"/>
      <c r="J911" s="978" t="n"/>
      <c r="K911" s="615" t="n"/>
      <c r="L911" s="613" t="n"/>
      <c r="M911" s="614" t="n"/>
      <c r="N911" s="614" t="n"/>
      <c r="O911" s="614" t="n"/>
      <c r="P911" s="614" t="n"/>
      <c r="Q911" s="614" t="n"/>
      <c r="R911" s="614" t="n"/>
      <c r="S911" s="614" t="n"/>
      <c r="T911" s="614" t="n"/>
    </row>
    <row r="912">
      <c r="A912" s="610" t="n"/>
      <c r="B912" s="610" t="n"/>
      <c r="C912" s="610" t="n"/>
      <c r="D912" s="978" t="n"/>
      <c r="E912" s="610" t="n"/>
      <c r="F912" s="610" t="n"/>
      <c r="G912" s="610" t="n"/>
      <c r="H912" s="610" t="n"/>
      <c r="I912" s="610" t="n"/>
      <c r="J912" s="978" t="n"/>
      <c r="K912" s="615" t="n"/>
      <c r="L912" s="613" t="n"/>
      <c r="M912" s="614" t="n"/>
      <c r="N912" s="614" t="n"/>
      <c r="O912" s="614" t="n"/>
      <c r="P912" s="614" t="n"/>
      <c r="Q912" s="614" t="n"/>
      <c r="R912" s="614" t="n"/>
      <c r="S912" s="614" t="n"/>
      <c r="T912" s="614" t="n"/>
    </row>
    <row r="913">
      <c r="A913" s="610" t="n"/>
      <c r="B913" s="610" t="n"/>
      <c r="C913" s="610" t="n"/>
      <c r="D913" s="978" t="n"/>
      <c r="E913" s="610" t="n"/>
      <c r="F913" s="610" t="n"/>
      <c r="G913" s="610" t="n"/>
      <c r="H913" s="610" t="n"/>
      <c r="I913" s="610" t="n"/>
      <c r="J913" s="978" t="n"/>
      <c r="K913" s="615" t="n"/>
      <c r="L913" s="613" t="n"/>
      <c r="M913" s="614" t="n"/>
      <c r="N913" s="614" t="n"/>
      <c r="O913" s="614" t="n"/>
      <c r="P913" s="614" t="n"/>
      <c r="Q913" s="614" t="n"/>
      <c r="R913" s="614" t="n"/>
      <c r="S913" s="614" t="n"/>
      <c r="T913" s="614" t="n"/>
    </row>
    <row r="914">
      <c r="A914" s="610" t="n"/>
      <c r="B914" s="610" t="n"/>
      <c r="C914" s="610" t="n"/>
      <c r="D914" s="978" t="n"/>
      <c r="E914" s="610" t="n"/>
      <c r="F914" s="610" t="n"/>
      <c r="G914" s="610" t="n"/>
      <c r="H914" s="610" t="n"/>
      <c r="I914" s="610" t="n"/>
      <c r="J914" s="978" t="n"/>
      <c r="K914" s="615" t="n"/>
      <c r="L914" s="613" t="n"/>
      <c r="M914" s="614" t="n"/>
      <c r="N914" s="614" t="n"/>
      <c r="O914" s="614" t="n"/>
      <c r="P914" s="614" t="n"/>
      <c r="Q914" s="614" t="n"/>
      <c r="R914" s="614" t="n"/>
      <c r="S914" s="614" t="n"/>
      <c r="T914" s="614" t="n"/>
    </row>
    <row r="915">
      <c r="A915" s="610" t="n"/>
      <c r="B915" s="610" t="n"/>
      <c r="C915" s="610" t="n"/>
      <c r="D915" s="978" t="n"/>
      <c r="E915" s="610" t="n"/>
      <c r="F915" s="610" t="n"/>
      <c r="G915" s="610" t="n"/>
      <c r="H915" s="610" t="n"/>
      <c r="I915" s="610" t="n"/>
      <c r="J915" s="978" t="n"/>
      <c r="K915" s="615" t="n"/>
      <c r="L915" s="613" t="n"/>
      <c r="M915" s="614" t="n"/>
      <c r="N915" s="614" t="n"/>
      <c r="O915" s="614" t="n"/>
      <c r="P915" s="614" t="n"/>
      <c r="Q915" s="614" t="n"/>
      <c r="R915" s="614" t="n"/>
      <c r="S915" s="614" t="n"/>
      <c r="T915" s="614" t="n"/>
    </row>
    <row r="916">
      <c r="A916" s="610" t="n"/>
      <c r="B916" s="610" t="n"/>
      <c r="C916" s="610" t="n"/>
      <c r="D916" s="978" t="n"/>
      <c r="E916" s="610" t="n"/>
      <c r="F916" s="610" t="n"/>
      <c r="G916" s="610" t="n"/>
      <c r="H916" s="610" t="n"/>
      <c r="I916" s="610" t="n"/>
      <c r="J916" s="978" t="n"/>
      <c r="K916" s="615" t="n"/>
      <c r="L916" s="613" t="n"/>
      <c r="M916" s="614" t="n"/>
      <c r="N916" s="614" t="n"/>
      <c r="O916" s="614" t="n"/>
      <c r="P916" s="614" t="n"/>
      <c r="Q916" s="614" t="n"/>
      <c r="R916" s="614" t="n"/>
      <c r="S916" s="614" t="n"/>
      <c r="T916" s="614" t="n"/>
    </row>
  </sheetData>
  <pageMargins left="0.7" right="0.7" top="0.75" bottom="0.75" header="0.3" footer="0.3"/>
  <pageSetup orientation="portrait" paperSize="9" horizontalDpi="360" verticalDpi="36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Feuil6">
    <outlinePr summaryBelow="1" summaryRight="1"/>
    <pageSetUpPr/>
  </sheetPr>
  <dimension ref="A1:J220"/>
  <sheetViews>
    <sheetView workbookViewId="0">
      <pane ySplit="1" topLeftCell="A58" activePane="bottomLeft" state="frozen"/>
      <selection pane="bottomLeft" activeCell="K1" sqref="K1:L1048576"/>
    </sheetView>
  </sheetViews>
  <sheetFormatPr baseColWidth="10" defaultColWidth="11" defaultRowHeight="16"/>
  <cols>
    <col width="31.6640625" customWidth="1" min="1" max="1"/>
    <col width="13.1640625" customWidth="1" min="2" max="10"/>
  </cols>
  <sheetData>
    <row r="1" ht="57" customHeight="1">
      <c r="A1" s="4" t="inlineStr">
        <is>
          <t>Produit</t>
        </is>
      </c>
      <c r="B1" s="4" t="inlineStr">
        <is>
          <t>annee 1</t>
        </is>
      </c>
      <c r="C1" s="4" t="inlineStr">
        <is>
          <t>annee 2</t>
        </is>
      </c>
      <c r="D1" s="4" t="inlineStr">
        <is>
          <t>annee 3</t>
        </is>
      </c>
      <c r="E1" s="4" t="inlineStr">
        <is>
          <t>annee 4</t>
        </is>
      </c>
      <c r="F1" s="4" t="inlineStr">
        <is>
          <t>poids / unite</t>
        </is>
      </c>
      <c r="G1" s="4" t="inlineStr">
        <is>
          <t>annee 6</t>
        </is>
      </c>
      <c r="H1" s="4" t="inlineStr">
        <is>
          <t>annee 7</t>
        </is>
      </c>
      <c r="I1" s="4" t="inlineStr">
        <is>
          <t>annee 8</t>
        </is>
      </c>
      <c r="J1" s="4" t="inlineStr">
        <is>
          <t>annee 9</t>
        </is>
      </c>
    </row>
    <row r="2">
      <c r="A2" s="346" t="inlineStr">
        <is>
          <t>vinaigre de cidre</t>
        </is>
      </c>
      <c r="B2" s="979" t="n">
        <v>203.7757848519914</v>
      </c>
      <c r="C2" s="347" t="n">
        <v>203.7757848519914</v>
      </c>
      <c r="D2" s="347" t="n">
        <v>0</v>
      </c>
      <c r="E2" s="347" t="n">
        <v>0</v>
      </c>
      <c r="F2" s="347" t="n">
        <v>0</v>
      </c>
      <c r="G2" s="347" t="n">
        <v>0</v>
      </c>
      <c r="H2" s="347" t="n">
        <v>0</v>
      </c>
      <c r="I2" s="347" t="n">
        <v>0</v>
      </c>
      <c r="J2" s="347" t="n">
        <v>0</v>
      </c>
    </row>
    <row r="3">
      <c r="A3" s="650" t="inlineStr">
        <is>
          <t>cornichon</t>
        </is>
      </c>
      <c r="B3" s="980" t="n">
        <v>201.4208222410447</v>
      </c>
      <c r="C3" s="652" t="n">
        <v>201.4208222410447</v>
      </c>
      <c r="D3" s="652" t="n"/>
      <c r="E3" s="652" t="n"/>
      <c r="F3" s="652" t="n"/>
      <c r="G3" s="652" t="n"/>
      <c r="H3" s="652" t="n"/>
      <c r="I3" s="652" t="n"/>
      <c r="J3" s="652" t="n"/>
    </row>
    <row r="4">
      <c r="A4" s="132" t="inlineStr">
        <is>
          <t>graine cumin</t>
        </is>
      </c>
      <c r="B4" s="981" t="n">
        <v>37.60834275160971</v>
      </c>
      <c r="C4" s="257" t="n">
        <v>37.60834275160971</v>
      </c>
      <c r="D4" s="257" t="n">
        <v>0</v>
      </c>
      <c r="E4" s="257" t="n">
        <v>0</v>
      </c>
      <c r="F4" s="257" t="n">
        <v>0</v>
      </c>
      <c r="G4" s="257" t="n">
        <v>0</v>
      </c>
      <c r="H4" s="257" t="n">
        <v>0</v>
      </c>
      <c r="I4" s="257" t="n">
        <v>0</v>
      </c>
      <c r="J4" s="257" t="n">
        <v>0</v>
      </c>
    </row>
    <row r="5">
      <c r="A5" s="340" t="inlineStr">
        <is>
          <t>sel</t>
        </is>
      </c>
      <c r="B5" s="982" t="n">
        <v>34.27621509735141</v>
      </c>
      <c r="C5" s="341" t="n">
        <v>34.27621509735141</v>
      </c>
      <c r="D5" s="341" t="n">
        <v>0</v>
      </c>
      <c r="E5" s="341" t="n">
        <v>0</v>
      </c>
      <c r="F5" s="341" t="n">
        <v>0</v>
      </c>
      <c r="G5" s="341" t="n">
        <v>0</v>
      </c>
      <c r="H5" s="341" t="n">
        <v>0</v>
      </c>
      <c r="I5" s="341" t="n">
        <v>0</v>
      </c>
      <c r="J5" s="341" t="n">
        <v>0</v>
      </c>
    </row>
    <row r="6">
      <c r="A6" s="131" t="inlineStr">
        <is>
          <t>gingembre</t>
        </is>
      </c>
      <c r="B6" s="983" t="n">
        <v>23.51369056908756</v>
      </c>
      <c r="C6" s="256" t="n">
        <v>23.51369056908756</v>
      </c>
      <c r="D6" s="256" t="n">
        <v>0</v>
      </c>
      <c r="E6" s="256" t="n">
        <v>0</v>
      </c>
      <c r="F6" s="256" t="n">
        <v>0</v>
      </c>
      <c r="G6" s="256" t="n">
        <v>0</v>
      </c>
      <c r="H6" s="256" t="n">
        <v>0</v>
      </c>
      <c r="I6" s="256" t="n">
        <v>0</v>
      </c>
      <c r="J6" s="256" t="n">
        <v>0</v>
      </c>
    </row>
    <row r="7">
      <c r="A7" s="308" t="inlineStr">
        <is>
          <t>eau</t>
        </is>
      </c>
      <c r="B7" s="984" t="n">
        <v>23.4201008604774</v>
      </c>
      <c r="C7" s="309" t="n">
        <v>23.4201008604774</v>
      </c>
      <c r="D7" s="309" t="n">
        <v>0</v>
      </c>
      <c r="E7" s="309" t="n">
        <v>0</v>
      </c>
      <c r="F7" s="309" t="n">
        <v>0</v>
      </c>
      <c r="G7" s="309" t="n">
        <v>0</v>
      </c>
      <c r="H7" s="309" t="n">
        <v>0</v>
      </c>
      <c r="I7" s="309" t="n">
        <v>0</v>
      </c>
      <c r="J7" s="309" t="n">
        <v>0</v>
      </c>
    </row>
    <row r="8">
      <c r="A8" s="127" t="inlineStr">
        <is>
          <t>curcuma</t>
        </is>
      </c>
      <c r="B8" s="985" t="n">
        <v>14.98443732233432</v>
      </c>
      <c r="C8" s="252" t="n">
        <v>14.98443732233432</v>
      </c>
      <c r="D8" s="252" t="n">
        <v>0</v>
      </c>
      <c r="E8" s="252" t="n">
        <v>0</v>
      </c>
      <c r="F8" s="252" t="n">
        <v>0</v>
      </c>
      <c r="G8" s="252" t="n">
        <v>0</v>
      </c>
      <c r="H8" s="252" t="n">
        <v>0</v>
      </c>
      <c r="I8" s="252" t="n">
        <v>0</v>
      </c>
      <c r="J8" s="252" t="n">
        <v>0</v>
      </c>
    </row>
    <row r="9">
      <c r="A9" s="160" t="inlineStr">
        <is>
          <t>piment jalapeno vert</t>
        </is>
      </c>
      <c r="B9" s="986" t="n">
        <v>12.76595744680851</v>
      </c>
      <c r="C9" s="287" t="n">
        <v>12.76595744680851</v>
      </c>
      <c r="D9" s="287" t="n">
        <v>0</v>
      </c>
      <c r="E9" s="287" t="n">
        <v>0</v>
      </c>
      <c r="F9" s="287" t="n">
        <v>0</v>
      </c>
      <c r="G9" s="287" t="n">
        <v>0</v>
      </c>
      <c r="H9" s="287" t="n">
        <v>0</v>
      </c>
      <c r="I9" s="287" t="n">
        <v>0</v>
      </c>
      <c r="J9" s="287" t="n">
        <v>0</v>
      </c>
    </row>
    <row r="10">
      <c r="A10" s="138" t="inlineStr">
        <is>
          <t>graine de moutarde</t>
        </is>
      </c>
      <c r="B10" s="987" t="n">
        <v>12.28728757979917</v>
      </c>
      <c r="C10" s="263" t="n">
        <v>12.28728757979917</v>
      </c>
      <c r="D10" s="263" t="n">
        <v>0</v>
      </c>
      <c r="E10" s="263" t="n">
        <v>0</v>
      </c>
      <c r="F10" s="263" t="n">
        <v>0</v>
      </c>
      <c r="G10" s="263" t="n">
        <v>0</v>
      </c>
      <c r="H10" s="263" t="n">
        <v>0</v>
      </c>
      <c r="I10" s="263" t="n">
        <v>0</v>
      </c>
      <c r="J10" s="263" t="n">
        <v>0</v>
      </c>
    </row>
    <row r="11">
      <c r="A11" s="126" t="inlineStr">
        <is>
          <t>coriandre graine</t>
        </is>
      </c>
      <c r="B11" s="988" t="n">
        <v>11.89276685404558</v>
      </c>
      <c r="C11" s="251" t="n">
        <v>11.89276685404558</v>
      </c>
      <c r="D11" s="251" t="n">
        <v>0</v>
      </c>
      <c r="E11" s="251" t="n">
        <v>0</v>
      </c>
      <c r="F11" s="251" t="n">
        <v>0</v>
      </c>
      <c r="G11" s="251" t="n">
        <v>0</v>
      </c>
      <c r="H11" s="251" t="n">
        <v>0</v>
      </c>
      <c r="I11" s="251" t="n">
        <v>0</v>
      </c>
      <c r="J11" s="251" t="n">
        <v>0</v>
      </c>
    </row>
    <row r="12">
      <c r="A12" s="468" t="inlineStr">
        <is>
          <t>piment doux rouge</t>
        </is>
      </c>
      <c r="B12" s="989" t="n">
        <v>9.213469697021022</v>
      </c>
      <c r="C12" s="285" t="n">
        <v>9.213469697021022</v>
      </c>
      <c r="D12" s="285" t="n">
        <v>0</v>
      </c>
      <c r="E12" s="285" t="n">
        <v>0</v>
      </c>
      <c r="F12" s="285" t="n">
        <v>0</v>
      </c>
      <c r="G12" s="285" t="n">
        <v>0</v>
      </c>
      <c r="H12" s="285" t="n">
        <v>0</v>
      </c>
      <c r="I12" s="285" t="n">
        <v>0</v>
      </c>
      <c r="J12" s="285" t="n">
        <v>0</v>
      </c>
    </row>
    <row r="13">
      <c r="A13" s="157" t="inlineStr">
        <is>
          <t>piment de cayenne jaune</t>
        </is>
      </c>
      <c r="B13" s="990" t="n">
        <v>6.716417910447761</v>
      </c>
      <c r="C13" s="283" t="n">
        <v>6.716417910447761</v>
      </c>
      <c r="D13" s="283" t="n">
        <v>0</v>
      </c>
      <c r="E13" s="283" t="n">
        <v>0</v>
      </c>
      <c r="F13" s="283" t="n">
        <v>0</v>
      </c>
      <c r="G13" s="283" t="n">
        <v>0</v>
      </c>
      <c r="H13" s="283" t="n">
        <v>0</v>
      </c>
      <c r="I13" s="283" t="n">
        <v>0</v>
      </c>
      <c r="J13" s="283" t="n">
        <v>0</v>
      </c>
    </row>
    <row r="14">
      <c r="A14" s="163" t="inlineStr">
        <is>
          <t>piments rouge - THUNDER MOUNTAIN LONGHORN</t>
        </is>
      </c>
      <c r="B14" s="991" t="n">
        <v>6.338028169014084</v>
      </c>
      <c r="C14" s="290" t="n">
        <v>6.338028169014084</v>
      </c>
      <c r="D14" s="290" t="n">
        <v>0</v>
      </c>
      <c r="E14" s="290" t="n">
        <v>0</v>
      </c>
      <c r="F14" s="290" t="n">
        <v>0</v>
      </c>
      <c r="G14" s="290" t="n">
        <v>0</v>
      </c>
      <c r="H14" s="290" t="n">
        <v>0</v>
      </c>
      <c r="I14" s="290" t="n">
        <v>0</v>
      </c>
      <c r="J14" s="290" t="n">
        <v>0</v>
      </c>
    </row>
    <row r="15">
      <c r="A15" s="135" t="inlineStr">
        <is>
          <t>graine de carvi</t>
        </is>
      </c>
      <c r="B15" s="992" t="n">
        <v>5.669999999999999</v>
      </c>
      <c r="C15" s="260" t="n">
        <v>5.669999999999999</v>
      </c>
      <c r="D15" s="260" t="n">
        <v>0</v>
      </c>
      <c r="E15" s="260" t="n">
        <v>0</v>
      </c>
      <c r="F15" s="260" t="n">
        <v>0</v>
      </c>
      <c r="G15" s="260" t="n">
        <v>0</v>
      </c>
      <c r="H15" s="260" t="n">
        <v>0</v>
      </c>
      <c r="I15" s="260" t="n">
        <v>0</v>
      </c>
      <c r="J15" s="260" t="n">
        <v>0</v>
      </c>
    </row>
    <row r="16">
      <c r="A16" s="653" t="inlineStr">
        <is>
          <t>oignon rocambole</t>
        </is>
      </c>
      <c r="B16" s="993" t="n">
        <v>5.542359461599367</v>
      </c>
      <c r="C16" s="655" t="n">
        <v>5.542359461599367</v>
      </c>
      <c r="D16" s="655" t="n"/>
      <c r="E16" s="655" t="n"/>
      <c r="F16" s="655" t="n"/>
      <c r="G16" s="655" t="n"/>
      <c r="H16" s="655" t="n"/>
      <c r="I16" s="655" t="n"/>
      <c r="J16" s="655" t="n"/>
    </row>
    <row r="17">
      <c r="A17" s="153" t="inlineStr">
        <is>
          <t>oignon</t>
        </is>
      </c>
      <c r="B17" s="994" t="n">
        <v>3.098448423152443</v>
      </c>
      <c r="C17" s="279" t="n">
        <v>3.098448423152443</v>
      </c>
      <c r="D17" s="279" t="n">
        <v>0</v>
      </c>
      <c r="E17" s="279" t="n">
        <v>0</v>
      </c>
      <c r="F17" s="279" t="n">
        <v>0</v>
      </c>
      <c r="G17" s="279" t="n">
        <v>0</v>
      </c>
      <c r="H17" s="279" t="n">
        <v>0</v>
      </c>
      <c r="I17" s="279" t="n">
        <v>0</v>
      </c>
      <c r="J17" s="279" t="n">
        <v>0</v>
      </c>
    </row>
    <row r="18">
      <c r="A18" s="174" t="inlineStr">
        <is>
          <t>thym</t>
        </is>
      </c>
      <c r="B18" s="995" t="n">
        <v>2.43646408839779</v>
      </c>
      <c r="C18" s="301" t="n">
        <v>2.43646408839779</v>
      </c>
      <c r="D18" s="301" t="n">
        <v>0</v>
      </c>
      <c r="E18" s="301" t="n">
        <v>0</v>
      </c>
      <c r="F18" s="301" t="n">
        <v>0</v>
      </c>
      <c r="G18" s="301" t="n">
        <v>0</v>
      </c>
      <c r="H18" s="301" t="n">
        <v>0</v>
      </c>
      <c r="I18" s="301" t="n">
        <v>0</v>
      </c>
      <c r="J18" s="301" t="n">
        <v>0</v>
      </c>
    </row>
    <row r="19">
      <c r="A19" s="173" t="inlineStr">
        <is>
          <t>sumac</t>
        </is>
      </c>
      <c r="B19" s="996" t="n">
        <v>1.8</v>
      </c>
      <c r="C19" s="300" t="n">
        <v>1.8</v>
      </c>
      <c r="D19" s="300" t="n">
        <v>0</v>
      </c>
      <c r="E19" s="300" t="n">
        <v>0</v>
      </c>
      <c r="F19" s="300" t="n">
        <v>0</v>
      </c>
      <c r="G19" s="300" t="n">
        <v>0</v>
      </c>
      <c r="H19" s="300" t="n">
        <v>0</v>
      </c>
      <c r="I19" s="300" t="n">
        <v>0</v>
      </c>
      <c r="J19" s="300" t="n">
        <v>0</v>
      </c>
    </row>
    <row r="20">
      <c r="A20" s="117" t="inlineStr">
        <is>
          <t>basilic thaï</t>
        </is>
      </c>
      <c r="B20" s="997" t="n">
        <v>1.659574468085106</v>
      </c>
      <c r="C20" s="241" t="n">
        <v>1.659574468085106</v>
      </c>
      <c r="D20" s="241" t="n">
        <v>0</v>
      </c>
      <c r="E20" s="241" t="n">
        <v>0</v>
      </c>
      <c r="F20" s="241" t="n">
        <v>0</v>
      </c>
      <c r="G20" s="241" t="n">
        <v>0</v>
      </c>
      <c r="H20" s="241" t="n">
        <v>0</v>
      </c>
      <c r="I20" s="241" t="n">
        <v>0</v>
      </c>
      <c r="J20" s="241" t="n">
        <v>0</v>
      </c>
    </row>
    <row r="21">
      <c r="A21" s="647" t="inlineStr">
        <is>
          <t>estragon</t>
        </is>
      </c>
      <c r="B21" s="998" t="n">
        <v>1.330166270783848</v>
      </c>
      <c r="C21" s="649" t="n">
        <v>1.330166270783848</v>
      </c>
      <c r="D21" s="649" t="n"/>
      <c r="E21" s="649" t="n"/>
      <c r="F21" s="649" t="n"/>
      <c r="G21" s="649" t="n"/>
      <c r="H21" s="649" t="n"/>
      <c r="I21" s="649" t="n"/>
      <c r="J21" s="649" t="n"/>
    </row>
    <row r="22">
      <c r="A22" s="159" t="inlineStr">
        <is>
          <t>piment habanero violet</t>
        </is>
      </c>
      <c r="B22" s="999" t="n">
        <v>1.140845070422535</v>
      </c>
      <c r="C22" s="286" t="n">
        <v>1.140845070422535</v>
      </c>
      <c r="D22" s="286" t="n">
        <v>0</v>
      </c>
      <c r="E22" s="286" t="n">
        <v>0</v>
      </c>
      <c r="F22" s="286" t="n">
        <v>0</v>
      </c>
      <c r="G22" s="286" t="n">
        <v>0</v>
      </c>
      <c r="H22" s="286" t="n">
        <v>0</v>
      </c>
      <c r="I22" s="286" t="n">
        <v>0</v>
      </c>
      <c r="J22" s="286" t="n">
        <v>0</v>
      </c>
    </row>
    <row r="23">
      <c r="A23" s="154" t="inlineStr">
        <is>
          <t>origan</t>
        </is>
      </c>
      <c r="B23" s="1000" t="n">
        <v>0.9540883977900553</v>
      </c>
      <c r="C23" s="280" t="n">
        <v>0.9540883977900553</v>
      </c>
      <c r="D23" s="280" t="n">
        <v>0</v>
      </c>
      <c r="E23" s="280" t="n">
        <v>0</v>
      </c>
      <c r="F23" s="280" t="n">
        <v>0</v>
      </c>
      <c r="G23" s="280" t="n">
        <v>0</v>
      </c>
      <c r="H23" s="280" t="n">
        <v>0</v>
      </c>
      <c r="I23" s="280" t="n">
        <v>0</v>
      </c>
      <c r="J23" s="280" t="n">
        <v>0</v>
      </c>
    </row>
    <row r="24">
      <c r="A24" s="111" t="inlineStr">
        <is>
          <t>ail</t>
        </is>
      </c>
      <c r="B24" s="1001" t="n">
        <v>0.8593231027958798</v>
      </c>
      <c r="C24" s="234" t="n">
        <v>0.8593231027958798</v>
      </c>
      <c r="D24" s="234" t="n">
        <v>0</v>
      </c>
      <c r="E24" s="234" t="n">
        <v>0</v>
      </c>
      <c r="F24" s="234" t="n">
        <v>0</v>
      </c>
      <c r="G24" s="234" t="n">
        <v>0</v>
      </c>
      <c r="H24" s="234" t="n">
        <v>0</v>
      </c>
      <c r="I24" s="234" t="n">
        <v>0</v>
      </c>
      <c r="J24" s="234" t="n">
        <v>0</v>
      </c>
    </row>
    <row r="25">
      <c r="A25" s="129" t="inlineStr">
        <is>
          <t>figue</t>
        </is>
      </c>
      <c r="B25" s="1002" t="n">
        <v>0.7605633802816902</v>
      </c>
      <c r="C25" s="254" t="n">
        <v>0.7605633802816902</v>
      </c>
      <c r="D25" s="254" t="n">
        <v>0</v>
      </c>
      <c r="E25" s="254" t="n">
        <v>0</v>
      </c>
      <c r="F25" s="254" t="n">
        <v>0</v>
      </c>
      <c r="G25" s="254" t="n">
        <v>0</v>
      </c>
      <c r="H25" s="254" t="n">
        <v>0</v>
      </c>
      <c r="I25" s="254" t="n">
        <v>0</v>
      </c>
      <c r="J25" s="254" t="n">
        <v>0</v>
      </c>
    </row>
    <row r="26">
      <c r="A26" s="168" t="inlineStr">
        <is>
          <t>poivre noir</t>
        </is>
      </c>
      <c r="B26" s="1003" t="n">
        <v>0.4176201159355666</v>
      </c>
      <c r="C26" s="295" t="n">
        <v>0.4176201159355666</v>
      </c>
      <c r="D26" s="295" t="n">
        <v>0</v>
      </c>
      <c r="E26" s="295" t="n">
        <v>0</v>
      </c>
      <c r="F26" s="295" t="n">
        <v>0</v>
      </c>
      <c r="G26" s="295" t="n">
        <v>0</v>
      </c>
      <c r="H26" s="295" t="n">
        <v>0</v>
      </c>
      <c r="I26" s="295" t="n">
        <v>0</v>
      </c>
      <c r="J26" s="295" t="n">
        <v>0</v>
      </c>
    </row>
    <row r="27">
      <c r="A27" s="161" t="inlineStr">
        <is>
          <t>piment œil d'oiseau</t>
        </is>
      </c>
      <c r="B27" s="1004" t="n">
        <v>0.3214285714285714</v>
      </c>
      <c r="C27" s="288" t="n">
        <v>0.3214285714285714</v>
      </c>
      <c r="D27" s="288" t="n">
        <v>0</v>
      </c>
      <c r="E27" s="288" t="n">
        <v>0</v>
      </c>
      <c r="F27" s="288" t="n">
        <v>0</v>
      </c>
      <c r="G27" s="288" t="n">
        <v>0</v>
      </c>
      <c r="H27" s="288" t="n">
        <v>0</v>
      </c>
      <c r="I27" s="288" t="n">
        <v>0</v>
      </c>
      <c r="J27" s="288" t="n">
        <v>0</v>
      </c>
    </row>
    <row r="28">
      <c r="A28" s="128" t="inlineStr">
        <is>
          <t>feuilles de laurier</t>
        </is>
      </c>
      <c r="B28" s="1005" t="n">
        <v>0.2910465144383683</v>
      </c>
      <c r="C28" s="253" t="n">
        <v>0.2910465144383683</v>
      </c>
      <c r="D28" s="253" t="n">
        <v>0</v>
      </c>
      <c r="E28" s="253" t="n">
        <v>0</v>
      </c>
      <c r="F28" s="253" t="n">
        <v>0</v>
      </c>
      <c r="G28" s="253" t="n">
        <v>0</v>
      </c>
      <c r="H28" s="253" t="n">
        <v>0</v>
      </c>
      <c r="I28" s="253" t="n">
        <v>0</v>
      </c>
      <c r="J28" s="253" t="n">
        <v>0</v>
      </c>
    </row>
    <row r="29">
      <c r="A29" s="137" t="inlineStr">
        <is>
          <t>graine de fenugrec</t>
        </is>
      </c>
      <c r="B29" s="1006" t="n">
        <v>0.2892857142857143</v>
      </c>
      <c r="C29" s="262" t="n">
        <v>0.2892857142857143</v>
      </c>
      <c r="D29" s="262" t="n">
        <v>0</v>
      </c>
      <c r="E29" s="262" t="n">
        <v>0</v>
      </c>
      <c r="F29" s="262" t="n">
        <v>0</v>
      </c>
      <c r="G29" s="262" t="n">
        <v>0</v>
      </c>
      <c r="H29" s="262" t="n">
        <v>0</v>
      </c>
      <c r="I29" s="262" t="n">
        <v>0</v>
      </c>
      <c r="J29" s="262" t="n">
        <v>0</v>
      </c>
    </row>
    <row r="30">
      <c r="A30" s="330" t="inlineStr">
        <is>
          <t>piment violet fort - Purple Delight</t>
        </is>
      </c>
      <c r="B30" s="1007" t="n">
        <v>0.1267605633802817</v>
      </c>
      <c r="C30" s="331" t="n">
        <v>0.1267605633802817</v>
      </c>
      <c r="D30" s="331" t="n">
        <v>0</v>
      </c>
      <c r="E30" s="331" t="n">
        <v>0</v>
      </c>
      <c r="F30" s="331" t="n">
        <v>0</v>
      </c>
      <c r="G30" s="331" t="n">
        <v>0</v>
      </c>
      <c r="H30" s="331" t="n">
        <v>0</v>
      </c>
      <c r="I30" s="331" t="n">
        <v>0</v>
      </c>
      <c r="J30" s="331" t="n">
        <v>0</v>
      </c>
    </row>
    <row r="31">
      <c r="A31" s="165" t="inlineStr">
        <is>
          <t>poivre de sichuan</t>
        </is>
      </c>
      <c r="B31" s="1008" t="n">
        <v>0.1132170412613217</v>
      </c>
      <c r="C31" s="292" t="n">
        <v>0.1132170412613217</v>
      </c>
      <c r="D31" s="292" t="n">
        <v>0</v>
      </c>
      <c r="E31" s="292" t="n">
        <v>0</v>
      </c>
      <c r="F31" s="292" t="n">
        <v>0</v>
      </c>
      <c r="G31" s="292" t="n">
        <v>0</v>
      </c>
      <c r="H31" s="292" t="n">
        <v>0</v>
      </c>
      <c r="I31" s="292" t="n">
        <v>0</v>
      </c>
      <c r="J31" s="292" t="n">
        <v>0</v>
      </c>
    </row>
    <row r="32">
      <c r="A32" s="344" t="inlineStr">
        <is>
          <t>timut</t>
        </is>
      </c>
      <c r="B32" s="1009" t="n">
        <v>0.1132170412613217</v>
      </c>
      <c r="C32" s="345" t="n">
        <v>0.1132170412613217</v>
      </c>
      <c r="D32" s="345" t="n">
        <v>0</v>
      </c>
      <c r="E32" s="345" t="n">
        <v>0</v>
      </c>
      <c r="F32" s="345" t="n">
        <v>0</v>
      </c>
      <c r="G32" s="345" t="n">
        <v>0</v>
      </c>
      <c r="H32" s="345" t="n">
        <v>0</v>
      </c>
      <c r="I32" s="345" t="n">
        <v>0</v>
      </c>
      <c r="J32" s="345" t="n">
        <v>0</v>
      </c>
    </row>
    <row r="33">
      <c r="A33" s="177" t="inlineStr">
        <is>
          <t>aneth</t>
        </is>
      </c>
      <c r="B33" s="1010" t="n">
        <v>0.04528681650452868</v>
      </c>
      <c r="C33" s="237" t="n">
        <v>0.04528681650452868</v>
      </c>
      <c r="D33" s="237" t="n">
        <v>0</v>
      </c>
      <c r="E33" s="237" t="n">
        <v>0</v>
      </c>
      <c r="F33" s="237" t="n">
        <v>0</v>
      </c>
      <c r="G33" s="237" t="n">
        <v>0</v>
      </c>
      <c r="H33" s="237" t="n">
        <v>0</v>
      </c>
      <c r="I33" s="237" t="n">
        <v>0</v>
      </c>
      <c r="J33" s="237" t="n">
        <v>0</v>
      </c>
    </row>
    <row r="34">
      <c r="A34" s="119" t="inlineStr">
        <is>
          <t>cannelle</t>
        </is>
      </c>
      <c r="B34" s="1011" t="n">
        <v>0.0386266094420601</v>
      </c>
      <c r="C34" s="243" t="n">
        <v>0.0386266094420601</v>
      </c>
      <c r="D34" s="243" t="n">
        <v>0</v>
      </c>
      <c r="E34" s="243" t="n">
        <v>0</v>
      </c>
      <c r="F34" s="243" t="n">
        <v>0</v>
      </c>
      <c r="G34" s="243" t="n">
        <v>0</v>
      </c>
      <c r="H34" s="243" t="n">
        <v>0</v>
      </c>
      <c r="I34" s="243" t="n">
        <v>0</v>
      </c>
      <c r="J34" s="243" t="n">
        <v>0</v>
      </c>
    </row>
    <row r="35">
      <c r="A35" s="134" t="inlineStr">
        <is>
          <t>graine de cardamone</t>
        </is>
      </c>
      <c r="B35" s="1012" t="n">
        <v>0.03090128755364807</v>
      </c>
      <c r="C35" s="259" t="n">
        <v>0.03090128755364807</v>
      </c>
      <c r="D35" s="259" t="n">
        <v>0</v>
      </c>
      <c r="E35" s="259" t="n">
        <v>0</v>
      </c>
      <c r="F35" s="259" t="n">
        <v>0</v>
      </c>
      <c r="G35" s="259" t="n">
        <v>0</v>
      </c>
      <c r="H35" s="259" t="n">
        <v>0</v>
      </c>
      <c r="I35" s="259" t="n">
        <v>0</v>
      </c>
      <c r="J35" s="259" t="n">
        <v>0</v>
      </c>
    </row>
    <row r="36">
      <c r="A36" s="124" t="inlineStr">
        <is>
          <t>clous de girofle</t>
        </is>
      </c>
      <c r="B36" s="1013" t="n">
        <v>0.01931330472103005</v>
      </c>
      <c r="C36" s="249" t="n">
        <v>0.01931330472103005</v>
      </c>
      <c r="D36" s="249" t="n">
        <v>0</v>
      </c>
      <c r="E36" s="249" t="n">
        <v>0</v>
      </c>
      <c r="F36" s="249" t="n">
        <v>0</v>
      </c>
      <c r="G36" s="249" t="n">
        <v>0</v>
      </c>
      <c r="H36" s="249" t="n">
        <v>0</v>
      </c>
      <c r="I36" s="249" t="n">
        <v>0</v>
      </c>
      <c r="J36" s="249" t="n">
        <v>0</v>
      </c>
    </row>
    <row r="37">
      <c r="A37" s="175" t="inlineStr">
        <is>
          <t>tomate rouge</t>
        </is>
      </c>
      <c r="B37" s="1014" t="n">
        <v>0</v>
      </c>
      <c r="C37" s="302" t="n">
        <v>0</v>
      </c>
      <c r="D37" s="302" t="n">
        <v>0</v>
      </c>
      <c r="E37" s="302" t="n">
        <v>0</v>
      </c>
      <c r="F37" s="302" t="n">
        <v>0</v>
      </c>
      <c r="G37" s="302" t="n">
        <v>0</v>
      </c>
      <c r="H37" s="302" t="n">
        <v>0</v>
      </c>
      <c r="I37" s="302" t="n">
        <v>0</v>
      </c>
      <c r="J37" s="302" t="n">
        <v>0</v>
      </c>
    </row>
    <row r="38">
      <c r="A38" s="166" t="inlineStr">
        <is>
          <t>poivre de timut</t>
        </is>
      </c>
      <c r="B38" s="1015" t="n">
        <v>0</v>
      </c>
      <c r="C38" s="293" t="n">
        <v>0</v>
      </c>
      <c r="D38" s="293" t="n">
        <v>0</v>
      </c>
      <c r="E38" s="293" t="n">
        <v>0</v>
      </c>
      <c r="F38" s="293" t="n">
        <v>0</v>
      </c>
      <c r="G38" s="293" t="n">
        <v>0</v>
      </c>
      <c r="H38" s="293" t="n">
        <v>0</v>
      </c>
      <c r="I38" s="293" t="n">
        <v>0</v>
      </c>
      <c r="J38" s="293" t="n">
        <v>0</v>
      </c>
    </row>
    <row r="39">
      <c r="A39" s="167" t="inlineStr">
        <is>
          <t>poivre des moines</t>
        </is>
      </c>
      <c r="B39" s="1016" t="n">
        <v>0</v>
      </c>
      <c r="C39" s="294" t="n">
        <v>0</v>
      </c>
      <c r="D39" s="294" t="n">
        <v>0</v>
      </c>
      <c r="E39" s="294" t="n">
        <v>0</v>
      </c>
      <c r="F39" s="294" t="n">
        <v>0</v>
      </c>
      <c r="G39" s="294" t="n">
        <v>0</v>
      </c>
      <c r="H39" s="294" t="n">
        <v>0</v>
      </c>
      <c r="I39" s="294" t="n">
        <v>0</v>
      </c>
      <c r="J39" s="294" t="n">
        <v>0</v>
      </c>
    </row>
    <row r="40">
      <c r="A40" s="112" t="inlineStr">
        <is>
          <t>amande douce</t>
        </is>
      </c>
      <c r="B40" s="1017" t="n">
        <v>0</v>
      </c>
      <c r="C40" s="235" t="n">
        <v>0</v>
      </c>
      <c r="D40" s="235" t="n">
        <v>0</v>
      </c>
      <c r="E40" s="235" t="n">
        <v>0</v>
      </c>
      <c r="F40" s="235" t="n">
        <v>0</v>
      </c>
      <c r="G40" s="235" t="n">
        <v>0</v>
      </c>
      <c r="H40" s="235" t="n">
        <v>0</v>
      </c>
      <c r="I40" s="235" t="n">
        <v>0</v>
      </c>
      <c r="J40" s="235" t="n">
        <v>0</v>
      </c>
    </row>
    <row r="41">
      <c r="A41" s="113" t="inlineStr">
        <is>
          <t>amchur</t>
        </is>
      </c>
      <c r="B41" s="1018" t="n">
        <v>0</v>
      </c>
      <c r="C41" s="236" t="n">
        <v>0</v>
      </c>
      <c r="D41" s="236" t="n">
        <v>0</v>
      </c>
      <c r="E41" s="236" t="n">
        <v>0</v>
      </c>
      <c r="F41" s="236" t="n">
        <v>0</v>
      </c>
      <c r="G41" s="236" t="n">
        <v>0</v>
      </c>
      <c r="H41" s="236" t="n">
        <v>0</v>
      </c>
      <c r="I41" s="236" t="n">
        <v>0</v>
      </c>
      <c r="J41" s="236" t="n">
        <v>0</v>
      </c>
    </row>
    <row r="42">
      <c r="A42" s="114" t="inlineStr">
        <is>
          <t>anis etoile</t>
        </is>
      </c>
      <c r="B42" s="1019" t="n">
        <v>0</v>
      </c>
      <c r="C42" s="238" t="n">
        <v>0</v>
      </c>
      <c r="D42" s="238" t="n">
        <v>0</v>
      </c>
      <c r="E42" s="238" t="n">
        <v>0</v>
      </c>
      <c r="F42" s="238" t="n">
        <v>0</v>
      </c>
      <c r="G42" s="238" t="n">
        <v>0</v>
      </c>
      <c r="H42" s="238" t="n">
        <v>0</v>
      </c>
      <c r="I42" s="238" t="n">
        <v>0</v>
      </c>
      <c r="J42" s="238" t="n">
        <v>0</v>
      </c>
    </row>
    <row r="43">
      <c r="A43" s="115" t="inlineStr">
        <is>
          <t>asafoetida</t>
        </is>
      </c>
      <c r="B43" s="1020" t="n">
        <v>0</v>
      </c>
      <c r="C43" s="239" t="n">
        <v>0</v>
      </c>
      <c r="D43" s="239" t="n">
        <v>0</v>
      </c>
      <c r="E43" s="239" t="n">
        <v>0</v>
      </c>
      <c r="F43" s="239" t="n">
        <v>0</v>
      </c>
      <c r="G43" s="239" t="n">
        <v>0</v>
      </c>
      <c r="H43" s="239" t="n">
        <v>0</v>
      </c>
      <c r="I43" s="239" t="n">
        <v>0</v>
      </c>
      <c r="J43" s="239" t="n">
        <v>0</v>
      </c>
    </row>
    <row r="44">
      <c r="A44" s="116" t="inlineStr">
        <is>
          <t>basilic</t>
        </is>
      </c>
      <c r="B44" s="1021" t="n">
        <v>0</v>
      </c>
      <c r="C44" s="240" t="n">
        <v>0</v>
      </c>
      <c r="D44" s="240" t="n">
        <v>0</v>
      </c>
      <c r="E44" s="240" t="n">
        <v>0</v>
      </c>
      <c r="F44" s="240" t="n">
        <v>0</v>
      </c>
      <c r="G44" s="240" t="n">
        <v>0</v>
      </c>
      <c r="H44" s="240" t="n">
        <v>0</v>
      </c>
      <c r="I44" s="240" t="n">
        <v>0</v>
      </c>
      <c r="J44" s="240" t="n">
        <v>0</v>
      </c>
    </row>
    <row r="45">
      <c r="A45" s="118" t="inlineStr">
        <is>
          <t>cacahuètes grillees</t>
        </is>
      </c>
      <c r="B45" s="1022" t="n">
        <v>0</v>
      </c>
      <c r="C45" s="242" t="n">
        <v>0</v>
      </c>
      <c r="D45" s="242" t="n">
        <v>0</v>
      </c>
      <c r="E45" s="242" t="n">
        <v>0</v>
      </c>
      <c r="F45" s="242" t="n">
        <v>0</v>
      </c>
      <c r="G45" s="242" t="n">
        <v>0</v>
      </c>
      <c r="H45" s="242" t="n">
        <v>0</v>
      </c>
      <c r="I45" s="242" t="n">
        <v>0</v>
      </c>
      <c r="J45" s="242" t="n">
        <v>0</v>
      </c>
    </row>
    <row r="46">
      <c r="A46" s="120" t="inlineStr">
        <is>
          <t>casse</t>
        </is>
      </c>
      <c r="B46" s="1023" t="n">
        <v>0</v>
      </c>
      <c r="C46" s="244" t="n">
        <v>0</v>
      </c>
      <c r="D46" s="244" t="n">
        <v>0</v>
      </c>
      <c r="E46" s="244" t="n">
        <v>0</v>
      </c>
      <c r="F46" s="244" t="n">
        <v>0</v>
      </c>
      <c r="G46" s="244" t="n">
        <v>0</v>
      </c>
      <c r="H46" s="244" t="n">
        <v>0</v>
      </c>
      <c r="I46" s="244" t="n">
        <v>0</v>
      </c>
      <c r="J46" s="244" t="n">
        <v>0</v>
      </c>
    </row>
    <row r="47">
      <c r="A47" s="304" t="inlineStr">
        <is>
          <t>cassonade</t>
        </is>
      </c>
      <c r="B47" s="1024" t="n">
        <v>0</v>
      </c>
      <c r="C47" s="305" t="n">
        <v>0</v>
      </c>
      <c r="D47" s="305" t="n">
        <v>0</v>
      </c>
      <c r="E47" s="305" t="n">
        <v>0</v>
      </c>
      <c r="F47" s="305" t="n">
        <v>0</v>
      </c>
      <c r="G47" s="305" t="n">
        <v>0</v>
      </c>
      <c r="H47" s="305" t="n">
        <v>0</v>
      </c>
      <c r="I47" s="305" t="n">
        <v>0</v>
      </c>
      <c r="J47" s="305" t="n">
        <v>0</v>
      </c>
    </row>
    <row r="48">
      <c r="A48" s="176" t="inlineStr">
        <is>
          <t>celeri</t>
        </is>
      </c>
      <c r="B48" s="1025" t="n">
        <v>0</v>
      </c>
      <c r="C48" s="245" t="n">
        <v>0</v>
      </c>
      <c r="D48" s="245" t="n">
        <v>0</v>
      </c>
      <c r="E48" s="245" t="n">
        <v>0</v>
      </c>
      <c r="F48" s="245" t="n">
        <v>0</v>
      </c>
      <c r="G48" s="245" t="n">
        <v>0</v>
      </c>
      <c r="H48" s="245" t="n">
        <v>0</v>
      </c>
      <c r="I48" s="245" t="n">
        <v>0</v>
      </c>
      <c r="J48" s="245" t="n">
        <v>0</v>
      </c>
    </row>
    <row r="49">
      <c r="A49" s="306" t="inlineStr">
        <is>
          <t>celeri en poudre</t>
        </is>
      </c>
      <c r="B49" s="1026" t="n">
        <v>0</v>
      </c>
      <c r="C49" s="307" t="n">
        <v>0</v>
      </c>
      <c r="D49" s="307" t="n">
        <v>0</v>
      </c>
      <c r="E49" s="307" t="n">
        <v>0</v>
      </c>
      <c r="F49" s="307" t="n">
        <v>0</v>
      </c>
      <c r="G49" s="307" t="n">
        <v>0</v>
      </c>
      <c r="H49" s="307" t="n">
        <v>0</v>
      </c>
      <c r="I49" s="307" t="n">
        <v>0</v>
      </c>
      <c r="J49" s="307" t="n">
        <v>0</v>
      </c>
    </row>
    <row r="50">
      <c r="A50" s="121" t="inlineStr">
        <is>
          <t>chenpi (peau de mandarine sechee)</t>
        </is>
      </c>
      <c r="B50" s="1027" t="n">
        <v>0</v>
      </c>
      <c r="C50" s="246" t="n">
        <v>0</v>
      </c>
      <c r="D50" s="246" t="n">
        <v>0</v>
      </c>
      <c r="E50" s="246" t="n">
        <v>0</v>
      </c>
      <c r="F50" s="246" t="n">
        <v>0</v>
      </c>
      <c r="G50" s="246" t="n">
        <v>0</v>
      </c>
      <c r="H50" s="246" t="n">
        <v>0</v>
      </c>
      <c r="I50" s="246" t="n">
        <v>0</v>
      </c>
      <c r="J50" s="246" t="n">
        <v>0</v>
      </c>
    </row>
    <row r="51">
      <c r="A51" s="122" t="inlineStr">
        <is>
          <t>citron jaune</t>
        </is>
      </c>
      <c r="B51" s="1028" t="n">
        <v>0</v>
      </c>
      <c r="C51" s="247" t="n">
        <v>0</v>
      </c>
      <c r="D51" s="247" t="n">
        <v>0</v>
      </c>
      <c r="E51" s="247" t="n">
        <v>0</v>
      </c>
      <c r="F51" s="247" t="n">
        <v>0</v>
      </c>
      <c r="G51" s="247" t="n">
        <v>0</v>
      </c>
      <c r="H51" s="247" t="n">
        <v>0</v>
      </c>
      <c r="I51" s="247" t="n">
        <v>0</v>
      </c>
      <c r="J51" s="247" t="n">
        <v>0</v>
      </c>
    </row>
    <row r="52">
      <c r="A52" s="123" t="inlineStr">
        <is>
          <t>citron vert</t>
        </is>
      </c>
      <c r="B52" s="1029" t="n">
        <v>0</v>
      </c>
      <c r="C52" s="248" t="n">
        <v>0</v>
      </c>
      <c r="D52" s="248" t="n">
        <v>0</v>
      </c>
      <c r="E52" s="248" t="n">
        <v>0</v>
      </c>
      <c r="F52" s="248" t="n">
        <v>0</v>
      </c>
      <c r="G52" s="248" t="n">
        <v>0</v>
      </c>
      <c r="H52" s="248" t="n">
        <v>0</v>
      </c>
      <c r="I52" s="248" t="n">
        <v>0</v>
      </c>
      <c r="J52" s="248" t="n">
        <v>0</v>
      </c>
    </row>
    <row r="53">
      <c r="A53" s="125" t="inlineStr">
        <is>
          <t>coriandre feuille</t>
        </is>
      </c>
      <c r="B53" s="1030" t="n">
        <v>0</v>
      </c>
      <c r="C53" s="250" t="n">
        <v>0</v>
      </c>
      <c r="D53" s="250" t="n">
        <v>0</v>
      </c>
      <c r="E53" s="250" t="n">
        <v>0</v>
      </c>
      <c r="F53" s="250" t="n">
        <v>0</v>
      </c>
      <c r="G53" s="250" t="n">
        <v>0</v>
      </c>
      <c r="H53" s="250" t="n">
        <v>0</v>
      </c>
      <c r="I53" s="250" t="n">
        <v>0</v>
      </c>
      <c r="J53" s="250" t="n">
        <v>0</v>
      </c>
    </row>
    <row r="54">
      <c r="A54" s="310" t="inlineStr">
        <is>
          <t>feuille de 4 epices</t>
        </is>
      </c>
      <c r="B54" s="1031" t="n">
        <v>0</v>
      </c>
      <c r="C54" s="311" t="n">
        <v>0</v>
      </c>
      <c r="D54" s="311" t="n">
        <v>0</v>
      </c>
      <c r="E54" s="311" t="n">
        <v>0</v>
      </c>
      <c r="F54" s="311" t="n">
        <v>0</v>
      </c>
      <c r="G54" s="311" t="n">
        <v>0</v>
      </c>
      <c r="H54" s="311" t="n">
        <v>0</v>
      </c>
      <c r="I54" s="311" t="n">
        <v>0</v>
      </c>
      <c r="J54" s="311" t="n">
        <v>0</v>
      </c>
    </row>
    <row r="55">
      <c r="A55" s="312" t="inlineStr">
        <is>
          <t>Feuilles de cannelier</t>
        </is>
      </c>
      <c r="B55" s="1032" t="n">
        <v>0</v>
      </c>
      <c r="C55" s="313" t="n">
        <v>0</v>
      </c>
      <c r="D55" s="313" t="n">
        <v>0</v>
      </c>
      <c r="E55" s="313" t="n">
        <v>0</v>
      </c>
      <c r="F55" s="313" t="n">
        <v>0</v>
      </c>
      <c r="G55" s="313" t="n">
        <v>0</v>
      </c>
      <c r="H55" s="313" t="n">
        <v>0</v>
      </c>
      <c r="I55" s="313" t="n">
        <v>0</v>
      </c>
      <c r="J55" s="313" t="n">
        <v>0</v>
      </c>
    </row>
    <row r="56">
      <c r="A56" s="314" t="inlineStr">
        <is>
          <t>feuilles de curry</t>
        </is>
      </c>
      <c r="B56" s="1033" t="n">
        <v>0</v>
      </c>
      <c r="C56" s="315" t="n">
        <v>0</v>
      </c>
      <c r="D56" s="315" t="n">
        <v>0</v>
      </c>
      <c r="E56" s="315" t="n">
        <v>0</v>
      </c>
      <c r="F56" s="315" t="n">
        <v>0</v>
      </c>
      <c r="G56" s="315" t="n">
        <v>0</v>
      </c>
      <c r="H56" s="315" t="n">
        <v>0</v>
      </c>
      <c r="I56" s="315" t="n">
        <v>0</v>
      </c>
      <c r="J56" s="315" t="n">
        <v>0</v>
      </c>
    </row>
    <row r="57">
      <c r="A57" s="130" t="inlineStr">
        <is>
          <t>gaultheria Procumbens Leaf Oil</t>
        </is>
      </c>
      <c r="B57" s="1034" t="n">
        <v>0</v>
      </c>
      <c r="C57" s="255" t="n">
        <v>0</v>
      </c>
      <c r="D57" s="255" t="n">
        <v>0</v>
      </c>
      <c r="E57" s="255" t="n">
        <v>0</v>
      </c>
      <c r="F57" s="255" t="n">
        <v>0</v>
      </c>
      <c r="G57" s="255" t="n">
        <v>0</v>
      </c>
      <c r="H57" s="255" t="n">
        <v>0</v>
      </c>
      <c r="I57" s="255" t="n">
        <v>0</v>
      </c>
      <c r="J57" s="255" t="n">
        <v>0</v>
      </c>
    </row>
    <row r="58">
      <c r="A58" s="133" t="inlineStr">
        <is>
          <t>graine cumin noir</t>
        </is>
      </c>
      <c r="B58" s="1035" t="n">
        <v>0</v>
      </c>
      <c r="C58" s="258" t="n">
        <v>0</v>
      </c>
      <c r="D58" s="258" t="n">
        <v>0</v>
      </c>
      <c r="E58" s="258" t="n">
        <v>0</v>
      </c>
      <c r="F58" s="258" t="n">
        <v>0</v>
      </c>
      <c r="G58" s="258" t="n">
        <v>0</v>
      </c>
      <c r="H58" s="258" t="n">
        <v>0</v>
      </c>
      <c r="I58" s="258" t="n">
        <v>0</v>
      </c>
      <c r="J58" s="258" t="n">
        <v>0</v>
      </c>
    </row>
    <row r="59">
      <c r="A59" s="136" t="inlineStr">
        <is>
          <t>graine de fenouil</t>
        </is>
      </c>
      <c r="B59" s="1036" t="n">
        <v>0</v>
      </c>
      <c r="C59" s="261" t="n">
        <v>0</v>
      </c>
      <c r="D59" s="261" t="n">
        <v>0</v>
      </c>
      <c r="E59" s="261" t="n">
        <v>0</v>
      </c>
      <c r="F59" s="261" t="n">
        <v>0</v>
      </c>
      <c r="G59" s="261" t="n">
        <v>0</v>
      </c>
      <c r="H59" s="261" t="n">
        <v>0</v>
      </c>
      <c r="I59" s="261" t="n">
        <v>0</v>
      </c>
      <c r="J59" s="261" t="n">
        <v>0</v>
      </c>
    </row>
    <row r="60">
      <c r="A60" s="139" t="inlineStr">
        <is>
          <t>graine de moutarde noire</t>
        </is>
      </c>
      <c r="B60" s="1037" t="n">
        <v>0</v>
      </c>
      <c r="C60" s="264" t="n">
        <v>0</v>
      </c>
      <c r="D60" s="264" t="n">
        <v>0</v>
      </c>
      <c r="E60" s="264" t="n">
        <v>0</v>
      </c>
      <c r="F60" s="264" t="n">
        <v>0</v>
      </c>
      <c r="G60" s="264" t="n">
        <v>0</v>
      </c>
      <c r="H60" s="264" t="n">
        <v>0</v>
      </c>
      <c r="I60" s="264" t="n">
        <v>0</v>
      </c>
      <c r="J60" s="264" t="n">
        <v>0</v>
      </c>
    </row>
    <row r="61">
      <c r="A61" s="140" t="inlineStr">
        <is>
          <t>graine de nigelle</t>
        </is>
      </c>
      <c r="B61" s="1038" t="n">
        <v>0</v>
      </c>
      <c r="C61" s="265" t="n">
        <v>0</v>
      </c>
      <c r="D61" s="265" t="n">
        <v>0</v>
      </c>
      <c r="E61" s="265" t="n">
        <v>0</v>
      </c>
      <c r="F61" s="265" t="n">
        <v>0</v>
      </c>
      <c r="G61" s="265" t="n">
        <v>0</v>
      </c>
      <c r="H61" s="265" t="n">
        <v>0</v>
      </c>
      <c r="I61" s="265" t="n">
        <v>0</v>
      </c>
      <c r="J61" s="265" t="n">
        <v>0</v>
      </c>
    </row>
    <row r="62">
      <c r="A62" s="141" t="inlineStr">
        <is>
          <t>graine de sesame</t>
        </is>
      </c>
      <c r="B62" s="1039" t="n">
        <v>0</v>
      </c>
      <c r="C62" s="266" t="n">
        <v>0</v>
      </c>
      <c r="D62" s="266" t="n">
        <v>0</v>
      </c>
      <c r="E62" s="266" t="n">
        <v>0</v>
      </c>
      <c r="F62" s="266" t="n">
        <v>0</v>
      </c>
      <c r="G62" s="266" t="n">
        <v>0</v>
      </c>
      <c r="H62" s="266" t="n">
        <v>0</v>
      </c>
      <c r="I62" s="266" t="n">
        <v>0</v>
      </c>
      <c r="J62" s="266" t="n">
        <v>0</v>
      </c>
    </row>
    <row r="63">
      <c r="A63" s="316" t="inlineStr">
        <is>
          <t>graines de pavot</t>
        </is>
      </c>
      <c r="B63" s="1040" t="n">
        <v>0</v>
      </c>
      <c r="C63" s="317" t="n">
        <v>0</v>
      </c>
      <c r="D63" s="317" t="n">
        <v>0</v>
      </c>
      <c r="E63" s="317" t="n">
        <v>0</v>
      </c>
      <c r="F63" s="317" t="n">
        <v>0</v>
      </c>
      <c r="G63" s="317" t="n">
        <v>0</v>
      </c>
      <c r="H63" s="317" t="n">
        <v>0</v>
      </c>
      <c r="I63" s="317" t="n">
        <v>0</v>
      </c>
      <c r="J63" s="317" t="n">
        <v>0</v>
      </c>
    </row>
    <row r="64">
      <c r="A64" s="318" t="inlineStr">
        <is>
          <t>graines de sesame</t>
        </is>
      </c>
      <c r="B64" s="1041" t="n">
        <v>0</v>
      </c>
      <c r="C64" s="319" t="n">
        <v>0</v>
      </c>
      <c r="D64" s="319" t="n">
        <v>0</v>
      </c>
      <c r="E64" s="319" t="n">
        <v>0</v>
      </c>
      <c r="F64" s="319" t="n">
        <v>0</v>
      </c>
      <c r="G64" s="319" t="n">
        <v>0</v>
      </c>
      <c r="H64" s="319" t="n">
        <v>0</v>
      </c>
      <c r="I64" s="319" t="n">
        <v>0</v>
      </c>
      <c r="J64" s="319" t="n">
        <v>0</v>
      </c>
    </row>
    <row r="65">
      <c r="A65" s="142" t="inlineStr">
        <is>
          <t>grande ortie</t>
        </is>
      </c>
      <c r="B65" s="1042" t="n">
        <v>0</v>
      </c>
      <c r="C65" s="267" t="n">
        <v>0</v>
      </c>
      <c r="D65" s="267" t="n">
        <v>0</v>
      </c>
      <c r="E65" s="267" t="n">
        <v>0</v>
      </c>
      <c r="F65" s="267" t="n">
        <v>0</v>
      </c>
      <c r="G65" s="267" t="n">
        <v>0</v>
      </c>
      <c r="H65" s="267" t="n">
        <v>0</v>
      </c>
      <c r="I65" s="267" t="n">
        <v>0</v>
      </c>
      <c r="J65" s="267" t="n">
        <v>0</v>
      </c>
    </row>
    <row r="66">
      <c r="A66" s="143" t="inlineStr">
        <is>
          <t>harpagophytum procumbens</t>
        </is>
      </c>
      <c r="B66" s="1043" t="n">
        <v>0</v>
      </c>
      <c r="C66" s="268" t="n">
        <v>0</v>
      </c>
      <c r="D66" s="268" t="n">
        <v>0</v>
      </c>
      <c r="E66" s="268" t="n">
        <v>0</v>
      </c>
      <c r="F66" s="268" t="n">
        <v>0</v>
      </c>
      <c r="G66" s="268" t="n">
        <v>0</v>
      </c>
      <c r="H66" s="268" t="n">
        <v>0</v>
      </c>
      <c r="I66" s="268" t="n">
        <v>0</v>
      </c>
      <c r="J66" s="268" t="n">
        <v>0</v>
      </c>
    </row>
    <row r="67">
      <c r="A67" s="144" t="inlineStr">
        <is>
          <t>helichryse</t>
        </is>
      </c>
      <c r="B67" s="1044" t="n">
        <v>0</v>
      </c>
      <c r="C67" s="269" t="n">
        <v>0</v>
      </c>
      <c r="D67" s="269" t="n">
        <v>0</v>
      </c>
      <c r="E67" s="269" t="n">
        <v>0</v>
      </c>
      <c r="F67" s="269" t="n">
        <v>0</v>
      </c>
      <c r="G67" s="269" t="n">
        <v>0</v>
      </c>
      <c r="H67" s="269" t="n">
        <v>0</v>
      </c>
      <c r="I67" s="269" t="n">
        <v>0</v>
      </c>
      <c r="J67" s="269" t="n">
        <v>0</v>
      </c>
    </row>
    <row r="68">
      <c r="A68" s="320" t="inlineStr">
        <is>
          <t>huile d'olive</t>
        </is>
      </c>
      <c r="B68" s="1045" t="n">
        <v>0</v>
      </c>
      <c r="C68" s="321" t="n">
        <v>0</v>
      </c>
      <c r="D68" s="321" t="n">
        <v>0</v>
      </c>
      <c r="E68" s="321" t="n">
        <v>0</v>
      </c>
      <c r="F68" s="321" t="n">
        <v>0</v>
      </c>
      <c r="G68" s="321" t="n">
        <v>0</v>
      </c>
      <c r="H68" s="321" t="n">
        <v>0</v>
      </c>
      <c r="I68" s="321" t="n">
        <v>0</v>
      </c>
      <c r="J68" s="321" t="n">
        <v>0</v>
      </c>
    </row>
    <row r="69">
      <c r="A69" s="145" t="inlineStr">
        <is>
          <t>huile de sesame grille</t>
        </is>
      </c>
      <c r="B69" s="1046" t="n">
        <v>0</v>
      </c>
      <c r="C69" s="270" t="n">
        <v>0</v>
      </c>
      <c r="D69" s="270" t="n">
        <v>0</v>
      </c>
      <c r="E69" s="270" t="n">
        <v>0</v>
      </c>
      <c r="F69" s="270" t="n">
        <v>0</v>
      </c>
      <c r="G69" s="270" t="n">
        <v>0</v>
      </c>
      <c r="H69" s="270" t="n">
        <v>0</v>
      </c>
      <c r="I69" s="270" t="n">
        <v>0</v>
      </c>
      <c r="J69" s="270" t="n">
        <v>0</v>
      </c>
    </row>
    <row r="70">
      <c r="A70" s="322" t="inlineStr">
        <is>
          <t>huile de tournesol</t>
        </is>
      </c>
      <c r="B70" s="1047" t="n">
        <v>0</v>
      </c>
      <c r="C70" s="323" t="n">
        <v>0</v>
      </c>
      <c r="D70" s="323" t="n">
        <v>0</v>
      </c>
      <c r="E70" s="323" t="n">
        <v>0</v>
      </c>
      <c r="F70" s="323" t="n">
        <v>0</v>
      </c>
      <c r="G70" s="323" t="n">
        <v>0</v>
      </c>
      <c r="H70" s="323" t="n">
        <v>0</v>
      </c>
      <c r="I70" s="323" t="n">
        <v>0</v>
      </c>
      <c r="J70" s="323" t="n">
        <v>0</v>
      </c>
    </row>
    <row r="71">
      <c r="A71" s="146" t="inlineStr">
        <is>
          <t>jaggery</t>
        </is>
      </c>
      <c r="B71" s="1048" t="n">
        <v>0</v>
      </c>
      <c r="C71" s="271" t="n">
        <v>0</v>
      </c>
      <c r="D71" s="271" t="n">
        <v>0</v>
      </c>
      <c r="E71" s="271" t="n">
        <v>0</v>
      </c>
      <c r="F71" s="271" t="n">
        <v>0</v>
      </c>
      <c r="G71" s="271" t="n">
        <v>0</v>
      </c>
      <c r="H71" s="271" t="n">
        <v>0</v>
      </c>
      <c r="I71" s="271" t="n">
        <v>0</v>
      </c>
      <c r="J71" s="271" t="n">
        <v>0</v>
      </c>
    </row>
    <row r="72">
      <c r="A72" s="147" t="inlineStr">
        <is>
          <t>kala namak</t>
        </is>
      </c>
      <c r="B72" s="1049" t="n">
        <v>0</v>
      </c>
      <c r="C72" s="272" t="n">
        <v>0</v>
      </c>
      <c r="D72" s="272" t="n">
        <v>0</v>
      </c>
      <c r="E72" s="272" t="n">
        <v>0</v>
      </c>
      <c r="F72" s="272" t="n">
        <v>0</v>
      </c>
      <c r="G72" s="272" t="n">
        <v>0</v>
      </c>
      <c r="H72" s="272" t="n">
        <v>0</v>
      </c>
      <c r="I72" s="272" t="n">
        <v>0</v>
      </c>
      <c r="J72" s="272" t="n">
        <v>0</v>
      </c>
    </row>
    <row r="73">
      <c r="A73" s="148" t="inlineStr">
        <is>
          <t>lavande</t>
        </is>
      </c>
      <c r="B73" s="1050" t="n">
        <v>0</v>
      </c>
      <c r="C73" s="273" t="n">
        <v>0</v>
      </c>
      <c r="D73" s="273" t="n">
        <v>0</v>
      </c>
      <c r="E73" s="273" t="n">
        <v>0</v>
      </c>
      <c r="F73" s="273" t="n">
        <v>0</v>
      </c>
      <c r="G73" s="273" t="n">
        <v>0</v>
      </c>
      <c r="H73" s="273" t="n">
        <v>0</v>
      </c>
      <c r="I73" s="273" t="n">
        <v>0</v>
      </c>
      <c r="J73" s="273" t="n">
        <v>0</v>
      </c>
    </row>
    <row r="74">
      <c r="A74" s="149" t="inlineStr">
        <is>
          <t>macie</t>
        </is>
      </c>
      <c r="B74" s="1051" t="n">
        <v>0</v>
      </c>
      <c r="C74" s="274" t="n">
        <v>0</v>
      </c>
      <c r="D74" s="274" t="n">
        <v>0</v>
      </c>
      <c r="E74" s="274" t="n">
        <v>0</v>
      </c>
      <c r="F74" s="274" t="n">
        <v>0</v>
      </c>
      <c r="G74" s="274" t="n">
        <v>0</v>
      </c>
      <c r="H74" s="274" t="n">
        <v>0</v>
      </c>
      <c r="I74" s="274" t="n">
        <v>0</v>
      </c>
      <c r="J74" s="274" t="n">
        <v>0</v>
      </c>
    </row>
    <row r="75">
      <c r="A75" s="178" t="inlineStr">
        <is>
          <t>marjolaine</t>
        </is>
      </c>
      <c r="B75" s="1052" t="n">
        <v>0</v>
      </c>
      <c r="C75" s="275" t="n">
        <v>0</v>
      </c>
      <c r="D75" s="275" t="n">
        <v>0</v>
      </c>
      <c r="E75" s="275" t="n">
        <v>0</v>
      </c>
      <c r="F75" s="275" t="n">
        <v>0</v>
      </c>
      <c r="G75" s="275" t="n">
        <v>0</v>
      </c>
      <c r="H75" s="275" t="n">
        <v>0</v>
      </c>
      <c r="I75" s="275" t="n">
        <v>0</v>
      </c>
      <c r="J75" s="275" t="n">
        <v>0</v>
      </c>
    </row>
    <row r="76">
      <c r="A76" s="150" t="inlineStr">
        <is>
          <t>menthe verte</t>
        </is>
      </c>
      <c r="B76" s="1053" t="n">
        <v>0</v>
      </c>
      <c r="C76" s="276" t="n">
        <v>0</v>
      </c>
      <c r="D76" s="276" t="n">
        <v>0</v>
      </c>
      <c r="E76" s="276" t="n">
        <v>0</v>
      </c>
      <c r="F76" s="276" t="n">
        <v>0</v>
      </c>
      <c r="G76" s="276" t="n">
        <v>0</v>
      </c>
      <c r="H76" s="276" t="n">
        <v>0</v>
      </c>
      <c r="I76" s="276" t="n">
        <v>0</v>
      </c>
      <c r="J76" s="276" t="n">
        <v>0</v>
      </c>
    </row>
    <row r="77">
      <c r="A77" s="324" t="inlineStr">
        <is>
          <t>miel</t>
        </is>
      </c>
      <c r="B77" s="1054" t="n">
        <v>0</v>
      </c>
      <c r="C77" s="325" t="n">
        <v>0</v>
      </c>
      <c r="D77" s="325" t="n">
        <v>0</v>
      </c>
      <c r="E77" s="325" t="n">
        <v>0</v>
      </c>
      <c r="F77" s="325" t="n">
        <v>0</v>
      </c>
      <c r="G77" s="325" t="n">
        <v>0</v>
      </c>
      <c r="H77" s="325" t="n">
        <v>0</v>
      </c>
      <c r="I77" s="325" t="n">
        <v>0</v>
      </c>
      <c r="J77" s="325" t="n">
        <v>0</v>
      </c>
    </row>
    <row r="78">
      <c r="A78" s="151" t="inlineStr">
        <is>
          <t>muscade</t>
        </is>
      </c>
      <c r="B78" s="1055" t="n">
        <v>0</v>
      </c>
      <c r="C78" s="277" t="n">
        <v>0</v>
      </c>
      <c r="D78" s="277" t="n">
        <v>0</v>
      </c>
      <c r="E78" s="277" t="n">
        <v>0</v>
      </c>
      <c r="F78" s="277" t="n">
        <v>0</v>
      </c>
      <c r="G78" s="277" t="n">
        <v>0</v>
      </c>
      <c r="H78" s="277" t="n">
        <v>0</v>
      </c>
      <c r="I78" s="277" t="n">
        <v>0</v>
      </c>
      <c r="J78" s="277" t="n">
        <v>0</v>
      </c>
    </row>
    <row r="79">
      <c r="A79" s="152" t="inlineStr">
        <is>
          <t>noisette</t>
        </is>
      </c>
      <c r="B79" s="1056" t="n">
        <v>0</v>
      </c>
      <c r="C79" s="278" t="n">
        <v>0</v>
      </c>
      <c r="D79" s="278" t="n">
        <v>0</v>
      </c>
      <c r="E79" s="278" t="n">
        <v>0</v>
      </c>
      <c r="F79" s="278" t="n">
        <v>0</v>
      </c>
      <c r="G79" s="278" t="n">
        <v>0</v>
      </c>
      <c r="H79" s="278" t="n">
        <v>0</v>
      </c>
      <c r="I79" s="278" t="n">
        <v>0</v>
      </c>
      <c r="J79" s="278" t="n">
        <v>0</v>
      </c>
    </row>
    <row r="80">
      <c r="A80" s="326" t="inlineStr">
        <is>
          <t>nuoc-mâm</t>
        </is>
      </c>
      <c r="B80" s="1057" t="n">
        <v>0</v>
      </c>
      <c r="C80" s="327" t="n">
        <v>0</v>
      </c>
      <c r="D80" s="327" t="n">
        <v>0</v>
      </c>
      <c r="E80" s="327" t="n">
        <v>0</v>
      </c>
      <c r="F80" s="327" t="n">
        <v>0</v>
      </c>
      <c r="G80" s="327" t="n">
        <v>0</v>
      </c>
      <c r="H80" s="327" t="n">
        <v>0</v>
      </c>
      <c r="I80" s="327" t="n">
        <v>0</v>
      </c>
      <c r="J80" s="327" t="n">
        <v>0</v>
      </c>
    </row>
    <row r="81">
      <c r="A81" s="155" t="inlineStr">
        <is>
          <t>persil</t>
        </is>
      </c>
      <c r="B81" s="1058" t="n">
        <v>0</v>
      </c>
      <c r="C81" s="281" t="n">
        <v>0</v>
      </c>
      <c r="D81" s="281" t="n">
        <v>0</v>
      </c>
      <c r="E81" s="281" t="n">
        <v>0</v>
      </c>
      <c r="F81" s="281" t="n">
        <v>0</v>
      </c>
      <c r="G81" s="281" t="n">
        <v>0</v>
      </c>
      <c r="H81" s="281" t="n">
        <v>0</v>
      </c>
      <c r="I81" s="281" t="n">
        <v>0</v>
      </c>
      <c r="J81" s="281" t="n">
        <v>0</v>
      </c>
    </row>
    <row r="82">
      <c r="A82" s="156" t="inlineStr">
        <is>
          <t>petale de rose</t>
        </is>
      </c>
      <c r="B82" s="1059" t="n">
        <v>0</v>
      </c>
      <c r="C82" s="282" t="n">
        <v>0</v>
      </c>
      <c r="D82" s="282" t="n">
        <v>0</v>
      </c>
      <c r="E82" s="282" t="n">
        <v>0</v>
      </c>
      <c r="F82" s="282" t="n">
        <v>0</v>
      </c>
      <c r="G82" s="282" t="n">
        <v>0</v>
      </c>
      <c r="H82" s="282" t="n">
        <v>0</v>
      </c>
      <c r="I82" s="282" t="n">
        <v>0</v>
      </c>
      <c r="J82" s="282" t="n">
        <v>0</v>
      </c>
    </row>
    <row r="83">
      <c r="A83" s="328" t="inlineStr">
        <is>
          <t>piment ancho</t>
        </is>
      </c>
      <c r="B83" s="1060" t="n">
        <v>0</v>
      </c>
      <c r="C83" s="329" t="n">
        <v>0</v>
      </c>
      <c r="D83" s="329" t="n">
        <v>0</v>
      </c>
      <c r="E83" s="329" t="n">
        <v>0</v>
      </c>
      <c r="F83" s="329" t="n">
        <v>0</v>
      </c>
      <c r="G83" s="329" t="n">
        <v>0</v>
      </c>
      <c r="H83" s="329" t="n">
        <v>0</v>
      </c>
      <c r="I83" s="329" t="n">
        <v>0</v>
      </c>
      <c r="J83" s="329" t="n">
        <v>0</v>
      </c>
    </row>
    <row r="84">
      <c r="A84" s="158" t="inlineStr">
        <is>
          <t>piment de cayenne rouge</t>
        </is>
      </c>
      <c r="B84" s="1061" t="n">
        <v>0</v>
      </c>
      <c r="C84" s="284" t="n">
        <v>0</v>
      </c>
      <c r="D84" s="284" t="n">
        <v>0</v>
      </c>
      <c r="E84" s="284" t="n">
        <v>0</v>
      </c>
      <c r="F84" s="284" t="n">
        <v>0</v>
      </c>
      <c r="G84" s="284" t="n">
        <v>0</v>
      </c>
      <c r="H84" s="284" t="n">
        <v>0</v>
      </c>
      <c r="I84" s="284" t="n">
        <v>0</v>
      </c>
      <c r="J84" s="284" t="n">
        <v>0</v>
      </c>
    </row>
    <row r="85">
      <c r="A85" s="162" t="inlineStr">
        <is>
          <t>piments kashmiri</t>
        </is>
      </c>
      <c r="B85" s="1062" t="n">
        <v>0</v>
      </c>
      <c r="C85" s="289" t="n">
        <v>0</v>
      </c>
      <c r="D85" s="289" t="n">
        <v>0</v>
      </c>
      <c r="E85" s="289" t="n">
        <v>0</v>
      </c>
      <c r="F85" s="289" t="n">
        <v>0</v>
      </c>
      <c r="G85" s="289" t="n">
        <v>0</v>
      </c>
      <c r="H85" s="289" t="n">
        <v>0</v>
      </c>
      <c r="I85" s="289" t="n">
        <v>0</v>
      </c>
      <c r="J85" s="289" t="n">
        <v>0</v>
      </c>
    </row>
    <row r="86">
      <c r="A86" s="164" t="inlineStr">
        <is>
          <t>piments verts</t>
        </is>
      </c>
      <c r="B86" s="1063" t="n">
        <v>0</v>
      </c>
      <c r="C86" s="291" t="n">
        <v>0</v>
      </c>
      <c r="D86" s="291" t="n">
        <v>0</v>
      </c>
      <c r="E86" s="291" t="n">
        <v>0</v>
      </c>
      <c r="F86" s="291" t="n">
        <v>0</v>
      </c>
      <c r="G86" s="291" t="n">
        <v>0</v>
      </c>
      <c r="H86" s="291" t="n">
        <v>0</v>
      </c>
      <c r="I86" s="291" t="n">
        <v>0</v>
      </c>
      <c r="J86" s="291" t="n">
        <v>0</v>
      </c>
    </row>
    <row r="87">
      <c r="A87" s="332" t="inlineStr">
        <is>
          <t>poivre blanc</t>
        </is>
      </c>
      <c r="B87" s="1064" t="n">
        <v>0</v>
      </c>
      <c r="C87" s="333" t="n">
        <v>0</v>
      </c>
      <c r="D87" s="333" t="n">
        <v>0</v>
      </c>
      <c r="E87" s="333" t="n">
        <v>0</v>
      </c>
      <c r="F87" s="333" t="n">
        <v>0</v>
      </c>
      <c r="G87" s="333" t="n">
        <v>0</v>
      </c>
      <c r="H87" s="333" t="n">
        <v>0</v>
      </c>
      <c r="I87" s="333" t="n">
        <v>0</v>
      </c>
      <c r="J87" s="333" t="n">
        <v>0</v>
      </c>
    </row>
    <row r="88">
      <c r="A88" s="334" t="inlineStr">
        <is>
          <t>poivre de Jamaïque</t>
        </is>
      </c>
      <c r="B88" s="1065" t="n">
        <v>0</v>
      </c>
      <c r="C88" s="335" t="n">
        <v>0</v>
      </c>
      <c r="D88" s="335" t="n">
        <v>0</v>
      </c>
      <c r="E88" s="335" t="n">
        <v>0</v>
      </c>
      <c r="F88" s="335" t="n">
        <v>0</v>
      </c>
      <c r="G88" s="335" t="n">
        <v>0</v>
      </c>
      <c r="H88" s="335" t="n">
        <v>0</v>
      </c>
      <c r="I88" s="335" t="n">
        <v>0</v>
      </c>
      <c r="J88" s="335" t="n">
        <v>0</v>
      </c>
    </row>
    <row r="89">
      <c r="A89" s="336" t="inlineStr">
        <is>
          <t>quatre epices</t>
        </is>
      </c>
      <c r="B89" s="1066" t="n">
        <v>0</v>
      </c>
      <c r="C89" s="337" t="n">
        <v>0</v>
      </c>
      <c r="D89" s="337" t="n">
        <v>0</v>
      </c>
      <c r="E89" s="337" t="n">
        <v>0</v>
      </c>
      <c r="F89" s="337" t="n">
        <v>0</v>
      </c>
      <c r="G89" s="337" t="n">
        <v>0</v>
      </c>
      <c r="H89" s="337" t="n">
        <v>0</v>
      </c>
      <c r="I89" s="337" t="n">
        <v>0</v>
      </c>
      <c r="J89" s="337" t="n">
        <v>0</v>
      </c>
    </row>
    <row r="90">
      <c r="A90" s="169" t="inlineStr">
        <is>
          <t>romarin</t>
        </is>
      </c>
      <c r="B90" s="1067" t="n">
        <v>0</v>
      </c>
      <c r="C90" s="296" t="n">
        <v>0</v>
      </c>
      <c r="D90" s="296" t="n">
        <v>0</v>
      </c>
      <c r="E90" s="296" t="n">
        <v>0</v>
      </c>
      <c r="F90" s="296" t="n">
        <v>0</v>
      </c>
      <c r="G90" s="296" t="n">
        <v>0</v>
      </c>
      <c r="H90" s="296" t="n">
        <v>0</v>
      </c>
      <c r="I90" s="296" t="n">
        <v>0</v>
      </c>
      <c r="J90" s="296" t="n">
        <v>0</v>
      </c>
    </row>
    <row r="91">
      <c r="A91" s="338" t="inlineStr">
        <is>
          <t>safran</t>
        </is>
      </c>
      <c r="B91" s="1068" t="n">
        <v>0</v>
      </c>
      <c r="C91" s="339" t="n">
        <v>0</v>
      </c>
      <c r="D91" s="339" t="n">
        <v>0</v>
      </c>
      <c r="E91" s="339" t="n">
        <v>0</v>
      </c>
      <c r="F91" s="339" t="n">
        <v>0</v>
      </c>
      <c r="G91" s="339" t="n">
        <v>0</v>
      </c>
      <c r="H91" s="339" t="n">
        <v>0</v>
      </c>
      <c r="I91" s="339" t="n">
        <v>0</v>
      </c>
      <c r="J91" s="339" t="n">
        <v>0</v>
      </c>
    </row>
    <row r="92">
      <c r="A92" s="170" t="inlineStr">
        <is>
          <t>sarriette</t>
        </is>
      </c>
      <c r="B92" s="1069" t="n">
        <v>0</v>
      </c>
      <c r="C92" s="297" t="n">
        <v>0</v>
      </c>
      <c r="D92" s="297" t="n">
        <v>0</v>
      </c>
      <c r="E92" s="297" t="n">
        <v>0</v>
      </c>
      <c r="F92" s="297" t="n">
        <v>0</v>
      </c>
      <c r="G92" s="297" t="n">
        <v>0</v>
      </c>
      <c r="H92" s="297" t="n">
        <v>0</v>
      </c>
      <c r="I92" s="297" t="n">
        <v>0</v>
      </c>
      <c r="J92" s="297" t="n">
        <v>0</v>
      </c>
    </row>
    <row r="93">
      <c r="A93" s="171" t="inlineStr">
        <is>
          <t>sauce soja</t>
        </is>
      </c>
      <c r="B93" s="1070" t="n">
        <v>0</v>
      </c>
      <c r="C93" s="298" t="n">
        <v>0</v>
      </c>
      <c r="D93" s="298" t="n">
        <v>0</v>
      </c>
      <c r="E93" s="298" t="n">
        <v>0</v>
      </c>
      <c r="F93" s="298" t="n">
        <v>0</v>
      </c>
      <c r="G93" s="298" t="n">
        <v>0</v>
      </c>
      <c r="H93" s="298" t="n">
        <v>0</v>
      </c>
      <c r="I93" s="298" t="n">
        <v>0</v>
      </c>
      <c r="J93" s="298" t="n">
        <v>0</v>
      </c>
    </row>
    <row r="94">
      <c r="A94" s="172" t="inlineStr">
        <is>
          <t>sauge</t>
        </is>
      </c>
      <c r="B94" s="1071" t="n">
        <v>0</v>
      </c>
      <c r="C94" s="299" t="n">
        <v>0</v>
      </c>
      <c r="D94" s="299" t="n">
        <v>0</v>
      </c>
      <c r="E94" s="299" t="n">
        <v>0</v>
      </c>
      <c r="F94" s="299" t="n">
        <v>0</v>
      </c>
      <c r="G94" s="299" t="n">
        <v>0</v>
      </c>
      <c r="H94" s="299" t="n">
        <v>0</v>
      </c>
      <c r="I94" s="299" t="n">
        <v>0</v>
      </c>
      <c r="J94" s="299" t="n">
        <v>0</v>
      </c>
    </row>
    <row r="95">
      <c r="A95" s="342" t="inlineStr">
        <is>
          <t>sucre de palme</t>
        </is>
      </c>
      <c r="B95" s="1072" t="n">
        <v>0</v>
      </c>
      <c r="C95" s="343" t="n">
        <v>0</v>
      </c>
      <c r="D95" s="343" t="n">
        <v>0</v>
      </c>
      <c r="E95" s="343" t="n">
        <v>0</v>
      </c>
      <c r="F95" s="343" t="n">
        <v>0</v>
      </c>
      <c r="G95" s="343" t="n">
        <v>0</v>
      </c>
      <c r="H95" s="343" t="n">
        <v>0</v>
      </c>
      <c r="I95" s="343" t="n">
        <v>0</v>
      </c>
      <c r="J95" s="343" t="n">
        <v>0</v>
      </c>
    </row>
    <row r="96">
      <c r="A96" s="348" t="inlineStr">
        <is>
          <t>zeste d’orange seche</t>
        </is>
      </c>
      <c r="B96" s="1073" t="n">
        <v>0</v>
      </c>
      <c r="C96" s="349" t="n">
        <v>0</v>
      </c>
      <c r="D96" s="349" t="n">
        <v>0</v>
      </c>
      <c r="E96" s="349" t="n">
        <v>0</v>
      </c>
      <c r="F96" s="349" t="n">
        <v>0</v>
      </c>
      <c r="G96" s="349" t="n">
        <v>0</v>
      </c>
      <c r="H96" s="349" t="n">
        <v>0</v>
      </c>
      <c r="I96" s="349" t="n">
        <v>0</v>
      </c>
      <c r="J96" s="349" t="n">
        <v>0</v>
      </c>
    </row>
    <row r="97">
      <c r="A97" s="469" t="inlineStr">
        <is>
          <t>monarde</t>
        </is>
      </c>
      <c r="B97" s="1074" t="n">
        <v>0</v>
      </c>
      <c r="C97" s="471" t="n">
        <v>0</v>
      </c>
      <c r="D97" s="471" t="n">
        <v>0</v>
      </c>
      <c r="E97" s="471" t="n">
        <v>0</v>
      </c>
      <c r="F97" s="471" t="n">
        <v>0</v>
      </c>
      <c r="G97" s="471" t="n">
        <v>0</v>
      </c>
      <c r="H97" s="471" t="n">
        <v>0</v>
      </c>
      <c r="I97" s="471" t="n">
        <v>0</v>
      </c>
      <c r="J97" s="471" t="n">
        <v>0</v>
      </c>
    </row>
    <row r="98">
      <c r="A98" s="472" t="inlineStr">
        <is>
          <t>mauve</t>
        </is>
      </c>
      <c r="B98" s="1075" t="n">
        <v>0</v>
      </c>
      <c r="C98" s="474" t="n">
        <v>0</v>
      </c>
      <c r="D98" s="474" t="n"/>
      <c r="E98" s="474" t="n"/>
      <c r="F98" s="474" t="n"/>
      <c r="G98" s="474" t="n"/>
      <c r="H98" s="474" t="n"/>
      <c r="I98" s="474" t="n"/>
      <c r="J98" s="474" t="n"/>
    </row>
    <row r="99">
      <c r="A99" s="475" t="inlineStr">
        <is>
          <t>sureau</t>
        </is>
      </c>
      <c r="B99" s="1076" t="n">
        <v>0</v>
      </c>
      <c r="C99" s="477" t="n">
        <v>0</v>
      </c>
      <c r="D99" s="477" t="n"/>
      <c r="E99" s="477" t="n"/>
      <c r="F99" s="477" t="n"/>
      <c r="G99" s="477" t="n"/>
      <c r="H99" s="477" t="n"/>
      <c r="I99" s="477" t="n"/>
      <c r="J99" s="477" t="n"/>
    </row>
    <row r="100">
      <c r="A100" s="478" t="inlineStr">
        <is>
          <t>camomille romaine</t>
        </is>
      </c>
      <c r="B100" s="1077" t="n">
        <v>0</v>
      </c>
      <c r="C100" s="480" t="n">
        <v>0</v>
      </c>
      <c r="D100" s="480" t="n"/>
      <c r="E100" s="480" t="n"/>
      <c r="F100" s="480" t="n"/>
      <c r="G100" s="480" t="n"/>
      <c r="H100" s="480" t="n"/>
      <c r="I100" s="480" t="n"/>
      <c r="J100" s="480" t="n"/>
    </row>
    <row r="101">
      <c r="A101" s="481" t="inlineStr">
        <is>
          <t>bleuet</t>
        </is>
      </c>
      <c r="B101" s="1078" t="n">
        <v>0</v>
      </c>
      <c r="C101" s="483" t="n">
        <v>0</v>
      </c>
      <c r="D101" s="483" t="n"/>
      <c r="E101" s="483" t="n"/>
      <c r="F101" s="483" t="n"/>
      <c r="G101" s="483" t="n"/>
      <c r="H101" s="483" t="n"/>
      <c r="I101" s="483" t="n"/>
      <c r="J101" s="483" t="n"/>
    </row>
    <row r="102">
      <c r="A102" s="484" t="inlineStr">
        <is>
          <t>pensee</t>
        </is>
      </c>
      <c r="B102" s="1079" t="n">
        <v>0</v>
      </c>
      <c r="C102" s="486" t="n">
        <v>0</v>
      </c>
      <c r="D102" s="486" t="n"/>
      <c r="E102" s="486" t="n"/>
      <c r="F102" s="486" t="n"/>
      <c r="G102" s="486" t="n"/>
      <c r="H102" s="486" t="n"/>
      <c r="I102" s="486" t="n"/>
      <c r="J102" s="486" t="n"/>
    </row>
    <row r="103">
      <c r="A103" s="487" t="inlineStr">
        <is>
          <t>fleure helichrysum</t>
        </is>
      </c>
      <c r="B103" s="1080" t="n">
        <v>0</v>
      </c>
      <c r="C103" s="489" t="n">
        <v>0</v>
      </c>
      <c r="D103" s="489" t="n"/>
      <c r="E103" s="489" t="n"/>
      <c r="F103" s="489" t="n"/>
      <c r="G103" s="489" t="n"/>
      <c r="H103" s="489" t="n"/>
      <c r="I103" s="489" t="n"/>
      <c r="J103" s="489" t="n"/>
    </row>
    <row r="104">
      <c r="A104" s="490" t="inlineStr">
        <is>
          <t>hemerocalle</t>
        </is>
      </c>
      <c r="B104" s="1081" t="n">
        <v>0</v>
      </c>
      <c r="C104" s="492" t="n">
        <v>0</v>
      </c>
      <c r="D104" s="492" t="n"/>
      <c r="E104" s="492" t="n"/>
      <c r="F104" s="492" t="n"/>
      <c r="G104" s="492" t="n"/>
      <c r="H104" s="492" t="n"/>
      <c r="I104" s="492" t="n"/>
      <c r="J104" s="492" t="n"/>
    </row>
    <row r="105">
      <c r="A105" s="493" t="inlineStr">
        <is>
          <t>souci</t>
        </is>
      </c>
      <c r="B105" s="1082" t="n">
        <v>0</v>
      </c>
      <c r="C105" s="495" t="n">
        <v>0</v>
      </c>
      <c r="D105" s="495" t="n"/>
      <c r="E105" s="495" t="n"/>
      <c r="F105" s="495" t="n"/>
      <c r="G105" s="495" t="n"/>
      <c r="H105" s="495" t="n"/>
      <c r="I105" s="495" t="n"/>
      <c r="J105" s="495" t="n"/>
    </row>
    <row r="106">
      <c r="A106" s="496" t="inlineStr">
        <is>
          <t>rose</t>
        </is>
      </c>
      <c r="B106" s="1083" t="n">
        <v>0</v>
      </c>
      <c r="C106" s="498" t="n">
        <v>0</v>
      </c>
      <c r="D106" s="498" t="n"/>
      <c r="E106" s="498" t="n"/>
      <c r="F106" s="498" t="n"/>
      <c r="G106" s="498" t="n"/>
      <c r="H106" s="498" t="n"/>
      <c r="I106" s="498" t="n"/>
      <c r="J106" s="498" t="n"/>
    </row>
    <row r="107">
      <c r="A107" s="499" t="inlineStr">
        <is>
          <t>pelargonium geranium</t>
        </is>
      </c>
      <c r="B107" s="1084" t="n">
        <v>0</v>
      </c>
      <c r="C107" s="501" t="n">
        <v>0</v>
      </c>
      <c r="D107" s="501" t="n"/>
      <c r="E107" s="501" t="n"/>
      <c r="F107" s="501" t="n"/>
      <c r="G107" s="501" t="n"/>
      <c r="H107" s="501" t="n"/>
      <c r="I107" s="501" t="n"/>
      <c r="J107" s="501" t="n"/>
    </row>
    <row r="108">
      <c r="A108" s="502" t="inlineStr">
        <is>
          <t>oeillet d’Inde</t>
        </is>
      </c>
      <c r="B108" s="1085" t="n">
        <v>0</v>
      </c>
      <c r="C108" s="504" t="n">
        <v>0</v>
      </c>
      <c r="D108" s="504" t="n"/>
      <c r="E108" s="504" t="n"/>
      <c r="F108" s="504" t="n"/>
      <c r="G108" s="504" t="n"/>
      <c r="H108" s="504" t="n"/>
      <c r="I108" s="504" t="n"/>
      <c r="J108" s="504" t="n"/>
    </row>
    <row r="109">
      <c r="A109" s="505" t="inlineStr">
        <is>
          <t>hibiscus</t>
        </is>
      </c>
      <c r="B109" s="1086" t="n">
        <v>0</v>
      </c>
      <c r="C109" s="507" t="n">
        <v>0</v>
      </c>
      <c r="D109" s="507" t="n"/>
      <c r="E109" s="507" t="n"/>
      <c r="F109" s="507" t="n"/>
      <c r="G109" s="507" t="n"/>
      <c r="H109" s="507" t="n"/>
      <c r="I109" s="507" t="n"/>
      <c r="J109" s="507" t="n"/>
    </row>
    <row r="110">
      <c r="A110" s="508" t="inlineStr">
        <is>
          <t>agastache</t>
        </is>
      </c>
      <c r="B110" s="1087" t="n">
        <v>0</v>
      </c>
      <c r="C110" s="510" t="n">
        <v>0</v>
      </c>
      <c r="D110" s="510" t="n"/>
      <c r="E110" s="510" t="n"/>
      <c r="F110" s="510" t="n"/>
      <c r="G110" s="510" t="n"/>
      <c r="H110" s="510" t="n"/>
      <c r="I110" s="510" t="n"/>
      <c r="J110" s="510" t="n"/>
    </row>
    <row r="111">
      <c r="A111" s="644" t="inlineStr">
        <is>
          <t>lilas</t>
        </is>
      </c>
      <c r="B111" s="1088" t="n">
        <v>0</v>
      </c>
      <c r="C111" s="646" t="n">
        <v>0</v>
      </c>
      <c r="D111" s="646" t="n"/>
      <c r="E111" s="646" t="n"/>
      <c r="F111" s="646" t="n"/>
      <c r="G111" s="646" t="n"/>
      <c r="H111" s="646" t="n"/>
      <c r="I111" s="646" t="n"/>
      <c r="J111" s="646" t="n"/>
    </row>
    <row r="112">
      <c r="A112" s="138" t="inlineStr">
        <is>
          <t>choux</t>
        </is>
      </c>
      <c r="B112" s="987" t="n"/>
      <c r="C112" s="263" t="n"/>
      <c r="D112" s="263" t="n"/>
      <c r="E112" s="263" t="n"/>
      <c r="F112" s="263" t="n"/>
      <c r="G112" s="263" t="n"/>
      <c r="H112" s="263" t="n"/>
      <c r="I112" s="263" t="n"/>
      <c r="J112" s="263" t="n"/>
    </row>
    <row r="113">
      <c r="A113" s="653" t="n"/>
      <c r="B113" s="653" t="n"/>
      <c r="C113" s="653" t="n"/>
      <c r="D113" s="653" t="n"/>
      <c r="E113" s="653" t="n"/>
      <c r="F113" s="653" t="n"/>
      <c r="G113" s="653" t="n"/>
      <c r="H113" s="653" t="n"/>
      <c r="I113" s="653" t="n"/>
      <c r="J113" s="653" t="n"/>
    </row>
    <row r="114">
      <c r="A114" s="653" t="n"/>
      <c r="B114" s="653" t="n"/>
      <c r="C114" s="653" t="n"/>
      <c r="D114" s="653" t="n"/>
      <c r="E114" s="653" t="n"/>
      <c r="F114" s="653" t="n"/>
      <c r="G114" s="653" t="n"/>
      <c r="H114" s="653" t="n"/>
      <c r="I114" s="653" t="n"/>
      <c r="J114" s="653" t="n"/>
    </row>
    <row r="115">
      <c r="A115" s="653" t="n"/>
      <c r="B115" s="653" t="n"/>
      <c r="C115" s="653" t="n"/>
      <c r="D115" s="653" t="n"/>
      <c r="E115" s="653" t="n"/>
      <c r="F115" s="653" t="n"/>
      <c r="G115" s="653" t="n"/>
      <c r="H115" s="653" t="n"/>
      <c r="I115" s="653" t="n"/>
      <c r="J115" s="653" t="n"/>
    </row>
    <row r="116">
      <c r="A116" s="653" t="n"/>
      <c r="B116" s="653" t="n"/>
      <c r="C116" s="653" t="n"/>
      <c r="D116" s="653" t="n"/>
      <c r="E116" s="653" t="n"/>
      <c r="F116" s="653" t="n"/>
      <c r="G116" s="653" t="n"/>
      <c r="H116" s="653" t="n"/>
      <c r="I116" s="653" t="n"/>
      <c r="J116" s="653" t="n"/>
    </row>
    <row r="117">
      <c r="A117" s="653" t="n"/>
      <c r="B117" s="653" t="n"/>
      <c r="C117" s="653" t="n"/>
      <c r="D117" s="653" t="n"/>
      <c r="E117" s="653" t="n"/>
      <c r="F117" s="653" t="n"/>
      <c r="G117" s="653" t="n"/>
      <c r="H117" s="653" t="n"/>
      <c r="I117" s="653" t="n"/>
      <c r="J117" s="653" t="n"/>
    </row>
    <row r="118">
      <c r="A118" s="653" t="n"/>
      <c r="B118" s="653" t="n"/>
      <c r="C118" s="653" t="n"/>
      <c r="D118" s="653" t="n"/>
      <c r="E118" s="653" t="n"/>
      <c r="F118" s="653" t="n"/>
      <c r="G118" s="653" t="n"/>
      <c r="H118" s="653" t="n"/>
      <c r="I118" s="653" t="n"/>
      <c r="J118" s="653" t="n"/>
    </row>
    <row r="119">
      <c r="A119" s="653" t="n"/>
      <c r="B119" s="653" t="n"/>
      <c r="C119" s="653" t="n"/>
      <c r="D119" s="653" t="n"/>
      <c r="E119" s="653" t="n"/>
      <c r="F119" s="653" t="n"/>
      <c r="G119" s="653" t="n"/>
      <c r="H119" s="653" t="n"/>
      <c r="I119" s="653" t="n"/>
      <c r="J119" s="653" t="n"/>
    </row>
    <row r="120">
      <c r="A120" s="653" t="n"/>
      <c r="B120" s="653" t="n"/>
      <c r="C120" s="653" t="n"/>
      <c r="D120" s="653" t="n"/>
      <c r="E120" s="653" t="n"/>
      <c r="F120" s="653" t="n"/>
      <c r="G120" s="653" t="n"/>
      <c r="H120" s="653" t="n"/>
      <c r="I120" s="653" t="n"/>
      <c r="J120" s="653" t="n"/>
    </row>
    <row r="121">
      <c r="A121" s="653" t="n"/>
      <c r="B121" s="653" t="n"/>
      <c r="C121" s="653" t="n"/>
      <c r="D121" s="653" t="n"/>
      <c r="E121" s="653" t="n"/>
      <c r="F121" s="653" t="n"/>
      <c r="G121" s="653" t="n"/>
      <c r="H121" s="653" t="n"/>
      <c r="I121" s="653" t="n"/>
      <c r="J121" s="653" t="n"/>
    </row>
    <row r="122">
      <c r="A122" s="653" t="n"/>
      <c r="B122" s="653" t="n"/>
      <c r="C122" s="653" t="n"/>
      <c r="D122" s="653" t="n"/>
      <c r="E122" s="653" t="n"/>
      <c r="F122" s="653" t="n"/>
      <c r="G122" s="653" t="n"/>
      <c r="H122" s="653" t="n"/>
      <c r="I122" s="653" t="n"/>
      <c r="J122" s="653" t="n"/>
    </row>
    <row r="123">
      <c r="A123" s="653" t="n"/>
      <c r="B123" s="653" t="n"/>
      <c r="C123" s="653" t="n"/>
      <c r="D123" s="653" t="n"/>
      <c r="E123" s="653" t="n"/>
      <c r="F123" s="653" t="n"/>
      <c r="G123" s="653" t="n"/>
      <c r="H123" s="653" t="n"/>
      <c r="I123" s="653" t="n"/>
      <c r="J123" s="653" t="n"/>
    </row>
    <row r="124">
      <c r="A124" s="653" t="n"/>
      <c r="B124" s="653" t="n"/>
      <c r="C124" s="653" t="n"/>
      <c r="D124" s="653" t="n"/>
      <c r="E124" s="653" t="n"/>
      <c r="F124" s="653" t="n"/>
      <c r="G124" s="653" t="n"/>
      <c r="H124" s="653" t="n"/>
      <c r="I124" s="653" t="n"/>
      <c r="J124" s="653" t="n"/>
    </row>
    <row r="125">
      <c r="A125" s="653" t="n"/>
      <c r="B125" s="653" t="n"/>
      <c r="C125" s="653" t="n"/>
      <c r="D125" s="653" t="n"/>
      <c r="E125" s="653" t="n"/>
      <c r="F125" s="653" t="n"/>
      <c r="G125" s="653" t="n"/>
      <c r="H125" s="653" t="n"/>
      <c r="I125" s="653" t="n"/>
      <c r="J125" s="653" t="n"/>
    </row>
    <row r="126">
      <c r="A126" s="653" t="n"/>
      <c r="B126" s="653" t="n"/>
      <c r="C126" s="653" t="n"/>
      <c r="D126" s="653" t="n"/>
      <c r="E126" s="653" t="n"/>
      <c r="F126" s="653" t="n"/>
      <c r="G126" s="653" t="n"/>
      <c r="H126" s="653" t="n"/>
      <c r="I126" s="653" t="n"/>
      <c r="J126" s="653" t="n"/>
    </row>
    <row r="127">
      <c r="A127" s="653" t="n"/>
      <c r="B127" s="653" t="n"/>
      <c r="C127" s="653" t="n"/>
      <c r="D127" s="653" t="n"/>
      <c r="E127" s="653" t="n"/>
      <c r="F127" s="653" t="n"/>
      <c r="G127" s="653" t="n"/>
      <c r="H127" s="653" t="n"/>
      <c r="I127" s="653" t="n"/>
      <c r="J127" s="653" t="n"/>
    </row>
    <row r="128">
      <c r="A128" s="653" t="n"/>
      <c r="B128" s="653" t="n"/>
      <c r="C128" s="653" t="n"/>
      <c r="D128" s="653" t="n"/>
      <c r="E128" s="653" t="n"/>
      <c r="F128" s="653" t="n"/>
      <c r="G128" s="653" t="n"/>
      <c r="H128" s="653" t="n"/>
      <c r="I128" s="653" t="n"/>
      <c r="J128" s="653" t="n"/>
    </row>
    <row r="129">
      <c r="A129" s="653" t="n"/>
      <c r="B129" s="653" t="n"/>
      <c r="C129" s="653" t="n"/>
      <c r="D129" s="653" t="n"/>
      <c r="E129" s="653" t="n"/>
      <c r="F129" s="653" t="n"/>
      <c r="G129" s="653" t="n"/>
      <c r="H129" s="653" t="n"/>
      <c r="I129" s="653" t="n"/>
      <c r="J129" s="653" t="n"/>
    </row>
    <row r="130">
      <c r="A130" s="653" t="n"/>
      <c r="B130" s="653" t="n"/>
      <c r="C130" s="653" t="n"/>
      <c r="D130" s="653" t="n"/>
      <c r="E130" s="653" t="n"/>
      <c r="F130" s="653" t="n"/>
      <c r="G130" s="653" t="n"/>
      <c r="H130" s="653" t="n"/>
      <c r="I130" s="653" t="n"/>
      <c r="J130" s="653" t="n"/>
    </row>
    <row r="131">
      <c r="A131" s="653" t="n"/>
      <c r="B131" s="653" t="n"/>
      <c r="C131" s="653" t="n"/>
      <c r="D131" s="653" t="n"/>
      <c r="E131" s="653" t="n"/>
      <c r="F131" s="653" t="n"/>
      <c r="G131" s="653" t="n"/>
      <c r="H131" s="653" t="n"/>
      <c r="I131" s="653" t="n"/>
      <c r="J131" s="653" t="n"/>
    </row>
    <row r="132">
      <c r="A132" s="653" t="n"/>
      <c r="B132" s="653" t="n"/>
      <c r="C132" s="653" t="n"/>
      <c r="D132" s="653" t="n"/>
      <c r="E132" s="653" t="n"/>
      <c r="F132" s="653" t="n"/>
      <c r="G132" s="653" t="n"/>
      <c r="H132" s="653" t="n"/>
      <c r="I132" s="653" t="n"/>
      <c r="J132" s="653" t="n"/>
    </row>
    <row r="133">
      <c r="A133" s="653" t="n"/>
      <c r="B133" s="653" t="n"/>
      <c r="C133" s="653" t="n"/>
      <c r="D133" s="653" t="n"/>
      <c r="E133" s="653" t="n"/>
      <c r="F133" s="653" t="n"/>
      <c r="G133" s="653" t="n"/>
      <c r="H133" s="653" t="n"/>
      <c r="I133" s="653" t="n"/>
      <c r="J133" s="653" t="n"/>
    </row>
    <row r="134">
      <c r="A134" s="653" t="n"/>
      <c r="B134" s="653" t="n"/>
      <c r="C134" s="653" t="n"/>
      <c r="D134" s="653" t="n"/>
      <c r="E134" s="653" t="n"/>
      <c r="F134" s="653" t="n"/>
      <c r="G134" s="653" t="n"/>
      <c r="H134" s="653" t="n"/>
      <c r="I134" s="653" t="n"/>
      <c r="J134" s="653" t="n"/>
    </row>
    <row r="135">
      <c r="A135" s="653" t="n"/>
      <c r="B135" s="653" t="n"/>
      <c r="C135" s="653" t="n"/>
      <c r="D135" s="653" t="n"/>
      <c r="E135" s="653" t="n"/>
      <c r="F135" s="653" t="n"/>
      <c r="G135" s="653" t="n"/>
      <c r="H135" s="653" t="n"/>
      <c r="I135" s="653" t="n"/>
      <c r="J135" s="653" t="n"/>
    </row>
    <row r="136">
      <c r="A136" s="653" t="n"/>
      <c r="B136" s="653" t="n"/>
      <c r="C136" s="653" t="n"/>
      <c r="D136" s="653" t="n"/>
      <c r="E136" s="653" t="n"/>
      <c r="F136" s="653" t="n"/>
      <c r="G136" s="653" t="n"/>
      <c r="H136" s="653" t="n"/>
      <c r="I136" s="653" t="n"/>
      <c r="J136" s="653" t="n"/>
    </row>
    <row r="137">
      <c r="A137" s="653" t="n"/>
      <c r="B137" s="653" t="n"/>
      <c r="C137" s="653" t="n"/>
      <c r="D137" s="653" t="n"/>
      <c r="E137" s="653" t="n"/>
      <c r="F137" s="653" t="n"/>
      <c r="G137" s="653" t="n"/>
      <c r="H137" s="653" t="n"/>
      <c r="I137" s="653" t="n"/>
      <c r="J137" s="653" t="n"/>
    </row>
    <row r="138">
      <c r="A138" s="653" t="n"/>
      <c r="B138" s="653" t="n"/>
      <c r="C138" s="653" t="n"/>
      <c r="D138" s="653" t="n"/>
      <c r="E138" s="653" t="n"/>
      <c r="F138" s="653" t="n"/>
      <c r="G138" s="653" t="n"/>
      <c r="H138" s="653" t="n"/>
      <c r="I138" s="653" t="n"/>
      <c r="J138" s="653" t="n"/>
    </row>
    <row r="139">
      <c r="A139" s="653" t="n"/>
      <c r="B139" s="653" t="n"/>
      <c r="C139" s="653" t="n"/>
      <c r="D139" s="653" t="n"/>
      <c r="E139" s="653" t="n"/>
      <c r="F139" s="653" t="n"/>
      <c r="G139" s="653" t="n"/>
      <c r="H139" s="653" t="n"/>
      <c r="I139" s="653" t="n"/>
      <c r="J139" s="653" t="n"/>
    </row>
    <row r="140">
      <c r="A140" s="653" t="n"/>
      <c r="B140" s="653" t="n"/>
      <c r="C140" s="653" t="n"/>
      <c r="D140" s="653" t="n"/>
      <c r="E140" s="653" t="n"/>
      <c r="F140" s="653" t="n"/>
      <c r="G140" s="653" t="n"/>
      <c r="H140" s="653" t="n"/>
      <c r="I140" s="653" t="n"/>
      <c r="J140" s="653" t="n"/>
    </row>
    <row r="141">
      <c r="A141" s="653" t="n"/>
      <c r="B141" s="653" t="n"/>
      <c r="C141" s="653" t="n"/>
      <c r="D141" s="653" t="n"/>
      <c r="E141" s="653" t="n"/>
      <c r="F141" s="653" t="n"/>
      <c r="G141" s="653" t="n"/>
      <c r="H141" s="653" t="n"/>
      <c r="I141" s="653" t="n"/>
      <c r="J141" s="653" t="n"/>
    </row>
    <row r="142">
      <c r="A142" s="653" t="n"/>
      <c r="B142" s="653" t="n"/>
      <c r="C142" s="653" t="n"/>
      <c r="D142" s="653" t="n"/>
      <c r="E142" s="653" t="n"/>
      <c r="F142" s="653" t="n"/>
      <c r="G142" s="653" t="n"/>
      <c r="H142" s="653" t="n"/>
      <c r="I142" s="653" t="n"/>
      <c r="J142" s="653" t="n"/>
    </row>
    <row r="143">
      <c r="A143" s="653" t="n"/>
      <c r="B143" s="653" t="n"/>
      <c r="C143" s="653" t="n"/>
      <c r="D143" s="653" t="n"/>
      <c r="E143" s="653" t="n"/>
      <c r="F143" s="653" t="n"/>
      <c r="G143" s="653" t="n"/>
      <c r="H143" s="653" t="n"/>
      <c r="I143" s="653" t="n"/>
      <c r="J143" s="653" t="n"/>
    </row>
    <row r="144">
      <c r="A144" s="653" t="n"/>
      <c r="B144" s="653" t="n"/>
      <c r="C144" s="653" t="n"/>
      <c r="D144" s="653" t="n"/>
      <c r="E144" s="653" t="n"/>
      <c r="F144" s="653" t="n"/>
      <c r="G144" s="653" t="n"/>
      <c r="H144" s="653" t="n"/>
      <c r="I144" s="653" t="n"/>
      <c r="J144" s="653" t="n"/>
    </row>
    <row r="145">
      <c r="A145" s="653" t="n"/>
      <c r="B145" s="653" t="n"/>
      <c r="C145" s="653" t="n"/>
      <c r="D145" s="653" t="n"/>
      <c r="E145" s="653" t="n"/>
      <c r="F145" s="653" t="n"/>
      <c r="G145" s="653" t="n"/>
      <c r="H145" s="653" t="n"/>
      <c r="I145" s="653" t="n"/>
      <c r="J145" s="653" t="n"/>
    </row>
    <row r="146">
      <c r="A146" s="653" t="n"/>
      <c r="B146" s="653" t="n"/>
      <c r="C146" s="653" t="n"/>
      <c r="D146" s="653" t="n"/>
      <c r="E146" s="653" t="n"/>
      <c r="F146" s="653" t="n"/>
      <c r="G146" s="653" t="n"/>
      <c r="H146" s="653" t="n"/>
      <c r="I146" s="653" t="n"/>
      <c r="J146" s="653" t="n"/>
    </row>
    <row r="147">
      <c r="A147" s="653" t="n"/>
      <c r="B147" s="653" t="n"/>
      <c r="C147" s="653" t="n"/>
      <c r="D147" s="653" t="n"/>
      <c r="E147" s="653" t="n"/>
      <c r="F147" s="653" t="n"/>
      <c r="G147" s="653" t="n"/>
      <c r="H147" s="653" t="n"/>
      <c r="I147" s="653" t="n"/>
      <c r="J147" s="653" t="n"/>
    </row>
    <row r="148">
      <c r="A148" s="653" t="n"/>
      <c r="B148" s="653" t="n"/>
      <c r="C148" s="653" t="n"/>
      <c r="D148" s="653" t="n"/>
      <c r="E148" s="653" t="n"/>
      <c r="F148" s="653" t="n"/>
      <c r="G148" s="653" t="n"/>
      <c r="H148" s="653" t="n"/>
      <c r="I148" s="653" t="n"/>
      <c r="J148" s="653" t="n"/>
    </row>
    <row r="149">
      <c r="A149" s="653" t="n"/>
      <c r="B149" s="653" t="n"/>
      <c r="C149" s="653" t="n"/>
      <c r="D149" s="653" t="n"/>
      <c r="E149" s="653" t="n"/>
      <c r="F149" s="653" t="n"/>
      <c r="G149" s="653" t="n"/>
      <c r="H149" s="653" t="n"/>
      <c r="I149" s="653" t="n"/>
      <c r="J149" s="653" t="n"/>
    </row>
    <row r="150">
      <c r="A150" s="653" t="n"/>
      <c r="B150" s="653" t="n"/>
      <c r="C150" s="653" t="n"/>
      <c r="D150" s="653" t="n"/>
      <c r="E150" s="653" t="n"/>
      <c r="F150" s="653" t="n"/>
      <c r="G150" s="653" t="n"/>
      <c r="H150" s="653" t="n"/>
      <c r="I150" s="653" t="n"/>
      <c r="J150" s="653" t="n"/>
    </row>
    <row r="151">
      <c r="A151" s="653" t="n"/>
      <c r="B151" s="653" t="n"/>
      <c r="C151" s="653" t="n"/>
      <c r="D151" s="653" t="n"/>
      <c r="E151" s="653" t="n"/>
      <c r="F151" s="653" t="n"/>
      <c r="G151" s="653" t="n"/>
      <c r="H151" s="653" t="n"/>
      <c r="I151" s="653" t="n"/>
      <c r="J151" s="653" t="n"/>
    </row>
    <row r="152">
      <c r="A152" s="653" t="n"/>
      <c r="B152" s="653" t="n"/>
      <c r="C152" s="653" t="n"/>
      <c r="D152" s="653" t="n"/>
      <c r="E152" s="653" t="n"/>
      <c r="F152" s="653" t="n"/>
      <c r="G152" s="653" t="n"/>
      <c r="H152" s="653" t="n"/>
      <c r="I152" s="653" t="n"/>
      <c r="J152" s="653" t="n"/>
    </row>
    <row r="153">
      <c r="A153" s="653" t="n"/>
      <c r="B153" s="653" t="n"/>
      <c r="C153" s="653" t="n"/>
      <c r="D153" s="653" t="n"/>
      <c r="E153" s="653" t="n"/>
      <c r="F153" s="653" t="n"/>
      <c r="G153" s="653" t="n"/>
      <c r="H153" s="653" t="n"/>
      <c r="I153" s="653" t="n"/>
      <c r="J153" s="653" t="n"/>
    </row>
    <row r="154">
      <c r="A154" s="653" t="n"/>
      <c r="B154" s="653" t="n"/>
      <c r="C154" s="653" t="n"/>
      <c r="D154" s="653" t="n"/>
      <c r="E154" s="653" t="n"/>
      <c r="F154" s="653" t="n"/>
      <c r="G154" s="653" t="n"/>
      <c r="H154" s="653" t="n"/>
      <c r="I154" s="653" t="n"/>
      <c r="J154" s="653" t="n"/>
    </row>
    <row r="155">
      <c r="A155" s="653" t="n"/>
      <c r="B155" s="653" t="n"/>
      <c r="C155" s="653" t="n"/>
      <c r="D155" s="653" t="n"/>
      <c r="E155" s="653" t="n"/>
      <c r="F155" s="653" t="n"/>
      <c r="G155" s="653" t="n"/>
      <c r="H155" s="653" t="n"/>
      <c r="I155" s="653" t="n"/>
      <c r="J155" s="653" t="n"/>
    </row>
    <row r="156">
      <c r="A156" s="653" t="n"/>
      <c r="B156" s="653" t="n"/>
      <c r="C156" s="653" t="n"/>
      <c r="D156" s="653" t="n"/>
      <c r="E156" s="653" t="n"/>
      <c r="F156" s="653" t="n"/>
      <c r="G156" s="653" t="n"/>
      <c r="H156" s="653" t="n"/>
      <c r="I156" s="653" t="n"/>
      <c r="J156" s="653" t="n"/>
    </row>
    <row r="157">
      <c r="A157" s="653" t="n"/>
      <c r="B157" s="653" t="n"/>
      <c r="C157" s="653" t="n"/>
      <c r="D157" s="653" t="n"/>
      <c r="E157" s="653" t="n"/>
      <c r="F157" s="653" t="n"/>
      <c r="G157" s="653" t="n"/>
      <c r="H157" s="653" t="n"/>
      <c r="I157" s="653" t="n"/>
      <c r="J157" s="653" t="n"/>
    </row>
    <row r="158">
      <c r="A158" s="653" t="n"/>
      <c r="B158" s="653" t="n"/>
      <c r="C158" s="653" t="n"/>
      <c r="D158" s="653" t="n"/>
      <c r="E158" s="653" t="n"/>
      <c r="F158" s="653" t="n"/>
      <c r="G158" s="653" t="n"/>
      <c r="H158" s="653" t="n"/>
      <c r="I158" s="653" t="n"/>
      <c r="J158" s="653" t="n"/>
    </row>
    <row r="159">
      <c r="A159" s="653" t="n"/>
      <c r="B159" s="653" t="n"/>
      <c r="C159" s="653" t="n"/>
      <c r="D159" s="653" t="n"/>
      <c r="E159" s="653" t="n"/>
      <c r="F159" s="653" t="n"/>
      <c r="G159" s="653" t="n"/>
      <c r="H159" s="653" t="n"/>
      <c r="I159" s="653" t="n"/>
      <c r="J159" s="653" t="n"/>
    </row>
    <row r="160">
      <c r="A160" s="653" t="n"/>
      <c r="B160" s="653" t="n"/>
      <c r="C160" s="653" t="n"/>
      <c r="D160" s="653" t="n"/>
      <c r="E160" s="653" t="n"/>
      <c r="F160" s="653" t="n"/>
      <c r="G160" s="653" t="n"/>
      <c r="H160" s="653" t="n"/>
      <c r="I160" s="653" t="n"/>
      <c r="J160" s="653" t="n"/>
    </row>
    <row r="161">
      <c r="A161" s="653" t="n"/>
      <c r="B161" s="653" t="n"/>
      <c r="C161" s="653" t="n"/>
      <c r="D161" s="653" t="n"/>
      <c r="E161" s="653" t="n"/>
      <c r="F161" s="653" t="n"/>
      <c r="G161" s="653" t="n"/>
      <c r="H161" s="653" t="n"/>
      <c r="I161" s="653" t="n"/>
      <c r="J161" s="653" t="n"/>
    </row>
    <row r="162">
      <c r="A162" s="653" t="n"/>
      <c r="B162" s="653" t="n"/>
      <c r="C162" s="653" t="n"/>
      <c r="D162" s="653" t="n"/>
      <c r="E162" s="653" t="n"/>
      <c r="F162" s="653" t="n"/>
      <c r="G162" s="653" t="n"/>
      <c r="H162" s="653" t="n"/>
      <c r="I162" s="653" t="n"/>
      <c r="J162" s="653" t="n"/>
    </row>
    <row r="163">
      <c r="A163" s="653" t="n"/>
      <c r="B163" s="653" t="n"/>
      <c r="C163" s="653" t="n"/>
      <c r="D163" s="653" t="n"/>
      <c r="E163" s="653" t="n"/>
      <c r="F163" s="653" t="n"/>
      <c r="G163" s="653" t="n"/>
      <c r="H163" s="653" t="n"/>
      <c r="I163" s="653" t="n"/>
      <c r="J163" s="653" t="n"/>
    </row>
    <row r="164">
      <c r="A164" s="653" t="n"/>
      <c r="B164" s="653" t="n"/>
      <c r="C164" s="653" t="n"/>
      <c r="D164" s="653" t="n"/>
      <c r="E164" s="653" t="n"/>
      <c r="F164" s="653" t="n"/>
      <c r="G164" s="653" t="n"/>
      <c r="H164" s="653" t="n"/>
      <c r="I164" s="653" t="n"/>
      <c r="J164" s="653" t="n"/>
    </row>
    <row r="165">
      <c r="A165" s="653" t="n"/>
      <c r="B165" s="653" t="n"/>
      <c r="C165" s="653" t="n"/>
      <c r="D165" s="653" t="n"/>
      <c r="E165" s="653" t="n"/>
      <c r="F165" s="653" t="n"/>
      <c r="G165" s="653" t="n"/>
      <c r="H165" s="653" t="n"/>
      <c r="I165" s="653" t="n"/>
      <c r="J165" s="653" t="n"/>
    </row>
    <row r="166">
      <c r="A166" s="653" t="n"/>
      <c r="B166" s="653" t="n"/>
      <c r="C166" s="653" t="n"/>
      <c r="D166" s="653" t="n"/>
      <c r="E166" s="653" t="n"/>
      <c r="F166" s="653" t="n"/>
      <c r="G166" s="653" t="n"/>
      <c r="H166" s="653" t="n"/>
      <c r="I166" s="653" t="n"/>
      <c r="J166" s="653" t="n"/>
    </row>
    <row r="167">
      <c r="A167" s="653" t="n"/>
      <c r="B167" s="653" t="n"/>
      <c r="C167" s="653" t="n"/>
      <c r="D167" s="653" t="n"/>
      <c r="E167" s="653" t="n"/>
      <c r="F167" s="653" t="n"/>
      <c r="G167" s="653" t="n"/>
      <c r="H167" s="653" t="n"/>
      <c r="I167" s="653" t="n"/>
      <c r="J167" s="653" t="n"/>
    </row>
    <row r="168">
      <c r="A168" s="653" t="n"/>
      <c r="B168" s="653" t="n"/>
      <c r="C168" s="653" t="n"/>
      <c r="D168" s="653" t="n"/>
      <c r="E168" s="653" t="n"/>
      <c r="F168" s="653" t="n"/>
      <c r="G168" s="653" t="n"/>
      <c r="H168" s="653" t="n"/>
      <c r="I168" s="653" t="n"/>
      <c r="J168" s="653" t="n"/>
    </row>
    <row r="169">
      <c r="A169" s="653" t="n"/>
      <c r="B169" s="653" t="n"/>
      <c r="C169" s="653" t="n"/>
      <c r="D169" s="653" t="n"/>
      <c r="E169" s="653" t="n"/>
      <c r="F169" s="653" t="n"/>
      <c r="G169" s="653" t="n"/>
      <c r="H169" s="653" t="n"/>
      <c r="I169" s="653" t="n"/>
      <c r="J169" s="653" t="n"/>
    </row>
    <row r="170">
      <c r="A170" s="653" t="n"/>
      <c r="B170" s="653" t="n"/>
      <c r="C170" s="653" t="n"/>
      <c r="D170" s="653" t="n"/>
      <c r="E170" s="653" t="n"/>
      <c r="F170" s="653" t="n"/>
      <c r="G170" s="653" t="n"/>
      <c r="H170" s="653" t="n"/>
      <c r="I170" s="653" t="n"/>
      <c r="J170" s="653" t="n"/>
    </row>
    <row r="171">
      <c r="A171" s="653" t="n"/>
      <c r="B171" s="653" t="n"/>
      <c r="C171" s="653" t="n"/>
      <c r="D171" s="653" t="n"/>
      <c r="E171" s="653" t="n"/>
      <c r="F171" s="653" t="n"/>
      <c r="G171" s="653" t="n"/>
      <c r="H171" s="653" t="n"/>
      <c r="I171" s="653" t="n"/>
      <c r="J171" s="653" t="n"/>
    </row>
    <row r="172">
      <c r="A172" s="653" t="n"/>
      <c r="B172" s="653" t="n"/>
      <c r="C172" s="653" t="n"/>
      <c r="D172" s="653" t="n"/>
      <c r="E172" s="653" t="n"/>
      <c r="F172" s="653" t="n"/>
      <c r="G172" s="653" t="n"/>
      <c r="H172" s="653" t="n"/>
      <c r="I172" s="653" t="n"/>
      <c r="J172" s="653" t="n"/>
    </row>
    <row r="173">
      <c r="A173" s="653" t="n"/>
      <c r="B173" s="653" t="n"/>
      <c r="C173" s="653" t="n"/>
      <c r="D173" s="653" t="n"/>
      <c r="E173" s="653" t="n"/>
      <c r="F173" s="653" t="n"/>
      <c r="G173" s="653" t="n"/>
      <c r="H173" s="653" t="n"/>
      <c r="I173" s="653" t="n"/>
      <c r="J173" s="653" t="n"/>
    </row>
    <row r="174">
      <c r="A174" s="653" t="n"/>
      <c r="B174" s="653" t="n"/>
      <c r="C174" s="653" t="n"/>
      <c r="D174" s="653" t="n"/>
      <c r="E174" s="653" t="n"/>
      <c r="F174" s="653" t="n"/>
      <c r="G174" s="653" t="n"/>
      <c r="H174" s="653" t="n"/>
      <c r="I174" s="653" t="n"/>
      <c r="J174" s="653" t="n"/>
    </row>
    <row r="175">
      <c r="A175" s="653" t="n"/>
      <c r="B175" s="653" t="n"/>
      <c r="C175" s="653" t="n"/>
      <c r="D175" s="653" t="n"/>
      <c r="E175" s="653" t="n"/>
      <c r="F175" s="653" t="n"/>
      <c r="G175" s="653" t="n"/>
      <c r="H175" s="653" t="n"/>
      <c r="I175" s="653" t="n"/>
      <c r="J175" s="653" t="n"/>
    </row>
    <row r="176">
      <c r="A176" s="653" t="n"/>
      <c r="B176" s="653" t="n"/>
      <c r="C176" s="653" t="n"/>
      <c r="D176" s="653" t="n"/>
      <c r="E176" s="653" t="n"/>
      <c r="F176" s="653" t="n"/>
      <c r="G176" s="653" t="n"/>
      <c r="H176" s="653" t="n"/>
      <c r="I176" s="653" t="n"/>
      <c r="J176" s="653" t="n"/>
    </row>
    <row r="177">
      <c r="A177" s="653" t="n"/>
      <c r="B177" s="653" t="n"/>
      <c r="C177" s="653" t="n"/>
      <c r="D177" s="653" t="n"/>
      <c r="E177" s="653" t="n"/>
      <c r="F177" s="653" t="n"/>
      <c r="G177" s="653" t="n"/>
      <c r="H177" s="653" t="n"/>
      <c r="I177" s="653" t="n"/>
      <c r="J177" s="653" t="n"/>
    </row>
    <row r="178">
      <c r="A178" s="653" t="n"/>
      <c r="B178" s="653" t="n"/>
      <c r="C178" s="653" t="n"/>
      <c r="D178" s="653" t="n"/>
      <c r="E178" s="653" t="n"/>
      <c r="F178" s="653" t="n"/>
      <c r="G178" s="653" t="n"/>
      <c r="H178" s="653" t="n"/>
      <c r="I178" s="653" t="n"/>
      <c r="J178" s="653" t="n"/>
    </row>
    <row r="179">
      <c r="A179" s="653" t="n"/>
      <c r="B179" s="653" t="n"/>
      <c r="C179" s="653" t="n"/>
      <c r="D179" s="653" t="n"/>
      <c r="E179" s="653" t="n"/>
      <c r="F179" s="653" t="n"/>
      <c r="G179" s="653" t="n"/>
      <c r="H179" s="653" t="n"/>
      <c r="I179" s="653" t="n"/>
      <c r="J179" s="653" t="n"/>
    </row>
    <row r="180">
      <c r="A180" s="653" t="n"/>
      <c r="B180" s="653" t="n"/>
      <c r="C180" s="653" t="n"/>
      <c r="D180" s="653" t="n"/>
      <c r="E180" s="653" t="n"/>
      <c r="F180" s="653" t="n"/>
      <c r="G180" s="653" t="n"/>
      <c r="H180" s="653" t="n"/>
      <c r="I180" s="653" t="n"/>
      <c r="J180" s="653" t="n"/>
    </row>
    <row r="181">
      <c r="A181" s="653" t="n"/>
      <c r="B181" s="653" t="n"/>
      <c r="C181" s="653" t="n"/>
      <c r="D181" s="653" t="n"/>
      <c r="E181" s="653" t="n"/>
      <c r="F181" s="653" t="n"/>
      <c r="G181" s="653" t="n"/>
      <c r="H181" s="653" t="n"/>
      <c r="I181" s="653" t="n"/>
      <c r="J181" s="653" t="n"/>
    </row>
    <row r="182">
      <c r="A182" s="653" t="n"/>
      <c r="B182" s="653" t="n"/>
      <c r="C182" s="653" t="n"/>
      <c r="D182" s="653" t="n"/>
      <c r="E182" s="653" t="n"/>
      <c r="F182" s="653" t="n"/>
      <c r="G182" s="653" t="n"/>
      <c r="H182" s="653" t="n"/>
      <c r="I182" s="653" t="n"/>
      <c r="J182" s="653" t="n"/>
    </row>
    <row r="183">
      <c r="A183" s="653" t="n"/>
      <c r="B183" s="653" t="n"/>
      <c r="C183" s="653" t="n"/>
      <c r="D183" s="653" t="n"/>
      <c r="E183" s="653" t="n"/>
      <c r="F183" s="653" t="n"/>
      <c r="G183" s="653" t="n"/>
      <c r="H183" s="653" t="n"/>
      <c r="I183" s="653" t="n"/>
      <c r="J183" s="653" t="n"/>
    </row>
    <row r="184">
      <c r="A184" s="653" t="n"/>
      <c r="B184" s="653" t="n"/>
      <c r="C184" s="653" t="n"/>
      <c r="D184" s="653" t="n"/>
      <c r="E184" s="653" t="n"/>
      <c r="F184" s="653" t="n"/>
      <c r="G184" s="653" t="n"/>
      <c r="H184" s="653" t="n"/>
      <c r="I184" s="653" t="n"/>
      <c r="J184" s="653" t="n"/>
    </row>
    <row r="185">
      <c r="A185" s="653" t="n"/>
      <c r="B185" s="653" t="n"/>
      <c r="C185" s="653" t="n"/>
      <c r="D185" s="653" t="n"/>
      <c r="E185" s="653" t="n"/>
      <c r="F185" s="653" t="n"/>
      <c r="G185" s="653" t="n"/>
      <c r="H185" s="653" t="n"/>
      <c r="I185" s="653" t="n"/>
      <c r="J185" s="653" t="n"/>
    </row>
    <row r="186">
      <c r="A186" s="653" t="n"/>
      <c r="B186" s="653" t="n"/>
      <c r="C186" s="653" t="n"/>
      <c r="D186" s="653" t="n"/>
      <c r="E186" s="653" t="n"/>
      <c r="F186" s="653" t="n"/>
      <c r="G186" s="653" t="n"/>
      <c r="H186" s="653" t="n"/>
      <c r="I186" s="653" t="n"/>
      <c r="J186" s="653" t="n"/>
    </row>
    <row r="187">
      <c r="A187" s="653" t="n"/>
      <c r="B187" s="653" t="n"/>
      <c r="C187" s="653" t="n"/>
      <c r="D187" s="653" t="n"/>
      <c r="E187" s="653" t="n"/>
      <c r="F187" s="653" t="n"/>
      <c r="G187" s="653" t="n"/>
      <c r="H187" s="653" t="n"/>
      <c r="I187" s="653" t="n"/>
      <c r="J187" s="653" t="n"/>
    </row>
    <row r="188">
      <c r="A188" s="653" t="n"/>
      <c r="B188" s="653" t="n"/>
      <c r="C188" s="653" t="n"/>
      <c r="D188" s="653" t="n"/>
      <c r="E188" s="653" t="n"/>
      <c r="F188" s="653" t="n"/>
      <c r="G188" s="653" t="n"/>
      <c r="H188" s="653" t="n"/>
      <c r="I188" s="653" t="n"/>
      <c r="J188" s="653" t="n"/>
    </row>
    <row r="189">
      <c r="A189" s="653" t="n"/>
      <c r="B189" s="653" t="n"/>
      <c r="C189" s="653" t="n"/>
      <c r="D189" s="653" t="n"/>
      <c r="E189" s="653" t="n"/>
      <c r="F189" s="653" t="n"/>
      <c r="G189" s="653" t="n"/>
      <c r="H189" s="653" t="n"/>
      <c r="I189" s="653" t="n"/>
      <c r="J189" s="653" t="n"/>
    </row>
    <row r="190">
      <c r="A190" s="653" t="n"/>
      <c r="B190" s="653" t="n"/>
      <c r="C190" s="653" t="n"/>
      <c r="D190" s="653" t="n"/>
      <c r="E190" s="653" t="n"/>
      <c r="F190" s="653" t="n"/>
      <c r="G190" s="653" t="n"/>
      <c r="H190" s="653" t="n"/>
      <c r="I190" s="653" t="n"/>
      <c r="J190" s="653" t="n"/>
    </row>
    <row r="191">
      <c r="A191" s="653" t="n"/>
      <c r="B191" s="653" t="n"/>
      <c r="C191" s="653" t="n"/>
      <c r="D191" s="653" t="n"/>
      <c r="E191" s="653" t="n"/>
      <c r="F191" s="653" t="n"/>
      <c r="G191" s="653" t="n"/>
      <c r="H191" s="653" t="n"/>
      <c r="I191" s="653" t="n"/>
      <c r="J191" s="653" t="n"/>
    </row>
    <row r="192">
      <c r="A192" s="653" t="n"/>
      <c r="B192" s="653" t="n"/>
      <c r="C192" s="653" t="n"/>
      <c r="D192" s="653" t="n"/>
      <c r="E192" s="653" t="n"/>
      <c r="F192" s="653" t="n"/>
      <c r="G192" s="653" t="n"/>
      <c r="H192" s="653" t="n"/>
      <c r="I192" s="653" t="n"/>
      <c r="J192" s="653" t="n"/>
    </row>
    <row r="193">
      <c r="A193" s="653" t="n"/>
      <c r="B193" s="653" t="n"/>
      <c r="C193" s="653" t="n"/>
      <c r="D193" s="653" t="n"/>
      <c r="E193" s="653" t="n"/>
      <c r="F193" s="653" t="n"/>
      <c r="G193" s="653" t="n"/>
      <c r="H193" s="653" t="n"/>
      <c r="I193" s="653" t="n"/>
      <c r="J193" s="653" t="n"/>
    </row>
    <row r="194">
      <c r="A194" s="653" t="n"/>
      <c r="B194" s="653" t="n"/>
      <c r="C194" s="653" t="n"/>
      <c r="D194" s="653" t="n"/>
      <c r="E194" s="653" t="n"/>
      <c r="F194" s="653" t="n"/>
      <c r="G194" s="653" t="n"/>
      <c r="H194" s="653" t="n"/>
      <c r="I194" s="653" t="n"/>
      <c r="J194" s="653" t="n"/>
    </row>
    <row r="195">
      <c r="A195" s="653" t="n"/>
      <c r="B195" s="653" t="n"/>
      <c r="C195" s="653" t="n"/>
      <c r="D195" s="653" t="n"/>
      <c r="E195" s="653" t="n"/>
      <c r="F195" s="653" t="n"/>
      <c r="G195" s="653" t="n"/>
      <c r="H195" s="653" t="n"/>
      <c r="I195" s="653" t="n"/>
      <c r="J195" s="653" t="n"/>
    </row>
    <row r="196">
      <c r="A196" s="653" t="n"/>
      <c r="B196" s="653" t="n"/>
      <c r="C196" s="653" t="n"/>
      <c r="D196" s="653" t="n"/>
      <c r="E196" s="653" t="n"/>
      <c r="F196" s="653" t="n"/>
      <c r="G196" s="653" t="n"/>
      <c r="H196" s="653" t="n"/>
      <c r="I196" s="653" t="n"/>
      <c r="J196" s="653" t="n"/>
    </row>
    <row r="197">
      <c r="A197" s="653" t="n"/>
      <c r="B197" s="653" t="n"/>
      <c r="C197" s="653" t="n"/>
      <c r="D197" s="653" t="n"/>
      <c r="E197" s="653" t="n"/>
      <c r="F197" s="653" t="n"/>
      <c r="G197" s="653" t="n"/>
      <c r="H197" s="653" t="n"/>
      <c r="I197" s="653" t="n"/>
      <c r="J197" s="653" t="n"/>
    </row>
    <row r="198">
      <c r="A198" s="653" t="n"/>
      <c r="B198" s="653" t="n"/>
      <c r="C198" s="653" t="n"/>
      <c r="D198" s="653" t="n"/>
      <c r="E198" s="653" t="n"/>
      <c r="F198" s="653" t="n"/>
      <c r="G198" s="653" t="n"/>
      <c r="H198" s="653" t="n"/>
      <c r="I198" s="653" t="n"/>
      <c r="J198" s="653" t="n"/>
    </row>
    <row r="199">
      <c r="A199" s="653" t="n"/>
      <c r="B199" s="653" t="n"/>
      <c r="C199" s="653" t="n"/>
      <c r="D199" s="653" t="n"/>
      <c r="E199" s="653" t="n"/>
      <c r="F199" s="653" t="n"/>
      <c r="G199" s="653" t="n"/>
      <c r="H199" s="653" t="n"/>
      <c r="I199" s="653" t="n"/>
      <c r="J199" s="653" t="n"/>
    </row>
    <row r="200">
      <c r="A200" s="653" t="n"/>
      <c r="B200" s="653" t="n"/>
      <c r="C200" s="653" t="n"/>
      <c r="D200" s="653" t="n"/>
      <c r="E200" s="653" t="n"/>
      <c r="F200" s="653" t="n"/>
      <c r="G200" s="653" t="n"/>
      <c r="H200" s="653" t="n"/>
      <c r="I200" s="653" t="n"/>
      <c r="J200" s="653" t="n"/>
    </row>
    <row r="201">
      <c r="A201" s="653" t="n"/>
      <c r="B201" s="653" t="n"/>
      <c r="C201" s="653" t="n"/>
      <c r="D201" s="653" t="n"/>
      <c r="E201" s="653" t="n"/>
      <c r="F201" s="653" t="n"/>
      <c r="G201" s="653" t="n"/>
      <c r="H201" s="653" t="n"/>
      <c r="I201" s="653" t="n"/>
      <c r="J201" s="653" t="n"/>
    </row>
    <row r="202">
      <c r="A202" s="653" t="n"/>
      <c r="B202" s="653" t="n"/>
      <c r="C202" s="653" t="n"/>
      <c r="D202" s="653" t="n"/>
      <c r="E202" s="653" t="n"/>
      <c r="F202" s="653" t="n"/>
      <c r="G202" s="653" t="n"/>
      <c r="H202" s="653" t="n"/>
      <c r="I202" s="653" t="n"/>
      <c r="J202" s="653" t="n"/>
    </row>
    <row r="203">
      <c r="A203" s="653" t="n"/>
      <c r="B203" s="653" t="n"/>
      <c r="C203" s="653" t="n"/>
      <c r="D203" s="653" t="n"/>
      <c r="E203" s="653" t="n"/>
      <c r="F203" s="653" t="n"/>
      <c r="G203" s="653" t="n"/>
      <c r="H203" s="653" t="n"/>
      <c r="I203" s="653" t="n"/>
      <c r="J203" s="653" t="n"/>
    </row>
    <row r="204">
      <c r="A204" s="653" t="n"/>
      <c r="B204" s="653" t="n"/>
      <c r="C204" s="653" t="n"/>
      <c r="D204" s="653" t="n"/>
      <c r="E204" s="653" t="n"/>
      <c r="F204" s="653" t="n"/>
      <c r="G204" s="653" t="n"/>
      <c r="H204" s="653" t="n"/>
      <c r="I204" s="653" t="n"/>
      <c r="J204" s="653" t="n"/>
    </row>
    <row r="205">
      <c r="A205" s="653" t="n"/>
      <c r="B205" s="653" t="n"/>
      <c r="C205" s="653" t="n"/>
      <c r="D205" s="653" t="n"/>
      <c r="E205" s="653" t="n"/>
      <c r="F205" s="653" t="n"/>
      <c r="G205" s="653" t="n"/>
      <c r="H205" s="653" t="n"/>
      <c r="I205" s="653" t="n"/>
      <c r="J205" s="653" t="n"/>
    </row>
    <row r="206">
      <c r="A206" s="653" t="n"/>
      <c r="B206" s="653" t="n"/>
      <c r="C206" s="653" t="n"/>
      <c r="D206" s="653" t="n"/>
      <c r="E206" s="653" t="n"/>
      <c r="F206" s="653" t="n"/>
      <c r="G206" s="653" t="n"/>
      <c r="H206" s="653" t="n"/>
      <c r="I206" s="653" t="n"/>
      <c r="J206" s="653" t="n"/>
    </row>
    <row r="207">
      <c r="A207" s="653" t="n"/>
      <c r="B207" s="653" t="n"/>
      <c r="C207" s="653" t="n"/>
      <c r="D207" s="653" t="n"/>
      <c r="E207" s="653" t="n"/>
      <c r="F207" s="653" t="n"/>
      <c r="G207" s="653" t="n"/>
      <c r="H207" s="653" t="n"/>
      <c r="I207" s="653" t="n"/>
      <c r="J207" s="653" t="n"/>
    </row>
    <row r="208">
      <c r="A208" s="653" t="n"/>
      <c r="B208" s="653" t="n"/>
      <c r="C208" s="653" t="n"/>
      <c r="D208" s="653" t="n"/>
      <c r="E208" s="653" t="n"/>
      <c r="F208" s="653" t="n"/>
      <c r="G208" s="653" t="n"/>
      <c r="H208" s="653" t="n"/>
      <c r="I208" s="653" t="n"/>
      <c r="J208" s="653" t="n"/>
    </row>
    <row r="209">
      <c r="A209" s="653" t="n"/>
      <c r="B209" s="653" t="n"/>
      <c r="C209" s="653" t="n"/>
      <c r="D209" s="653" t="n"/>
      <c r="E209" s="653" t="n"/>
      <c r="F209" s="653" t="n"/>
      <c r="G209" s="653" t="n"/>
      <c r="H209" s="653" t="n"/>
      <c r="I209" s="653" t="n"/>
      <c r="J209" s="653" t="n"/>
    </row>
    <row r="210">
      <c r="A210" s="653" t="n"/>
      <c r="B210" s="653" t="n"/>
      <c r="C210" s="653" t="n"/>
      <c r="D210" s="653" t="n"/>
      <c r="E210" s="653" t="n"/>
      <c r="F210" s="653" t="n"/>
      <c r="G210" s="653" t="n"/>
      <c r="H210" s="653" t="n"/>
      <c r="I210" s="653" t="n"/>
      <c r="J210" s="653" t="n"/>
    </row>
    <row r="211">
      <c r="A211" s="653" t="n"/>
      <c r="B211" s="653" t="n"/>
      <c r="C211" s="653" t="n"/>
      <c r="D211" s="653" t="n"/>
      <c r="E211" s="653" t="n"/>
      <c r="F211" s="653" t="n"/>
      <c r="G211" s="653" t="n"/>
      <c r="H211" s="653" t="n"/>
      <c r="I211" s="653" t="n"/>
      <c r="J211" s="653" t="n"/>
    </row>
    <row r="212">
      <c r="A212" s="653" t="n"/>
      <c r="B212" s="653" t="n"/>
      <c r="C212" s="653" t="n"/>
      <c r="D212" s="653" t="n"/>
      <c r="E212" s="653" t="n"/>
      <c r="F212" s="653" t="n"/>
      <c r="G212" s="653" t="n"/>
      <c r="H212" s="653" t="n"/>
      <c r="I212" s="653" t="n"/>
      <c r="J212" s="653" t="n"/>
    </row>
    <row r="213">
      <c r="A213" s="653" t="n"/>
      <c r="B213" s="653" t="n"/>
      <c r="C213" s="653" t="n"/>
      <c r="D213" s="653" t="n"/>
      <c r="E213" s="653" t="n"/>
      <c r="F213" s="653" t="n"/>
      <c r="G213" s="653" t="n"/>
      <c r="H213" s="653" t="n"/>
      <c r="I213" s="653" t="n"/>
      <c r="J213" s="653" t="n"/>
    </row>
    <row r="214">
      <c r="A214" s="653" t="n"/>
      <c r="B214" s="653" t="n"/>
      <c r="C214" s="653" t="n"/>
      <c r="D214" s="653" t="n"/>
      <c r="E214" s="653" t="n"/>
      <c r="F214" s="653" t="n"/>
      <c r="G214" s="653" t="n"/>
      <c r="H214" s="653" t="n"/>
      <c r="I214" s="653" t="n"/>
      <c r="J214" s="653" t="n"/>
    </row>
    <row r="215">
      <c r="A215" s="653" t="n"/>
      <c r="B215" s="653" t="n"/>
      <c r="C215" s="653" t="n"/>
      <c r="D215" s="653" t="n"/>
      <c r="E215" s="653" t="n"/>
      <c r="F215" s="653" t="n"/>
      <c r="G215" s="653" t="n"/>
      <c r="H215" s="653" t="n"/>
      <c r="I215" s="653" t="n"/>
      <c r="J215" s="653" t="n"/>
    </row>
    <row r="216">
      <c r="A216" s="653" t="n"/>
      <c r="B216" s="653" t="n"/>
      <c r="C216" s="653" t="n"/>
      <c r="D216" s="653" t="n"/>
      <c r="E216" s="653" t="n"/>
      <c r="F216" s="653" t="n"/>
      <c r="G216" s="653" t="n"/>
      <c r="H216" s="653" t="n"/>
      <c r="I216" s="653" t="n"/>
      <c r="J216" s="653" t="n"/>
    </row>
    <row r="217">
      <c r="A217" s="653" t="n"/>
      <c r="B217" s="653" t="n"/>
      <c r="C217" s="653" t="n"/>
      <c r="D217" s="653" t="n"/>
      <c r="E217" s="653" t="n"/>
      <c r="F217" s="653" t="n"/>
      <c r="G217" s="653" t="n"/>
      <c r="H217" s="653" t="n"/>
      <c r="I217" s="653" t="n"/>
      <c r="J217" s="653" t="n"/>
    </row>
    <row r="218">
      <c r="A218" s="653" t="n"/>
      <c r="B218" s="653" t="n"/>
      <c r="C218" s="653" t="n"/>
      <c r="D218" s="653" t="n"/>
      <c r="E218" s="653" t="n"/>
      <c r="F218" s="653" t="n"/>
      <c r="G218" s="653" t="n"/>
      <c r="H218" s="653" t="n"/>
      <c r="I218" s="653" t="n"/>
      <c r="J218" s="653" t="n"/>
    </row>
    <row r="219">
      <c r="A219" s="653" t="n"/>
      <c r="B219" s="653" t="n"/>
      <c r="C219" s="653" t="n"/>
      <c r="D219" s="653" t="n"/>
      <c r="E219" s="653" t="n"/>
      <c r="F219" s="653" t="n"/>
      <c r="G219" s="653" t="n"/>
      <c r="H219" s="653" t="n"/>
      <c r="I219" s="653" t="n"/>
      <c r="J219" s="653" t="n"/>
    </row>
    <row r="220">
      <c r="A220" s="653" t="n"/>
      <c r="B220" s="653" t="n"/>
      <c r="C220" s="653" t="n"/>
      <c r="D220" s="653" t="n"/>
      <c r="E220" s="653" t="n"/>
      <c r="F220" s="653" t="n"/>
      <c r="G220" s="653" t="n"/>
      <c r="H220" s="653" t="n"/>
      <c r="I220" s="653" t="n"/>
      <c r="J220" s="653" t="n"/>
    </row>
  </sheetData>
  <conditionalFormatting sqref="A1:A1048576">
    <cfRule type="duplicateValues" priority="1" dxfId="4"/>
  </conditionalFormatting>
  <dataValidations count="1">
    <dataValidation sqref="A2:A47 A51:A56 A58:A60 A62:A70 A73 A75:A82 A84:A85 A87 A90 A92:A93" showDropDown="0" showInputMessage="1" showErrorMessage="1" allowBlank="1" type="list">
      <formula1>$A$2:$A$1048576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codeName="Feuil4"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2" sqref="A2:G21"/>
    </sheetView>
  </sheetViews>
  <sheetFormatPr baseColWidth="10" defaultColWidth="11" defaultRowHeight="16"/>
  <cols>
    <col width="19.1640625" customWidth="1" min="1" max="1"/>
    <col width="8.5" customWidth="1" min="2" max="2"/>
    <col width="7.5" customWidth="1" min="3" max="3"/>
    <col width="7.83203125" customWidth="1" style="554" min="4" max="4"/>
    <col width="10" customWidth="1" min="5" max="5"/>
    <col width="14.1640625" customWidth="1" min="6" max="6"/>
    <col width="11.33203125" customWidth="1" min="7" max="7"/>
  </cols>
  <sheetData>
    <row r="1">
      <c r="A1" t="inlineStr">
        <is>
          <t>Nom</t>
        </is>
      </c>
      <c r="B1" t="inlineStr">
        <is>
          <t>Bouchon</t>
        </is>
      </c>
      <c r="C1" t="inlineStr">
        <is>
          <t>Verre</t>
        </is>
      </c>
      <c r="D1" s="554" t="inlineStr">
        <is>
          <t>Total</t>
        </is>
      </c>
      <c r="E1" t="inlineStr">
        <is>
          <t>Contenance</t>
        </is>
      </c>
      <c r="F1" t="inlineStr">
        <is>
          <t>Lien bouchon</t>
        </is>
      </c>
      <c r="G1" t="inlineStr">
        <is>
          <t>Lien verre</t>
        </is>
      </c>
    </row>
    <row r="2">
      <c r="A2" t="inlineStr">
        <is>
          <t>Epice 100ml</t>
        </is>
      </c>
      <c r="B2" t="n">
        <v>0.44</v>
      </c>
      <c r="C2" t="n">
        <v>0.2</v>
      </c>
      <c r="D2" s="554">
        <f>C2+B2</f>
        <v/>
      </c>
      <c r="E2" t="inlineStr">
        <is>
          <t>100ml</t>
        </is>
      </c>
      <c r="F2" s="2" t="inlineStr">
        <is>
          <t>https://www.bouteilles-et-bocaux.com/bouchon-pour-pot-a-epices-distributeur-plastique-pp-rouge-pour-col-gpi-38-400-100000230?referralCode=344f636f14874df59416c60d47218b06&amp;utm_medium=sea&amp;utm_source=google&amp;gad_source=1&amp;gclid=CjwKCAiAopuvBhBCEiwAm8jaMRvkyaCkj4LfwgUmeOXFwEVybp5GM9cMjo6i2XXHdi_SmUDOQN4bRRoCVVAQAvD_BwE</t>
        </is>
      </c>
      <c r="G2" s="2" t="inlineStr">
        <is>
          <t>https://www.packari.com/fr/Produits/Flacons-en-verre-col-large/Flacons-en-verre-brun-sans-fermeture/Flacon-comprim-s-en-verre-marron-col-large-100-ml-38-400-sans-bouchon.html</t>
        </is>
      </c>
    </row>
    <row r="3">
      <c r="A3" t="inlineStr">
        <is>
          <t>Epice 200ml</t>
        </is>
      </c>
      <c r="B3" t="n">
        <v>0.44</v>
      </c>
      <c r="C3" t="n">
        <v>0.22</v>
      </c>
      <c r="D3" s="554">
        <f>C3+B3</f>
        <v/>
      </c>
      <c r="E3" t="inlineStr">
        <is>
          <t>200ml</t>
        </is>
      </c>
      <c r="F3" s="2" t="n"/>
      <c r="G3" s="2" t="n"/>
    </row>
    <row r="4">
      <c r="A4" t="inlineStr">
        <is>
          <t>Huile 1L</t>
        </is>
      </c>
      <c r="D4" s="554" t="n">
        <v>1.56</v>
      </c>
      <c r="E4" t="inlineStr">
        <is>
          <t>1000ml</t>
        </is>
      </c>
    </row>
    <row r="5">
      <c r="A5" t="inlineStr">
        <is>
          <t>Moulin 100ml</t>
        </is>
      </c>
      <c r="B5" t="n">
        <v>1.7</v>
      </c>
      <c r="C5" t="n">
        <v>0.2</v>
      </c>
      <c r="D5" s="554">
        <f>C5+B5</f>
        <v/>
      </c>
      <c r="E5" t="inlineStr">
        <is>
          <t>100ml</t>
        </is>
      </c>
      <c r="F5" s="2" t="inlineStr">
        <is>
          <t>https://www.bouteilles-et-bocaux.com/bouchon-pour-pot-a-epices-moulin-plastique-pp-noir-pour-col-gpi-38-400-100000220</t>
        </is>
      </c>
      <c r="G5" s="2" t="inlineStr">
        <is>
          <t>https://www.packari.com/fr/Produits/Flacons-en-verre-col-large/Flacons-en-verre-brun-sans-fermeture/Flacon-comprim-s-en-verre-marron-col-large-100-ml-38-400-sans-bouchon.html</t>
        </is>
      </c>
    </row>
    <row r="6">
      <c r="A6" t="inlineStr">
        <is>
          <t>Moutarde Pot en grès</t>
        </is>
      </c>
      <c r="D6" s="554" t="n">
        <v>2.1</v>
      </c>
      <c r="E6" t="inlineStr">
        <is>
          <t>270ml</t>
        </is>
      </c>
      <c r="F6" s="2" t="inlineStr">
        <is>
          <t>https://www.bouteilles-et-bocaux.com/pot-en-gres-270-ml-ceramique-blanc-col-couvercle-cloche-100035660?referralCode=344f636f14874df59416c60d47218b06&amp;utm_medium=sea&amp;utm_source=google&amp;gad_source=1&amp;gclid=CjwKCAiAopuvBhBCEiwAm8jaMYLe7_a0mGr35npPhJKfVuzxK0lpcyfagab4K3pMzvBsxnSqC3GYDhoCgu0QAvD_BwE</t>
        </is>
      </c>
    </row>
    <row r="7">
      <c r="A7" t="inlineStr">
        <is>
          <t>Moutarde verre 265 ml</t>
        </is>
      </c>
      <c r="D7" s="554" t="n">
        <v>0.79</v>
      </c>
      <c r="E7" t="inlineStr">
        <is>
          <t>265ml</t>
        </is>
      </c>
      <c r="F7" s="2" t="inlineStr">
        <is>
          <t>https://www.bouteilles-et-bocaux.com/bocal-cylindrique-haut-212-ml-col-twist-off-to-53-100012480</t>
        </is>
      </c>
    </row>
    <row r="8">
      <c r="A8" t="inlineStr">
        <is>
          <t>Moutarde verre 212 ml</t>
        </is>
      </c>
      <c r="D8" s="554" t="n">
        <v>0.74</v>
      </c>
      <c r="E8" t="inlineStr">
        <is>
          <t>212ml</t>
        </is>
      </c>
      <c r="F8" s="2" t="inlineStr">
        <is>
          <t>https://www.bouteilles-et-bocaux.com/bocal-cylindrique-haut-212-ml-col-twist-off-to-53-100012480</t>
        </is>
      </c>
    </row>
    <row r="9">
      <c r="A9" t="inlineStr">
        <is>
          <t>Piment liquide 100ml</t>
        </is>
      </c>
      <c r="B9" t="n">
        <v>1.69</v>
      </c>
      <c r="D9" s="554">
        <f>C9+B9</f>
        <v/>
      </c>
      <c r="E9" t="inlineStr">
        <is>
          <t>100ml</t>
        </is>
      </c>
      <c r="F9" s="2" t="inlineStr">
        <is>
          <t>https://www.bouteilles-et-bocaux.com/bouteille-en-verre-100-ml-tulipano-col-liege-100018170?referralCode=344f636f14874df59416c60d47218b06&amp;utm_medium=sea&amp;utm_source=google&amp;gad_source=1&amp;gclid=CjwKCAiAopuvBhBCEiwAm8jaMTskXVOIzZ5rIxKF0pqFc9jqHsHuFuUd6kJ7IRF1_elI1heMCZJ8WxoCAGwQAvD_BwE</t>
        </is>
      </c>
      <c r="G9" s="2" t="n"/>
    </row>
    <row r="10">
      <c r="A10" t="inlineStr">
        <is>
          <t>Piment liquide 250ml</t>
        </is>
      </c>
      <c r="B10" t="n">
        <v>1.68</v>
      </c>
      <c r="C10" t="n">
        <v>0</v>
      </c>
      <c r="D10" s="554">
        <f>C10+B10</f>
        <v/>
      </c>
      <c r="E10" t="inlineStr">
        <is>
          <t>250ml</t>
        </is>
      </c>
      <c r="F10" s="2" t="inlineStr">
        <is>
          <t>https://www.bouteilles-et-bocaux.com/bouteille-de-vinaigre-d-huile-250-ml-oleum-verre-vert-antique-col-dop-100034870?referralCode=344f636f14874df59416c60d47218b06&amp;utm_medium=sea&amp;utm_source=google&amp;gad_source=1&amp;gclid=CjwKCAiAopuvBhBCEiwAm8jaMeaR3q1S8hCLAwRtq5MXdAumMc4tNe8kzahJPqJxkQvjUHB9PdyHrRoCIKIQAvD_BwE</t>
        </is>
      </c>
    </row>
    <row r="11">
      <c r="A11" t="inlineStr">
        <is>
          <t>Recharge craft 100ml</t>
        </is>
      </c>
      <c r="D11" s="554" t="n">
        <v>0.18</v>
      </c>
      <c r="E11" t="inlineStr">
        <is>
          <t>100ml</t>
        </is>
      </c>
      <c r="F11" t="inlineStr">
        <is>
          <t>https://www.bizay.fr/sacs-en-papier?id=3797240&amp;wv=true&amp;shopptop=1&amp;campaignid=21040153090&amp;adgroupid=&amp;creative=&amp;keyword=&amp;matchtype=&amp;adposition=&amp;network=x&amp;placement=&amp;target=&amp;targetid=&amp;device=c&amp;year=&amp;week=&amp;gad_source=1&amp;gclid=CjwKCAiAopuvBhBCEiwAm8jaMQLoYxZEqGndCNvys5KAnCm0suw9ZL0j9D7sh_t5VTgRlogsrF3lkxoCxQcQAvD_BwE&amp;gclsrc=aw.ds&amp;abandonNC=1</t>
        </is>
      </c>
    </row>
    <row r="12">
      <c r="A12" t="inlineStr">
        <is>
          <t>Recharge craft 250ml</t>
        </is>
      </c>
      <c r="D12" s="554" t="n">
        <v>0.18</v>
      </c>
      <c r="E12" t="inlineStr">
        <is>
          <t>250ml</t>
        </is>
      </c>
      <c r="F12" t="inlineStr">
        <is>
          <t>https://www.bizay.fr/sacs-en-papier?id=3797240&amp;wv=true&amp;shopptop=1&amp;campaignid=21040153090&amp;adgroupid=&amp;creative=&amp;keyword=&amp;matchtype=&amp;adposition=&amp;network=x&amp;placement=&amp;target=&amp;targetid=&amp;device=c&amp;year=&amp;week=&amp;gad_source=1&amp;gclid=CjwKCAiAopuvBhBCEiwAm8jaMQLoYxZEqGndCNvys5KAnCm0suw9ZL0j9D7sh_t5VTgRlogsrF3lkxoCxQcQAvD_BwE&amp;gclsrc=aw.ds&amp;abandonNC=1</t>
        </is>
      </c>
    </row>
    <row r="13">
      <c r="A13" t="inlineStr">
        <is>
          <t>Recharge craft 500ml</t>
        </is>
      </c>
      <c r="D13" s="554" t="n">
        <v>0.2</v>
      </c>
      <c r="E13" t="inlineStr">
        <is>
          <t>500ml</t>
        </is>
      </c>
      <c r="F13" t="inlineStr">
        <is>
          <t>https://www.bizay.fr/sacs-en-papier?id=3797240&amp;wv=true&amp;shopptop=1&amp;campaignid=21040153090&amp;adgroupid=&amp;creative=&amp;keyword=&amp;matchtype=&amp;adposition=&amp;network=x&amp;placement=&amp;target=&amp;targetid=&amp;device=c&amp;year=&amp;week=&amp;gad_source=1&amp;gclid=CjwKCAiAopuvBhBCEiwAm8jaMQLoYxZEqGndCNvys5KAnCm0suw9ZL0j9D7sh_t5VTgRlogsrF3lkxoCxQcQAvD_BwE&amp;gclsrc=aw.ds&amp;abandonNC=1</t>
        </is>
      </c>
    </row>
    <row r="14">
      <c r="A14" t="inlineStr">
        <is>
          <t>Seau 2,5 l, plastique</t>
        </is>
      </c>
      <c r="D14" s="554" t="n">
        <v>0.97</v>
      </c>
      <c r="E14" t="inlineStr">
        <is>
          <t>2500ml</t>
        </is>
      </c>
      <c r="F14" s="2" t="inlineStr">
        <is>
          <t>https://www.bouteilles-et-bocaux.com/seau-2-5-l-plastique-pp-blanc-100015070?referralCode=344f636f14874df59416c60d47218b06&amp;configurator=%255B%257B%2522productId%2522%253A%25220nolid%2522%252C%2522groupId%2522%253A%25220%2522%257D%252C%257B%2522productId%2522%253A%25221nolid%2522%252C%2522groupId%2522%253A%25221%2522%257D%255D&amp;utm_medium=sea&amp;utm_source=google&amp;galt=Cj0KCQjwlZixBhCoARIsAIC745BA22oQIFzXcivfuWmhgVWGHKmhHv_wy2W8_eDHTHF86yHAjltRI4MaAmbVEALw_wcB&amp;gad_source=1&amp;gclid=Cj0KCQjwlZixBhCoARIsAIC745BA22oQIFzXcivfuWmhgVWGHKmhHv_wy2W8_eDHTHF86yHAjltRI4MaAmbVEALw_wcB</t>
        </is>
      </c>
    </row>
    <row r="15">
      <c r="A15" t="inlineStr">
        <is>
          <t>Sirop 500 ml</t>
        </is>
      </c>
      <c r="D15" s="554" t="n">
        <v>1.46</v>
      </c>
      <c r="E15" t="inlineStr">
        <is>
          <t>500ml</t>
        </is>
      </c>
      <c r="F15" t="inlineStr">
        <is>
          <t>https://www.bouteilles-et-bocaux.com/bouteille-pichet-500-ml-verre-col-pp-28-100030600</t>
        </is>
      </c>
    </row>
    <row r="16">
      <c r="A16" t="inlineStr">
        <is>
          <t>Verrine haute</t>
        </is>
      </c>
      <c r="D16" s="554" t="n">
        <v>0.79</v>
      </c>
      <c r="E16" t="inlineStr">
        <is>
          <t>350 ml</t>
        </is>
      </c>
      <c r="F16" s="2" t="inlineStr">
        <is>
          <t>https://www.bouteilles-et-bocaux.com/verrine-haute-350-ml-col-twist-off-to-82-100036140</t>
        </is>
      </c>
    </row>
    <row r="17">
      <c r="A17" t="inlineStr">
        <is>
          <t>Verseur inox</t>
        </is>
      </c>
      <c r="D17" s="554" t="n">
        <v>2.3</v>
      </c>
      <c r="F17" s="2" t="inlineStr">
        <is>
          <t>https://de.aliexpress.com/item/1005005532498174.html1007.40000.327270.0&amp;scm-url=1007.40000.327270.0&amp;pvid=d7f30d2d-9c81-4a76-abd9-d1b5dab0f6ac&amp;_t=gps-id:pcDetailTopMoreOtherSeller,scm-url:1007.40000.327270.0,pvid:d7f30d2d-9c81-4a76-abd9-d1b5dab0f6ac,tpp_buckets:668%232846%238115%232000&amp;pdp_npi=4%40dis%21EUR%215.38%211.88%21%21%2141.12%2114.39%21%402103890117096883118564836e954f%2112000033437633735%21rec%21FR%212461724979%21&amp;utparam-url=scene%3ApcDetailTopMoreOtherSeller%7Cquery_from%3A</t>
        </is>
      </c>
    </row>
    <row r="18">
      <c r="A18" t="inlineStr">
        <is>
          <t>Vinaigre 250 ml</t>
        </is>
      </c>
      <c r="B18">
        <f>TableauConditionnement[[#This Row],[Total]]-TableauConditionnement[[#This Row],[Verre]]</f>
        <v/>
      </c>
      <c r="C18" t="n">
        <v>1.06</v>
      </c>
      <c r="D18" s="554" t="n">
        <v>1.68</v>
      </c>
      <c r="E18" t="inlineStr">
        <is>
          <t>250ml</t>
        </is>
      </c>
      <c r="F18" s="2" t="inlineStr">
        <is>
          <t>https://www.berlinpackaging.eu/fr/81/bouteilles-huile-d-olive/11010/bouteille-alex--olio-250-ml-bg-a-vis</t>
        </is>
      </c>
    </row>
    <row r="19">
      <c r="A19" t="inlineStr">
        <is>
          <t>Cornichon fin</t>
        </is>
      </c>
      <c r="D19" s="554" t="n">
        <v>1.12</v>
      </c>
      <c r="E19" t="inlineStr">
        <is>
          <t>262ml</t>
        </is>
      </c>
      <c r="F19" s="2" t="inlineStr">
        <is>
          <t>https://www.bouteilles-et-bocaux.com/bocal-cylindrique-262-ml-monza-col-deep-twist-off-dto-82-100033050</t>
        </is>
      </c>
    </row>
    <row r="20">
      <c r="A20" t="inlineStr">
        <is>
          <t>Cornichon doux</t>
        </is>
      </c>
      <c r="D20" s="554" t="n">
        <v>1.69</v>
      </c>
      <c r="E20" s="554" t="inlineStr">
        <is>
          <t>490ml</t>
        </is>
      </c>
      <c r="F20" t="inlineStr">
        <is>
          <t>https://www.bouteilles-et-bocaux.com/bocal-cylindrique-460-ml-monza-bouchage-deep-twist-off-dto-82-100033060</t>
        </is>
      </c>
    </row>
    <row r="21">
      <c r="A21" t="inlineStr">
        <is>
          <t>Tube kraft 50ml</t>
        </is>
      </c>
      <c r="D21" s="554">
        <f>1447.5/1500</f>
        <v/>
      </c>
      <c r="E21" t="inlineStr">
        <is>
          <t>50ml</t>
        </is>
      </c>
      <c r="F21" t="inlineStr">
        <is>
          <t>https://esytube.com/fr/products/50-ml-kraft-push-up-paper-deodorant-tube?variant=42952838250665</t>
        </is>
      </c>
    </row>
  </sheetData>
  <hyperlinks>
    <hyperlink xmlns:r="http://schemas.openxmlformats.org/officeDocument/2006/relationships" ref="F2" display="https://www.bouteilles-et-bocaux.com/bouchon-pour-pot-a-epices-distributeur-plastique-pp-rouge-pour-col-gpi-38-400-100000230?referralCode=344f636f14874df59416c60d47218b06&amp;utm_medium=sea&amp;utm_source=google&amp;gad_source=1&amp;gclid=CjwKCAiAopuvBhBCEiwAm8jaMRvkyaCkj4LfwgUmeOXFwEVybp5GM9cMjo6i2XXHdi_SmUDOQN4bRRoCVVAQAvD_BwE" r:id="rId1"/>
    <hyperlink xmlns:r="http://schemas.openxmlformats.org/officeDocument/2006/relationships" ref="G2" r:id="rId2"/>
    <hyperlink xmlns:r="http://schemas.openxmlformats.org/officeDocument/2006/relationships" ref="F5" r:id="rId3"/>
    <hyperlink xmlns:r="http://schemas.openxmlformats.org/officeDocument/2006/relationships" ref="G5" r:id="rId4"/>
    <hyperlink xmlns:r="http://schemas.openxmlformats.org/officeDocument/2006/relationships" ref="F6" display="https://www.bouteilles-et-bocaux.com/pot-en-gres-270-ml-ceramique-blanc-col-couvercle-cloche-100035660?referralCode=344f636f14874df59416c60d47218b06&amp;utm_medium=sea&amp;utm_source=google&amp;gad_source=1&amp;gclid=CjwKCAiAopuvBhBCEiwAm8jaMYLe7_a0mGr35npPhJKfVuzxK0lpcyfagab4K3pMzvBsxnSqC3GYDhoCgu0QAvD_BwE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display="https://www.bouteilles-et-bocaux.com/bouteille-en-verre-100-ml-tulipano-col-liege-100018170?referralCode=344f636f14874df59416c60d47218b06&amp;utm_medium=sea&amp;utm_source=google&amp;gad_source=1&amp;gclid=CjwKCAiAopuvBhBCEiwAm8jaMTskXVOIzZ5rIxKF0pqFc9jqHsHuFuUd6kJ7IRF1_elI1heMCZJ8WxoCAGwQAvD_BwE" r:id="rId8"/>
    <hyperlink xmlns:r="http://schemas.openxmlformats.org/officeDocument/2006/relationships" ref="F10" display="https://www.bouteilles-et-bocaux.com/bouteille-de-vinaigre-d-huile-250-ml-oleum-verre-vert-antique-col-dop-100034870?referralCode=344f636f14874df59416c60d47218b06&amp;utm_medium=sea&amp;utm_source=google&amp;gad_source=1&amp;gclid=CjwKCAiAopuvBhBCEiwAm8jaMeaR3q1S8hCLAwRtq5MXdAumMc4tNe8kzahJPqJxkQvjUHB9PdyHrRoCIKIQAvD_BwE" r:id="rId9"/>
    <hyperlink xmlns:r="http://schemas.openxmlformats.org/officeDocument/2006/relationships" ref="F14" display="https://www.bouteilles-et-bocaux.com/seau-2-5-l-plastique-pp-blanc-100015070?referralCode=344f636f14874df59416c60d47218b06&amp;configurator=%255B%257B%2522productId%2522%253A%25220nolid%2522%252C%2522groupId%2522%253A%25220%2522%257D%252C%257B%2522productId%2522%253A%25221nolid%2522%252C%2522groupId%2522%253A%25221%2522%257D%255D&amp;utm_medium=sea&amp;utm_source=google&amp;galt=Cj0KCQjwlZixBhCoARIsAIC745BA22oQIFzXcivfuWmhgVWGHKmhHv_wy2W8_eDHTHF86yHAjltRI4MaAmbVEALw_wcB&amp;gad_source=1&amp;gclid=Cj0KCQjwlZixBhCoARIsAIC745BA22oQIFzXcivfuWmhgVWGHKmhHv_wy2W8_eDHTHF86yHAjltRI4MaAmbVEALw_wcB" r:id="rId10"/>
    <hyperlink xmlns:r="http://schemas.openxmlformats.org/officeDocument/2006/relationships" ref="F16" r:id="rId11"/>
    <hyperlink xmlns:r="http://schemas.openxmlformats.org/officeDocument/2006/relationships" ref="F17" display="https://de.aliexpress.com/item/1005005532498174.html1007.40000.327270.0&amp;scm-url=1007.40000.327270.0&amp;pvid=d7f30d2d-9c81-4a76-abd9-d1b5dab0f6ac&amp;_t=gps-id:pcDetailTopMoreOtherSeller,scm-url:1007.40000.327270.0,pvid:d7f30d2d-9c81-4a76-abd9-d1b5dab0f6ac,tpp_buckets:668%232846%238115%232000&amp;pdp_npi=4%40dis%21EUR%215.38%211.88%21%21%2141.12%2114.39%21%402103890117096883118564836e954f%2112000033437633735%21rec%21FR%212461724979%21&amp;utparam-url=scene%3ApcDetailTopMoreOtherSeller%7Cquery_from%3A" r:id="rId12"/>
    <hyperlink xmlns:r="http://schemas.openxmlformats.org/officeDocument/2006/relationships" ref="F18" r:id="rId13"/>
    <hyperlink xmlns:r="http://schemas.openxmlformats.org/officeDocument/2006/relationships" ref="F19" r:id="rId14"/>
  </hyperlinks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5"/>
  </tableParts>
</worksheet>
</file>

<file path=xl/worksheets/sheet6.xml><?xml version="1.0" encoding="utf-8"?>
<worksheet xmlns="http://schemas.openxmlformats.org/spreadsheetml/2006/main">
  <sheetPr codeName="Feuil7">
    <outlinePr summaryBelow="1" summaryRight="1"/>
    <pageSetUpPr/>
  </sheetPr>
  <dimension ref="A1:G168"/>
  <sheetViews>
    <sheetView tabSelected="1" workbookViewId="0">
      <selection activeCell="A3" sqref="A3"/>
    </sheetView>
  </sheetViews>
  <sheetFormatPr baseColWidth="10" defaultColWidth="11" defaultRowHeight="16"/>
  <cols>
    <col width="22.1640625" customWidth="1" min="1" max="1"/>
    <col width="16.83203125" customWidth="1" min="2" max="2"/>
    <col width="39.33203125" customWidth="1" min="3" max="3"/>
    <col width="24.1640625" customWidth="1" min="4" max="4"/>
    <col width="13.6640625" customWidth="1" min="5" max="5"/>
  </cols>
  <sheetData>
    <row r="1">
      <c r="A1" t="inlineStr">
        <is>
          <t>PRODUIT</t>
        </is>
      </c>
      <c r="B1" t="inlineStr">
        <is>
          <t>DISTRIBUTION</t>
        </is>
      </c>
      <c r="C1" t="inlineStr">
        <is>
          <t>NOM</t>
        </is>
      </c>
      <c r="D1" t="inlineStr">
        <is>
          <t>MARQUE</t>
        </is>
      </c>
      <c r="E1" t="inlineStr">
        <is>
          <t>GRAMMAGE</t>
        </is>
      </c>
      <c r="F1" t="inlineStr">
        <is>
          <t>PRIX</t>
        </is>
      </c>
      <c r="G1" t="inlineStr">
        <is>
          <t>PRIX_KG</t>
        </is>
      </c>
    </row>
    <row r="2">
      <c r="A2" t="inlineStr">
        <is>
          <t>Advieh</t>
        </is>
      </c>
      <c r="B2" t="inlineStr">
        <is>
          <t>magasin BIO</t>
        </is>
      </c>
      <c r="C2" t="inlineStr">
        <is>
          <t>Melange d'epices Advieh Bio</t>
        </is>
      </c>
      <c r="D2" t="inlineStr">
        <is>
          <t>Cook</t>
        </is>
      </c>
      <c r="E2" t="inlineStr">
        <is>
          <t>50g</t>
        </is>
      </c>
      <c r="F2" t="n">
        <v>5</v>
      </c>
      <c r="G2" t="n">
        <v>100</v>
      </c>
    </row>
    <row r="3">
      <c r="A3" t="inlineStr">
        <is>
          <t>Advieh</t>
        </is>
      </c>
      <c r="B3" t="inlineStr">
        <is>
          <t>magasin NON BIO</t>
        </is>
      </c>
      <c r="C3" t="inlineStr">
        <is>
          <t>Advieh Persan</t>
        </is>
      </c>
      <c r="D3" t="inlineStr">
        <is>
          <t>Silk Road Spices</t>
        </is>
      </c>
      <c r="E3" t="inlineStr">
        <is>
          <t>100g</t>
        </is>
      </c>
      <c r="F3" t="n">
        <v>6.99</v>
      </c>
      <c r="G3" t="n">
        <v>69.90000000000001</v>
      </c>
    </row>
    <row r="4">
      <c r="A4" t="inlineStr">
        <is>
          <t>Advieh</t>
        </is>
      </c>
      <c r="B4" t="inlineStr">
        <is>
          <t>artisanale BIO</t>
        </is>
      </c>
      <c r="C4" t="inlineStr">
        <is>
          <t>Advieh artisanal bio</t>
        </is>
      </c>
      <c r="D4" t="inlineStr">
        <is>
          <t>Les Jardins de Gaïa</t>
        </is>
      </c>
      <c r="E4" t="inlineStr">
        <is>
          <t>100g</t>
        </is>
      </c>
      <c r="F4" t="n">
        <v>7.5</v>
      </c>
      <c r="G4" t="n">
        <v>75</v>
      </c>
    </row>
    <row r="5">
      <c r="A5" t="inlineStr">
        <is>
          <t>Advieh</t>
        </is>
      </c>
      <c r="B5" t="inlineStr">
        <is>
          <t>mesepices</t>
        </is>
      </c>
      <c r="C5" t="inlineStr">
        <is>
          <t>Melange d'epices persan Advieh</t>
        </is>
      </c>
      <c r="D5" t="inlineStr">
        <is>
          <t>mesepices</t>
        </is>
      </c>
      <c r="E5" t="inlineStr">
        <is>
          <t>50g</t>
        </is>
      </c>
      <c r="F5" t="n">
        <v>5.85</v>
      </c>
      <c r="G5">
        <f>TableauConcurence[[#This Row],[PRIX]]/_xlfn.NUMBERVALUE(TableauConcurence[[#This Row],[GRAMMAGE]],"g")*1000</f>
        <v/>
      </c>
    </row>
    <row r="6">
      <c r="A6" t="inlineStr">
        <is>
          <t>Ail semoule</t>
        </is>
      </c>
      <c r="B6" t="inlineStr">
        <is>
          <t>magasin BIO</t>
        </is>
      </c>
      <c r="C6" t="inlineStr">
        <is>
          <t>Ail des ours en poudre</t>
        </is>
      </c>
      <c r="D6" t="inlineStr">
        <is>
          <t>Ethnoscience</t>
        </is>
      </c>
      <c r="E6" t="inlineStr">
        <is>
          <t>50g</t>
        </is>
      </c>
      <c r="F6" t="n">
        <v>4.9</v>
      </c>
      <c r="G6" t="n">
        <v>98</v>
      </c>
    </row>
    <row r="7">
      <c r="A7" t="inlineStr">
        <is>
          <t>Ail semoule</t>
        </is>
      </c>
      <c r="B7" t="inlineStr">
        <is>
          <t>magasin NON BIO</t>
        </is>
      </c>
      <c r="C7" t="inlineStr">
        <is>
          <t>Ail semoule</t>
        </is>
      </c>
      <c r="D7" t="inlineStr">
        <is>
          <t>Ducros</t>
        </is>
      </c>
      <c r="E7" t="inlineStr">
        <is>
          <t>38g</t>
        </is>
      </c>
      <c r="F7" t="n">
        <v>1.59</v>
      </c>
      <c r="G7" t="n">
        <v>41.84</v>
      </c>
    </row>
    <row r="8">
      <c r="A8" t="inlineStr">
        <is>
          <t>Ail semoule</t>
        </is>
      </c>
      <c r="B8" t="inlineStr">
        <is>
          <t>artisanale BIO</t>
        </is>
      </c>
      <c r="C8" t="inlineStr">
        <is>
          <t>Ail noir</t>
        </is>
      </c>
      <c r="D8" t="inlineStr">
        <is>
          <t>B par Maison Boutarin</t>
        </is>
      </c>
      <c r="E8" t="inlineStr">
        <is>
          <t>120g</t>
        </is>
      </c>
      <c r="F8" t="n">
        <v>14.5</v>
      </c>
      <c r="G8" t="n">
        <v>120.83</v>
      </c>
    </row>
    <row r="9">
      <c r="A9" t="inlineStr">
        <is>
          <t>Baharat arabe</t>
        </is>
      </c>
      <c r="B9" t="inlineStr">
        <is>
          <t>magasin BIO</t>
        </is>
      </c>
      <c r="C9" t="inlineStr">
        <is>
          <t>Melange d'epices Baharat Bio</t>
        </is>
      </c>
      <c r="D9" t="inlineStr">
        <is>
          <t>Cook</t>
        </is>
      </c>
      <c r="E9" t="inlineStr">
        <is>
          <t>50g</t>
        </is>
      </c>
      <c r="F9" t="n">
        <v>5.5</v>
      </c>
      <c r="G9" t="n">
        <v>110</v>
      </c>
    </row>
    <row r="10">
      <c r="A10" t="inlineStr">
        <is>
          <t>Baharat arabe</t>
        </is>
      </c>
      <c r="B10" t="inlineStr">
        <is>
          <t>magasin NON BIO</t>
        </is>
      </c>
      <c r="C10" t="inlineStr">
        <is>
          <t>Baharat Spice Blend</t>
        </is>
      </c>
      <c r="D10" t="inlineStr">
        <is>
          <t>Silk Road Spices</t>
        </is>
      </c>
      <c r="E10" t="inlineStr">
        <is>
          <t>100g</t>
        </is>
      </c>
      <c r="F10" t="n">
        <v>6.99</v>
      </c>
      <c r="G10" t="n">
        <v>69.90000000000001</v>
      </c>
    </row>
    <row r="11">
      <c r="A11" t="inlineStr">
        <is>
          <t>Baharat arabe</t>
        </is>
      </c>
      <c r="B11" t="inlineStr">
        <is>
          <t>artisanale BIO</t>
        </is>
      </c>
      <c r="C11" t="inlineStr">
        <is>
          <t>Baharat Artisanal Bio</t>
        </is>
      </c>
      <c r="D11" t="inlineStr">
        <is>
          <t>Les Jardins de Gaïa</t>
        </is>
      </c>
      <c r="E11" t="inlineStr">
        <is>
          <t>100g</t>
        </is>
      </c>
      <c r="F11" t="n">
        <v>7.5</v>
      </c>
      <c r="G11" t="n">
        <v>75</v>
      </c>
    </row>
    <row r="12">
      <c r="A12" t="inlineStr">
        <is>
          <t>Baharat turc</t>
        </is>
      </c>
      <c r="B12" t="inlineStr">
        <is>
          <t>magasin BIO</t>
        </is>
      </c>
      <c r="C12" t="inlineStr">
        <is>
          <t>Melange d'epices Baharat Bio</t>
        </is>
      </c>
      <c r="D12" t="inlineStr">
        <is>
          <t>Cook</t>
        </is>
      </c>
      <c r="E12" t="inlineStr">
        <is>
          <t>50g</t>
        </is>
      </c>
      <c r="F12" t="n">
        <v>5.5</v>
      </c>
      <c r="G12" t="n">
        <v>110</v>
      </c>
    </row>
    <row r="13">
      <c r="A13" t="inlineStr">
        <is>
          <t>Baharat turc</t>
        </is>
      </c>
      <c r="B13" t="inlineStr">
        <is>
          <t>magasin NON BIO</t>
        </is>
      </c>
      <c r="C13" t="inlineStr">
        <is>
          <t>Baharat Turkish Spice Blend</t>
        </is>
      </c>
      <c r="D13" t="inlineStr">
        <is>
          <t>Silk Road Spices</t>
        </is>
      </c>
      <c r="E13" t="inlineStr">
        <is>
          <t>100g</t>
        </is>
      </c>
      <c r="F13" t="n">
        <v>6.99</v>
      </c>
      <c r="G13" t="n">
        <v>69.90000000000001</v>
      </c>
    </row>
    <row r="14">
      <c r="A14" t="inlineStr">
        <is>
          <t>Baharat turc</t>
        </is>
      </c>
      <c r="B14" t="inlineStr">
        <is>
          <t>artisanale BIO</t>
        </is>
      </c>
      <c r="C14" t="inlineStr">
        <is>
          <t>Baharat Turc Artisanal Bio</t>
        </is>
      </c>
      <c r="D14" t="inlineStr">
        <is>
          <t>Les Jardins de Gaïa</t>
        </is>
      </c>
      <c r="E14" t="inlineStr">
        <is>
          <t>100g</t>
        </is>
      </c>
      <c r="F14" t="n">
        <v>7.5</v>
      </c>
      <c r="G14" t="n">
        <v>75</v>
      </c>
    </row>
    <row r="15">
      <c r="A15" t="inlineStr">
        <is>
          <t>Carvi graine</t>
        </is>
      </c>
      <c r="B15" t="inlineStr">
        <is>
          <t>magasin BIO</t>
        </is>
      </c>
      <c r="C15" t="inlineStr">
        <is>
          <t>Carvi Graine Bio</t>
        </is>
      </c>
      <c r="D15" t="inlineStr">
        <is>
          <t>Biocoop</t>
        </is>
      </c>
      <c r="E15" t="inlineStr">
        <is>
          <t>100g</t>
        </is>
      </c>
      <c r="F15" t="n">
        <v>2.95</v>
      </c>
      <c r="G15" t="n">
        <v>29.5</v>
      </c>
    </row>
    <row r="16">
      <c r="A16" t="inlineStr">
        <is>
          <t>Carvi graine</t>
        </is>
      </c>
      <c r="B16" t="inlineStr">
        <is>
          <t>magasin NON BIO</t>
        </is>
      </c>
      <c r="C16" t="inlineStr">
        <is>
          <t>Carvi graines</t>
        </is>
      </c>
      <c r="D16" t="inlineStr">
        <is>
          <t>Ducros</t>
        </is>
      </c>
      <c r="E16" t="inlineStr">
        <is>
          <t>28g</t>
        </is>
      </c>
      <c r="F16" t="n">
        <v>1.49</v>
      </c>
      <c r="G16" t="n">
        <v>53.21</v>
      </c>
    </row>
    <row r="17">
      <c r="A17" t="inlineStr">
        <is>
          <t>Carvi graine</t>
        </is>
      </c>
      <c r="B17" t="inlineStr">
        <is>
          <t>artisanale BIO</t>
        </is>
      </c>
      <c r="C17" t="inlineStr">
        <is>
          <t>Carvi Graine</t>
        </is>
      </c>
      <c r="D17" t="inlineStr">
        <is>
          <t>Ethnoscience</t>
        </is>
      </c>
      <c r="E17" t="inlineStr">
        <is>
          <t>50g</t>
        </is>
      </c>
      <c r="F17" t="n">
        <v>3.2</v>
      </c>
      <c r="G17" t="n">
        <v>64</v>
      </c>
    </row>
    <row r="18">
      <c r="A18" t="inlineStr">
        <is>
          <t>Carvi moulu</t>
        </is>
      </c>
      <c r="B18" t="inlineStr">
        <is>
          <t>magasin BIO</t>
        </is>
      </c>
      <c r="C18" t="inlineStr">
        <is>
          <t>Carvi moulu Bio</t>
        </is>
      </c>
      <c r="D18" t="inlineStr">
        <is>
          <t>Healing Nature</t>
        </is>
      </c>
      <c r="E18" t="inlineStr">
        <is>
          <t>100g</t>
        </is>
      </c>
      <c r="F18" t="n">
        <v>2.7</v>
      </c>
      <c r="G18" t="n">
        <v>27</v>
      </c>
    </row>
    <row r="19">
      <c r="A19" t="inlineStr">
        <is>
          <t>Carvi moulu</t>
        </is>
      </c>
      <c r="B19" t="inlineStr">
        <is>
          <t>magasin NON BIO</t>
        </is>
      </c>
      <c r="C19" t="inlineStr">
        <is>
          <t>Caraway ground</t>
        </is>
      </c>
      <c r="D19" t="inlineStr">
        <is>
          <t>Bulkfoods</t>
        </is>
      </c>
      <c r="E19" t="inlineStr">
        <is>
          <t>454g</t>
        </is>
      </c>
      <c r="F19" t="n">
        <v>9.390000000000001</v>
      </c>
      <c r="G19" t="n">
        <v>20.69</v>
      </c>
    </row>
    <row r="20">
      <c r="A20" t="inlineStr">
        <is>
          <t>Carvi moulu</t>
        </is>
      </c>
      <c r="B20" t="inlineStr">
        <is>
          <t>artisanale BIO</t>
        </is>
      </c>
      <c r="C20" t="inlineStr">
        <is>
          <t>Carvi moulu Bio</t>
        </is>
      </c>
      <c r="D20" t="inlineStr">
        <is>
          <t>Sonnentor</t>
        </is>
      </c>
      <c r="E20" t="inlineStr">
        <is>
          <t>60g</t>
        </is>
      </c>
      <c r="F20" t="n">
        <v>2.69</v>
      </c>
      <c r="G20" t="n">
        <v>44.8</v>
      </c>
    </row>
    <row r="21">
      <c r="A21" t="inlineStr">
        <is>
          <t>Cumin graine</t>
        </is>
      </c>
      <c r="B21" t="inlineStr">
        <is>
          <t>magasin BIO</t>
        </is>
      </c>
      <c r="C21" t="inlineStr">
        <is>
          <t>Cumin graines</t>
        </is>
      </c>
      <c r="D21" t="inlineStr">
        <is>
          <t>Cook</t>
        </is>
      </c>
      <c r="E21" t="inlineStr">
        <is>
          <t>500g</t>
        </is>
      </c>
      <c r="F21" t="n">
        <v>9.99</v>
      </c>
      <c r="G21" t="n">
        <v>19.98</v>
      </c>
    </row>
    <row r="22">
      <c r="A22" t="inlineStr">
        <is>
          <t>Cumin graine</t>
        </is>
      </c>
      <c r="B22" t="inlineStr">
        <is>
          <t>magasin NON BIO</t>
        </is>
      </c>
      <c r="C22" t="inlineStr">
        <is>
          <t>Cumin graines</t>
        </is>
      </c>
      <c r="D22" t="inlineStr">
        <is>
          <t>Ducros</t>
        </is>
      </c>
      <c r="E22" t="inlineStr">
        <is>
          <t>50g</t>
        </is>
      </c>
      <c r="F22" t="n">
        <v>2.3</v>
      </c>
      <c r="G22" t="n">
        <v>46</v>
      </c>
    </row>
    <row r="23">
      <c r="A23" t="inlineStr">
        <is>
          <t>Cumin graine</t>
        </is>
      </c>
      <c r="B23" t="inlineStr">
        <is>
          <t>artisanale BIO</t>
        </is>
      </c>
      <c r="C23" t="inlineStr">
        <is>
          <t>Cumin graine eco-recharge</t>
        </is>
      </c>
      <c r="D23" t="inlineStr">
        <is>
          <t>Arcadie</t>
        </is>
      </c>
      <c r="E23" t="inlineStr">
        <is>
          <t>40g</t>
        </is>
      </c>
      <c r="F23" t="n">
        <v>2.6</v>
      </c>
      <c r="G23" t="n">
        <v>65</v>
      </c>
    </row>
    <row r="24">
      <c r="A24" t="inlineStr">
        <is>
          <t>Cumin moulu</t>
        </is>
      </c>
      <c r="B24" t="inlineStr">
        <is>
          <t>magasin BIO</t>
        </is>
      </c>
      <c r="C24" t="inlineStr">
        <is>
          <t>Cumin moulu</t>
        </is>
      </c>
      <c r="D24" t="inlineStr">
        <is>
          <t>Cook</t>
        </is>
      </c>
      <c r="E24" t="inlineStr">
        <is>
          <t>100g</t>
        </is>
      </c>
      <c r="F24" t="n">
        <v>3.9</v>
      </c>
      <c r="G24" t="n">
        <v>39</v>
      </c>
    </row>
    <row r="25">
      <c r="A25" t="inlineStr">
        <is>
          <t>Cumin moulu</t>
        </is>
      </c>
      <c r="B25" t="inlineStr">
        <is>
          <t>magasin NON BIO</t>
        </is>
      </c>
      <c r="C25" t="inlineStr">
        <is>
          <t>Cumin moulu</t>
        </is>
      </c>
      <c r="D25" t="inlineStr">
        <is>
          <t>Ducros</t>
        </is>
      </c>
      <c r="E25" t="inlineStr">
        <is>
          <t>35g</t>
        </is>
      </c>
      <c r="F25" t="n">
        <v>1.89</v>
      </c>
      <c r="G25" t="n">
        <v>54</v>
      </c>
    </row>
    <row r="26">
      <c r="A26" t="inlineStr">
        <is>
          <t>Cumin moulu</t>
        </is>
      </c>
      <c r="B26" t="inlineStr">
        <is>
          <t>artisanale BIO</t>
        </is>
      </c>
      <c r="C26" t="inlineStr">
        <is>
          <t>Cumin moulu</t>
        </is>
      </c>
      <c r="D26" t="inlineStr">
        <is>
          <t>Arcadie</t>
        </is>
      </c>
      <c r="E26" t="inlineStr">
        <is>
          <t>40g</t>
        </is>
      </c>
      <c r="F26" t="n">
        <v>2.2</v>
      </c>
      <c r="G26" t="n">
        <v>55</v>
      </c>
    </row>
    <row r="27">
      <c r="A27" t="inlineStr">
        <is>
          <t>Curcuma</t>
        </is>
      </c>
      <c r="B27" t="inlineStr">
        <is>
          <t>magasin BIO</t>
        </is>
      </c>
      <c r="C27" t="inlineStr">
        <is>
          <t>Curcuma moulu</t>
        </is>
      </c>
      <c r="D27" t="inlineStr">
        <is>
          <t>Cook</t>
        </is>
      </c>
      <c r="E27" t="inlineStr">
        <is>
          <t>80g</t>
        </is>
      </c>
      <c r="F27" t="n">
        <v>3.5</v>
      </c>
      <c r="G27" t="n">
        <v>43.75</v>
      </c>
    </row>
    <row r="28">
      <c r="A28" t="inlineStr">
        <is>
          <t>Curcuma</t>
        </is>
      </c>
      <c r="B28" t="inlineStr">
        <is>
          <t>magasin NON BIO</t>
        </is>
      </c>
      <c r="C28" t="inlineStr">
        <is>
          <t>Curcuma moulu</t>
        </is>
      </c>
      <c r="D28" t="inlineStr">
        <is>
          <t>Ducros</t>
        </is>
      </c>
      <c r="E28" t="inlineStr">
        <is>
          <t>40g</t>
        </is>
      </c>
      <c r="F28" t="n">
        <v>2.05</v>
      </c>
      <c r="G28" t="n">
        <v>51.25</v>
      </c>
    </row>
    <row r="29">
      <c r="A29" t="inlineStr">
        <is>
          <t>Curcuma</t>
        </is>
      </c>
      <c r="B29" t="inlineStr">
        <is>
          <t>artisanale BIO</t>
        </is>
      </c>
      <c r="C29" t="inlineStr">
        <is>
          <t>Curcuma poudre</t>
        </is>
      </c>
      <c r="D29" t="inlineStr">
        <is>
          <t>Le Comptoir Colonial</t>
        </is>
      </c>
      <c r="E29" t="inlineStr">
        <is>
          <t>50g</t>
        </is>
      </c>
      <c r="F29" t="n">
        <v>4</v>
      </c>
      <c r="G29" t="n">
        <v>80</v>
      </c>
    </row>
    <row r="30">
      <c r="A30" t="inlineStr">
        <is>
          <t>Curry</t>
        </is>
      </c>
      <c r="B30" t="inlineStr">
        <is>
          <t>magasin BIO</t>
        </is>
      </c>
      <c r="C30" t="inlineStr">
        <is>
          <t>Curry poudre</t>
        </is>
      </c>
      <c r="D30" t="inlineStr">
        <is>
          <t>Cook</t>
        </is>
      </c>
      <c r="E30" t="inlineStr">
        <is>
          <t>100g</t>
        </is>
      </c>
      <c r="F30" t="n">
        <v>4.5</v>
      </c>
      <c r="G30" t="n">
        <v>45</v>
      </c>
    </row>
    <row r="31">
      <c r="A31" t="inlineStr">
        <is>
          <t>Curry</t>
        </is>
      </c>
      <c r="B31" t="inlineStr">
        <is>
          <t>magasin NON BIO</t>
        </is>
      </c>
      <c r="C31" t="inlineStr">
        <is>
          <t>Curry poudre</t>
        </is>
      </c>
      <c r="D31" t="inlineStr">
        <is>
          <t>Ducros</t>
        </is>
      </c>
      <c r="E31" t="inlineStr">
        <is>
          <t>45g</t>
        </is>
      </c>
      <c r="F31" t="n">
        <v>2.1</v>
      </c>
      <c r="G31" t="n">
        <v>46.67</v>
      </c>
    </row>
    <row r="32">
      <c r="A32" t="inlineStr">
        <is>
          <t>Curry</t>
        </is>
      </c>
      <c r="B32" t="inlineStr">
        <is>
          <t>artisanale BIO</t>
        </is>
      </c>
      <c r="C32" t="inlineStr">
        <is>
          <t>Curry poudre</t>
        </is>
      </c>
      <c r="D32" t="inlineStr">
        <is>
          <t>Arcadie</t>
        </is>
      </c>
      <c r="E32" t="inlineStr">
        <is>
          <t>50g</t>
        </is>
      </c>
      <c r="F32" t="n">
        <v>3</v>
      </c>
      <c r="G32" t="n">
        <v>60</v>
      </c>
    </row>
    <row r="33">
      <c r="A33" t="inlineStr">
        <is>
          <t>Curry Madras</t>
        </is>
      </c>
      <c r="B33" t="inlineStr">
        <is>
          <t>magasin BIO</t>
        </is>
      </c>
      <c r="C33" t="inlineStr">
        <is>
          <t>Curry Madras fort</t>
        </is>
      </c>
      <c r="D33" t="inlineStr">
        <is>
          <t>Cook</t>
        </is>
      </c>
      <c r="E33" t="inlineStr">
        <is>
          <t>50g</t>
        </is>
      </c>
      <c r="F33" t="n">
        <v>2.8</v>
      </c>
      <c r="G33" t="n">
        <v>56</v>
      </c>
    </row>
    <row r="34">
      <c r="A34" t="inlineStr">
        <is>
          <t>Curry Madras</t>
        </is>
      </c>
      <c r="B34" t="inlineStr">
        <is>
          <t>magasin NON BIO</t>
        </is>
      </c>
      <c r="C34" t="inlineStr">
        <is>
          <t>Curry Madras</t>
        </is>
      </c>
      <c r="D34" t="inlineStr">
        <is>
          <t>Ducros</t>
        </is>
      </c>
      <c r="E34" t="inlineStr">
        <is>
          <t>38g</t>
        </is>
      </c>
      <c r="F34" t="n">
        <v>1.95</v>
      </c>
      <c r="G34" t="n">
        <v>51.32</v>
      </c>
    </row>
    <row r="35">
      <c r="A35" t="inlineStr">
        <is>
          <t>Curry Madras</t>
        </is>
      </c>
      <c r="B35" t="inlineStr">
        <is>
          <t>artisanale BIO</t>
        </is>
      </c>
      <c r="C35" t="inlineStr">
        <is>
          <t>Curry Madras en poudre</t>
        </is>
      </c>
      <c r="D35" t="inlineStr">
        <is>
          <t>Les Jardins de Gaïa</t>
        </is>
      </c>
      <c r="E35" t="inlineStr">
        <is>
          <t>50g</t>
        </is>
      </c>
      <c r="F35" t="n">
        <v>4.5</v>
      </c>
      <c r="G35" t="n">
        <v>90</v>
      </c>
    </row>
    <row r="36">
      <c r="A36" t="inlineStr">
        <is>
          <t>epices Tandoori</t>
        </is>
      </c>
      <c r="B36" t="inlineStr">
        <is>
          <t>magasin BIO</t>
        </is>
      </c>
      <c r="C36" t="inlineStr">
        <is>
          <t>epices Tandoori</t>
        </is>
      </c>
      <c r="D36" t="inlineStr">
        <is>
          <t>Cook</t>
        </is>
      </c>
      <c r="E36" t="inlineStr">
        <is>
          <t>50g</t>
        </is>
      </c>
      <c r="F36" t="n">
        <v>3.5</v>
      </c>
      <c r="G36" t="n">
        <v>70</v>
      </c>
    </row>
    <row r="37">
      <c r="A37" t="inlineStr">
        <is>
          <t>epices Tandoori</t>
        </is>
      </c>
      <c r="B37" t="inlineStr">
        <is>
          <t>magasin NON BIO</t>
        </is>
      </c>
      <c r="C37" t="inlineStr">
        <is>
          <t>Tandoori</t>
        </is>
      </c>
      <c r="D37" t="inlineStr">
        <is>
          <t>Ducros</t>
        </is>
      </c>
      <c r="E37" t="inlineStr">
        <is>
          <t>39g</t>
        </is>
      </c>
      <c r="F37" t="n">
        <v>2.2</v>
      </c>
      <c r="G37" t="n">
        <v>56.41</v>
      </c>
    </row>
    <row r="38">
      <c r="A38" t="inlineStr">
        <is>
          <t>epices Tandoori</t>
        </is>
      </c>
      <c r="B38" t="inlineStr">
        <is>
          <t>artisanale BIO</t>
        </is>
      </c>
      <c r="C38" t="inlineStr">
        <is>
          <t>Tandoori Masala</t>
        </is>
      </c>
      <c r="D38" t="inlineStr">
        <is>
          <t>Les Jardins de Gaïa</t>
        </is>
      </c>
      <c r="E38" t="inlineStr">
        <is>
          <t>40g</t>
        </is>
      </c>
      <c r="F38" t="n">
        <v>4</v>
      </c>
      <c r="G38" t="n">
        <v>100</v>
      </c>
    </row>
    <row r="39">
      <c r="A39" t="inlineStr">
        <is>
          <t>Epices viandes rouges</t>
        </is>
      </c>
      <c r="B39" t="inlineStr">
        <is>
          <t>magasin BIO</t>
        </is>
      </c>
      <c r="C39" t="inlineStr">
        <is>
          <t>Melange epices viandes rouges</t>
        </is>
      </c>
      <c r="D39" t="inlineStr">
        <is>
          <t>Cook</t>
        </is>
      </c>
      <c r="E39" t="inlineStr">
        <is>
          <t>35g</t>
        </is>
      </c>
      <c r="F39" t="n">
        <v>2.8</v>
      </c>
      <c r="G39" t="n">
        <v>80</v>
      </c>
    </row>
    <row r="40">
      <c r="A40" t="inlineStr">
        <is>
          <t>Epices viandes rouges</t>
        </is>
      </c>
      <c r="B40" t="inlineStr">
        <is>
          <t>magasin NON BIO</t>
        </is>
      </c>
      <c r="C40" t="inlineStr">
        <is>
          <t>Melange d'epices pour viandes rouges</t>
        </is>
      </c>
      <c r="D40" t="inlineStr">
        <is>
          <t>Ducros</t>
        </is>
      </c>
      <c r="E40" t="inlineStr">
        <is>
          <t>39g</t>
        </is>
      </c>
      <c r="F40" t="n">
        <v>2.15</v>
      </c>
      <c r="G40" t="n">
        <v>55.13</v>
      </c>
    </row>
    <row r="41">
      <c r="A41" t="inlineStr">
        <is>
          <t>Epices viandes rouges</t>
        </is>
      </c>
      <c r="B41" t="inlineStr">
        <is>
          <t>artisanale BIO</t>
        </is>
      </c>
      <c r="C41" t="inlineStr">
        <is>
          <t>Melange epices grillades viandes rouges</t>
        </is>
      </c>
      <c r="D41" t="inlineStr">
        <is>
          <t>Arcadie</t>
        </is>
      </c>
      <c r="E41" t="inlineStr">
        <is>
          <t>35g</t>
        </is>
      </c>
      <c r="F41" t="n">
        <v>3</v>
      </c>
      <c r="G41" t="n">
        <v>85.70999999999999</v>
      </c>
    </row>
    <row r="42">
      <c r="A42" t="inlineStr">
        <is>
          <t>Gingembre sec</t>
        </is>
      </c>
      <c r="B42" t="inlineStr">
        <is>
          <t>magasin BIO</t>
        </is>
      </c>
      <c r="C42" t="inlineStr">
        <is>
          <t>Gingembre poudre</t>
        </is>
      </c>
      <c r="D42" t="inlineStr">
        <is>
          <t>Cook</t>
        </is>
      </c>
      <c r="E42" t="inlineStr">
        <is>
          <t>100g</t>
        </is>
      </c>
      <c r="F42" t="n">
        <v>3.9</v>
      </c>
      <c r="G42" t="n">
        <v>39</v>
      </c>
    </row>
    <row r="43">
      <c r="A43" t="inlineStr">
        <is>
          <t>Gingembre sec</t>
        </is>
      </c>
      <c r="B43" t="inlineStr">
        <is>
          <t>magasin NON BIO</t>
        </is>
      </c>
      <c r="C43" t="inlineStr">
        <is>
          <t>Gingembre moulu</t>
        </is>
      </c>
      <c r="D43" t="inlineStr">
        <is>
          <t>Ducros</t>
        </is>
      </c>
      <c r="E43" t="inlineStr">
        <is>
          <t>28g</t>
        </is>
      </c>
      <c r="F43" t="n">
        <v>2.15</v>
      </c>
      <c r="G43" t="n">
        <v>76.79000000000001</v>
      </c>
    </row>
    <row r="44">
      <c r="A44" t="inlineStr">
        <is>
          <t>Gingembre sec</t>
        </is>
      </c>
      <c r="B44" t="inlineStr">
        <is>
          <t>artisanale BIO</t>
        </is>
      </c>
      <c r="C44" t="inlineStr">
        <is>
          <t>Gingembre moulu</t>
        </is>
      </c>
      <c r="D44" t="inlineStr">
        <is>
          <t>Arcadie</t>
        </is>
      </c>
      <c r="E44" t="inlineStr">
        <is>
          <t>40g</t>
        </is>
      </c>
      <c r="F44" t="n">
        <v>2.6</v>
      </c>
      <c r="G44" t="n">
        <v>65</v>
      </c>
    </row>
    <row r="45">
      <c r="A45" t="inlineStr">
        <is>
          <t>Herbe de provence</t>
        </is>
      </c>
      <c r="B45" t="inlineStr">
        <is>
          <t>magasin BIO</t>
        </is>
      </c>
      <c r="C45" t="inlineStr">
        <is>
          <t>Herbes de Provence</t>
        </is>
      </c>
      <c r="D45" t="inlineStr">
        <is>
          <t>Cook</t>
        </is>
      </c>
      <c r="E45" t="inlineStr">
        <is>
          <t>20g</t>
        </is>
      </c>
      <c r="F45" t="n">
        <v>2.79</v>
      </c>
      <c r="G45" t="n">
        <v>139.5</v>
      </c>
    </row>
    <row r="46">
      <c r="A46" t="inlineStr">
        <is>
          <t>Herbe de provence</t>
        </is>
      </c>
      <c r="B46" t="inlineStr">
        <is>
          <t>magasin NON BIO</t>
        </is>
      </c>
      <c r="C46" t="inlineStr">
        <is>
          <t>Herbes de Provence</t>
        </is>
      </c>
      <c r="D46" t="inlineStr">
        <is>
          <t>Ducros</t>
        </is>
      </c>
      <c r="E46" t="inlineStr">
        <is>
          <t>25g</t>
        </is>
      </c>
      <c r="F46" t="n">
        <v>1.89</v>
      </c>
      <c r="G46" t="n">
        <v>75.59999999999999</v>
      </c>
    </row>
    <row r="47">
      <c r="A47" t="inlineStr">
        <is>
          <t>Herbe de provence</t>
        </is>
      </c>
      <c r="B47" t="inlineStr">
        <is>
          <t>artisanale BIO</t>
        </is>
      </c>
      <c r="C47" t="inlineStr">
        <is>
          <t>Herbes de Provence</t>
        </is>
      </c>
      <c r="D47" t="inlineStr">
        <is>
          <t>Le champ de l'air</t>
        </is>
      </c>
      <c r="E47" t="inlineStr">
        <is>
          <t>25g</t>
        </is>
      </c>
      <c r="F47" t="n">
        <v>4.2</v>
      </c>
      <c r="G47" t="n">
        <v>168</v>
      </c>
    </row>
    <row r="48">
      <c r="A48" t="inlineStr">
        <is>
          <t>Ketchup</t>
        </is>
      </c>
      <c r="B48" t="inlineStr">
        <is>
          <t>magasin BIO</t>
        </is>
      </c>
      <c r="C48" t="inlineStr">
        <is>
          <t>L'Incroyable Ketchup</t>
        </is>
      </c>
      <c r="D48" t="inlineStr">
        <is>
          <t>Quintesens</t>
        </is>
      </c>
      <c r="E48" t="inlineStr">
        <is>
          <t>280g</t>
        </is>
      </c>
      <c r="F48" t="n">
        <v>4.5</v>
      </c>
      <c r="G48" t="n">
        <v>16.07</v>
      </c>
    </row>
    <row r="49">
      <c r="A49" t="inlineStr">
        <is>
          <t>Ketchup</t>
        </is>
      </c>
      <c r="B49" t="inlineStr">
        <is>
          <t>magasin BIO</t>
        </is>
      </c>
      <c r="C49" t="inlineStr">
        <is>
          <t>Ketchup tomate sans sucre ajoute</t>
        </is>
      </c>
      <c r="D49" t="inlineStr">
        <is>
          <t>Emilien</t>
        </is>
      </c>
      <c r="E49" t="inlineStr">
        <is>
          <t>360g</t>
        </is>
      </c>
      <c r="F49" t="n">
        <v>3.8</v>
      </c>
      <c r="G49" t="n">
        <v>10.56</v>
      </c>
    </row>
    <row r="50">
      <c r="A50" t="inlineStr">
        <is>
          <t>Ketchup</t>
        </is>
      </c>
      <c r="B50" t="inlineStr">
        <is>
          <t>magasin BIO</t>
        </is>
      </c>
      <c r="C50" t="inlineStr">
        <is>
          <t>Ketchup sucre canne squeezer bio</t>
        </is>
      </c>
      <c r="D50" t="inlineStr">
        <is>
          <t>Secrets du Midi</t>
        </is>
      </c>
      <c r="E50" t="inlineStr">
        <is>
          <t>340g</t>
        </is>
      </c>
      <c r="F50" t="n">
        <v>3.2</v>
      </c>
      <c r="G50" t="n">
        <v>9.41</v>
      </c>
    </row>
    <row r="51">
      <c r="A51" t="inlineStr">
        <is>
          <t>Ketchup</t>
        </is>
      </c>
      <c r="B51" t="inlineStr">
        <is>
          <t>magasin NON BIO</t>
        </is>
      </c>
      <c r="C51" t="inlineStr">
        <is>
          <t>Ketchup</t>
        </is>
      </c>
      <c r="D51" t="inlineStr">
        <is>
          <t>Heinz</t>
        </is>
      </c>
      <c r="E51" t="inlineStr">
        <is>
          <t>500g</t>
        </is>
      </c>
      <c r="F51" t="n">
        <v>2.5</v>
      </c>
      <c r="G51" t="n">
        <v>5</v>
      </c>
    </row>
    <row r="52">
      <c r="A52" t="inlineStr">
        <is>
          <t>Ketchup</t>
        </is>
      </c>
      <c r="B52" t="inlineStr">
        <is>
          <t>artisanale BIO</t>
        </is>
      </c>
      <c r="C52" t="inlineStr">
        <is>
          <t>Ketchup artisanal bio</t>
        </is>
      </c>
      <c r="D52" t="inlineStr">
        <is>
          <t>Bio Loire Ocean</t>
        </is>
      </c>
      <c r="E52" t="inlineStr">
        <is>
          <t>250g</t>
        </is>
      </c>
      <c r="F52" t="n">
        <v>4</v>
      </c>
      <c r="G52" t="n">
        <v>16</v>
      </c>
    </row>
    <row r="53">
      <c r="A53" t="inlineStr">
        <is>
          <t>Moutarde à l'ancienne</t>
        </is>
      </c>
      <c r="B53" t="inlineStr">
        <is>
          <t>magasin BIO</t>
        </is>
      </c>
      <c r="C53" t="inlineStr">
        <is>
          <t>Moutarde à l'ancienne aux graines françaises</t>
        </is>
      </c>
      <c r="D53" t="inlineStr">
        <is>
          <t>Bioster</t>
        </is>
      </c>
      <c r="E53" t="inlineStr">
        <is>
          <t>200g</t>
        </is>
      </c>
      <c r="F53" t="n">
        <v>3.65</v>
      </c>
      <c r="G53" t="n">
        <v>18.25</v>
      </c>
    </row>
    <row r="54">
      <c r="A54" t="inlineStr">
        <is>
          <t>Moutarde à l'ancienne</t>
        </is>
      </c>
      <c r="B54" t="inlineStr">
        <is>
          <t>magasin NON BIO</t>
        </is>
      </c>
      <c r="C54" t="inlineStr">
        <is>
          <t>Moutarde à l'ancienne</t>
        </is>
      </c>
      <c r="D54" t="inlineStr">
        <is>
          <t>Amora</t>
        </is>
      </c>
      <c r="E54" t="inlineStr">
        <is>
          <t>370g</t>
        </is>
      </c>
      <c r="F54" t="n">
        <v>2.15</v>
      </c>
      <c r="G54" t="n">
        <v>5.81</v>
      </c>
    </row>
    <row r="55">
      <c r="A55" t="inlineStr">
        <is>
          <t>Moutarde à l'ancienne</t>
        </is>
      </c>
      <c r="B55" t="inlineStr">
        <is>
          <t>artisanale BIO</t>
        </is>
      </c>
      <c r="C55" t="inlineStr">
        <is>
          <t>Moutarde à l'ancienne</t>
        </is>
      </c>
      <c r="D55" t="inlineStr">
        <is>
          <t>Bioster</t>
        </is>
      </c>
      <c r="E55" t="inlineStr">
        <is>
          <t>200g</t>
        </is>
      </c>
      <c r="F55" t="n">
        <v>5.9</v>
      </c>
      <c r="G55">
        <f>TableauConcurence[[#This Row],[PRIX]]/_xlfn.NUMBERVALUE(TableauConcurence[[#This Row],[GRAMMAGE]],"g")*1000</f>
        <v/>
      </c>
    </row>
    <row r="56">
      <c r="A56" t="inlineStr">
        <is>
          <t>Moutarde à l'estragon</t>
        </is>
      </c>
      <c r="B56" t="inlineStr">
        <is>
          <t>magasin BIO</t>
        </is>
      </c>
      <c r="C56" t="inlineStr">
        <is>
          <t>Moutarde à l'estragon</t>
        </is>
      </c>
      <c r="D56" t="inlineStr">
        <is>
          <t>Delouis</t>
        </is>
      </c>
      <c r="E56" t="inlineStr">
        <is>
          <t>200g</t>
        </is>
      </c>
      <c r="F56" t="n">
        <v>3.65</v>
      </c>
      <c r="G56" t="n">
        <v>18.25</v>
      </c>
    </row>
    <row r="57">
      <c r="A57" t="inlineStr">
        <is>
          <t>Moutarde à l'estragon</t>
        </is>
      </c>
      <c r="B57" t="inlineStr">
        <is>
          <t>magasin NON BIO</t>
        </is>
      </c>
      <c r="C57" t="inlineStr">
        <is>
          <t>Moutarde à l'estragon</t>
        </is>
      </c>
      <c r="D57" t="inlineStr">
        <is>
          <t>Amora</t>
        </is>
      </c>
      <c r="E57" t="inlineStr">
        <is>
          <t>260g</t>
        </is>
      </c>
      <c r="F57" t="n">
        <v>1.89</v>
      </c>
      <c r="G57" t="n">
        <v>7.27</v>
      </c>
    </row>
    <row r="58">
      <c r="A58" t="inlineStr">
        <is>
          <t>Moutarde à l'estragon</t>
        </is>
      </c>
      <c r="B58" t="inlineStr">
        <is>
          <t>artisanale BIO</t>
        </is>
      </c>
      <c r="C58" t="inlineStr">
        <is>
          <t>Moutarde à l'estragon</t>
        </is>
      </c>
      <c r="D58" t="inlineStr">
        <is>
          <t>Le champ de l'air</t>
        </is>
      </c>
      <c r="E58" t="inlineStr">
        <is>
          <t>200g</t>
        </is>
      </c>
      <c r="F58" t="n">
        <v>4.2</v>
      </c>
      <c r="G58" t="n">
        <v>21</v>
      </c>
    </row>
    <row r="59">
      <c r="A59" t="inlineStr">
        <is>
          <t>Paprika</t>
        </is>
      </c>
      <c r="B59" t="inlineStr">
        <is>
          <t>magasin BIO</t>
        </is>
      </c>
      <c r="C59" t="inlineStr">
        <is>
          <t>Paprika doux en poudre</t>
        </is>
      </c>
      <c r="D59" t="inlineStr">
        <is>
          <t>Arcadie</t>
        </is>
      </c>
      <c r="E59" t="inlineStr">
        <is>
          <t>50g</t>
        </is>
      </c>
      <c r="F59" t="n">
        <v>2.99</v>
      </c>
      <c r="G59" t="n">
        <v>59.8</v>
      </c>
    </row>
    <row r="60">
      <c r="A60" t="inlineStr">
        <is>
          <t>Paprika</t>
        </is>
      </c>
      <c r="B60" t="inlineStr">
        <is>
          <t>magasin NON BIO</t>
        </is>
      </c>
      <c r="C60" t="inlineStr">
        <is>
          <t>Paprika doux</t>
        </is>
      </c>
      <c r="D60" t="inlineStr">
        <is>
          <t>Ducros</t>
        </is>
      </c>
      <c r="E60" t="inlineStr">
        <is>
          <t>40g</t>
        </is>
      </c>
      <c r="F60" t="n">
        <v>2.1</v>
      </c>
      <c r="G60" t="n">
        <v>52.5</v>
      </c>
    </row>
    <row r="61">
      <c r="A61" t="inlineStr">
        <is>
          <t>Paprika</t>
        </is>
      </c>
      <c r="B61" t="inlineStr">
        <is>
          <t>artisanale BIO</t>
        </is>
      </c>
      <c r="C61" t="inlineStr">
        <is>
          <t>Paprika fume</t>
        </is>
      </c>
      <c r="D61" t="inlineStr">
        <is>
          <t>laplantation</t>
        </is>
      </c>
      <c r="E61" t="inlineStr">
        <is>
          <t>40g</t>
        </is>
      </c>
      <c r="F61" t="n">
        <v>8.27</v>
      </c>
      <c r="G61">
        <f>TableauConcurence[[#This Row],[PRIX]]/40*1000</f>
        <v/>
      </c>
    </row>
    <row r="62">
      <c r="A62" t="inlineStr">
        <is>
          <t>Paprika fume</t>
        </is>
      </c>
      <c r="B62" t="inlineStr">
        <is>
          <t>magasin BIO</t>
        </is>
      </c>
      <c r="C62" t="inlineStr">
        <is>
          <t>Paprika fume</t>
        </is>
      </c>
      <c r="D62" t="inlineStr">
        <is>
          <t>Aromandise</t>
        </is>
      </c>
      <c r="E62" t="inlineStr">
        <is>
          <t>60g</t>
        </is>
      </c>
      <c r="F62" t="n">
        <v>4.2</v>
      </c>
      <c r="G62" t="n">
        <v>70</v>
      </c>
    </row>
    <row r="63">
      <c r="A63" t="inlineStr">
        <is>
          <t>Paprika fume</t>
        </is>
      </c>
      <c r="B63" t="inlineStr">
        <is>
          <t>magasin NON BIO</t>
        </is>
      </c>
      <c r="C63" t="inlineStr">
        <is>
          <t>Paprika fume</t>
        </is>
      </c>
      <c r="D63" t="inlineStr">
        <is>
          <t>Ducros</t>
        </is>
      </c>
      <c r="E63" t="inlineStr">
        <is>
          <t>40g</t>
        </is>
      </c>
      <c r="F63" t="n">
        <v>2.3</v>
      </c>
      <c r="G63" t="n">
        <v>57.5</v>
      </c>
    </row>
    <row r="64">
      <c r="A64" t="inlineStr">
        <is>
          <t>Paprika fume</t>
        </is>
      </c>
      <c r="B64" t="inlineStr">
        <is>
          <t>artisanale BIO</t>
        </is>
      </c>
      <c r="C64" t="inlineStr">
        <is>
          <t>Paprika fume</t>
        </is>
      </c>
      <c r="D64" t="inlineStr">
        <is>
          <t>Le Comptoir Colonial</t>
        </is>
      </c>
      <c r="E64" t="inlineStr">
        <is>
          <t>40g</t>
        </is>
      </c>
      <c r="F64" t="n">
        <v>3.5</v>
      </c>
      <c r="G64" t="n">
        <v>87.5</v>
      </c>
    </row>
    <row r="65">
      <c r="A65" t="inlineStr">
        <is>
          <t>Sirop aux fleurs</t>
        </is>
      </c>
      <c r="B65" t="inlineStr">
        <is>
          <t>magasin BIO</t>
        </is>
      </c>
      <c r="C65" t="inlineStr">
        <is>
          <t>Sirop hibiscus</t>
        </is>
      </c>
      <c r="D65" t="inlineStr">
        <is>
          <t>Maison Meneau</t>
        </is>
      </c>
      <c r="E65" t="inlineStr">
        <is>
          <t>50cl</t>
        </is>
      </c>
      <c r="F65" t="n">
        <v>5.9</v>
      </c>
      <c r="G65" t="n">
        <v>11.8</v>
      </c>
    </row>
    <row r="66">
      <c r="A66" t="inlineStr">
        <is>
          <t>Sirop aux fleurs</t>
        </is>
      </c>
      <c r="B66" t="inlineStr">
        <is>
          <t>magasin NON BIO</t>
        </is>
      </c>
      <c r="C66" t="inlineStr">
        <is>
          <t>Sirop de fleur de sureau</t>
        </is>
      </c>
      <c r="D66" t="inlineStr">
        <is>
          <t>Teisseire</t>
        </is>
      </c>
      <c r="E66" t="inlineStr">
        <is>
          <t>50cl</t>
        </is>
      </c>
      <c r="F66" t="n">
        <v>2.95</v>
      </c>
      <c r="G66" t="n">
        <v>5.9</v>
      </c>
    </row>
    <row r="67">
      <c r="A67" t="inlineStr">
        <is>
          <t>Sirop aux fleurs</t>
        </is>
      </c>
      <c r="B67" t="inlineStr">
        <is>
          <t>artisanale BIO</t>
        </is>
      </c>
      <c r="C67" t="inlineStr">
        <is>
          <t>Sirop de violette</t>
        </is>
      </c>
      <c r="D67" t="inlineStr">
        <is>
          <t>Maison Meneau</t>
        </is>
      </c>
      <c r="E67" t="inlineStr">
        <is>
          <t>50cl</t>
        </is>
      </c>
      <c r="F67" t="n">
        <v>6.5</v>
      </c>
      <c r="G67" t="n">
        <v>13</v>
      </c>
    </row>
    <row r="68">
      <c r="A68" t="inlineStr">
        <is>
          <t>Sirop de basilic</t>
        </is>
      </c>
      <c r="B68" t="inlineStr">
        <is>
          <t>magasin BIO</t>
        </is>
      </c>
      <c r="C68" t="inlineStr">
        <is>
          <t>Kombucha basilic bio</t>
        </is>
      </c>
      <c r="D68" t="inlineStr">
        <is>
          <t>Elixia</t>
        </is>
      </c>
      <c r="E68" t="inlineStr">
        <is>
          <t>75cl</t>
        </is>
      </c>
      <c r="F68" t="n">
        <v>4.5</v>
      </c>
      <c r="G68" t="n">
        <v>6</v>
      </c>
    </row>
    <row r="69">
      <c r="A69" t="inlineStr">
        <is>
          <t>Sirop de basilic</t>
        </is>
      </c>
      <c r="B69" t="inlineStr">
        <is>
          <t>magasin NON BIO</t>
        </is>
      </c>
      <c r="C69" t="inlineStr">
        <is>
          <t>Sirop de basilic</t>
        </is>
      </c>
      <c r="D69" t="inlineStr">
        <is>
          <t>Monin</t>
        </is>
      </c>
      <c r="E69" t="inlineStr">
        <is>
          <t>50cl</t>
        </is>
      </c>
      <c r="F69" t="n">
        <v>5.95</v>
      </c>
      <c r="G69" t="n">
        <v>11.9</v>
      </c>
    </row>
    <row r="70">
      <c r="A70" t="inlineStr">
        <is>
          <t>Sirop de basilic</t>
        </is>
      </c>
      <c r="B70" t="inlineStr">
        <is>
          <t>artisanale BIO</t>
        </is>
      </c>
      <c r="C70" t="inlineStr">
        <is>
          <t>Sirop de basilic bio</t>
        </is>
      </c>
      <c r="D70" t="inlineStr">
        <is>
          <t>Meneau</t>
        </is>
      </c>
      <c r="E70" t="inlineStr">
        <is>
          <t>50cl</t>
        </is>
      </c>
      <c r="F70" t="n">
        <v>6</v>
      </c>
      <c r="G70" t="n">
        <v>12</v>
      </c>
    </row>
    <row r="71">
      <c r="A71" t="inlineStr">
        <is>
          <t>Sirop de menthe</t>
        </is>
      </c>
      <c r="B71" t="inlineStr">
        <is>
          <t>magasin BIO</t>
        </is>
      </c>
      <c r="C71" t="inlineStr">
        <is>
          <t>Sirop de menthe au sucre de canne</t>
        </is>
      </c>
      <c r="D71" t="inlineStr">
        <is>
          <t>Maison Meneau</t>
        </is>
      </c>
      <c r="E71" t="inlineStr">
        <is>
          <t>1L</t>
        </is>
      </c>
      <c r="F71" t="n">
        <v>6.5</v>
      </c>
      <c r="G71" t="n">
        <v>6.5</v>
      </c>
    </row>
    <row r="72">
      <c r="A72" t="inlineStr">
        <is>
          <t>Sirop de menthe</t>
        </is>
      </c>
      <c r="B72" t="inlineStr">
        <is>
          <t>magasin NON BIO</t>
        </is>
      </c>
      <c r="C72" t="inlineStr">
        <is>
          <t>Sirop de menthe</t>
        </is>
      </c>
      <c r="D72" t="inlineStr">
        <is>
          <t>Teisseire</t>
        </is>
      </c>
      <c r="E72" t="inlineStr">
        <is>
          <t>70cl</t>
        </is>
      </c>
      <c r="F72" t="n">
        <v>2.45</v>
      </c>
      <c r="G72" t="n">
        <v>3.5</v>
      </c>
    </row>
    <row r="73">
      <c r="A73" t="inlineStr">
        <is>
          <t>Sirop de menthe</t>
        </is>
      </c>
      <c r="B73" t="inlineStr">
        <is>
          <t>artisanale BIO</t>
        </is>
      </c>
      <c r="C73" t="inlineStr">
        <is>
          <t>Sirop de menthe</t>
        </is>
      </c>
      <c r="D73" t="inlineStr">
        <is>
          <t>Meneau</t>
        </is>
      </c>
      <c r="E73" t="inlineStr">
        <is>
          <t>50cl</t>
        </is>
      </c>
      <c r="F73" t="n">
        <v>4</v>
      </c>
      <c r="G73" t="n">
        <v>8</v>
      </c>
    </row>
    <row r="74">
      <c r="A74" t="inlineStr">
        <is>
          <t>Sirop de thym</t>
        </is>
      </c>
      <c r="B74" t="inlineStr">
        <is>
          <t>magasin BIO</t>
        </is>
      </c>
      <c r="C74" t="inlineStr">
        <is>
          <t>Sirop de thym</t>
        </is>
      </c>
      <c r="D74" t="inlineStr">
        <is>
          <t>Les sirops du barbu</t>
        </is>
      </c>
      <c r="E74" t="inlineStr">
        <is>
          <t>50cl</t>
        </is>
      </c>
      <c r="F74" t="n">
        <v>5.9</v>
      </c>
      <c r="G74" t="n">
        <v>11.8</v>
      </c>
    </row>
    <row r="75">
      <c r="A75" t="inlineStr">
        <is>
          <t>Sirop de thym</t>
        </is>
      </c>
      <c r="B75" t="inlineStr">
        <is>
          <t>magasin NON BIO</t>
        </is>
      </c>
      <c r="C75" t="inlineStr">
        <is>
          <t>Sirop de thym</t>
        </is>
      </c>
      <c r="D75" t="inlineStr">
        <is>
          <t>Teisseire</t>
        </is>
      </c>
      <c r="E75" t="inlineStr">
        <is>
          <t>70cl</t>
        </is>
      </c>
      <c r="F75" t="n">
        <v>3.5</v>
      </c>
      <c r="G75" t="n">
        <v>5</v>
      </c>
    </row>
    <row r="76">
      <c r="A76" t="inlineStr">
        <is>
          <t>Sirop de thym</t>
        </is>
      </c>
      <c r="B76" t="inlineStr">
        <is>
          <t>artisanale BIO</t>
        </is>
      </c>
      <c r="C76" t="inlineStr">
        <is>
          <t>Sirop de thym bio</t>
        </is>
      </c>
      <c r="D76" t="inlineStr">
        <is>
          <t>Meneau</t>
        </is>
      </c>
      <c r="E76" t="inlineStr">
        <is>
          <t>50cl</t>
        </is>
      </c>
      <c r="F76" t="n">
        <v>6</v>
      </c>
      <c r="G76" t="n">
        <v>12</v>
      </c>
    </row>
    <row r="77">
      <c r="A77" t="inlineStr">
        <is>
          <t>Sucre à l'hibiscus</t>
        </is>
      </c>
      <c r="B77" t="inlineStr">
        <is>
          <t>magasin BIO</t>
        </is>
      </c>
      <c r="C77" t="inlineStr">
        <is>
          <t>Sirop d'hibiscus bio</t>
        </is>
      </c>
      <c r="D77" t="inlineStr">
        <is>
          <t>Maison Meneau</t>
        </is>
      </c>
      <c r="E77" t="inlineStr">
        <is>
          <t>50cl</t>
        </is>
      </c>
      <c r="F77" t="n">
        <v>7.2</v>
      </c>
      <c r="G77" t="n">
        <v>14.4</v>
      </c>
    </row>
    <row r="78">
      <c r="A78" t="inlineStr">
        <is>
          <t>Sucre à l'hibiscus</t>
        </is>
      </c>
      <c r="B78" t="inlineStr">
        <is>
          <t>magasin NON BIO</t>
        </is>
      </c>
      <c r="C78" t="inlineStr">
        <is>
          <t>Sirop à l'hibiscus bio</t>
        </is>
      </c>
      <c r="D78" t="inlineStr">
        <is>
          <t>epicerie de Provence</t>
        </is>
      </c>
      <c r="E78" t="inlineStr">
        <is>
          <t>250ml</t>
        </is>
      </c>
      <c r="F78" t="n">
        <v>6.95</v>
      </c>
      <c r="G78" t="n">
        <v>27.8</v>
      </c>
    </row>
    <row r="79">
      <c r="A79" t="inlineStr">
        <is>
          <t>Sucre à l'hibiscus</t>
        </is>
      </c>
      <c r="B79" t="inlineStr">
        <is>
          <t>artisanale BIO</t>
        </is>
      </c>
      <c r="C79" t="inlineStr">
        <is>
          <t>Fleurs d'hibiscus bio</t>
        </is>
      </c>
      <c r="D79" t="inlineStr">
        <is>
          <t>Cook - Herbier de France</t>
        </is>
      </c>
      <c r="E79" t="inlineStr">
        <is>
          <t>500g</t>
        </is>
      </c>
      <c r="F79" t="n">
        <v>19.45</v>
      </c>
      <c r="G79" t="n">
        <v>38.9</v>
      </c>
    </row>
    <row r="80">
      <c r="A80" t="inlineStr">
        <is>
          <t>Sucre aux fleurs</t>
        </is>
      </c>
      <c r="B80" t="inlineStr">
        <is>
          <t>magasin BIO</t>
        </is>
      </c>
      <c r="C80" t="inlineStr">
        <is>
          <t>Sucre fleur de Coco complet</t>
        </is>
      </c>
      <c r="D80" t="inlineStr">
        <is>
          <t>Biosagesse</t>
        </is>
      </c>
      <c r="E80" t="inlineStr">
        <is>
          <t>vrac</t>
        </is>
      </c>
      <c r="F80" t="n">
        <v>10.5</v>
      </c>
      <c r="G80" t="n">
        <v>10.5</v>
      </c>
    </row>
    <row r="81">
      <c r="A81" t="inlineStr">
        <is>
          <t>Sucre aux fleurs</t>
        </is>
      </c>
      <c r="B81" t="inlineStr">
        <is>
          <t>magasin NON BIO</t>
        </is>
      </c>
      <c r="C81" t="inlineStr">
        <is>
          <t>Sucre de fleur de coco</t>
        </is>
      </c>
      <c r="D81" t="inlineStr">
        <is>
          <t>Alter Eco</t>
        </is>
      </c>
      <c r="E81" t="inlineStr">
        <is>
          <t>250g</t>
        </is>
      </c>
      <c r="F81" t="n">
        <v>4.99</v>
      </c>
      <c r="G81" t="n">
        <v>19.96</v>
      </c>
    </row>
    <row r="82">
      <c r="A82" t="inlineStr">
        <is>
          <t>Sucre aux fleurs</t>
        </is>
      </c>
      <c r="B82" t="inlineStr">
        <is>
          <t>artisanale BIO</t>
        </is>
      </c>
      <c r="C82" t="inlineStr">
        <is>
          <t>Sucre aux fleurs</t>
        </is>
      </c>
      <c r="D82" t="inlineStr">
        <is>
          <t>Les Jardins de Gaïa</t>
        </is>
      </c>
      <c r="E82" t="inlineStr">
        <is>
          <t>150g</t>
        </is>
      </c>
      <c r="F82" t="n">
        <v>6</v>
      </c>
      <c r="G82" t="n">
        <v>40</v>
      </c>
    </row>
    <row r="83">
      <c r="A83" t="inlineStr">
        <is>
          <t>Tabasco cayenne jaune</t>
        </is>
      </c>
      <c r="B83" t="inlineStr">
        <is>
          <t>magasin BIO</t>
        </is>
      </c>
      <c r="C83" t="inlineStr">
        <is>
          <t>Sauce pimentee à base de Cayenne et Ail</t>
        </is>
      </c>
      <c r="D83" t="inlineStr">
        <is>
          <t>Cook - Herbier de France</t>
        </is>
      </c>
      <c r="E83" t="inlineStr">
        <is>
          <t>60ml</t>
        </is>
      </c>
      <c r="F83" t="n">
        <v>5</v>
      </c>
      <c r="G83" t="n">
        <v>83.33</v>
      </c>
    </row>
    <row r="84">
      <c r="A84" t="inlineStr">
        <is>
          <t>Tabasco cayenne jaune</t>
        </is>
      </c>
      <c r="B84" t="inlineStr">
        <is>
          <t>magasin NON BIO</t>
        </is>
      </c>
      <c r="C84" t="inlineStr">
        <is>
          <t>Tabasco Cayenne Garlic Pepper Sauce</t>
        </is>
      </c>
      <c r="D84" t="inlineStr">
        <is>
          <t>Tabasco</t>
        </is>
      </c>
      <c r="E84" t="inlineStr">
        <is>
          <t>60ml</t>
        </is>
      </c>
      <c r="F84" t="n">
        <v>2.49</v>
      </c>
      <c r="G84" t="n">
        <v>41.5</v>
      </c>
    </row>
    <row r="85">
      <c r="A85" t="inlineStr">
        <is>
          <t>Tabasco cayenne jaune</t>
        </is>
      </c>
      <c r="B85" t="inlineStr">
        <is>
          <t>artisanale BIO</t>
        </is>
      </c>
      <c r="C85" t="inlineStr">
        <is>
          <t>Sauce pimentee artisanale à base de Cayenne et Ail</t>
        </is>
      </c>
      <c r="D85" t="inlineStr">
        <is>
          <t>Le comptoir du piment</t>
        </is>
      </c>
      <c r="E85" t="inlineStr">
        <is>
          <t>50ml</t>
        </is>
      </c>
      <c r="F85" t="n">
        <v>6</v>
      </c>
      <c r="G85" t="n">
        <v>120</v>
      </c>
    </row>
    <row r="86">
      <c r="A86" t="inlineStr">
        <is>
          <t>Tabasco jalapeno</t>
        </is>
      </c>
      <c r="B86" t="inlineStr">
        <is>
          <t>magasin BIO</t>
        </is>
      </c>
      <c r="C86" t="inlineStr">
        <is>
          <t>Sauce Jalapeño verte bio</t>
        </is>
      </c>
      <c r="D86" t="inlineStr">
        <is>
          <t>Cook - Herbier de France</t>
        </is>
      </c>
      <c r="E86" t="inlineStr">
        <is>
          <t>60ml</t>
        </is>
      </c>
      <c r="F86" t="n">
        <v>4.5</v>
      </c>
      <c r="G86" t="n">
        <v>75</v>
      </c>
    </row>
    <row r="87">
      <c r="A87" t="inlineStr">
        <is>
          <t>Tabasco jalapeno</t>
        </is>
      </c>
      <c r="B87" t="inlineStr">
        <is>
          <t>magasin NON BIO</t>
        </is>
      </c>
      <c r="C87" t="inlineStr">
        <is>
          <t>Tabasco Jalapeño Green Pepper Sauce</t>
        </is>
      </c>
      <c r="D87" t="inlineStr">
        <is>
          <t>Tabasco</t>
        </is>
      </c>
      <c r="E87" t="inlineStr">
        <is>
          <t>60ml</t>
        </is>
      </c>
      <c r="F87" t="n">
        <v>4.29</v>
      </c>
      <c r="G87" t="n">
        <v>71.5</v>
      </c>
    </row>
    <row r="88">
      <c r="A88" t="inlineStr">
        <is>
          <t>Tabasco jalapeno</t>
        </is>
      </c>
      <c r="B88" t="inlineStr">
        <is>
          <t>artisanale BIO</t>
        </is>
      </c>
      <c r="C88" t="inlineStr">
        <is>
          <t>Sauce Jalapeño verte artisanale bio</t>
        </is>
      </c>
      <c r="D88" t="inlineStr">
        <is>
          <t>Le comptoir du piment</t>
        </is>
      </c>
      <c r="E88" t="inlineStr">
        <is>
          <t>50ml</t>
        </is>
      </c>
      <c r="F88" t="n">
        <v>5.5</v>
      </c>
      <c r="G88" t="n">
        <v>110</v>
      </c>
    </row>
    <row r="89">
      <c r="A89" t="inlineStr">
        <is>
          <t>Tabasco Rouge moyen</t>
        </is>
      </c>
      <c r="B89" t="inlineStr">
        <is>
          <t>magasin BIO</t>
        </is>
      </c>
      <c r="C89" t="inlineStr">
        <is>
          <t>Sauce pimentee rouge bio</t>
        </is>
      </c>
      <c r="D89" t="inlineStr">
        <is>
          <t>Cook - Herbier de France</t>
        </is>
      </c>
      <c r="E89" t="inlineStr">
        <is>
          <t>60ml</t>
        </is>
      </c>
      <c r="F89" t="n">
        <v>4</v>
      </c>
      <c r="G89" t="n">
        <v>66.67</v>
      </c>
    </row>
    <row r="90">
      <c r="A90" t="inlineStr">
        <is>
          <t>Tabasco Rouge moyen</t>
        </is>
      </c>
      <c r="B90" t="inlineStr">
        <is>
          <t>magasin NON BIO</t>
        </is>
      </c>
      <c r="C90" t="inlineStr">
        <is>
          <t>Tabasco Original Red Sauce</t>
        </is>
      </c>
      <c r="D90" t="inlineStr">
        <is>
          <t>Tabasco</t>
        </is>
      </c>
      <c r="E90" t="inlineStr">
        <is>
          <t>60ml</t>
        </is>
      </c>
      <c r="F90" t="n">
        <v>4.29</v>
      </c>
      <c r="G90" t="n">
        <v>71.5</v>
      </c>
    </row>
    <row r="91">
      <c r="A91" t="inlineStr">
        <is>
          <t>Tabasco Rouge moyen</t>
        </is>
      </c>
      <c r="B91" t="inlineStr">
        <is>
          <t>artisanale BIO</t>
        </is>
      </c>
      <c r="C91" t="inlineStr">
        <is>
          <t>Sauce pimentee artisanale rouge bio</t>
        </is>
      </c>
      <c r="D91" t="inlineStr">
        <is>
          <t>Le comptoir du piment</t>
        </is>
      </c>
      <c r="E91" t="inlineStr">
        <is>
          <t>50ml</t>
        </is>
      </c>
      <c r="F91" t="n">
        <v>5</v>
      </c>
      <c r="G91" t="n">
        <v>100</v>
      </c>
    </row>
    <row r="92">
      <c r="A92" t="inlineStr">
        <is>
          <t>Tabasco violet fort</t>
        </is>
      </c>
      <c r="B92" t="inlineStr">
        <is>
          <t>magasin BIO</t>
        </is>
      </c>
      <c r="C92" t="inlineStr">
        <is>
          <t>Sauce pimentee bio</t>
        </is>
      </c>
      <c r="D92" t="inlineStr">
        <is>
          <t>Cook - Herbier de France</t>
        </is>
      </c>
      <c r="E92" t="inlineStr">
        <is>
          <t>60ml</t>
        </is>
      </c>
      <c r="F92" t="n">
        <v>4</v>
      </c>
      <c r="G92" t="n">
        <v>66.67</v>
      </c>
    </row>
    <row r="93">
      <c r="A93" t="inlineStr">
        <is>
          <t>Tabasco violet fort</t>
        </is>
      </c>
      <c r="B93" t="inlineStr">
        <is>
          <t>magasin NON BIO</t>
        </is>
      </c>
      <c r="C93" t="inlineStr">
        <is>
          <t>Tabasco Original Red Sauce</t>
        </is>
      </c>
      <c r="D93" t="inlineStr">
        <is>
          <t>Tabasco</t>
        </is>
      </c>
      <c r="E93" t="inlineStr">
        <is>
          <t>60ml</t>
        </is>
      </c>
      <c r="F93" t="n">
        <v>4.29</v>
      </c>
      <c r="G93" t="n">
        <v>71.5</v>
      </c>
    </row>
    <row r="94">
      <c r="A94" t="inlineStr">
        <is>
          <t>Tabasco violet fort</t>
        </is>
      </c>
      <c r="B94" t="inlineStr">
        <is>
          <t>artisanale BIO</t>
        </is>
      </c>
      <c r="C94" t="inlineStr">
        <is>
          <t>Sauce pimentee artisanale bio</t>
        </is>
      </c>
      <c r="D94" t="inlineStr">
        <is>
          <t>Le Comptoir du Piment</t>
        </is>
      </c>
      <c r="E94" t="inlineStr">
        <is>
          <t>50ml</t>
        </is>
      </c>
      <c r="F94" t="n">
        <v>5</v>
      </c>
      <c r="G94" t="n">
        <v>100</v>
      </c>
    </row>
    <row r="95">
      <c r="A95" t="inlineStr">
        <is>
          <t>Vinaigre du soleil</t>
        </is>
      </c>
      <c r="B95" t="inlineStr">
        <is>
          <t>magasin BIO</t>
        </is>
      </c>
      <c r="C95" t="inlineStr">
        <is>
          <t>Vinaigre de Cidre Bio</t>
        </is>
      </c>
      <c r="D95" t="inlineStr">
        <is>
          <t>Côteaux Nantais</t>
        </is>
      </c>
      <c r="E95" t="inlineStr">
        <is>
          <t>75cl</t>
        </is>
      </c>
      <c r="F95" t="n">
        <v>4.3</v>
      </c>
      <c r="G95" t="n">
        <v>5.73</v>
      </c>
    </row>
    <row r="96">
      <c r="A96" t="inlineStr">
        <is>
          <t>Vinaigre du soleil</t>
        </is>
      </c>
      <c r="B96" t="inlineStr">
        <is>
          <t>magasin NON BIO</t>
        </is>
      </c>
      <c r="C96" t="inlineStr">
        <is>
          <t>Vinaigre de Cidre</t>
        </is>
      </c>
      <c r="D96" t="inlineStr">
        <is>
          <t>Jardin Bio</t>
        </is>
      </c>
      <c r="E96" t="inlineStr">
        <is>
          <t>75cl</t>
        </is>
      </c>
      <c r="F96" t="n">
        <v>2.5</v>
      </c>
      <c r="G96" t="n">
        <v>3.33</v>
      </c>
    </row>
    <row r="97">
      <c r="A97" t="inlineStr">
        <is>
          <t>Vinaigre du soleil</t>
        </is>
      </c>
      <c r="B97" t="inlineStr">
        <is>
          <t>artisanale BIO</t>
        </is>
      </c>
      <c r="C97" t="inlineStr">
        <is>
          <t>Vinaigre de Cidre Artisanal Bio</t>
        </is>
      </c>
      <c r="D97" t="inlineStr">
        <is>
          <t>Les Vergers de la Silve</t>
        </is>
      </c>
      <c r="E97" t="inlineStr">
        <is>
          <t>50cl</t>
        </is>
      </c>
      <c r="F97" t="n">
        <v>5.9</v>
      </c>
      <c r="G97" t="n">
        <v>11.8</v>
      </c>
    </row>
    <row r="98">
      <c r="A98" t="inlineStr">
        <is>
          <t>Vinaigre du sureau</t>
        </is>
      </c>
      <c r="B98" t="inlineStr">
        <is>
          <t>magasin BIO</t>
        </is>
      </c>
      <c r="C98" t="inlineStr">
        <is>
          <t>Vinaigre Larzamique à la Fleur de Sureau Bio</t>
        </is>
      </c>
      <c r="D98" t="inlineStr">
        <is>
          <t>Aromatiques du Larzac</t>
        </is>
      </c>
      <c r="E98" t="inlineStr">
        <is>
          <t>25cl</t>
        </is>
      </c>
      <c r="F98" t="n">
        <v>13.5</v>
      </c>
      <c r="G98" t="n">
        <v>54</v>
      </c>
    </row>
    <row r="99">
      <c r="A99" t="inlineStr">
        <is>
          <t>Vinaigre du sureau</t>
        </is>
      </c>
      <c r="B99" t="inlineStr">
        <is>
          <t>magasin NON BIO</t>
        </is>
      </c>
      <c r="C99" t="inlineStr">
        <is>
          <t>Vinaigre de Sureau Bio</t>
        </is>
      </c>
      <c r="D99" t="inlineStr">
        <is>
          <t>Baiser Acidule</t>
        </is>
      </c>
      <c r="E99" t="inlineStr">
        <is>
          <t>25cl</t>
        </is>
      </c>
      <c r="F99" t="n">
        <v>7.05</v>
      </c>
      <c r="G99" t="n">
        <v>28.2</v>
      </c>
    </row>
    <row r="100">
      <c r="A100" t="inlineStr">
        <is>
          <t>Vinaigre du sureau</t>
        </is>
      </c>
      <c r="B100" t="inlineStr">
        <is>
          <t>artisanale BIO</t>
        </is>
      </c>
      <c r="C100" t="inlineStr">
        <is>
          <t>Vinaigre de Sureau Artisanal Bio</t>
        </is>
      </c>
      <c r="D100" t="inlineStr">
        <is>
          <t>La Maison du Sureau</t>
        </is>
      </c>
      <c r="E100" t="inlineStr">
        <is>
          <t>50cl</t>
        </is>
      </c>
      <c r="F100" t="n">
        <v>9.9</v>
      </c>
      <c r="G100" t="n">
        <v>19.8</v>
      </c>
    </row>
    <row r="101">
      <c r="A101" t="inlineStr">
        <is>
          <t>Zaatar</t>
        </is>
      </c>
      <c r="B101" t="inlineStr">
        <is>
          <t>magasin BIO</t>
        </is>
      </c>
      <c r="C101" t="inlineStr">
        <is>
          <t>Melange Zaatar Bio</t>
        </is>
      </c>
      <c r="D101" t="inlineStr">
        <is>
          <t>Cook</t>
        </is>
      </c>
      <c r="E101" t="inlineStr">
        <is>
          <t>27g</t>
        </is>
      </c>
      <c r="F101" t="n">
        <v>2.95</v>
      </c>
      <c r="G101" t="n">
        <v>109.26</v>
      </c>
    </row>
    <row r="102">
      <c r="A102" t="inlineStr">
        <is>
          <t>Zaatar</t>
        </is>
      </c>
      <c r="B102" t="inlineStr">
        <is>
          <t>magasin NON BIO</t>
        </is>
      </c>
      <c r="C102" t="inlineStr">
        <is>
          <t>Melange Zaatar</t>
        </is>
      </c>
      <c r="D102" t="inlineStr">
        <is>
          <t>Ducros</t>
        </is>
      </c>
      <c r="E102" t="inlineStr">
        <is>
          <t>38g</t>
        </is>
      </c>
      <c r="F102" t="n">
        <v>3.25</v>
      </c>
      <c r="G102" t="n">
        <v>85.53</v>
      </c>
    </row>
    <row r="103">
      <c r="A103" t="inlineStr">
        <is>
          <t>Zaatar</t>
        </is>
      </c>
      <c r="B103" t="inlineStr">
        <is>
          <t>artisanale BIO</t>
        </is>
      </c>
      <c r="C103" t="inlineStr">
        <is>
          <t>Zaatar Artisanal Bio</t>
        </is>
      </c>
      <c r="D103" t="inlineStr">
        <is>
          <t>Les Jardins de Gaïa</t>
        </is>
      </c>
      <c r="E103" t="inlineStr">
        <is>
          <t>100g</t>
        </is>
      </c>
      <c r="F103" t="n">
        <v>7.5</v>
      </c>
      <c r="G103" t="n">
        <v>75</v>
      </c>
    </row>
    <row r="104">
      <c r="A104" t="inlineStr">
        <is>
          <t>Herbe de provence</t>
        </is>
      </c>
      <c r="B104" t="inlineStr">
        <is>
          <t>internet BIO</t>
        </is>
      </c>
      <c r="C104" t="inlineStr">
        <is>
          <t>Herbes de Provence Bio</t>
        </is>
      </c>
      <c r="D104" t="inlineStr">
        <is>
          <t>placedesepices.com</t>
        </is>
      </c>
      <c r="E104" t="inlineStr">
        <is>
          <t>250g</t>
        </is>
      </c>
      <c r="F104" t="n">
        <v>15.85</v>
      </c>
      <c r="G104" s="1089" t="n">
        <v>63.4</v>
      </c>
    </row>
    <row r="105">
      <c r="A105" t="inlineStr">
        <is>
          <t>Moutarde à l'ancienne</t>
        </is>
      </c>
      <c r="B105" t="inlineStr">
        <is>
          <t>internet BIO</t>
        </is>
      </c>
      <c r="D105" t="inlineStr">
        <is>
          <t>placedesepices.com</t>
        </is>
      </c>
    </row>
    <row r="106">
      <c r="A106" t="inlineStr">
        <is>
          <t>Cumin graine</t>
        </is>
      </c>
      <c r="B106" t="inlineStr">
        <is>
          <t>internet BIO</t>
        </is>
      </c>
      <c r="D106" t="inlineStr">
        <is>
          <t>placedesepices.com</t>
        </is>
      </c>
      <c r="E106" t="inlineStr">
        <is>
          <t>60g</t>
        </is>
      </c>
      <c r="F106" t="n">
        <v>4.2</v>
      </c>
      <c r="G106" t="n">
        <v>38.2</v>
      </c>
    </row>
    <row r="107">
      <c r="A107" t="inlineStr">
        <is>
          <t>Cumin moulu</t>
        </is>
      </c>
      <c r="B107" t="inlineStr">
        <is>
          <t>internet BIO</t>
        </is>
      </c>
      <c r="D107" t="inlineStr">
        <is>
          <t>placedesepices.com</t>
        </is>
      </c>
    </row>
    <row r="108">
      <c r="A108" t="inlineStr">
        <is>
          <t>Curry</t>
        </is>
      </c>
      <c r="B108" t="inlineStr">
        <is>
          <t>internet BIO</t>
        </is>
      </c>
      <c r="D108" t="inlineStr">
        <is>
          <t>placedesepices.com</t>
        </is>
      </c>
    </row>
    <row r="109">
      <c r="A109" t="inlineStr">
        <is>
          <t>epices viandes rouges</t>
        </is>
      </c>
      <c r="B109" t="inlineStr">
        <is>
          <t>internet BIO</t>
        </is>
      </c>
      <c r="D109" t="inlineStr">
        <is>
          <t>placedesepices.com</t>
        </is>
      </c>
    </row>
    <row r="110">
      <c r="A110" t="inlineStr">
        <is>
          <t>Gingembre</t>
        </is>
      </c>
      <c r="B110" t="inlineStr">
        <is>
          <t>internet BIO</t>
        </is>
      </c>
      <c r="D110" t="inlineStr">
        <is>
          <t>placedesepices.com</t>
        </is>
      </c>
    </row>
    <row r="111">
      <c r="A111" t="inlineStr">
        <is>
          <t>Moutarde à l'estragon</t>
        </is>
      </c>
      <c r="B111" t="inlineStr">
        <is>
          <t>internet BIO</t>
        </is>
      </c>
      <c r="D111" t="inlineStr">
        <is>
          <t>placedesepices.com</t>
        </is>
      </c>
    </row>
    <row r="112">
      <c r="A112" t="inlineStr">
        <is>
          <t>Paprika fume</t>
        </is>
      </c>
      <c r="B112" t="inlineStr">
        <is>
          <t>internet BIO</t>
        </is>
      </c>
      <c r="D112" t="inlineStr">
        <is>
          <t>placedesepices.com</t>
        </is>
      </c>
    </row>
    <row r="113">
      <c r="A113" t="inlineStr">
        <is>
          <t>Sirop de menthe</t>
        </is>
      </c>
      <c r="B113" t="inlineStr">
        <is>
          <t>internet BIO</t>
        </is>
      </c>
      <c r="D113" t="inlineStr">
        <is>
          <t>placedesepices.com</t>
        </is>
      </c>
    </row>
    <row r="114">
      <c r="A114" t="inlineStr">
        <is>
          <t>Sucre aux fleures</t>
        </is>
      </c>
      <c r="B114" t="inlineStr">
        <is>
          <t>internet BIO</t>
        </is>
      </c>
      <c r="D114" t="inlineStr">
        <is>
          <t>placedesepices.com</t>
        </is>
      </c>
    </row>
    <row r="115">
      <c r="A115" t="inlineStr">
        <is>
          <t>Ail semoule</t>
        </is>
      </c>
      <c r="B115" t="inlineStr">
        <is>
          <t>internet BIO</t>
        </is>
      </c>
      <c r="D115" t="inlineStr">
        <is>
          <t>placedesepices.com</t>
        </is>
      </c>
    </row>
    <row r="116">
      <c r="A116" t="inlineStr">
        <is>
          <t>Carvi graine</t>
        </is>
      </c>
      <c r="B116" t="inlineStr">
        <is>
          <t>internet BIO</t>
        </is>
      </c>
      <c r="D116" t="inlineStr">
        <is>
          <t>placedesepices.com</t>
        </is>
      </c>
    </row>
    <row r="117">
      <c r="A117" t="inlineStr">
        <is>
          <t>Curcuma</t>
        </is>
      </c>
      <c r="B117" t="inlineStr">
        <is>
          <t>internet BIO</t>
        </is>
      </c>
      <c r="D117" t="inlineStr">
        <is>
          <t>placedesepices.com</t>
        </is>
      </c>
    </row>
    <row r="118">
      <c r="A118" t="inlineStr">
        <is>
          <t>Curry Madra</t>
        </is>
      </c>
      <c r="B118" t="inlineStr">
        <is>
          <t>internet BIO</t>
        </is>
      </c>
      <c r="D118" t="inlineStr">
        <is>
          <t>placedesepices.com</t>
        </is>
      </c>
    </row>
    <row r="119">
      <c r="A119" t="inlineStr">
        <is>
          <t>epices tandoori</t>
        </is>
      </c>
      <c r="B119" t="inlineStr">
        <is>
          <t>internet BIO</t>
        </is>
      </c>
      <c r="D119" t="inlineStr">
        <is>
          <t>placedesepices.com</t>
        </is>
      </c>
    </row>
    <row r="120">
      <c r="A120" t="inlineStr">
        <is>
          <t>Paprika</t>
        </is>
      </c>
      <c r="B120" t="inlineStr">
        <is>
          <t>internet BIO</t>
        </is>
      </c>
      <c r="D120" t="inlineStr">
        <is>
          <t>placedesepices.com</t>
        </is>
      </c>
    </row>
    <row r="121">
      <c r="A121" t="inlineStr">
        <is>
          <t>Sirop aux fleures</t>
        </is>
      </c>
      <c r="B121" t="inlineStr">
        <is>
          <t>internet BIO</t>
        </is>
      </c>
      <c r="D121" t="inlineStr">
        <is>
          <t>placedesepices.com</t>
        </is>
      </c>
    </row>
    <row r="122">
      <c r="A122" t="inlineStr">
        <is>
          <t>Sirop de basilic</t>
        </is>
      </c>
      <c r="B122" t="inlineStr">
        <is>
          <t>internet BIO</t>
        </is>
      </c>
      <c r="D122" t="inlineStr">
        <is>
          <t>placedesepices.com</t>
        </is>
      </c>
    </row>
    <row r="123">
      <c r="A123" t="inlineStr">
        <is>
          <t>Sirop de thym</t>
        </is>
      </c>
      <c r="B123" t="inlineStr">
        <is>
          <t>internet BIO</t>
        </is>
      </c>
      <c r="D123" t="inlineStr">
        <is>
          <t>placedesepices.com</t>
        </is>
      </c>
    </row>
    <row r="124">
      <c r="A124" t="inlineStr">
        <is>
          <t>Sucre à l'hibiscus</t>
        </is>
      </c>
      <c r="B124" t="inlineStr">
        <is>
          <t>internet BIO</t>
        </is>
      </c>
      <c r="D124" t="inlineStr">
        <is>
          <t>placedesepices.com</t>
        </is>
      </c>
    </row>
    <row r="125">
      <c r="A125" t="inlineStr">
        <is>
          <t>Tabasco cayenne jaune</t>
        </is>
      </c>
      <c r="B125" t="inlineStr">
        <is>
          <t>internet BIO</t>
        </is>
      </c>
      <c r="D125" t="inlineStr">
        <is>
          <t>placedesepices.com</t>
        </is>
      </c>
    </row>
    <row r="126">
      <c r="A126" t="inlineStr">
        <is>
          <t>Tabasco jalapeno</t>
        </is>
      </c>
      <c r="B126" t="inlineStr">
        <is>
          <t>internet BIO</t>
        </is>
      </c>
      <c r="D126" t="inlineStr">
        <is>
          <t>placedesepices.com</t>
        </is>
      </c>
    </row>
    <row r="127">
      <c r="A127" t="inlineStr">
        <is>
          <t>Tabasco Rouge moyen</t>
        </is>
      </c>
      <c r="B127" t="inlineStr">
        <is>
          <t>internet BIO</t>
        </is>
      </c>
      <c r="D127" t="inlineStr">
        <is>
          <t>placedesepices.com</t>
        </is>
      </c>
    </row>
    <row r="128">
      <c r="A128" t="inlineStr">
        <is>
          <t>Vinaigre du soleil</t>
        </is>
      </c>
      <c r="B128" t="inlineStr">
        <is>
          <t>internet BIO</t>
        </is>
      </c>
      <c r="D128" t="inlineStr">
        <is>
          <t>placedesepices.com</t>
        </is>
      </c>
    </row>
    <row r="129">
      <c r="A129" t="inlineStr">
        <is>
          <t>Vinaigre du sureau</t>
        </is>
      </c>
      <c r="B129" t="inlineStr">
        <is>
          <t>internet BIO</t>
        </is>
      </c>
      <c r="D129" t="inlineStr">
        <is>
          <t>placedesepices.com</t>
        </is>
      </c>
    </row>
    <row r="130">
      <c r="A130" t="inlineStr">
        <is>
          <t>Zaatar</t>
        </is>
      </c>
      <c r="B130" t="inlineStr">
        <is>
          <t>internet BIO</t>
        </is>
      </c>
      <c r="D130" t="inlineStr">
        <is>
          <t>placedesepices.com</t>
        </is>
      </c>
    </row>
    <row r="131">
      <c r="A131" t="inlineStr">
        <is>
          <t>Tabasco violet fort</t>
        </is>
      </c>
      <c r="B131" t="inlineStr">
        <is>
          <t>internet BIO</t>
        </is>
      </c>
      <c r="D131" t="inlineStr">
        <is>
          <t>placedesepices.com</t>
        </is>
      </c>
    </row>
    <row r="132">
      <c r="A132" t="inlineStr">
        <is>
          <t>Ketchup</t>
        </is>
      </c>
      <c r="B132" t="inlineStr">
        <is>
          <t>internet BIO</t>
        </is>
      </c>
      <c r="D132" t="inlineStr">
        <is>
          <t>placedesepices.com</t>
        </is>
      </c>
    </row>
    <row r="133">
      <c r="A133" t="inlineStr">
        <is>
          <t>Advieh</t>
        </is>
      </c>
      <c r="B133" t="inlineStr">
        <is>
          <t>internet BIO</t>
        </is>
      </c>
      <c r="D133" t="inlineStr">
        <is>
          <t>placedesepices.com</t>
        </is>
      </c>
    </row>
    <row r="134">
      <c r="A134" t="inlineStr">
        <is>
          <t>Baharat arabe</t>
        </is>
      </c>
      <c r="B134" t="inlineStr">
        <is>
          <t>internet BIO</t>
        </is>
      </c>
      <c r="D134" t="inlineStr">
        <is>
          <t>placedesepices.com</t>
        </is>
      </c>
    </row>
    <row r="135">
      <c r="A135" t="inlineStr">
        <is>
          <t>Baharat turc</t>
        </is>
      </c>
      <c r="B135" t="inlineStr">
        <is>
          <t>internet BIO</t>
        </is>
      </c>
      <c r="D135" t="inlineStr">
        <is>
          <t>placedesepices.com</t>
        </is>
      </c>
    </row>
    <row r="136">
      <c r="A136" t="inlineStr">
        <is>
          <t>Carvi moulue</t>
        </is>
      </c>
      <c r="B136" t="inlineStr">
        <is>
          <t>internet BIO</t>
        </is>
      </c>
      <c r="D136" t="inlineStr">
        <is>
          <t>placedesepices.com</t>
        </is>
      </c>
    </row>
    <row r="137">
      <c r="A137" t="inlineStr">
        <is>
          <t>Chaat masala</t>
        </is>
      </c>
      <c r="B137" t="inlineStr">
        <is>
          <t>internet BIO</t>
        </is>
      </c>
      <c r="D137" t="inlineStr">
        <is>
          <t>placedesepices.com</t>
        </is>
      </c>
    </row>
    <row r="138">
      <c r="A138" t="inlineStr">
        <is>
          <t>Colombo</t>
        </is>
      </c>
      <c r="B138" t="inlineStr">
        <is>
          <t>internet BIO</t>
        </is>
      </c>
      <c r="D138" t="inlineStr">
        <is>
          <t>placedesepices.com</t>
        </is>
      </c>
    </row>
    <row r="139">
      <c r="A139" t="inlineStr">
        <is>
          <t>Curry japonais</t>
        </is>
      </c>
      <c r="B139" t="inlineStr">
        <is>
          <t>internet BIO</t>
        </is>
      </c>
      <c r="D139" t="inlineStr">
        <is>
          <t>placedesepices.com</t>
        </is>
      </c>
    </row>
    <row r="140">
      <c r="A140" t="inlineStr">
        <is>
          <t>Dukkah</t>
        </is>
      </c>
      <c r="B140" t="inlineStr">
        <is>
          <t>internet BIO</t>
        </is>
      </c>
      <c r="D140" t="inlineStr">
        <is>
          <t>placedesepices.com</t>
        </is>
      </c>
    </row>
    <row r="141">
      <c r="A141" t="inlineStr">
        <is>
          <t>Durban masala</t>
        </is>
      </c>
      <c r="B141" t="inlineStr">
        <is>
          <t>internet BIO</t>
        </is>
      </c>
      <c r="D141" t="inlineStr">
        <is>
          <t>placedesepices.com</t>
        </is>
      </c>
    </row>
    <row r="142">
      <c r="A142" t="inlineStr">
        <is>
          <t>epices cajun</t>
        </is>
      </c>
      <c r="B142" t="inlineStr">
        <is>
          <t>internet BIO</t>
        </is>
      </c>
      <c r="D142" t="inlineStr">
        <is>
          <t>placedesepices.com</t>
        </is>
      </c>
    </row>
    <row r="143">
      <c r="A143" t="inlineStr">
        <is>
          <t>epices guacamole</t>
        </is>
      </c>
      <c r="B143" t="inlineStr">
        <is>
          <t>internet BIO</t>
        </is>
      </c>
      <c r="D143" t="inlineStr">
        <is>
          <t>placedesepices.com</t>
        </is>
      </c>
    </row>
    <row r="144">
      <c r="A144" t="inlineStr">
        <is>
          <t>epices poissons et fruits de mer</t>
        </is>
      </c>
      <c r="B144" t="inlineStr">
        <is>
          <t>internet BIO</t>
        </is>
      </c>
      <c r="D144" t="inlineStr">
        <is>
          <t>placedesepices.com</t>
        </is>
      </c>
    </row>
    <row r="145">
      <c r="A145" t="inlineStr">
        <is>
          <t>epices pour marinade</t>
        </is>
      </c>
      <c r="B145" t="inlineStr">
        <is>
          <t>internet BIO</t>
        </is>
      </c>
      <c r="D145" t="inlineStr">
        <is>
          <t>placedesepices.com</t>
        </is>
      </c>
    </row>
    <row r="146">
      <c r="A146" t="inlineStr">
        <is>
          <t>Garam masala</t>
        </is>
      </c>
      <c r="B146" t="inlineStr">
        <is>
          <t>internet BIO</t>
        </is>
      </c>
      <c r="D146" t="inlineStr">
        <is>
          <t>placedesepices.com</t>
        </is>
      </c>
    </row>
    <row r="147">
      <c r="A147" t="inlineStr">
        <is>
          <t>Garam masla</t>
        </is>
      </c>
      <c r="B147" t="inlineStr">
        <is>
          <t>internet BIO</t>
        </is>
      </c>
      <c r="D147" t="inlineStr">
        <is>
          <t>placedesepices.com</t>
        </is>
      </c>
    </row>
    <row r="148">
      <c r="A148" t="inlineStr">
        <is>
          <t>Garam masla birman</t>
        </is>
      </c>
      <c r="B148" t="inlineStr">
        <is>
          <t>internet BIO</t>
        </is>
      </c>
      <c r="D148" t="inlineStr">
        <is>
          <t>placedesepices.com</t>
        </is>
      </c>
    </row>
    <row r="149">
      <c r="A149" t="inlineStr">
        <is>
          <t>Gomasio maison</t>
        </is>
      </c>
      <c r="B149" t="inlineStr">
        <is>
          <t>internet BIO</t>
        </is>
      </c>
      <c r="D149" t="inlineStr">
        <is>
          <t>placedesepices.com</t>
        </is>
      </c>
    </row>
    <row r="150">
      <c r="A150" t="inlineStr">
        <is>
          <t>Harissa</t>
        </is>
      </c>
      <c r="B150" t="inlineStr">
        <is>
          <t>internet BIO</t>
        </is>
      </c>
      <c r="D150" t="inlineStr">
        <is>
          <t>placedesepices.com</t>
        </is>
      </c>
    </row>
    <row r="151">
      <c r="A151" t="inlineStr">
        <is>
          <t>Hawaij</t>
        </is>
      </c>
      <c r="B151" t="inlineStr">
        <is>
          <t>internet BIO</t>
        </is>
      </c>
      <c r="D151" t="inlineStr">
        <is>
          <t>placedesepices.com</t>
        </is>
      </c>
    </row>
    <row r="152">
      <c r="A152" t="inlineStr">
        <is>
          <t>Huile massage anti-arthrite</t>
        </is>
      </c>
      <c r="B152" t="inlineStr">
        <is>
          <t>internet BIO</t>
        </is>
      </c>
      <c r="D152" t="inlineStr">
        <is>
          <t>placedesepices.com</t>
        </is>
      </c>
    </row>
    <row r="153">
      <c r="A153" t="inlineStr">
        <is>
          <t>Jamaican Jerk</t>
        </is>
      </c>
      <c r="B153" t="inlineStr">
        <is>
          <t>internet BIO</t>
        </is>
      </c>
      <c r="D153" t="inlineStr">
        <is>
          <t>placedesepices.com</t>
        </is>
      </c>
    </row>
    <row r="154">
      <c r="A154" t="inlineStr">
        <is>
          <t>Nuoc chan</t>
        </is>
      </c>
      <c r="B154" t="inlineStr">
        <is>
          <t>internet BIO</t>
        </is>
      </c>
      <c r="D154" t="inlineStr">
        <is>
          <t>placedesepices.com</t>
        </is>
      </c>
    </row>
    <row r="155">
      <c r="A155" t="inlineStr">
        <is>
          <t>Panch phoron</t>
        </is>
      </c>
      <c r="B155" t="inlineStr">
        <is>
          <t>internet BIO</t>
        </is>
      </c>
      <c r="D155" t="inlineStr">
        <is>
          <t>placedesepices.com</t>
        </is>
      </c>
    </row>
    <row r="156">
      <c r="A156" t="inlineStr">
        <is>
          <t>Pâte vindaloo</t>
        </is>
      </c>
      <c r="B156" t="inlineStr">
        <is>
          <t>internet BIO</t>
        </is>
      </c>
      <c r="D156" t="inlineStr">
        <is>
          <t>placedesepices.com</t>
        </is>
      </c>
    </row>
    <row r="157">
      <c r="A157" t="inlineStr">
        <is>
          <t>Quatre epices</t>
        </is>
      </c>
      <c r="B157" t="inlineStr">
        <is>
          <t>internet BIO</t>
        </is>
      </c>
      <c r="D157" t="inlineStr">
        <is>
          <t>placedesepices.com</t>
        </is>
      </c>
    </row>
    <row r="158">
      <c r="A158" t="inlineStr">
        <is>
          <t>Ras el hanout</t>
        </is>
      </c>
      <c r="B158" t="inlineStr">
        <is>
          <t>internet BIO</t>
        </is>
      </c>
      <c r="D158" t="inlineStr">
        <is>
          <t>placedesepices.com</t>
        </is>
      </c>
    </row>
    <row r="159">
      <c r="A159" t="inlineStr">
        <is>
          <t>Sans sel</t>
        </is>
      </c>
      <c r="B159" t="inlineStr">
        <is>
          <t>internet BIO</t>
        </is>
      </c>
      <c r="D159" t="inlineStr">
        <is>
          <t>placedesepices.com</t>
        </is>
      </c>
    </row>
    <row r="160">
      <c r="A160" t="inlineStr">
        <is>
          <t>Shichimi togarashi</t>
        </is>
      </c>
      <c r="B160" t="inlineStr">
        <is>
          <t>internet BIO</t>
        </is>
      </c>
      <c r="D160" t="inlineStr">
        <is>
          <t>placedesepices.com</t>
        </is>
      </c>
    </row>
    <row r="161">
      <c r="A161" t="inlineStr">
        <is>
          <t>Sriratcha</t>
        </is>
      </c>
      <c r="B161" t="inlineStr">
        <is>
          <t>internet BIO</t>
        </is>
      </c>
      <c r="D161" t="inlineStr">
        <is>
          <t>placedesepices.com</t>
        </is>
      </c>
    </row>
    <row r="162">
      <c r="A162" t="inlineStr">
        <is>
          <t>Steak de Montreal</t>
        </is>
      </c>
      <c r="B162" t="inlineStr">
        <is>
          <t>internet BIO</t>
        </is>
      </c>
      <c r="D162" t="inlineStr">
        <is>
          <t>placedesepices.com</t>
        </is>
      </c>
    </row>
    <row r="163">
      <c r="A163" t="inlineStr">
        <is>
          <t>Suya ghaneen</t>
        </is>
      </c>
      <c r="B163" t="inlineStr">
        <is>
          <t>internet BIO</t>
        </is>
      </c>
      <c r="D163" t="inlineStr">
        <is>
          <t>placedesepices.com</t>
        </is>
      </c>
    </row>
    <row r="164">
      <c r="A164" t="inlineStr">
        <is>
          <t>Tabel ou Tabil tunisien</t>
        </is>
      </c>
      <c r="B164" t="inlineStr">
        <is>
          <t>internet BIO</t>
        </is>
      </c>
      <c r="D164" t="inlineStr">
        <is>
          <t>placedesepices.com</t>
        </is>
      </c>
    </row>
    <row r="165">
      <c r="A165" t="inlineStr">
        <is>
          <t>Taklia</t>
        </is>
      </c>
      <c r="B165" t="inlineStr">
        <is>
          <t>internet BIO</t>
        </is>
      </c>
      <c r="D165" t="inlineStr">
        <is>
          <t>placedesepices.com</t>
        </is>
      </c>
    </row>
    <row r="166">
      <c r="A166" t="inlineStr">
        <is>
          <t>Timur ko chhop</t>
        </is>
      </c>
      <c r="B166" t="inlineStr">
        <is>
          <t>internet BIO</t>
        </is>
      </c>
      <c r="D166" t="inlineStr">
        <is>
          <t>placedesepices.com</t>
        </is>
      </c>
    </row>
    <row r="167">
      <c r="A167" t="inlineStr">
        <is>
          <t>Vindaloo masala</t>
        </is>
      </c>
      <c r="B167" t="inlineStr">
        <is>
          <t>internet BIO</t>
        </is>
      </c>
      <c r="D167" t="inlineStr">
        <is>
          <t>placedesepices.com</t>
        </is>
      </c>
    </row>
    <row r="168">
      <c r="A168" t="inlineStr">
        <is>
          <t>Zhug</t>
        </is>
      </c>
      <c r="B168" t="inlineStr">
        <is>
          <t>internet BIO</t>
        </is>
      </c>
      <c r="D168" t="inlineStr">
        <is>
          <t>placedesepices.com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codeName="Feuil8">
    <outlinePr summaryBelow="1" summaryRight="1"/>
    <pageSetUpPr/>
  </sheetPr>
  <dimension ref="A1:BF58"/>
  <sheetViews>
    <sheetView workbookViewId="0">
      <selection activeCell="I47" sqref="I47"/>
    </sheetView>
  </sheetViews>
  <sheetFormatPr baseColWidth="10" defaultColWidth="11" defaultRowHeight="16"/>
  <cols>
    <col width="25.1640625" customWidth="1" min="1" max="1"/>
    <col width="8.1640625" customWidth="1" min="2" max="7"/>
    <col width="12.1640625" customWidth="1" min="8" max="8"/>
    <col width="16.1640625" customWidth="1" min="9" max="9"/>
    <col width="12.6640625" customWidth="1" min="10" max="10"/>
    <col width="15" customWidth="1" min="11" max="11"/>
    <col width="17.5" customWidth="1" min="12" max="12"/>
    <col width="11.33203125" customWidth="1" min="13" max="14"/>
  </cols>
  <sheetData>
    <row r="1" ht="74" customHeight="1">
      <c r="A1" s="24" t="inlineStr">
        <is>
          <t>Recette</t>
        </is>
      </c>
      <c r="B1" s="24" t="inlineStr">
        <is>
          <t>Objectif en unite</t>
        </is>
      </c>
      <c r="C1" s="24" t="inlineStr">
        <is>
          <t>poids/unite (g)</t>
        </is>
      </c>
      <c r="D1" s="24" t="inlineStr">
        <is>
          <t>Total (kg)</t>
        </is>
      </c>
      <c r="E1" s="24" t="inlineStr">
        <is>
          <t>Prix de vente/U</t>
        </is>
      </c>
      <c r="F1" s="25" t="inlineStr">
        <is>
          <t>Prix de vente/kg</t>
        </is>
      </c>
      <c r="G1" s="24" t="inlineStr">
        <is>
          <t>Revenue brut</t>
        </is>
      </c>
      <c r="H1" s="24" t="inlineStr">
        <is>
          <t>Packaging</t>
        </is>
      </c>
      <c r="I1" s="24" t="inlineStr">
        <is>
          <t>Packaging/Unit</t>
        </is>
      </c>
      <c r="J1" s="24" t="inlineStr">
        <is>
          <t>PV/kg frais</t>
        </is>
      </c>
      <c r="K1" s="24" t="inlineStr">
        <is>
          <t>Prix/kg (cook)</t>
        </is>
      </c>
      <c r="L1" s="24" t="inlineStr">
        <is>
          <t>Prix/kg (artisant)</t>
        </is>
      </c>
      <c r="M1" s="24" t="inlineStr">
        <is>
          <t>Colonne2</t>
        </is>
      </c>
      <c r="N1" s="24" t="inlineStr">
        <is>
          <t>Colonne3</t>
        </is>
      </c>
      <c r="O1" s="24" t="inlineStr">
        <is>
          <t>Colonne4</t>
        </is>
      </c>
    </row>
    <row r="2">
      <c r="A2" s="19" t="inlineStr">
        <is>
          <t>Ail semoule</t>
        </is>
      </c>
      <c r="B2" s="20" t="n">
        <v>25</v>
      </c>
      <c r="C2" s="20" t="n">
        <v>45</v>
      </c>
      <c r="D2" s="20" t="n">
        <v>1.125</v>
      </c>
      <c r="E2" s="20" t="n">
        <v>4.5</v>
      </c>
      <c r="F2" s="21" t="n">
        <v>100</v>
      </c>
      <c r="G2" s="20" t="n">
        <v>96.5</v>
      </c>
      <c r="H2" s="20" t="inlineStr">
        <is>
          <t>Epice 100ml</t>
        </is>
      </c>
      <c r="I2" s="20" t="n">
        <v>0.64</v>
      </c>
      <c r="J2" s="20" t="e">
        <v>#N/A</v>
      </c>
      <c r="K2" s="20" t="n">
        <v>65.33</v>
      </c>
      <c r="L2" s="20" t="n"/>
      <c r="M2" s="20" t="n"/>
      <c r="N2" s="22" t="n"/>
    </row>
    <row r="3">
      <c r="A3" s="19" t="inlineStr">
        <is>
          <t>Baharat arabe</t>
        </is>
      </c>
      <c r="B3" s="20" t="n">
        <v>25</v>
      </c>
      <c r="C3" s="20" t="n">
        <v>45</v>
      </c>
      <c r="D3" s="20" t="n">
        <v>1.125</v>
      </c>
      <c r="E3" s="20" t="n">
        <v>7.3125</v>
      </c>
      <c r="F3" s="21" t="n">
        <v>162.5</v>
      </c>
      <c r="G3" s="20" t="n">
        <v>166.8125</v>
      </c>
      <c r="H3" s="20" t="inlineStr">
        <is>
          <t>Epice 100ml</t>
        </is>
      </c>
      <c r="I3" s="20" t="n">
        <v>0.64</v>
      </c>
      <c r="J3" s="20" t="e">
        <v>#N/A</v>
      </c>
      <c r="K3" s="20" t="n"/>
      <c r="L3" s="20" t="n">
        <v>162.5</v>
      </c>
      <c r="M3" s="20" t="n"/>
      <c r="N3" s="22" t="n"/>
      <c r="P3" s="303">
        <f t="array" ref="P3:BF58">TableauProduit[Total (kg) N1]:TableauProduit[Total (kg) N2]:TableauProduit[Total (kg) N3]:TableauProduit[Total (kg) N4]:TableauProduit[Total (kg) N5]:TableauProduit[Total (kg) N6]:TableauProduit[Total (kg) N7]:TableauProduit[Total (kg) N8]</f>
        <v/>
      </c>
      <c r="Q3">
        <f/>
        <v/>
      </c>
      <c r="R3">
        <f/>
        <v/>
      </c>
      <c r="S3">
        <f/>
        <v/>
      </c>
      <c r="T3">
        <f/>
        <v/>
      </c>
      <c r="U3">
        <f/>
        <v/>
      </c>
      <c r="V3">
        <f/>
        <v/>
      </c>
      <c r="W3">
        <f/>
        <v/>
      </c>
      <c r="X3">
        <f/>
        <v/>
      </c>
      <c r="Y3">
        <f/>
        <v/>
      </c>
      <c r="Z3">
        <f/>
        <v/>
      </c>
      <c r="AA3">
        <f/>
        <v/>
      </c>
      <c r="AB3">
        <f/>
        <v/>
      </c>
      <c r="AC3">
        <f/>
        <v/>
      </c>
      <c r="AD3">
        <f/>
        <v/>
      </c>
      <c r="AE3">
        <f/>
        <v/>
      </c>
      <c r="AF3">
        <f/>
        <v/>
      </c>
      <c r="AG3">
        <f/>
        <v/>
      </c>
      <c r="AH3">
        <f/>
        <v/>
      </c>
      <c r="AI3">
        <f/>
        <v/>
      </c>
      <c r="AJ3">
        <f/>
        <v/>
      </c>
      <c r="AK3">
        <f/>
        <v/>
      </c>
      <c r="AL3">
        <f/>
        <v/>
      </c>
      <c r="AM3">
        <f/>
        <v/>
      </c>
      <c r="AN3">
        <f/>
        <v/>
      </c>
      <c r="AO3">
        <f/>
        <v/>
      </c>
      <c r="AP3">
        <f/>
        <v/>
      </c>
      <c r="AQ3">
        <f/>
        <v/>
      </c>
      <c r="AR3">
        <f/>
        <v/>
      </c>
      <c r="AS3">
        <f/>
        <v/>
      </c>
      <c r="AT3">
        <f/>
        <v/>
      </c>
      <c r="AU3">
        <f/>
        <v/>
      </c>
      <c r="AV3">
        <f/>
        <v/>
      </c>
      <c r="AW3">
        <f/>
        <v/>
      </c>
      <c r="AX3">
        <f/>
        <v/>
      </c>
      <c r="AY3">
        <f/>
        <v/>
      </c>
      <c r="AZ3">
        <f/>
        <v/>
      </c>
      <c r="BA3">
        <f/>
        <v/>
      </c>
      <c r="BB3">
        <f/>
        <v/>
      </c>
      <c r="BC3">
        <f/>
        <v/>
      </c>
      <c r="BD3">
        <f/>
        <v/>
      </c>
      <c r="BE3">
        <f/>
        <v/>
      </c>
      <c r="BF3">
        <f/>
        <v/>
      </c>
    </row>
    <row r="4">
      <c r="A4" s="19" t="inlineStr">
        <is>
          <t>Baharat turc</t>
        </is>
      </c>
      <c r="B4" s="20" t="n">
        <v>25</v>
      </c>
      <c r="C4" s="20" t="n">
        <v>65</v>
      </c>
      <c r="D4" s="20" t="n">
        <v>1.625</v>
      </c>
      <c r="E4" s="20" t="n">
        <v>7.800000000000001</v>
      </c>
      <c r="F4" s="21" t="n">
        <v>120</v>
      </c>
      <c r="G4" s="20" t="n">
        <v>179</v>
      </c>
      <c r="H4" s="20" t="inlineStr">
        <is>
          <t>Epice 100ml</t>
        </is>
      </c>
      <c r="I4" s="20" t="n">
        <v>0.64</v>
      </c>
      <c r="J4" s="20" t="e">
        <v>#N/A</v>
      </c>
      <c r="K4" s="20" t="n"/>
      <c r="L4" s="20" t="n">
        <v>96</v>
      </c>
      <c r="M4" s="20" t="n"/>
      <c r="N4" s="22" t="n"/>
      <c r="P4">
        <f/>
        <v/>
      </c>
      <c r="Q4">
        <f/>
        <v/>
      </c>
      <c r="R4">
        <f/>
        <v/>
      </c>
      <c r="S4">
        <f/>
        <v/>
      </c>
      <c r="T4">
        <f/>
        <v/>
      </c>
      <c r="U4">
        <f/>
        <v/>
      </c>
      <c r="V4">
        <f/>
        <v/>
      </c>
      <c r="W4">
        <f/>
        <v/>
      </c>
      <c r="X4">
        <f/>
        <v/>
      </c>
      <c r="Y4">
        <f/>
        <v/>
      </c>
      <c r="Z4">
        <f/>
        <v/>
      </c>
      <c r="AA4">
        <f/>
        <v/>
      </c>
      <c r="AB4">
        <f/>
        <v/>
      </c>
      <c r="AC4">
        <f/>
        <v/>
      </c>
      <c r="AD4">
        <f/>
        <v/>
      </c>
      <c r="AE4">
        <f/>
        <v/>
      </c>
      <c r="AF4">
        <f/>
        <v/>
      </c>
      <c r="AG4">
        <f/>
        <v/>
      </c>
      <c r="AH4">
        <f/>
        <v/>
      </c>
      <c r="AI4">
        <f/>
        <v/>
      </c>
      <c r="AJ4">
        <f/>
        <v/>
      </c>
      <c r="AK4">
        <f/>
        <v/>
      </c>
      <c r="AL4">
        <f/>
        <v/>
      </c>
      <c r="AM4">
        <f/>
        <v/>
      </c>
      <c r="AN4">
        <f/>
        <v/>
      </c>
      <c r="AO4">
        <f/>
        <v/>
      </c>
      <c r="AP4">
        <f/>
        <v/>
      </c>
      <c r="AQ4">
        <f/>
        <v/>
      </c>
      <c r="AR4">
        <f/>
        <v/>
      </c>
      <c r="AS4">
        <f/>
        <v/>
      </c>
      <c r="AT4">
        <f/>
        <v/>
      </c>
      <c r="AU4">
        <f/>
        <v/>
      </c>
      <c r="AV4">
        <f/>
        <v/>
      </c>
      <c r="AW4">
        <f/>
        <v/>
      </c>
      <c r="AX4">
        <f/>
        <v/>
      </c>
      <c r="AY4">
        <f/>
        <v/>
      </c>
      <c r="AZ4">
        <f/>
        <v/>
      </c>
      <c r="BA4">
        <f/>
        <v/>
      </c>
      <c r="BB4">
        <f/>
        <v/>
      </c>
      <c r="BC4">
        <f/>
        <v/>
      </c>
      <c r="BD4">
        <f/>
        <v/>
      </c>
      <c r="BE4">
        <f/>
        <v/>
      </c>
      <c r="BF4">
        <f/>
        <v/>
      </c>
    </row>
    <row r="5">
      <c r="A5" s="19" t="inlineStr">
        <is>
          <t>Carvi graine</t>
        </is>
      </c>
      <c r="B5" s="20" t="n">
        <v>25</v>
      </c>
      <c r="C5" s="20" t="n">
        <v>45</v>
      </c>
      <c r="D5" s="20" t="n">
        <v>1.125</v>
      </c>
      <c r="E5" s="20" t="n">
        <v>2.7</v>
      </c>
      <c r="F5" s="21" t="n">
        <v>60</v>
      </c>
      <c r="G5" s="20" t="n">
        <v>51.49999999999999</v>
      </c>
      <c r="H5" s="20" t="inlineStr">
        <is>
          <t>Epice 100ml</t>
        </is>
      </c>
      <c r="I5" s="20" t="n">
        <v>0.64</v>
      </c>
      <c r="J5" s="20" t="e">
        <v>#N/A</v>
      </c>
      <c r="K5" s="20" t="n">
        <v>51.33</v>
      </c>
      <c r="L5" s="20" t="n"/>
      <c r="M5" s="20" t="n"/>
      <c r="N5" s="22" t="n"/>
      <c r="P5">
        <f/>
        <v/>
      </c>
      <c r="Q5">
        <f/>
        <v/>
      </c>
      <c r="R5">
        <f/>
        <v/>
      </c>
      <c r="S5">
        <f/>
        <v/>
      </c>
      <c r="T5">
        <f/>
        <v/>
      </c>
      <c r="U5">
        <f/>
        <v/>
      </c>
      <c r="V5">
        <f/>
        <v/>
      </c>
      <c r="W5">
        <f/>
        <v/>
      </c>
      <c r="X5">
        <f/>
        <v/>
      </c>
      <c r="Y5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  <c r="AE5">
        <f/>
        <v/>
      </c>
      <c r="AF5">
        <f/>
        <v/>
      </c>
      <c r="AG5">
        <f/>
        <v/>
      </c>
      <c r="AH5">
        <f/>
        <v/>
      </c>
      <c r="AI5">
        <f/>
        <v/>
      </c>
      <c r="AJ5">
        <f/>
        <v/>
      </c>
      <c r="AK5">
        <f/>
        <v/>
      </c>
      <c r="AL5">
        <f/>
        <v/>
      </c>
      <c r="AM5">
        <f/>
        <v/>
      </c>
      <c r="AN5">
        <f/>
        <v/>
      </c>
      <c r="AO5">
        <f/>
        <v/>
      </c>
      <c r="AP5">
        <f/>
        <v/>
      </c>
      <c r="AQ5">
        <f/>
        <v/>
      </c>
      <c r="AR5">
        <f/>
        <v/>
      </c>
      <c r="AS5">
        <f/>
        <v/>
      </c>
      <c r="AT5">
        <f/>
        <v/>
      </c>
      <c r="AU5">
        <f/>
        <v/>
      </c>
      <c r="AV5">
        <f/>
        <v/>
      </c>
      <c r="AW5">
        <f/>
        <v/>
      </c>
      <c r="AX5">
        <f/>
        <v/>
      </c>
      <c r="AY5">
        <f/>
        <v/>
      </c>
      <c r="AZ5">
        <f/>
        <v/>
      </c>
      <c r="BA5">
        <f/>
        <v/>
      </c>
      <c r="BB5">
        <f/>
        <v/>
      </c>
      <c r="BC5">
        <f/>
        <v/>
      </c>
      <c r="BD5">
        <f/>
        <v/>
      </c>
      <c r="BE5">
        <f/>
        <v/>
      </c>
      <c r="BF5">
        <f/>
        <v/>
      </c>
    </row>
    <row r="6">
      <c r="A6" s="19" t="inlineStr">
        <is>
          <t>Carvi moulue</t>
        </is>
      </c>
      <c r="B6" s="20" t="n">
        <v>25</v>
      </c>
      <c r="C6" s="20" t="n">
        <v>65</v>
      </c>
      <c r="D6" s="20" t="n">
        <v>1.625</v>
      </c>
      <c r="E6" s="20" t="n">
        <v>4.225000000000001</v>
      </c>
      <c r="F6" s="21" t="n">
        <v>65</v>
      </c>
      <c r="G6" s="20" t="n">
        <v>89.62500000000001</v>
      </c>
      <c r="H6" s="20" t="inlineStr">
        <is>
          <t>Epice 100ml</t>
        </is>
      </c>
      <c r="I6" s="20" t="n">
        <v>0.64</v>
      </c>
      <c r="J6" s="20" t="e">
        <v>#N/A</v>
      </c>
      <c r="K6" s="20" t="n">
        <v>43</v>
      </c>
      <c r="L6" s="20" t="n"/>
      <c r="M6" s="20" t="n"/>
      <c r="N6" s="22" t="n"/>
      <c r="P6">
        <f/>
        <v/>
      </c>
      <c r="Q6">
        <f/>
        <v/>
      </c>
      <c r="R6">
        <f/>
        <v/>
      </c>
      <c r="S6">
        <f/>
        <v/>
      </c>
      <c r="T6">
        <f/>
        <v/>
      </c>
      <c r="U6">
        <f/>
        <v/>
      </c>
      <c r="V6">
        <f/>
        <v/>
      </c>
      <c r="W6">
        <f/>
        <v/>
      </c>
      <c r="X6">
        <f/>
        <v/>
      </c>
      <c r="Y6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  <c r="AE6">
        <f/>
        <v/>
      </c>
      <c r="AF6">
        <f/>
        <v/>
      </c>
      <c r="AG6">
        <f/>
        <v/>
      </c>
      <c r="AH6">
        <f/>
        <v/>
      </c>
      <c r="AI6">
        <f/>
        <v/>
      </c>
      <c r="AJ6">
        <f/>
        <v/>
      </c>
      <c r="AK6">
        <f/>
        <v/>
      </c>
      <c r="AL6">
        <f/>
        <v/>
      </c>
      <c r="AM6">
        <f/>
        <v/>
      </c>
      <c r="AN6">
        <f/>
        <v/>
      </c>
      <c r="AO6">
        <f/>
        <v/>
      </c>
      <c r="AP6">
        <f/>
        <v/>
      </c>
      <c r="AQ6">
        <f/>
        <v/>
      </c>
      <c r="AR6">
        <f/>
        <v/>
      </c>
      <c r="AS6">
        <f/>
        <v/>
      </c>
      <c r="AT6">
        <f/>
        <v/>
      </c>
      <c r="AU6">
        <f/>
        <v/>
      </c>
      <c r="AV6">
        <f/>
        <v/>
      </c>
      <c r="AW6">
        <f/>
        <v/>
      </c>
      <c r="AX6">
        <f/>
        <v/>
      </c>
      <c r="AY6">
        <f/>
        <v/>
      </c>
      <c r="AZ6">
        <f/>
        <v/>
      </c>
      <c r="BA6">
        <f/>
        <v/>
      </c>
      <c r="BB6">
        <f/>
        <v/>
      </c>
      <c r="BC6">
        <f/>
        <v/>
      </c>
      <c r="BD6">
        <f/>
        <v/>
      </c>
      <c r="BE6">
        <f/>
        <v/>
      </c>
      <c r="BF6">
        <f/>
        <v/>
      </c>
    </row>
    <row r="7">
      <c r="A7" s="19" t="inlineStr">
        <is>
          <t>Cumin moulu</t>
        </is>
      </c>
      <c r="B7" s="20" t="n">
        <v>25</v>
      </c>
      <c r="C7" s="20" t="n">
        <v>65</v>
      </c>
      <c r="D7" s="20" t="n">
        <v>1.625</v>
      </c>
      <c r="E7" s="20" t="n">
        <v>4.03</v>
      </c>
      <c r="F7" s="21" t="n">
        <v>62</v>
      </c>
      <c r="G7" s="20" t="n">
        <v>84.75</v>
      </c>
      <c r="H7" s="20" t="inlineStr">
        <is>
          <t>Epice 100ml</t>
        </is>
      </c>
      <c r="I7" s="20" t="n">
        <v>0.64</v>
      </c>
      <c r="J7" s="20" t="inlineStr">
        <is>
          <t>-</t>
        </is>
      </c>
      <c r="K7" s="20" t="n">
        <v>66</v>
      </c>
      <c r="L7" s="20" t="n">
        <v>108</v>
      </c>
      <c r="M7" s="20" t="n"/>
      <c r="N7" s="22" t="n"/>
      <c r="P7">
        <f/>
        <v/>
      </c>
      <c r="Q7">
        <f/>
        <v/>
      </c>
      <c r="R7">
        <f/>
        <v/>
      </c>
      <c r="S7">
        <f/>
        <v/>
      </c>
      <c r="T7">
        <f/>
        <v/>
      </c>
      <c r="U7">
        <f/>
        <v/>
      </c>
      <c r="V7">
        <f/>
        <v/>
      </c>
      <c r="W7">
        <f/>
        <v/>
      </c>
      <c r="X7">
        <f/>
        <v/>
      </c>
      <c r="Y7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  <c r="AE7">
        <f/>
        <v/>
      </c>
      <c r="AF7">
        <f/>
        <v/>
      </c>
      <c r="AG7">
        <f/>
        <v/>
      </c>
      <c r="AH7">
        <f/>
        <v/>
      </c>
      <c r="AI7">
        <f/>
        <v/>
      </c>
      <c r="AJ7">
        <f/>
        <v/>
      </c>
      <c r="AK7">
        <f/>
        <v/>
      </c>
      <c r="AL7">
        <f/>
        <v/>
      </c>
      <c r="AM7">
        <f/>
        <v/>
      </c>
      <c r="AN7">
        <f/>
        <v/>
      </c>
      <c r="AO7">
        <f/>
        <v/>
      </c>
      <c r="AP7">
        <f/>
        <v/>
      </c>
      <c r="AQ7">
        <f/>
        <v/>
      </c>
      <c r="AR7">
        <f/>
        <v/>
      </c>
      <c r="AS7">
        <f/>
        <v/>
      </c>
      <c r="AT7">
        <f/>
        <v/>
      </c>
      <c r="AU7">
        <f/>
        <v/>
      </c>
      <c r="AV7">
        <f/>
        <v/>
      </c>
      <c r="AW7">
        <f/>
        <v/>
      </c>
      <c r="AX7">
        <f/>
        <v/>
      </c>
      <c r="AY7">
        <f/>
        <v/>
      </c>
      <c r="AZ7">
        <f/>
        <v/>
      </c>
      <c r="BA7">
        <f/>
        <v/>
      </c>
      <c r="BB7">
        <f/>
        <v/>
      </c>
      <c r="BC7">
        <f/>
        <v/>
      </c>
      <c r="BD7">
        <f/>
        <v/>
      </c>
      <c r="BE7">
        <f/>
        <v/>
      </c>
      <c r="BF7">
        <f/>
        <v/>
      </c>
    </row>
    <row r="8">
      <c r="A8" s="19" t="inlineStr">
        <is>
          <t>Gingembre</t>
        </is>
      </c>
      <c r="B8" s="20" t="n">
        <v>25</v>
      </c>
      <c r="C8" s="20" t="n">
        <v>50</v>
      </c>
      <c r="D8" s="20" t="n">
        <v>1.25</v>
      </c>
      <c r="E8" s="20" t="n">
        <v>5</v>
      </c>
      <c r="F8" s="21" t="n">
        <v>100</v>
      </c>
      <c r="G8" s="20" t="n">
        <v>109</v>
      </c>
      <c r="H8" s="20" t="inlineStr">
        <is>
          <t>Epice 100ml</t>
        </is>
      </c>
      <c r="I8" s="20" t="n">
        <v>0.64</v>
      </c>
      <c r="J8" s="20" t="n">
        <v>100</v>
      </c>
      <c r="K8" s="20" t="n">
        <v>88.76000000000001</v>
      </c>
      <c r="L8" s="20" t="n"/>
      <c r="M8" s="20" t="n"/>
      <c r="N8" s="22" t="n"/>
      <c r="P8">
        <f/>
        <v/>
      </c>
      <c r="Q8">
        <f/>
        <v/>
      </c>
      <c r="R8">
        <f/>
        <v/>
      </c>
      <c r="S8">
        <f/>
        <v/>
      </c>
      <c r="T8">
        <f/>
        <v/>
      </c>
      <c r="U8">
        <f/>
        <v/>
      </c>
      <c r="V8">
        <f/>
        <v/>
      </c>
      <c r="W8">
        <f/>
        <v/>
      </c>
      <c r="X8">
        <f/>
        <v/>
      </c>
      <c r="Y8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  <c r="AE8">
        <f/>
        <v/>
      </c>
      <c r="AF8">
        <f/>
        <v/>
      </c>
      <c r="AG8">
        <f/>
        <v/>
      </c>
      <c r="AH8">
        <f/>
        <v/>
      </c>
      <c r="AI8">
        <f/>
        <v/>
      </c>
      <c r="AJ8">
        <f/>
        <v/>
      </c>
      <c r="AK8">
        <f/>
        <v/>
      </c>
      <c r="AL8">
        <f/>
        <v/>
      </c>
      <c r="AM8">
        <f/>
        <v/>
      </c>
      <c r="AN8">
        <f/>
        <v/>
      </c>
      <c r="AO8">
        <f/>
        <v/>
      </c>
      <c r="AP8">
        <f/>
        <v/>
      </c>
      <c r="AQ8">
        <f/>
        <v/>
      </c>
      <c r="AR8">
        <f/>
        <v/>
      </c>
      <c r="AS8">
        <f/>
        <v/>
      </c>
      <c r="AT8">
        <f/>
        <v/>
      </c>
      <c r="AU8">
        <f/>
        <v/>
      </c>
      <c r="AV8">
        <f/>
        <v/>
      </c>
      <c r="AW8">
        <f/>
        <v/>
      </c>
      <c r="AX8">
        <f/>
        <v/>
      </c>
      <c r="AY8">
        <f/>
        <v/>
      </c>
      <c r="AZ8">
        <f/>
        <v/>
      </c>
      <c r="BA8">
        <f/>
        <v/>
      </c>
      <c r="BB8">
        <f/>
        <v/>
      </c>
      <c r="BC8">
        <f/>
        <v/>
      </c>
      <c r="BD8">
        <f/>
        <v/>
      </c>
      <c r="BE8">
        <f/>
        <v/>
      </c>
      <c r="BF8">
        <f/>
        <v/>
      </c>
    </row>
    <row r="9">
      <c r="A9" s="19" t="inlineStr">
        <is>
          <t>Ketchup</t>
        </is>
      </c>
      <c r="B9" s="20" t="n">
        <v>25</v>
      </c>
      <c r="C9" s="20" t="n">
        <v>280</v>
      </c>
      <c r="D9" s="20" t="n">
        <v>7</v>
      </c>
      <c r="E9" s="20" t="n">
        <v>8</v>
      </c>
      <c r="F9" s="21" t="n">
        <v>28.57142857142857</v>
      </c>
      <c r="G9" s="20" t="n">
        <v>170</v>
      </c>
      <c r="H9" s="20" t="inlineStr">
        <is>
          <t>Piment liquide 250ml</t>
        </is>
      </c>
      <c r="I9" s="20" t="n">
        <v>1.2</v>
      </c>
      <c r="J9" s="20" t="n"/>
      <c r="K9" s="20" t="n"/>
      <c r="L9" s="20" t="n"/>
      <c r="M9" s="20" t="n"/>
      <c r="N9" s="22" t="n">
        <v>24.28571428571428</v>
      </c>
      <c r="P9">
        <f/>
        <v/>
      </c>
      <c r="Q9">
        <f/>
        <v/>
      </c>
      <c r="R9">
        <f/>
        <v/>
      </c>
      <c r="S9">
        <f/>
        <v/>
      </c>
      <c r="T9">
        <f/>
        <v/>
      </c>
      <c r="U9">
        <f/>
        <v/>
      </c>
      <c r="V9">
        <f/>
        <v/>
      </c>
      <c r="W9">
        <f/>
        <v/>
      </c>
      <c r="X9">
        <f/>
        <v/>
      </c>
      <c r="Y9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  <c r="AE9">
        <f/>
        <v/>
      </c>
      <c r="AF9">
        <f/>
        <v/>
      </c>
      <c r="AG9">
        <f/>
        <v/>
      </c>
      <c r="AH9">
        <f/>
        <v/>
      </c>
      <c r="AI9">
        <f/>
        <v/>
      </c>
      <c r="AJ9">
        <f/>
        <v/>
      </c>
      <c r="AK9">
        <f/>
        <v/>
      </c>
      <c r="AL9">
        <f/>
        <v/>
      </c>
      <c r="AM9">
        <f/>
        <v/>
      </c>
      <c r="AN9">
        <f/>
        <v/>
      </c>
      <c r="AO9">
        <f/>
        <v/>
      </c>
      <c r="AP9">
        <f/>
        <v/>
      </c>
      <c r="AQ9">
        <f/>
        <v/>
      </c>
      <c r="AR9">
        <f/>
        <v/>
      </c>
      <c r="AS9">
        <f/>
        <v/>
      </c>
      <c r="AT9">
        <f/>
        <v/>
      </c>
      <c r="AU9">
        <f/>
        <v/>
      </c>
      <c r="AV9">
        <f/>
        <v/>
      </c>
      <c r="AW9">
        <f/>
        <v/>
      </c>
      <c r="AX9">
        <f/>
        <v/>
      </c>
      <c r="AY9">
        <f/>
        <v/>
      </c>
      <c r="AZ9">
        <f/>
        <v/>
      </c>
      <c r="BA9">
        <f/>
        <v/>
      </c>
      <c r="BB9">
        <f/>
        <v/>
      </c>
      <c r="BC9">
        <f/>
        <v/>
      </c>
      <c r="BD9">
        <f/>
        <v/>
      </c>
      <c r="BE9">
        <f/>
        <v/>
      </c>
      <c r="BF9">
        <f/>
        <v/>
      </c>
    </row>
    <row r="10">
      <c r="A10" s="19" t="inlineStr">
        <is>
          <t>Tabasco cayenne jaune</t>
        </is>
      </c>
      <c r="B10" s="20" t="n">
        <v>25</v>
      </c>
      <c r="C10" s="20" t="n">
        <v>100</v>
      </c>
      <c r="D10" s="20" t="n">
        <v>2.5</v>
      </c>
      <c r="E10" s="20" t="n">
        <v>12.5</v>
      </c>
      <c r="F10" s="21" t="n">
        <v>125</v>
      </c>
      <c r="G10" s="20" t="n">
        <v>270.5</v>
      </c>
      <c r="H10" s="20" t="inlineStr">
        <is>
          <t>Piment liquide 250ml</t>
        </is>
      </c>
      <c r="I10" s="20" t="n">
        <v>1.68</v>
      </c>
      <c r="J10" s="20" t="n"/>
      <c r="K10" s="20" t="n"/>
      <c r="L10" s="20" t="n"/>
      <c r="M10" s="20" t="n"/>
      <c r="N10" s="22" t="n"/>
      <c r="P10">
        <f/>
        <v/>
      </c>
      <c r="Q10">
        <f/>
        <v/>
      </c>
      <c r="R10">
        <f/>
        <v/>
      </c>
      <c r="S10">
        <f/>
        <v/>
      </c>
      <c r="T10">
        <f/>
        <v/>
      </c>
      <c r="U10">
        <f/>
        <v/>
      </c>
      <c r="V10">
        <f/>
        <v/>
      </c>
      <c r="W10">
        <f/>
        <v/>
      </c>
      <c r="X10">
        <f/>
        <v/>
      </c>
      <c r="Y10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  <c r="AE10">
        <f/>
        <v/>
      </c>
      <c r="AF10">
        <f/>
        <v/>
      </c>
      <c r="AG10">
        <f/>
        <v/>
      </c>
      <c r="AH10">
        <f/>
        <v/>
      </c>
      <c r="AI10">
        <f/>
        <v/>
      </c>
      <c r="AJ10">
        <f/>
        <v/>
      </c>
      <c r="AK10">
        <f/>
        <v/>
      </c>
      <c r="AL10">
        <f/>
        <v/>
      </c>
      <c r="AM10">
        <f/>
        <v/>
      </c>
      <c r="AN10">
        <f/>
        <v/>
      </c>
      <c r="AO10">
        <f/>
        <v/>
      </c>
      <c r="AP10">
        <f/>
        <v/>
      </c>
      <c r="AQ10">
        <f/>
        <v/>
      </c>
      <c r="AR10">
        <f/>
        <v/>
      </c>
      <c r="AS10">
        <f/>
        <v/>
      </c>
      <c r="AT10">
        <f/>
        <v/>
      </c>
      <c r="AU10">
        <f/>
        <v/>
      </c>
      <c r="AV10">
        <f/>
        <v/>
      </c>
      <c r="AW10">
        <f/>
        <v/>
      </c>
      <c r="AX10">
        <f/>
        <v/>
      </c>
      <c r="AY10">
        <f/>
        <v/>
      </c>
      <c r="AZ10">
        <f/>
        <v/>
      </c>
      <c r="BA10">
        <f/>
        <v/>
      </c>
      <c r="BB10">
        <f/>
        <v/>
      </c>
      <c r="BC10">
        <f/>
        <v/>
      </c>
      <c r="BD10">
        <f/>
        <v/>
      </c>
      <c r="BE10">
        <f/>
        <v/>
      </c>
      <c r="BF10">
        <f/>
        <v/>
      </c>
    </row>
    <row r="11">
      <c r="A11" s="19" t="inlineStr">
        <is>
          <t>Suya ghaneen</t>
        </is>
      </c>
      <c r="B11" s="20" t="n">
        <v>25</v>
      </c>
      <c r="C11" s="20" t="n">
        <v>40</v>
      </c>
      <c r="D11" s="20" t="n">
        <v>1</v>
      </c>
      <c r="E11" s="20" t="n">
        <v>4</v>
      </c>
      <c r="F11" s="21" t="n">
        <v>100</v>
      </c>
      <c r="G11" s="20" t="n">
        <v>84</v>
      </c>
      <c r="H11" s="20" t="inlineStr">
        <is>
          <t>Epice 100ml</t>
        </is>
      </c>
      <c r="I11" s="20" t="n">
        <v>0.64</v>
      </c>
      <c r="J11" s="20" t="n"/>
      <c r="K11" s="20" t="n"/>
      <c r="L11" s="20" t="n"/>
      <c r="M11" s="20" t="n"/>
      <c r="N11" s="22" t="n"/>
      <c r="P11">
        <f/>
        <v/>
      </c>
      <c r="Q11">
        <f/>
        <v/>
      </c>
      <c r="R11">
        <f/>
        <v/>
      </c>
      <c r="S11">
        <f/>
        <v/>
      </c>
      <c r="T11">
        <f/>
        <v/>
      </c>
      <c r="U11">
        <f/>
        <v/>
      </c>
      <c r="V11">
        <f/>
        <v/>
      </c>
      <c r="W11">
        <f/>
        <v/>
      </c>
      <c r="X11">
        <f/>
        <v/>
      </c>
      <c r="Y11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  <c r="AE11">
        <f/>
        <v/>
      </c>
      <c r="AF11">
        <f/>
        <v/>
      </c>
      <c r="AG11">
        <f/>
        <v/>
      </c>
      <c r="AH11">
        <f/>
        <v/>
      </c>
      <c r="AI11">
        <f/>
        <v/>
      </c>
      <c r="AJ11">
        <f/>
        <v/>
      </c>
      <c r="AK11">
        <f/>
        <v/>
      </c>
      <c r="AL11">
        <f/>
        <v/>
      </c>
      <c r="AM11">
        <f/>
        <v/>
      </c>
      <c r="AN11">
        <f/>
        <v/>
      </c>
      <c r="AO11">
        <f/>
        <v/>
      </c>
      <c r="AP11">
        <f/>
        <v/>
      </c>
      <c r="AQ11">
        <f/>
        <v/>
      </c>
      <c r="AR11">
        <f/>
        <v/>
      </c>
      <c r="AS11">
        <f/>
        <v/>
      </c>
      <c r="AT11">
        <f/>
        <v/>
      </c>
      <c r="AU11">
        <f/>
        <v/>
      </c>
      <c r="AV11">
        <f/>
        <v/>
      </c>
      <c r="AW11">
        <f/>
        <v/>
      </c>
      <c r="AX11">
        <f/>
        <v/>
      </c>
      <c r="AY11">
        <f/>
        <v/>
      </c>
      <c r="AZ11">
        <f/>
        <v/>
      </c>
      <c r="BA11">
        <f/>
        <v/>
      </c>
      <c r="BB11">
        <f/>
        <v/>
      </c>
      <c r="BC11">
        <f/>
        <v/>
      </c>
      <c r="BD11">
        <f/>
        <v/>
      </c>
      <c r="BE11">
        <f/>
        <v/>
      </c>
      <c r="BF11">
        <f/>
        <v/>
      </c>
    </row>
    <row r="12">
      <c r="A12" s="19" t="inlineStr">
        <is>
          <t>Cornichon</t>
        </is>
      </c>
      <c r="B12" s="20" t="n">
        <v>50</v>
      </c>
      <c r="C12" s="20" t="n">
        <v>210</v>
      </c>
      <c r="D12" s="20" t="n">
        <v>10.5</v>
      </c>
      <c r="E12" s="20" t="n">
        <v>5</v>
      </c>
      <c r="F12" s="21" t="n">
        <v>23.80952380952381</v>
      </c>
      <c r="G12" s="20" t="n">
        <v>210</v>
      </c>
      <c r="H12" s="20" t="inlineStr">
        <is>
          <t>Verrine haute</t>
        </is>
      </c>
      <c r="I12" s="20" t="n">
        <v>0.8</v>
      </c>
      <c r="J12" s="20" t="n"/>
      <c r="K12" s="20" t="n"/>
      <c r="L12" s="20" t="n"/>
      <c r="M12" s="20" t="n"/>
      <c r="N12" s="22" t="n"/>
      <c r="P12">
        <f/>
        <v/>
      </c>
      <c r="Q12">
        <f/>
        <v/>
      </c>
      <c r="R12">
        <f/>
        <v/>
      </c>
      <c r="S12">
        <f/>
        <v/>
      </c>
      <c r="T12">
        <f/>
        <v/>
      </c>
      <c r="U12">
        <f/>
        <v/>
      </c>
      <c r="V12">
        <f/>
        <v/>
      </c>
      <c r="W12">
        <f/>
        <v/>
      </c>
      <c r="X12">
        <f/>
        <v/>
      </c>
      <c r="Y12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  <c r="AE12">
        <f/>
        <v/>
      </c>
      <c r="AF12">
        <f/>
        <v/>
      </c>
      <c r="AG12">
        <f/>
        <v/>
      </c>
      <c r="AH12">
        <f/>
        <v/>
      </c>
      <c r="AI12">
        <f/>
        <v/>
      </c>
      <c r="AJ12">
        <f/>
        <v/>
      </c>
      <c r="AK12">
        <f/>
        <v/>
      </c>
      <c r="AL12">
        <f/>
        <v/>
      </c>
      <c r="AM12">
        <f/>
        <v/>
      </c>
      <c r="AN12">
        <f/>
        <v/>
      </c>
      <c r="AO12">
        <f/>
        <v/>
      </c>
      <c r="AP12">
        <f/>
        <v/>
      </c>
      <c r="AQ12">
        <f/>
        <v/>
      </c>
      <c r="AR12">
        <f/>
        <v/>
      </c>
      <c r="AS12">
        <f/>
        <v/>
      </c>
      <c r="AT12">
        <f/>
        <v/>
      </c>
      <c r="AU12">
        <f/>
        <v/>
      </c>
      <c r="AV12">
        <f/>
        <v/>
      </c>
      <c r="AW12">
        <f/>
        <v/>
      </c>
      <c r="AX12">
        <f/>
        <v/>
      </c>
      <c r="AY12">
        <f/>
        <v/>
      </c>
      <c r="AZ12">
        <f/>
        <v/>
      </c>
      <c r="BA12">
        <f/>
        <v/>
      </c>
      <c r="BB12">
        <f/>
        <v/>
      </c>
      <c r="BC12">
        <f/>
        <v/>
      </c>
      <c r="BD12">
        <f/>
        <v/>
      </c>
      <c r="BE12">
        <f/>
        <v/>
      </c>
      <c r="BF12">
        <f/>
        <v/>
      </c>
    </row>
    <row r="13">
      <c r="A13" s="19" t="inlineStr">
        <is>
          <t>Moutarde à l'ancienne</t>
        </is>
      </c>
      <c r="B13" s="20" t="n">
        <v>50</v>
      </c>
      <c r="C13" s="20" t="n">
        <v>250</v>
      </c>
      <c r="D13" s="20" t="n">
        <v>12.5</v>
      </c>
      <c r="E13" s="20" t="n">
        <v>8</v>
      </c>
      <c r="F13" s="21" t="n">
        <v>32</v>
      </c>
      <c r="G13" s="20" t="n">
        <v>300</v>
      </c>
      <c r="H13" s="20" t="inlineStr">
        <is>
          <t>Moutarde Pot en grès</t>
        </is>
      </c>
      <c r="I13" s="20" t="n">
        <v>2</v>
      </c>
      <c r="J13" s="20" t="n"/>
      <c r="K13" s="20" t="n"/>
      <c r="L13" s="20" t="n"/>
      <c r="M13" s="20" t="n"/>
      <c r="N13" s="22" t="n">
        <v>27.2</v>
      </c>
      <c r="P13">
        <f/>
        <v/>
      </c>
      <c r="Q13">
        <f/>
        <v/>
      </c>
      <c r="R13">
        <f/>
        <v/>
      </c>
      <c r="S13">
        <f/>
        <v/>
      </c>
      <c r="T13">
        <f/>
        <v/>
      </c>
      <c r="U13">
        <f/>
        <v/>
      </c>
      <c r="V13">
        <f/>
        <v/>
      </c>
      <c r="W13">
        <f/>
        <v/>
      </c>
      <c r="X13">
        <f/>
        <v/>
      </c>
      <c r="Y13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  <c r="AE13">
        <f/>
        <v/>
      </c>
      <c r="AF13">
        <f/>
        <v/>
      </c>
      <c r="AG13">
        <f/>
        <v/>
      </c>
      <c r="AH13">
        <f/>
        <v/>
      </c>
      <c r="AI13">
        <f/>
        <v/>
      </c>
      <c r="AJ13">
        <f/>
        <v/>
      </c>
      <c r="AK13">
        <f/>
        <v/>
      </c>
      <c r="AL13">
        <f/>
        <v/>
      </c>
      <c r="AM13">
        <f/>
        <v/>
      </c>
      <c r="AN13">
        <f/>
        <v/>
      </c>
      <c r="AO13">
        <f/>
        <v/>
      </c>
      <c r="AP13">
        <f/>
        <v/>
      </c>
      <c r="AQ13">
        <f/>
        <v/>
      </c>
      <c r="AR13">
        <f/>
        <v/>
      </c>
      <c r="AS13">
        <f/>
        <v/>
      </c>
      <c r="AT13">
        <f/>
        <v/>
      </c>
      <c r="AU13">
        <f/>
        <v/>
      </c>
      <c r="AV13">
        <f/>
        <v/>
      </c>
      <c r="AW13">
        <f/>
        <v/>
      </c>
      <c r="AX13">
        <f/>
        <v/>
      </c>
      <c r="AY13">
        <f/>
        <v/>
      </c>
      <c r="AZ13">
        <f/>
        <v/>
      </c>
      <c r="BA13">
        <f/>
        <v/>
      </c>
      <c r="BB13">
        <f/>
        <v/>
      </c>
      <c r="BC13">
        <f/>
        <v/>
      </c>
      <c r="BD13">
        <f/>
        <v/>
      </c>
      <c r="BE13">
        <f/>
        <v/>
      </c>
      <c r="BF13">
        <f/>
        <v/>
      </c>
    </row>
    <row r="14">
      <c r="A14" s="19" t="inlineStr">
        <is>
          <t>Paprika</t>
        </is>
      </c>
      <c r="B14" s="20" t="n">
        <v>50</v>
      </c>
      <c r="C14" s="20" t="n">
        <v>40</v>
      </c>
      <c r="D14" s="20" t="n">
        <v>2</v>
      </c>
      <c r="E14" s="20" t="n">
        <v>5</v>
      </c>
      <c r="F14" s="21" t="n">
        <v>125</v>
      </c>
      <c r="G14" s="20" t="n">
        <v>218</v>
      </c>
      <c r="H14" s="20" t="inlineStr">
        <is>
          <t>Epice 100ml</t>
        </is>
      </c>
      <c r="I14" s="20" t="n">
        <v>0.64</v>
      </c>
      <c r="J14" s="20" t="n">
        <v>112.5</v>
      </c>
      <c r="K14" s="20" t="n">
        <v>84.25</v>
      </c>
      <c r="L14" s="20" t="n"/>
      <c r="M14" s="20" t="n"/>
      <c r="N14" s="22" t="n">
        <v>106.25</v>
      </c>
      <c r="P14">
        <f/>
        <v/>
      </c>
      <c r="Q14">
        <f/>
        <v/>
      </c>
      <c r="R14">
        <f/>
        <v/>
      </c>
      <c r="S14">
        <f/>
        <v/>
      </c>
      <c r="T14">
        <f/>
        <v/>
      </c>
      <c r="U14">
        <f/>
        <v/>
      </c>
      <c r="V14">
        <f/>
        <v/>
      </c>
      <c r="W14">
        <f/>
        <v/>
      </c>
      <c r="X14">
        <f/>
        <v/>
      </c>
      <c r="Y1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  <c r="AE14">
        <f/>
        <v/>
      </c>
      <c r="AF14">
        <f/>
        <v/>
      </c>
      <c r="AG14">
        <f/>
        <v/>
      </c>
      <c r="AH14">
        <f/>
        <v/>
      </c>
      <c r="AI14">
        <f/>
        <v/>
      </c>
      <c r="AJ14">
        <f/>
        <v/>
      </c>
      <c r="AK14">
        <f/>
        <v/>
      </c>
      <c r="AL14">
        <f/>
        <v/>
      </c>
      <c r="AM14">
        <f/>
        <v/>
      </c>
      <c r="AN14">
        <f/>
        <v/>
      </c>
      <c r="AO14">
        <f/>
        <v/>
      </c>
      <c r="AP14">
        <f/>
        <v/>
      </c>
      <c r="AQ14">
        <f/>
        <v/>
      </c>
      <c r="AR14">
        <f/>
        <v/>
      </c>
      <c r="AS14">
        <f/>
        <v/>
      </c>
      <c r="AT14">
        <f/>
        <v/>
      </c>
      <c r="AU14">
        <f/>
        <v/>
      </c>
      <c r="AV14">
        <f/>
        <v/>
      </c>
      <c r="AW14">
        <f/>
        <v/>
      </c>
      <c r="AX14">
        <f/>
        <v/>
      </c>
      <c r="AY14">
        <f/>
        <v/>
      </c>
      <c r="AZ14">
        <f/>
        <v/>
      </c>
      <c r="BA14">
        <f/>
        <v/>
      </c>
      <c r="BB14">
        <f/>
        <v/>
      </c>
      <c r="BC14">
        <f/>
        <v/>
      </c>
      <c r="BD14">
        <f/>
        <v/>
      </c>
      <c r="BE14">
        <f/>
        <v/>
      </c>
      <c r="BF14">
        <f/>
        <v/>
      </c>
    </row>
    <row r="15">
      <c r="A15" s="19" t="inlineStr">
        <is>
          <t>Paprika fume</t>
        </is>
      </c>
      <c r="B15" s="20" t="n">
        <v>50</v>
      </c>
      <c r="C15" s="20" t="n">
        <v>33</v>
      </c>
      <c r="D15" s="20" t="n">
        <v>1.65</v>
      </c>
      <c r="E15" s="20" t="n">
        <v>4.95</v>
      </c>
      <c r="F15" s="21" t="n">
        <v>150</v>
      </c>
      <c r="G15" s="20" t="n">
        <v>215.5</v>
      </c>
      <c r="H15" s="20" t="inlineStr">
        <is>
          <t>Epice 100ml</t>
        </is>
      </c>
      <c r="I15" s="20" t="n">
        <v>0.64</v>
      </c>
      <c r="J15" s="20" t="n">
        <v>105</v>
      </c>
      <c r="K15" s="20" t="n">
        <v>84.25</v>
      </c>
      <c r="L15" s="20" t="n"/>
      <c r="M15" s="20" t="n"/>
      <c r="N15" s="22" t="n">
        <v>127.5</v>
      </c>
      <c r="P15">
        <f/>
        <v/>
      </c>
      <c r="Q15">
        <f/>
        <v/>
      </c>
      <c r="R15">
        <f/>
        <v/>
      </c>
      <c r="S15">
        <f/>
        <v/>
      </c>
      <c r="T15">
        <f/>
        <v/>
      </c>
      <c r="U15">
        <f/>
        <v/>
      </c>
      <c r="V15">
        <f/>
        <v/>
      </c>
      <c r="W15">
        <f/>
        <v/>
      </c>
      <c r="X15">
        <f/>
        <v/>
      </c>
      <c r="Y15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  <c r="AE15">
        <f/>
        <v/>
      </c>
      <c r="AF15">
        <f/>
        <v/>
      </c>
      <c r="AG15">
        <f/>
        <v/>
      </c>
      <c r="AH15">
        <f/>
        <v/>
      </c>
      <c r="AI15">
        <f/>
        <v/>
      </c>
      <c r="AJ15">
        <f/>
        <v/>
      </c>
      <c r="AK15">
        <f/>
        <v/>
      </c>
      <c r="AL15">
        <f/>
        <v/>
      </c>
      <c r="AM15">
        <f/>
        <v/>
      </c>
      <c r="AN15">
        <f/>
        <v/>
      </c>
      <c r="AO15">
        <f/>
        <v/>
      </c>
      <c r="AP15">
        <f/>
        <v/>
      </c>
      <c r="AQ15">
        <f/>
        <v/>
      </c>
      <c r="AR15">
        <f/>
        <v/>
      </c>
      <c r="AS15">
        <f/>
        <v/>
      </c>
      <c r="AT15">
        <f/>
        <v/>
      </c>
      <c r="AU15">
        <f/>
        <v/>
      </c>
      <c r="AV15">
        <f/>
        <v/>
      </c>
      <c r="AW15">
        <f/>
        <v/>
      </c>
      <c r="AX15">
        <f/>
        <v/>
      </c>
      <c r="AY15">
        <f/>
        <v/>
      </c>
      <c r="AZ15">
        <f/>
        <v/>
      </c>
      <c r="BA15">
        <f/>
        <v/>
      </c>
      <c r="BB15">
        <f/>
        <v/>
      </c>
      <c r="BC15">
        <f/>
        <v/>
      </c>
      <c r="BD15">
        <f/>
        <v/>
      </c>
      <c r="BE15">
        <f/>
        <v/>
      </c>
      <c r="BF15">
        <f/>
        <v/>
      </c>
    </row>
    <row r="16">
      <c r="A16" s="19" t="inlineStr">
        <is>
          <t>Sriratcha</t>
        </is>
      </c>
      <c r="B16" s="20" t="n">
        <v>50</v>
      </c>
      <c r="C16" s="20" t="n">
        <v>280</v>
      </c>
      <c r="D16" s="20" t="n">
        <v>14</v>
      </c>
      <c r="E16" s="20" t="n">
        <v>8</v>
      </c>
      <c r="F16" s="21" t="n">
        <v>28.57142857142857</v>
      </c>
      <c r="G16" s="20" t="n">
        <v>340</v>
      </c>
      <c r="H16" s="20" t="inlineStr">
        <is>
          <t>Piment liquide 250ml</t>
        </is>
      </c>
      <c r="I16" s="20" t="n">
        <v>1.2</v>
      </c>
      <c r="J16" s="20" t="n"/>
      <c r="K16" s="20" t="n"/>
      <c r="L16" s="20" t="n"/>
      <c r="M16" s="20" t="n"/>
      <c r="N16" s="22" t="n"/>
      <c r="P16">
        <f/>
        <v/>
      </c>
      <c r="Q16">
        <f/>
        <v/>
      </c>
      <c r="R16">
        <f/>
        <v/>
      </c>
      <c r="S16">
        <f/>
        <v/>
      </c>
      <c r="T16">
        <f/>
        <v/>
      </c>
      <c r="U16">
        <f/>
        <v/>
      </c>
      <c r="V16">
        <f/>
        <v/>
      </c>
      <c r="W16">
        <f/>
        <v/>
      </c>
      <c r="X16">
        <f/>
        <v/>
      </c>
      <c r="Y16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  <c r="AE16">
        <f/>
        <v/>
      </c>
      <c r="AF16">
        <f/>
        <v/>
      </c>
      <c r="AG16">
        <f/>
        <v/>
      </c>
      <c r="AH16">
        <f/>
        <v/>
      </c>
      <c r="AI16">
        <f/>
        <v/>
      </c>
      <c r="AJ16">
        <f/>
        <v/>
      </c>
      <c r="AK16">
        <f/>
        <v/>
      </c>
      <c r="AL16">
        <f/>
        <v/>
      </c>
      <c r="AM16">
        <f/>
        <v/>
      </c>
      <c r="AN16">
        <f/>
        <v/>
      </c>
      <c r="AO16">
        <f/>
        <v/>
      </c>
      <c r="AP16">
        <f/>
        <v/>
      </c>
      <c r="AQ16">
        <f/>
        <v/>
      </c>
      <c r="AR16">
        <f/>
        <v/>
      </c>
      <c r="AS16">
        <f/>
        <v/>
      </c>
      <c r="AT16">
        <f/>
        <v/>
      </c>
      <c r="AU16">
        <f/>
        <v/>
      </c>
      <c r="AV16">
        <f/>
        <v/>
      </c>
      <c r="AW16">
        <f/>
        <v/>
      </c>
      <c r="AX16">
        <f/>
        <v/>
      </c>
      <c r="AY16">
        <f/>
        <v/>
      </c>
      <c r="AZ16">
        <f/>
        <v/>
      </c>
      <c r="BA16">
        <f/>
        <v/>
      </c>
      <c r="BB16">
        <f/>
        <v/>
      </c>
      <c r="BC16">
        <f/>
        <v/>
      </c>
      <c r="BD16">
        <f/>
        <v/>
      </c>
      <c r="BE16">
        <f/>
        <v/>
      </c>
      <c r="BF16">
        <f/>
        <v/>
      </c>
    </row>
    <row r="17">
      <c r="A17" s="19" t="inlineStr">
        <is>
          <t>Tabasco cayenne jaune</t>
        </is>
      </c>
      <c r="B17" s="20" t="n">
        <v>50</v>
      </c>
      <c r="C17" s="20" t="n">
        <v>100</v>
      </c>
      <c r="D17" s="20" t="n">
        <v>5</v>
      </c>
      <c r="E17" s="20" t="n">
        <v>7</v>
      </c>
      <c r="F17" s="21" t="n">
        <v>70</v>
      </c>
      <c r="G17" s="20" t="n">
        <v>265.5</v>
      </c>
      <c r="H17" s="20" t="inlineStr">
        <is>
          <t>Piment liquide 100ml</t>
        </is>
      </c>
      <c r="I17" s="20" t="n">
        <v>1.69</v>
      </c>
      <c r="J17" s="20" t="n"/>
      <c r="K17" s="20" t="n"/>
      <c r="L17" s="20" t="n"/>
      <c r="M17" s="20" t="n"/>
      <c r="N17" s="22" t="n"/>
      <c r="P17">
        <f/>
        <v/>
      </c>
      <c r="Q17">
        <f/>
        <v/>
      </c>
      <c r="R17">
        <f/>
        <v/>
      </c>
      <c r="S17">
        <f/>
        <v/>
      </c>
      <c r="T17">
        <f/>
        <v/>
      </c>
      <c r="U17">
        <f/>
        <v/>
      </c>
      <c r="V17">
        <f/>
        <v/>
      </c>
      <c r="W17">
        <f/>
        <v/>
      </c>
      <c r="X17">
        <f/>
        <v/>
      </c>
      <c r="Y17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  <c r="AE17">
        <f/>
        <v/>
      </c>
      <c r="AF17">
        <f/>
        <v/>
      </c>
      <c r="AG17">
        <f/>
        <v/>
      </c>
      <c r="AH17">
        <f/>
        <v/>
      </c>
      <c r="AI17">
        <f/>
        <v/>
      </c>
      <c r="AJ17">
        <f/>
        <v/>
      </c>
      <c r="AK17">
        <f/>
        <v/>
      </c>
      <c r="AL17">
        <f/>
        <v/>
      </c>
      <c r="AM17">
        <f/>
        <v/>
      </c>
      <c r="AN17">
        <f/>
        <v/>
      </c>
      <c r="AO17">
        <f/>
        <v/>
      </c>
      <c r="AP17">
        <f/>
        <v/>
      </c>
      <c r="AQ17">
        <f/>
        <v/>
      </c>
      <c r="AR17">
        <f/>
        <v/>
      </c>
      <c r="AS17">
        <f/>
        <v/>
      </c>
      <c r="AT17">
        <f/>
        <v/>
      </c>
      <c r="AU17">
        <f/>
        <v/>
      </c>
      <c r="AV17">
        <f/>
        <v/>
      </c>
      <c r="AW17">
        <f/>
        <v/>
      </c>
      <c r="AX17">
        <f/>
        <v/>
      </c>
      <c r="AY17">
        <f/>
        <v/>
      </c>
      <c r="AZ17">
        <f/>
        <v/>
      </c>
      <c r="BA17">
        <f/>
        <v/>
      </c>
      <c r="BB17">
        <f/>
        <v/>
      </c>
      <c r="BC17">
        <f/>
        <v/>
      </c>
      <c r="BD17">
        <f/>
        <v/>
      </c>
      <c r="BE17">
        <f/>
        <v/>
      </c>
      <c r="BF17">
        <f/>
        <v/>
      </c>
    </row>
    <row r="18">
      <c r="A18" s="19" t="inlineStr">
        <is>
          <t>Tabasco jalapeno</t>
        </is>
      </c>
      <c r="B18" s="20" t="n">
        <v>50</v>
      </c>
      <c r="C18" s="20" t="n">
        <v>100</v>
      </c>
      <c r="D18" s="20" t="n">
        <v>5</v>
      </c>
      <c r="E18" s="20" t="n">
        <v>12.5</v>
      </c>
      <c r="F18" s="21" t="n">
        <v>125</v>
      </c>
      <c r="G18" s="20" t="n">
        <v>541</v>
      </c>
      <c r="H18" s="20" t="inlineStr">
        <is>
          <t>Piment liquide 250ml</t>
        </is>
      </c>
      <c r="I18" s="20" t="n">
        <v>1.68</v>
      </c>
      <c r="J18" s="20" t="n"/>
      <c r="K18" s="20" t="n"/>
      <c r="L18" s="20" t="n"/>
      <c r="M18" s="20" t="n"/>
      <c r="N18" s="22" t="n"/>
      <c r="P18">
        <f/>
        <v/>
      </c>
      <c r="Q18">
        <f/>
        <v/>
      </c>
      <c r="R18">
        <f/>
        <v/>
      </c>
      <c r="S18">
        <f/>
        <v/>
      </c>
      <c r="T18">
        <f/>
        <v/>
      </c>
      <c r="U18">
        <f/>
        <v/>
      </c>
      <c r="V18">
        <f/>
        <v/>
      </c>
      <c r="W18">
        <f/>
        <v/>
      </c>
      <c r="X18">
        <f/>
        <v/>
      </c>
      <c r="Y18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  <c r="AE18">
        <f/>
        <v/>
      </c>
      <c r="AF18">
        <f/>
        <v/>
      </c>
      <c r="AG18">
        <f/>
        <v/>
      </c>
      <c r="AH18">
        <f/>
        <v/>
      </c>
      <c r="AI18">
        <f/>
        <v/>
      </c>
      <c r="AJ18">
        <f/>
        <v/>
      </c>
      <c r="AK18">
        <f/>
        <v/>
      </c>
      <c r="AL18">
        <f/>
        <v/>
      </c>
      <c r="AM18">
        <f/>
        <v/>
      </c>
      <c r="AN18">
        <f/>
        <v/>
      </c>
      <c r="AO18">
        <f/>
        <v/>
      </c>
      <c r="AP18">
        <f/>
        <v/>
      </c>
      <c r="AQ18">
        <f/>
        <v/>
      </c>
      <c r="AR18">
        <f/>
        <v/>
      </c>
      <c r="AS18">
        <f/>
        <v/>
      </c>
      <c r="AT18">
        <f/>
        <v/>
      </c>
      <c r="AU18">
        <f/>
        <v/>
      </c>
      <c r="AV18">
        <f/>
        <v/>
      </c>
      <c r="AW18">
        <f/>
        <v/>
      </c>
      <c r="AX18">
        <f/>
        <v/>
      </c>
      <c r="AY18">
        <f/>
        <v/>
      </c>
      <c r="AZ18">
        <f/>
        <v/>
      </c>
      <c r="BA18">
        <f/>
        <v/>
      </c>
      <c r="BB18">
        <f/>
        <v/>
      </c>
      <c r="BC18">
        <f/>
        <v/>
      </c>
      <c r="BD18">
        <f/>
        <v/>
      </c>
      <c r="BE18">
        <f/>
        <v/>
      </c>
      <c r="BF18">
        <f/>
        <v/>
      </c>
    </row>
    <row r="19">
      <c r="A19" s="19" t="inlineStr">
        <is>
          <t>Timur ko chhop</t>
        </is>
      </c>
      <c r="B19" s="20" t="n">
        <v>50</v>
      </c>
      <c r="C19" s="20" t="n">
        <v>50</v>
      </c>
      <c r="D19" s="20" t="n">
        <v>2.5</v>
      </c>
      <c r="E19" s="20" t="n">
        <v>5</v>
      </c>
      <c r="F19" s="21" t="n">
        <v>100</v>
      </c>
      <c r="G19" s="20" t="n">
        <v>218</v>
      </c>
      <c r="H19" s="20" t="inlineStr">
        <is>
          <t>Epice 100ml</t>
        </is>
      </c>
      <c r="I19" s="20" t="n">
        <v>0.64</v>
      </c>
      <c r="J19" s="20" t="e">
        <v>#VALUE!</v>
      </c>
      <c r="K19" s="20" t="n"/>
      <c r="L19" s="20" t="n"/>
      <c r="M19" s="20" t="n"/>
      <c r="N19" s="22" t="n"/>
      <c r="P19">
        <f/>
        <v/>
      </c>
      <c r="Q19">
        <f/>
        <v/>
      </c>
      <c r="R19">
        <f/>
        <v/>
      </c>
      <c r="S19">
        <f/>
        <v/>
      </c>
      <c r="T19">
        <f/>
        <v/>
      </c>
      <c r="U19">
        <f/>
        <v/>
      </c>
      <c r="V19">
        <f/>
        <v/>
      </c>
      <c r="W19">
        <f/>
        <v/>
      </c>
      <c r="X19">
        <f/>
        <v/>
      </c>
      <c r="Y19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  <c r="AE19">
        <f/>
        <v/>
      </c>
      <c r="AF19">
        <f/>
        <v/>
      </c>
      <c r="AG19">
        <f/>
        <v/>
      </c>
      <c r="AH19">
        <f/>
        <v/>
      </c>
      <c r="AI19">
        <f/>
        <v/>
      </c>
      <c r="AJ19">
        <f/>
        <v/>
      </c>
      <c r="AK19">
        <f/>
        <v/>
      </c>
      <c r="AL19">
        <f/>
        <v/>
      </c>
      <c r="AM19">
        <f/>
        <v/>
      </c>
      <c r="AN19">
        <f/>
        <v/>
      </c>
      <c r="AO19">
        <f/>
        <v/>
      </c>
      <c r="AP19">
        <f/>
        <v/>
      </c>
      <c r="AQ19">
        <f/>
        <v/>
      </c>
      <c r="AR19">
        <f/>
        <v/>
      </c>
      <c r="AS19">
        <f/>
        <v/>
      </c>
      <c r="AT19">
        <f/>
        <v/>
      </c>
      <c r="AU19">
        <f/>
        <v/>
      </c>
      <c r="AV19">
        <f/>
        <v/>
      </c>
      <c r="AW19">
        <f/>
        <v/>
      </c>
      <c r="AX19">
        <f/>
        <v/>
      </c>
      <c r="AY19">
        <f/>
        <v/>
      </c>
      <c r="AZ19">
        <f/>
        <v/>
      </c>
      <c r="BA19">
        <f/>
        <v/>
      </c>
      <c r="BB19">
        <f/>
        <v/>
      </c>
      <c r="BC19">
        <f/>
        <v/>
      </c>
      <c r="BD19">
        <f/>
        <v/>
      </c>
      <c r="BE19">
        <f/>
        <v/>
      </c>
      <c r="BF19">
        <f/>
        <v/>
      </c>
    </row>
    <row r="20">
      <c r="A20" s="19" t="inlineStr">
        <is>
          <t>Curry japonais</t>
        </is>
      </c>
      <c r="B20" s="20" t="n">
        <v>50</v>
      </c>
      <c r="C20" s="20" t="n">
        <v>40</v>
      </c>
      <c r="D20" s="20" t="n">
        <v>2</v>
      </c>
      <c r="E20" s="20" t="n">
        <v>4</v>
      </c>
      <c r="F20" s="21" t="n">
        <v>100</v>
      </c>
      <c r="G20" s="20" t="n">
        <v>168</v>
      </c>
      <c r="H20" s="20" t="inlineStr">
        <is>
          <t>Epice 100ml</t>
        </is>
      </c>
      <c r="I20" s="20" t="n">
        <v>0.64</v>
      </c>
      <c r="J20" s="20" t="n"/>
      <c r="K20" s="20" t="n"/>
      <c r="L20" s="20" t="n"/>
      <c r="M20" s="20" t="n"/>
      <c r="N20" s="22" t="n"/>
      <c r="P20">
        <f/>
        <v/>
      </c>
      <c r="Q20">
        <f/>
        <v/>
      </c>
      <c r="R20">
        <f/>
        <v/>
      </c>
      <c r="S20">
        <f/>
        <v/>
      </c>
      <c r="T20">
        <f/>
        <v/>
      </c>
      <c r="U20">
        <f/>
        <v/>
      </c>
      <c r="V20">
        <f/>
        <v/>
      </c>
      <c r="W20">
        <f/>
        <v/>
      </c>
      <c r="X20">
        <f/>
        <v/>
      </c>
      <c r="Y20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  <c r="AE20">
        <f/>
        <v/>
      </c>
      <c r="AF20">
        <f/>
        <v/>
      </c>
      <c r="AG20">
        <f/>
        <v/>
      </c>
      <c r="AH20">
        <f/>
        <v/>
      </c>
      <c r="AI20">
        <f/>
        <v/>
      </c>
      <c r="AJ20">
        <f/>
        <v/>
      </c>
      <c r="AK20">
        <f/>
        <v/>
      </c>
      <c r="AL20">
        <f/>
        <v/>
      </c>
      <c r="AM20">
        <f/>
        <v/>
      </c>
      <c r="AN20">
        <f/>
        <v/>
      </c>
      <c r="AO20">
        <f/>
        <v/>
      </c>
      <c r="AP20">
        <f/>
        <v/>
      </c>
      <c r="AQ20">
        <f/>
        <v/>
      </c>
      <c r="AR20">
        <f/>
        <v/>
      </c>
      <c r="AS20">
        <f/>
        <v/>
      </c>
      <c r="AT20">
        <f/>
        <v/>
      </c>
      <c r="AU20">
        <f/>
        <v/>
      </c>
      <c r="AV20">
        <f/>
        <v/>
      </c>
      <c r="AW20">
        <f/>
        <v/>
      </c>
      <c r="AX20">
        <f/>
        <v/>
      </c>
      <c r="AY20">
        <f/>
        <v/>
      </c>
      <c r="AZ20">
        <f/>
        <v/>
      </c>
      <c r="BA20">
        <f/>
        <v/>
      </c>
      <c r="BB20">
        <f/>
        <v/>
      </c>
      <c r="BC20">
        <f/>
        <v/>
      </c>
      <c r="BD20">
        <f/>
        <v/>
      </c>
      <c r="BE20">
        <f/>
        <v/>
      </c>
      <c r="BF20">
        <f/>
        <v/>
      </c>
    </row>
    <row r="21">
      <c r="A21" s="23" t="inlineStr">
        <is>
          <t>Huile massage anti-arthrite</t>
        </is>
      </c>
      <c r="B21" s="20" t="n">
        <v>75</v>
      </c>
      <c r="C21" s="20" t="n">
        <v>100</v>
      </c>
      <c r="D21" s="20" t="n">
        <v>7.5</v>
      </c>
      <c r="E21" s="20" t="n">
        <v>19</v>
      </c>
      <c r="F21" s="21" t="n">
        <v>190</v>
      </c>
      <c r="G21" s="20" t="n">
        <v>1380</v>
      </c>
      <c r="H21" s="20" t="inlineStr">
        <is>
          <t>Piment liquide 100ml</t>
        </is>
      </c>
      <c r="I21" s="20" t="n">
        <v>0.6</v>
      </c>
      <c r="J21" s="20" t="n"/>
      <c r="K21" s="20" t="n"/>
      <c r="L21" s="20" t="n"/>
      <c r="M21" s="20" t="n"/>
      <c r="N21" s="22" t="n">
        <v>161.5</v>
      </c>
      <c r="P21">
        <f/>
        <v/>
      </c>
      <c r="Q21">
        <f/>
        <v/>
      </c>
      <c r="R21">
        <f/>
        <v/>
      </c>
      <c r="S21">
        <f/>
        <v/>
      </c>
      <c r="T21">
        <f/>
        <v/>
      </c>
      <c r="U21">
        <f/>
        <v/>
      </c>
      <c r="V21">
        <f/>
        <v/>
      </c>
      <c r="W21">
        <f/>
        <v/>
      </c>
      <c r="X21">
        <f/>
        <v/>
      </c>
      <c r="Y21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  <c r="AE21">
        <f/>
        <v/>
      </c>
      <c r="AF21">
        <f/>
        <v/>
      </c>
      <c r="AG21">
        <f/>
        <v/>
      </c>
      <c r="AH21">
        <f/>
        <v/>
      </c>
      <c r="AI21">
        <f/>
        <v/>
      </c>
      <c r="AJ21">
        <f/>
        <v/>
      </c>
      <c r="AK21">
        <f/>
        <v/>
      </c>
      <c r="AL21">
        <f/>
        <v/>
      </c>
      <c r="AM21">
        <f/>
        <v/>
      </c>
      <c r="AN21">
        <f/>
        <v/>
      </c>
      <c r="AO21">
        <f/>
        <v/>
      </c>
      <c r="AP21">
        <f/>
        <v/>
      </c>
      <c r="AQ21">
        <f/>
        <v/>
      </c>
      <c r="AR21">
        <f/>
        <v/>
      </c>
      <c r="AS21">
        <f/>
        <v/>
      </c>
      <c r="AT21">
        <f/>
        <v/>
      </c>
      <c r="AU21">
        <f/>
        <v/>
      </c>
      <c r="AV21">
        <f/>
        <v/>
      </c>
      <c r="AW21">
        <f/>
        <v/>
      </c>
      <c r="AX21">
        <f/>
        <v/>
      </c>
      <c r="AY21">
        <f/>
        <v/>
      </c>
      <c r="AZ21">
        <f/>
        <v/>
      </c>
      <c r="BA21">
        <f/>
        <v/>
      </c>
      <c r="BB21">
        <f/>
        <v/>
      </c>
      <c r="BC21">
        <f/>
        <v/>
      </c>
      <c r="BD21">
        <f/>
        <v/>
      </c>
      <c r="BE21">
        <f/>
        <v/>
      </c>
      <c r="BF21">
        <f/>
        <v/>
      </c>
    </row>
    <row r="22">
      <c r="A22" s="19" t="inlineStr">
        <is>
          <t>Kimchi</t>
        </is>
      </c>
      <c r="B22" s="20" t="n">
        <v>75</v>
      </c>
      <c r="C22" s="20" t="n">
        <v>210</v>
      </c>
      <c r="D22" s="20" t="n">
        <v>15.75</v>
      </c>
      <c r="E22" s="20" t="n">
        <v>5</v>
      </c>
      <c r="F22" s="21" t="n">
        <v>23.80952380952381</v>
      </c>
      <c r="G22" s="20" t="n">
        <v>330</v>
      </c>
      <c r="H22" s="20" t="inlineStr">
        <is>
          <t>Verrine haute</t>
        </is>
      </c>
      <c r="I22" s="20" t="n">
        <v>0.6</v>
      </c>
      <c r="J22" s="20" t="n"/>
      <c r="K22" s="20" t="n"/>
      <c r="L22" s="20" t="n"/>
      <c r="M22" s="20" t="n"/>
      <c r="N22" s="22" t="n">
        <v>20.23809523809523</v>
      </c>
      <c r="P22">
        <f/>
        <v/>
      </c>
      <c r="Q22">
        <f/>
        <v/>
      </c>
      <c r="R22">
        <f/>
        <v/>
      </c>
      <c r="S22">
        <f/>
        <v/>
      </c>
      <c r="T22">
        <f/>
        <v/>
      </c>
      <c r="U22">
        <f/>
        <v/>
      </c>
      <c r="V22">
        <f/>
        <v/>
      </c>
      <c r="W22">
        <f/>
        <v/>
      </c>
      <c r="X22">
        <f/>
        <v/>
      </c>
      <c r="Y22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  <c r="AE22">
        <f/>
        <v/>
      </c>
      <c r="AF22">
        <f/>
        <v/>
      </c>
      <c r="AG22">
        <f/>
        <v/>
      </c>
      <c r="AH22">
        <f/>
        <v/>
      </c>
      <c r="AI22">
        <f/>
        <v/>
      </c>
      <c r="AJ22">
        <f/>
        <v/>
      </c>
      <c r="AK22">
        <f/>
        <v/>
      </c>
      <c r="AL22">
        <f/>
        <v/>
      </c>
      <c r="AM22">
        <f/>
        <v/>
      </c>
      <c r="AN22">
        <f/>
        <v/>
      </c>
      <c r="AO22">
        <f/>
        <v/>
      </c>
      <c r="AP22">
        <f/>
        <v/>
      </c>
      <c r="AQ22">
        <f/>
        <v/>
      </c>
      <c r="AR22">
        <f/>
        <v/>
      </c>
      <c r="AS22">
        <f/>
        <v/>
      </c>
      <c r="AT22">
        <f/>
        <v/>
      </c>
      <c r="AU22">
        <f/>
        <v/>
      </c>
      <c r="AV22">
        <f/>
        <v/>
      </c>
      <c r="AW22">
        <f/>
        <v/>
      </c>
      <c r="AX22">
        <f/>
        <v/>
      </c>
      <c r="AY22">
        <f/>
        <v/>
      </c>
      <c r="AZ22">
        <f/>
        <v/>
      </c>
      <c r="BA22">
        <f/>
        <v/>
      </c>
      <c r="BB22">
        <f/>
        <v/>
      </c>
      <c r="BC22">
        <f/>
        <v/>
      </c>
      <c r="BD22">
        <f/>
        <v/>
      </c>
      <c r="BE22">
        <f/>
        <v/>
      </c>
      <c r="BF22">
        <f/>
        <v/>
      </c>
    </row>
    <row r="23">
      <c r="A23" s="19" t="inlineStr">
        <is>
          <t>Oigon seche</t>
        </is>
      </c>
      <c r="B23" s="20" t="n">
        <v>75</v>
      </c>
      <c r="C23" s="20" t="n">
        <v>45</v>
      </c>
      <c r="D23" s="20" t="n">
        <v>3.375</v>
      </c>
      <c r="E23" s="20" t="n">
        <v>0</v>
      </c>
      <c r="F23" s="21" t="n"/>
      <c r="G23" s="20" t="n">
        <v>-48</v>
      </c>
      <c r="H23" s="20" t="inlineStr">
        <is>
          <t>Epice 100ml</t>
        </is>
      </c>
      <c r="I23" s="20" t="n">
        <v>0.64</v>
      </c>
      <c r="J23" s="20" t="n"/>
      <c r="K23" s="20" t="n"/>
      <c r="L23" s="20" t="n"/>
      <c r="M23" s="20" t="n"/>
      <c r="N23" s="22" t="n">
        <v>0</v>
      </c>
      <c r="P23">
        <f/>
        <v/>
      </c>
      <c r="Q23">
        <f/>
        <v/>
      </c>
      <c r="R23">
        <f/>
        <v/>
      </c>
      <c r="S23">
        <f/>
        <v/>
      </c>
      <c r="T23">
        <f/>
        <v/>
      </c>
      <c r="U23">
        <f/>
        <v/>
      </c>
      <c r="V23">
        <f/>
        <v/>
      </c>
      <c r="W23">
        <f/>
        <v/>
      </c>
      <c r="X23">
        <f/>
        <v/>
      </c>
      <c r="Y23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  <c r="AE23">
        <f/>
        <v/>
      </c>
      <c r="AF23">
        <f/>
        <v/>
      </c>
      <c r="AG23">
        <f/>
        <v/>
      </c>
      <c r="AH23">
        <f/>
        <v/>
      </c>
      <c r="AI23">
        <f/>
        <v/>
      </c>
      <c r="AJ23">
        <f/>
        <v/>
      </c>
      <c r="AK23">
        <f/>
        <v/>
      </c>
      <c r="AL23">
        <f/>
        <v/>
      </c>
      <c r="AM23">
        <f/>
        <v/>
      </c>
      <c r="AN23">
        <f/>
        <v/>
      </c>
      <c r="AO23">
        <f/>
        <v/>
      </c>
      <c r="AP23">
        <f/>
        <v/>
      </c>
      <c r="AQ23">
        <f/>
        <v/>
      </c>
      <c r="AR23">
        <f/>
        <v/>
      </c>
      <c r="AS23">
        <f/>
        <v/>
      </c>
      <c r="AT23">
        <f/>
        <v/>
      </c>
      <c r="AU23">
        <f/>
        <v/>
      </c>
      <c r="AV23">
        <f/>
        <v/>
      </c>
      <c r="AW23">
        <f/>
        <v/>
      </c>
      <c r="AX23">
        <f/>
        <v/>
      </c>
      <c r="AY23">
        <f/>
        <v/>
      </c>
      <c r="AZ23">
        <f/>
        <v/>
      </c>
      <c r="BA23">
        <f/>
        <v/>
      </c>
      <c r="BB23">
        <f/>
        <v/>
      </c>
      <c r="BC23">
        <f/>
        <v/>
      </c>
      <c r="BD23">
        <f/>
        <v/>
      </c>
      <c r="BE23">
        <f/>
        <v/>
      </c>
      <c r="BF23">
        <f/>
        <v/>
      </c>
    </row>
    <row r="24">
      <c r="A24" s="19" t="inlineStr">
        <is>
          <t>Tabasco Rouge moyen</t>
        </is>
      </c>
      <c r="B24" s="20" t="n">
        <v>75</v>
      </c>
      <c r="C24" s="20" t="n">
        <v>100</v>
      </c>
      <c r="D24" s="20" t="n">
        <v>7.5</v>
      </c>
      <c r="E24" s="20" t="n">
        <v>7</v>
      </c>
      <c r="F24" s="21" t="n">
        <v>70</v>
      </c>
      <c r="G24" s="20" t="n">
        <v>398.2500000000001</v>
      </c>
      <c r="H24" s="20" t="inlineStr">
        <is>
          <t>Piment liquide 100ml</t>
        </is>
      </c>
      <c r="I24" s="20" t="n">
        <v>1.69</v>
      </c>
      <c r="J24" s="20" t="n"/>
      <c r="K24" s="20" t="n"/>
      <c r="L24" s="20" t="n"/>
      <c r="M24" s="20" t="n"/>
      <c r="N24" s="22" t="n"/>
      <c r="P24">
        <f/>
        <v/>
      </c>
      <c r="Q24">
        <f/>
        <v/>
      </c>
      <c r="R24">
        <f/>
        <v/>
      </c>
      <c r="S24">
        <f/>
        <v/>
      </c>
      <c r="T24">
        <f/>
        <v/>
      </c>
      <c r="U24">
        <f/>
        <v/>
      </c>
      <c r="V24">
        <f/>
        <v/>
      </c>
      <c r="W24">
        <f/>
        <v/>
      </c>
      <c r="X24">
        <f/>
        <v/>
      </c>
      <c r="Y2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  <c r="AE24">
        <f/>
        <v/>
      </c>
      <c r="AF24">
        <f/>
        <v/>
      </c>
      <c r="AG24">
        <f/>
        <v/>
      </c>
      <c r="AH24">
        <f/>
        <v/>
      </c>
      <c r="AI24">
        <f/>
        <v/>
      </c>
      <c r="AJ24">
        <f/>
        <v/>
      </c>
      <c r="AK24">
        <f/>
        <v/>
      </c>
      <c r="AL24">
        <f/>
        <v/>
      </c>
      <c r="AM24">
        <f/>
        <v/>
      </c>
      <c r="AN24">
        <f/>
        <v/>
      </c>
      <c r="AO24">
        <f/>
        <v/>
      </c>
      <c r="AP24">
        <f/>
        <v/>
      </c>
      <c r="AQ24">
        <f/>
        <v/>
      </c>
      <c r="AR24">
        <f/>
        <v/>
      </c>
      <c r="AS24">
        <f/>
        <v/>
      </c>
      <c r="AT24">
        <f/>
        <v/>
      </c>
      <c r="AU24">
        <f/>
        <v/>
      </c>
      <c r="AV24">
        <f/>
        <v/>
      </c>
      <c r="AW24">
        <f/>
        <v/>
      </c>
      <c r="AX24">
        <f/>
        <v/>
      </c>
      <c r="AY24">
        <f/>
        <v/>
      </c>
      <c r="AZ24">
        <f/>
        <v/>
      </c>
      <c r="BA24">
        <f/>
        <v/>
      </c>
      <c r="BB24">
        <f/>
        <v/>
      </c>
      <c r="BC24">
        <f/>
        <v/>
      </c>
      <c r="BD24">
        <f/>
        <v/>
      </c>
      <c r="BE24">
        <f/>
        <v/>
      </c>
      <c r="BF24">
        <f/>
        <v/>
      </c>
    </row>
    <row r="25">
      <c r="A25" s="19" t="inlineStr">
        <is>
          <t>epices guacamole</t>
        </is>
      </c>
      <c r="B25" s="20" t="n">
        <v>75</v>
      </c>
      <c r="C25" s="20" t="n">
        <v>40</v>
      </c>
      <c r="D25" s="20" t="n">
        <v>3</v>
      </c>
      <c r="E25" s="20" t="n">
        <v>4</v>
      </c>
      <c r="F25" s="21" t="n">
        <v>100</v>
      </c>
      <c r="G25" s="20" t="n">
        <v>252</v>
      </c>
      <c r="H25" s="20" t="inlineStr">
        <is>
          <t>Epice 100ml</t>
        </is>
      </c>
      <c r="I25" s="20" t="n">
        <v>0.64</v>
      </c>
      <c r="J25" s="20" t="n"/>
      <c r="K25" s="20" t="n"/>
      <c r="L25" s="20" t="n"/>
      <c r="M25" s="20" t="n"/>
      <c r="N25" s="22" t="n"/>
      <c r="P25">
        <f/>
        <v/>
      </c>
      <c r="Q25">
        <f/>
        <v/>
      </c>
      <c r="R25">
        <f/>
        <v/>
      </c>
      <c r="S25">
        <f/>
        <v/>
      </c>
      <c r="T25">
        <f/>
        <v/>
      </c>
      <c r="U25">
        <f/>
        <v/>
      </c>
      <c r="V25">
        <f/>
        <v/>
      </c>
      <c r="W25">
        <f/>
        <v/>
      </c>
      <c r="X25">
        <f/>
        <v/>
      </c>
      <c r="Y25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  <c r="AE25">
        <f/>
        <v/>
      </c>
      <c r="AF25">
        <f/>
        <v/>
      </c>
      <c r="AG25">
        <f/>
        <v/>
      </c>
      <c r="AH25">
        <f/>
        <v/>
      </c>
      <c r="AI25">
        <f/>
        <v/>
      </c>
      <c r="AJ25">
        <f/>
        <v/>
      </c>
      <c r="AK25">
        <f/>
        <v/>
      </c>
      <c r="AL25">
        <f/>
        <v/>
      </c>
      <c r="AM25">
        <f/>
        <v/>
      </c>
      <c r="AN25">
        <f/>
        <v/>
      </c>
      <c r="AO25">
        <f/>
        <v/>
      </c>
      <c r="AP25">
        <f/>
        <v/>
      </c>
      <c r="AQ25">
        <f/>
        <v/>
      </c>
      <c r="AR25">
        <f/>
        <v/>
      </c>
      <c r="AS25">
        <f/>
        <v/>
      </c>
      <c r="AT25">
        <f/>
        <v/>
      </c>
      <c r="AU25">
        <f/>
        <v/>
      </c>
      <c r="AV25">
        <f/>
        <v/>
      </c>
      <c r="AW25">
        <f/>
        <v/>
      </c>
      <c r="AX25">
        <f/>
        <v/>
      </c>
      <c r="AY25">
        <f/>
        <v/>
      </c>
      <c r="AZ25">
        <f/>
        <v/>
      </c>
      <c r="BA25">
        <f/>
        <v/>
      </c>
      <c r="BB25">
        <f/>
        <v/>
      </c>
      <c r="BC25">
        <f/>
        <v/>
      </c>
      <c r="BD25">
        <f/>
        <v/>
      </c>
      <c r="BE25">
        <f/>
        <v/>
      </c>
      <c r="BF25">
        <f/>
        <v/>
      </c>
    </row>
    <row r="26">
      <c r="A26" s="19" t="inlineStr">
        <is>
          <t>Curcuma</t>
        </is>
      </c>
      <c r="B26" s="20" t="n">
        <v>100</v>
      </c>
      <c r="C26" s="20" t="n">
        <v>65</v>
      </c>
      <c r="D26" s="20" t="n">
        <v>6.5</v>
      </c>
      <c r="E26" s="20" t="n">
        <v>2.925</v>
      </c>
      <c r="F26" s="21" t="n">
        <v>45</v>
      </c>
      <c r="G26" s="20" t="n">
        <v>228.5</v>
      </c>
      <c r="H26" s="20" t="inlineStr">
        <is>
          <t>Epice 100ml</t>
        </is>
      </c>
      <c r="I26" s="20" t="n">
        <v>0.64</v>
      </c>
      <c r="J26" s="20" t="n">
        <v>3.6</v>
      </c>
      <c r="K26" s="20" t="n">
        <v>43.63</v>
      </c>
      <c r="L26" s="20" t="n"/>
      <c r="M26" s="20" t="n"/>
      <c r="N26" s="22" t="n"/>
      <c r="P26">
        <f/>
        <v/>
      </c>
      <c r="Q26">
        <f/>
        <v/>
      </c>
      <c r="R26">
        <f/>
        <v/>
      </c>
      <c r="S26">
        <f/>
        <v/>
      </c>
      <c r="T26">
        <f/>
        <v/>
      </c>
      <c r="U26">
        <f/>
        <v/>
      </c>
      <c r="V26">
        <f/>
        <v/>
      </c>
      <c r="W26">
        <f/>
        <v/>
      </c>
      <c r="X26">
        <f/>
        <v/>
      </c>
      <c r="Y26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  <c r="AE26">
        <f/>
        <v/>
      </c>
      <c r="AF26">
        <f/>
        <v/>
      </c>
      <c r="AG26">
        <f/>
        <v/>
      </c>
      <c r="AH26">
        <f/>
        <v/>
      </c>
      <c r="AI26">
        <f/>
        <v/>
      </c>
      <c r="AJ26">
        <f/>
        <v/>
      </c>
      <c r="AK26">
        <f/>
        <v/>
      </c>
      <c r="AL26">
        <f/>
        <v/>
      </c>
      <c r="AM26">
        <f/>
        <v/>
      </c>
      <c r="AN26">
        <f/>
        <v/>
      </c>
      <c r="AO26">
        <f/>
        <v/>
      </c>
      <c r="AP26">
        <f/>
        <v/>
      </c>
      <c r="AQ26">
        <f/>
        <v/>
      </c>
      <c r="AR26">
        <f/>
        <v/>
      </c>
      <c r="AS26">
        <f/>
        <v/>
      </c>
      <c r="AT26">
        <f/>
        <v/>
      </c>
      <c r="AU26">
        <f/>
        <v/>
      </c>
      <c r="AV26">
        <f/>
        <v/>
      </c>
      <c r="AW26">
        <f/>
        <v/>
      </c>
      <c r="AX26">
        <f/>
        <v/>
      </c>
      <c r="AY26">
        <f/>
        <v/>
      </c>
      <c r="AZ26">
        <f/>
        <v/>
      </c>
      <c r="BA26">
        <f/>
        <v/>
      </c>
      <c r="BB26">
        <f/>
        <v/>
      </c>
      <c r="BC26">
        <f/>
        <v/>
      </c>
      <c r="BD26">
        <f/>
        <v/>
      </c>
      <c r="BE26">
        <f/>
        <v/>
      </c>
      <c r="BF26">
        <f/>
        <v/>
      </c>
    </row>
    <row r="27">
      <c r="A27" s="19" t="inlineStr">
        <is>
          <t>Curry</t>
        </is>
      </c>
      <c r="B27" s="20" t="n">
        <v>100</v>
      </c>
      <c r="C27" s="20" t="n">
        <v>65</v>
      </c>
      <c r="D27" s="20" t="n">
        <v>6.5</v>
      </c>
      <c r="E27" s="20" t="n">
        <v>4.875</v>
      </c>
      <c r="F27" s="21" t="n">
        <v>75</v>
      </c>
      <c r="G27" s="20" t="n">
        <v>423.5000000000001</v>
      </c>
      <c r="H27" s="20" t="inlineStr">
        <is>
          <t>Epice 100ml</t>
        </is>
      </c>
      <c r="I27" s="20" t="n">
        <v>0.64</v>
      </c>
      <c r="J27" s="20" t="n">
        <v>67.5</v>
      </c>
      <c r="K27" s="20" t="n">
        <v>40</v>
      </c>
      <c r="L27" s="20" t="n"/>
      <c r="M27" s="20" t="n"/>
      <c r="N27" s="22" t="n"/>
      <c r="P27">
        <f/>
        <v/>
      </c>
      <c r="Q27">
        <f/>
        <v/>
      </c>
      <c r="R27">
        <f/>
        <v/>
      </c>
      <c r="S27">
        <f/>
        <v/>
      </c>
      <c r="T27">
        <f/>
        <v/>
      </c>
      <c r="U27">
        <f/>
        <v/>
      </c>
      <c r="V27">
        <f/>
        <v/>
      </c>
      <c r="W27">
        <f/>
        <v/>
      </c>
      <c r="X27">
        <f/>
        <v/>
      </c>
      <c r="Y27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  <c r="AE27">
        <f/>
        <v/>
      </c>
      <c r="AF27">
        <f/>
        <v/>
      </c>
      <c r="AG27">
        <f/>
        <v/>
      </c>
      <c r="AH27">
        <f/>
        <v/>
      </c>
      <c r="AI27">
        <f/>
        <v/>
      </c>
      <c r="AJ27">
        <f/>
        <v/>
      </c>
      <c r="AK27">
        <f/>
        <v/>
      </c>
      <c r="AL27">
        <f/>
        <v/>
      </c>
      <c r="AM27">
        <f/>
        <v/>
      </c>
      <c r="AN27">
        <f/>
        <v/>
      </c>
      <c r="AO27">
        <f/>
        <v/>
      </c>
      <c r="AP27">
        <f/>
        <v/>
      </c>
      <c r="AQ27">
        <f/>
        <v/>
      </c>
      <c r="AR27">
        <f/>
        <v/>
      </c>
      <c r="AS27">
        <f/>
        <v/>
      </c>
      <c r="AT27">
        <f/>
        <v/>
      </c>
      <c r="AU27">
        <f/>
        <v/>
      </c>
      <c r="AV27">
        <f/>
        <v/>
      </c>
      <c r="AW27">
        <f/>
        <v/>
      </c>
      <c r="AX27">
        <f/>
        <v/>
      </c>
      <c r="AY27">
        <f/>
        <v/>
      </c>
      <c r="AZ27">
        <f/>
        <v/>
      </c>
      <c r="BA27">
        <f/>
        <v/>
      </c>
      <c r="BB27">
        <f/>
        <v/>
      </c>
      <c r="BC27">
        <f/>
        <v/>
      </c>
      <c r="BD27">
        <f/>
        <v/>
      </c>
      <c r="BE27">
        <f/>
        <v/>
      </c>
      <c r="BF27">
        <f/>
        <v/>
      </c>
    </row>
    <row r="28">
      <c r="A28" s="19" t="inlineStr">
        <is>
          <t>Curry Madra</t>
        </is>
      </c>
      <c r="B28" s="20" t="n">
        <v>100</v>
      </c>
      <c r="C28" s="20" t="n">
        <v>50</v>
      </c>
      <c r="D28" s="20" t="n">
        <v>5</v>
      </c>
      <c r="E28" s="20" t="n">
        <v>5</v>
      </c>
      <c r="F28" s="21" t="n">
        <v>100</v>
      </c>
      <c r="G28" s="20" t="n">
        <v>436.0000000000001</v>
      </c>
      <c r="H28" s="20" t="inlineStr">
        <is>
          <t>Epice 100ml</t>
        </is>
      </c>
      <c r="I28" s="20" t="n">
        <v>0.64</v>
      </c>
      <c r="J28" s="20" t="n">
        <v>35</v>
      </c>
      <c r="K28" s="20" t="n">
        <v>91.67</v>
      </c>
      <c r="L28" s="20" t="n"/>
      <c r="M28" s="20" t="n"/>
      <c r="N28" s="22" t="n"/>
      <c r="P28">
        <f/>
        <v/>
      </c>
      <c r="Q28">
        <f/>
        <v/>
      </c>
      <c r="R28">
        <f/>
        <v/>
      </c>
      <c r="S28">
        <f/>
        <v/>
      </c>
      <c r="T28">
        <f/>
        <v/>
      </c>
      <c r="U28">
        <f/>
        <v/>
      </c>
      <c r="V28">
        <f/>
        <v/>
      </c>
      <c r="W28">
        <f/>
        <v/>
      </c>
      <c r="X28">
        <f/>
        <v/>
      </c>
      <c r="Y28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  <c r="AE28">
        <f/>
        <v/>
      </c>
      <c r="AF28">
        <f/>
        <v/>
      </c>
      <c r="AG28">
        <f/>
        <v/>
      </c>
      <c r="AH28">
        <f/>
        <v/>
      </c>
      <c r="AI28">
        <f/>
        <v/>
      </c>
      <c r="AJ28">
        <f/>
        <v/>
      </c>
      <c r="AK28">
        <f/>
        <v/>
      </c>
      <c r="AL28">
        <f/>
        <v/>
      </c>
      <c r="AM28">
        <f/>
        <v/>
      </c>
      <c r="AN28">
        <f/>
        <v/>
      </c>
      <c r="AO28">
        <f/>
        <v/>
      </c>
      <c r="AP28">
        <f/>
        <v/>
      </c>
      <c r="AQ28">
        <f/>
        <v/>
      </c>
      <c r="AR28">
        <f/>
        <v/>
      </c>
      <c r="AS28">
        <f/>
        <v/>
      </c>
      <c r="AT28">
        <f/>
        <v/>
      </c>
      <c r="AU28">
        <f/>
        <v/>
      </c>
      <c r="AV28">
        <f/>
        <v/>
      </c>
      <c r="AW28">
        <f/>
        <v/>
      </c>
      <c r="AX28">
        <f/>
        <v/>
      </c>
      <c r="AY28">
        <f/>
        <v/>
      </c>
      <c r="AZ28">
        <f/>
        <v/>
      </c>
      <c r="BA28">
        <f/>
        <v/>
      </c>
      <c r="BB28">
        <f/>
        <v/>
      </c>
      <c r="BC28">
        <f/>
        <v/>
      </c>
      <c r="BD28">
        <f/>
        <v/>
      </c>
      <c r="BE28">
        <f/>
        <v/>
      </c>
      <c r="BF28">
        <f/>
        <v/>
      </c>
    </row>
    <row r="29">
      <c r="A29" s="19" t="inlineStr">
        <is>
          <t>Hawaij</t>
        </is>
      </c>
      <c r="B29" s="20" t="n">
        <v>100</v>
      </c>
      <c r="C29" s="20" t="n">
        <v>50</v>
      </c>
      <c r="D29" s="20" t="n">
        <v>5</v>
      </c>
      <c r="E29" s="20" t="n">
        <v>5</v>
      </c>
      <c r="F29" s="21" t="n">
        <v>100</v>
      </c>
      <c r="G29" s="20" t="n">
        <v>436.0000000000001</v>
      </c>
      <c r="H29" s="20" t="inlineStr">
        <is>
          <t>Epice 100ml</t>
        </is>
      </c>
      <c r="I29" s="20" t="n">
        <v>0.64</v>
      </c>
      <c r="J29" s="20" t="e">
        <v>#N/A</v>
      </c>
      <c r="K29" s="20" t="n">
        <v>115</v>
      </c>
      <c r="L29" s="20" t="n"/>
      <c r="M29" s="20" t="n"/>
      <c r="N29" s="22" t="n">
        <v>85</v>
      </c>
      <c r="P29">
        <f/>
        <v/>
      </c>
      <c r="Q29">
        <f/>
        <v/>
      </c>
      <c r="R29">
        <f/>
        <v/>
      </c>
      <c r="S29">
        <f/>
        <v/>
      </c>
      <c r="T29">
        <f/>
        <v/>
      </c>
      <c r="U29">
        <f/>
        <v/>
      </c>
      <c r="V29">
        <f/>
        <v/>
      </c>
      <c r="W29">
        <f/>
        <v/>
      </c>
      <c r="X29">
        <f/>
        <v/>
      </c>
      <c r="Y29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  <c r="AE29">
        <f/>
        <v/>
      </c>
      <c r="AF29">
        <f/>
        <v/>
      </c>
      <c r="AG29">
        <f/>
        <v/>
      </c>
      <c r="AH29">
        <f/>
        <v/>
      </c>
      <c r="AI29">
        <f/>
        <v/>
      </c>
      <c r="AJ29">
        <f/>
        <v/>
      </c>
      <c r="AK29">
        <f/>
        <v/>
      </c>
      <c r="AL29">
        <f/>
        <v/>
      </c>
      <c r="AM29">
        <f/>
        <v/>
      </c>
      <c r="AN29">
        <f/>
        <v/>
      </c>
      <c r="AO29">
        <f/>
        <v/>
      </c>
      <c r="AP29">
        <f/>
        <v/>
      </c>
      <c r="AQ29">
        <f/>
        <v/>
      </c>
      <c r="AR29">
        <f/>
        <v/>
      </c>
      <c r="AS29">
        <f/>
        <v/>
      </c>
      <c r="AT29">
        <f/>
        <v/>
      </c>
      <c r="AU29">
        <f/>
        <v/>
      </c>
      <c r="AV29">
        <f/>
        <v/>
      </c>
      <c r="AW29">
        <f/>
        <v/>
      </c>
      <c r="AX29">
        <f/>
        <v/>
      </c>
      <c r="AY29">
        <f/>
        <v/>
      </c>
      <c r="AZ29">
        <f/>
        <v/>
      </c>
      <c r="BA29">
        <f/>
        <v/>
      </c>
      <c r="BB29">
        <f/>
        <v/>
      </c>
      <c r="BC29">
        <f/>
        <v/>
      </c>
      <c r="BD29">
        <f/>
        <v/>
      </c>
      <c r="BE29">
        <f/>
        <v/>
      </c>
      <c r="BF29">
        <f/>
        <v/>
      </c>
    </row>
    <row r="30">
      <c r="A30" s="19" t="inlineStr">
        <is>
          <t>Tabasco jalapeno</t>
        </is>
      </c>
      <c r="B30" s="20" t="n">
        <v>100</v>
      </c>
      <c r="C30" s="20" t="n">
        <v>100</v>
      </c>
      <c r="D30" s="20" t="n">
        <v>10</v>
      </c>
      <c r="E30" s="20" t="n">
        <v>7</v>
      </c>
      <c r="F30" s="21" t="n">
        <v>70</v>
      </c>
      <c r="G30" s="20" t="n">
        <v>531</v>
      </c>
      <c r="H30" s="20" t="inlineStr">
        <is>
          <t>Piment liquide 100ml</t>
        </is>
      </c>
      <c r="I30" s="20" t="n">
        <v>1.69</v>
      </c>
      <c r="J30" s="20" t="n"/>
      <c r="K30" s="20" t="n"/>
      <c r="L30" s="20" t="n"/>
      <c r="M30" s="20" t="n"/>
      <c r="N30" s="22" t="n"/>
      <c r="P30">
        <f/>
        <v/>
      </c>
      <c r="Q30">
        <f/>
        <v/>
      </c>
      <c r="R30">
        <f/>
        <v/>
      </c>
      <c r="S30">
        <f/>
        <v/>
      </c>
      <c r="T30">
        <f/>
        <v/>
      </c>
      <c r="U30">
        <f/>
        <v/>
      </c>
      <c r="V30">
        <f/>
        <v/>
      </c>
      <c r="W30">
        <f/>
        <v/>
      </c>
      <c r="X30">
        <f/>
        <v/>
      </c>
      <c r="Y30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  <c r="AE30">
        <f/>
        <v/>
      </c>
      <c r="AF30">
        <f/>
        <v/>
      </c>
      <c r="AG30">
        <f/>
        <v/>
      </c>
      <c r="AH30">
        <f/>
        <v/>
      </c>
      <c r="AI30">
        <f/>
        <v/>
      </c>
      <c r="AJ30">
        <f/>
        <v/>
      </c>
      <c r="AK30">
        <f/>
        <v/>
      </c>
      <c r="AL30">
        <f/>
        <v/>
      </c>
      <c r="AM30">
        <f/>
        <v/>
      </c>
      <c r="AN30">
        <f/>
        <v/>
      </c>
      <c r="AO30">
        <f/>
        <v/>
      </c>
      <c r="AP30">
        <f/>
        <v/>
      </c>
      <c r="AQ30">
        <f/>
        <v/>
      </c>
      <c r="AR30">
        <f/>
        <v/>
      </c>
      <c r="AS30">
        <f/>
        <v/>
      </c>
      <c r="AT30">
        <f/>
        <v/>
      </c>
      <c r="AU30">
        <f/>
        <v/>
      </c>
      <c r="AV30">
        <f/>
        <v/>
      </c>
      <c r="AW30">
        <f/>
        <v/>
      </c>
      <c r="AX30">
        <f/>
        <v/>
      </c>
      <c r="AY30">
        <f/>
        <v/>
      </c>
      <c r="AZ30">
        <f/>
        <v/>
      </c>
      <c r="BA30">
        <f/>
        <v/>
      </c>
      <c r="BB30">
        <f/>
        <v/>
      </c>
      <c r="BC30">
        <f/>
        <v/>
      </c>
      <c r="BD30">
        <f/>
        <v/>
      </c>
      <c r="BE30">
        <f/>
        <v/>
      </c>
      <c r="BF30">
        <f/>
        <v/>
      </c>
    </row>
    <row r="31">
      <c r="A31" s="19" t="inlineStr">
        <is>
          <t>Tabasco Rouge moyen</t>
        </is>
      </c>
      <c r="B31" s="20" t="n">
        <v>100</v>
      </c>
      <c r="C31" s="20" t="n">
        <v>100</v>
      </c>
      <c r="D31" s="20" t="n">
        <v>10</v>
      </c>
      <c r="E31" s="20" t="n">
        <v>12.5</v>
      </c>
      <c r="F31" s="21" t="n">
        <v>125</v>
      </c>
      <c r="G31" s="20" t="n">
        <v>1082</v>
      </c>
      <c r="H31" s="20" t="inlineStr">
        <is>
          <t>Piment liquide 250ml</t>
        </is>
      </c>
      <c r="I31" s="20" t="n">
        <v>1.68</v>
      </c>
      <c r="J31" s="20" t="n"/>
      <c r="K31" s="20" t="n"/>
      <c r="L31" s="20" t="n"/>
      <c r="M31" s="20" t="n"/>
      <c r="N31" s="22" t="n"/>
      <c r="P31">
        <f/>
        <v/>
      </c>
      <c r="Q31">
        <f/>
        <v/>
      </c>
      <c r="R31">
        <f/>
        <v/>
      </c>
      <c r="S31">
        <f/>
        <v/>
      </c>
      <c r="T31">
        <f/>
        <v/>
      </c>
      <c r="U31">
        <f/>
        <v/>
      </c>
      <c r="V31">
        <f/>
        <v/>
      </c>
      <c r="W31">
        <f/>
        <v/>
      </c>
      <c r="X31">
        <f/>
        <v/>
      </c>
      <c r="Y31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  <c r="AE31">
        <f/>
        <v/>
      </c>
      <c r="AF31">
        <f/>
        <v/>
      </c>
      <c r="AG31">
        <f/>
        <v/>
      </c>
      <c r="AH31">
        <f/>
        <v/>
      </c>
      <c r="AI31">
        <f/>
        <v/>
      </c>
      <c r="AJ31">
        <f/>
        <v/>
      </c>
      <c r="AK31">
        <f/>
        <v/>
      </c>
      <c r="AL31">
        <f/>
        <v/>
      </c>
      <c r="AM31">
        <f/>
        <v/>
      </c>
      <c r="AN31">
        <f/>
        <v/>
      </c>
      <c r="AO31">
        <f/>
        <v/>
      </c>
      <c r="AP31">
        <f/>
        <v/>
      </c>
      <c r="AQ31">
        <f/>
        <v/>
      </c>
      <c r="AR31">
        <f/>
        <v/>
      </c>
      <c r="AS31">
        <f/>
        <v/>
      </c>
      <c r="AT31">
        <f/>
        <v/>
      </c>
      <c r="AU31">
        <f/>
        <v/>
      </c>
      <c r="AV31">
        <f/>
        <v/>
      </c>
      <c r="AW31">
        <f/>
        <v/>
      </c>
      <c r="AX31">
        <f/>
        <v/>
      </c>
      <c r="AY31">
        <f/>
        <v/>
      </c>
      <c r="AZ31">
        <f/>
        <v/>
      </c>
      <c r="BA31">
        <f/>
        <v/>
      </c>
      <c r="BB31">
        <f/>
        <v/>
      </c>
      <c r="BC31">
        <f/>
        <v/>
      </c>
      <c r="BD31">
        <f/>
        <v/>
      </c>
      <c r="BE31">
        <f/>
        <v/>
      </c>
      <c r="BF31">
        <f/>
        <v/>
      </c>
    </row>
    <row r="32">
      <c r="A32" s="19" t="inlineStr">
        <is>
          <t>Tabasco violet fort</t>
        </is>
      </c>
      <c r="B32" s="20" t="n">
        <v>100</v>
      </c>
      <c r="C32" s="20" t="n">
        <v>100</v>
      </c>
      <c r="D32" s="20" t="n">
        <v>10</v>
      </c>
      <c r="E32" s="20" t="n">
        <v>12.5</v>
      </c>
      <c r="F32" s="21" t="n">
        <v>125</v>
      </c>
      <c r="G32" s="20" t="n">
        <v>1190</v>
      </c>
      <c r="H32" s="20" t="inlineStr">
        <is>
          <t>Piment liquide 250ml</t>
        </is>
      </c>
      <c r="I32" s="20" t="n">
        <v>0.6</v>
      </c>
      <c r="J32" s="20" t="n"/>
      <c r="K32" s="20" t="n"/>
      <c r="L32" s="20" t="n"/>
      <c r="M32" s="20" t="n"/>
      <c r="N32" s="22" t="n"/>
      <c r="P32">
        <f/>
        <v/>
      </c>
      <c r="Q32">
        <f/>
        <v/>
      </c>
      <c r="R32">
        <f/>
        <v/>
      </c>
      <c r="S32">
        <f/>
        <v/>
      </c>
      <c r="T32">
        <f/>
        <v/>
      </c>
      <c r="U32">
        <f/>
        <v/>
      </c>
      <c r="V32">
        <f/>
        <v/>
      </c>
      <c r="W32">
        <f/>
        <v/>
      </c>
      <c r="X32">
        <f/>
        <v/>
      </c>
      <c r="Y32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  <c r="AE32">
        <f/>
        <v/>
      </c>
      <c r="AF32">
        <f/>
        <v/>
      </c>
      <c r="AG32">
        <f/>
        <v/>
      </c>
      <c r="AH32">
        <f/>
        <v/>
      </c>
      <c r="AI32">
        <f/>
        <v/>
      </c>
      <c r="AJ32">
        <f/>
        <v/>
      </c>
      <c r="AK32">
        <f/>
        <v/>
      </c>
      <c r="AL32">
        <f/>
        <v/>
      </c>
      <c r="AM32">
        <f/>
        <v/>
      </c>
      <c r="AN32">
        <f/>
        <v/>
      </c>
      <c r="AO32">
        <f/>
        <v/>
      </c>
      <c r="AP32">
        <f/>
        <v/>
      </c>
      <c r="AQ32">
        <f/>
        <v/>
      </c>
      <c r="AR32">
        <f/>
        <v/>
      </c>
      <c r="AS32">
        <f/>
        <v/>
      </c>
      <c r="AT32">
        <f/>
        <v/>
      </c>
      <c r="AU32">
        <f/>
        <v/>
      </c>
      <c r="AV32">
        <f/>
        <v/>
      </c>
      <c r="AW32">
        <f/>
        <v/>
      </c>
      <c r="AX32">
        <f/>
        <v/>
      </c>
      <c r="AY32">
        <f/>
        <v/>
      </c>
      <c r="AZ32">
        <f/>
        <v/>
      </c>
      <c r="BA32">
        <f/>
        <v/>
      </c>
      <c r="BB32">
        <f/>
        <v/>
      </c>
      <c r="BC32">
        <f/>
        <v/>
      </c>
      <c r="BD32">
        <f/>
        <v/>
      </c>
      <c r="BE32">
        <f/>
        <v/>
      </c>
      <c r="BF32">
        <f/>
        <v/>
      </c>
    </row>
    <row r="33">
      <c r="A33" s="19" t="inlineStr">
        <is>
          <t>Tabasco violet fort</t>
        </is>
      </c>
      <c r="B33" s="20" t="n">
        <v>100</v>
      </c>
      <c r="C33" s="20" t="n">
        <v>100</v>
      </c>
      <c r="D33" s="20" t="n">
        <v>10</v>
      </c>
      <c r="E33" s="20" t="n">
        <v>7</v>
      </c>
      <c r="F33" s="21" t="n">
        <v>70</v>
      </c>
      <c r="G33" s="20" t="n">
        <v>640</v>
      </c>
      <c r="H33" s="20" t="inlineStr">
        <is>
          <t>Piment liquide 100ml</t>
        </is>
      </c>
      <c r="I33" s="20" t="n">
        <v>0.6</v>
      </c>
      <c r="J33" s="20" t="n"/>
      <c r="K33" s="20" t="n"/>
      <c r="L33" s="20" t="n"/>
      <c r="M33" s="20" t="n"/>
      <c r="N33" s="22" t="n"/>
      <c r="P33">
        <f/>
        <v/>
      </c>
      <c r="Q33">
        <f/>
        <v/>
      </c>
      <c r="R33">
        <f/>
        <v/>
      </c>
      <c r="S33">
        <f/>
        <v/>
      </c>
      <c r="T33">
        <f/>
        <v/>
      </c>
      <c r="U33">
        <f/>
        <v/>
      </c>
      <c r="V33">
        <f/>
        <v/>
      </c>
      <c r="W33">
        <f/>
        <v/>
      </c>
      <c r="X33">
        <f/>
        <v/>
      </c>
      <c r="Y33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  <c r="AE33">
        <f/>
        <v/>
      </c>
      <c r="AF33">
        <f/>
        <v/>
      </c>
      <c r="AG33">
        <f/>
        <v/>
      </c>
      <c r="AH33">
        <f/>
        <v/>
      </c>
      <c r="AI33">
        <f/>
        <v/>
      </c>
      <c r="AJ33">
        <f/>
        <v/>
      </c>
      <c r="AK33">
        <f/>
        <v/>
      </c>
      <c r="AL33">
        <f/>
        <v/>
      </c>
      <c r="AM33">
        <f/>
        <v/>
      </c>
      <c r="AN33">
        <f/>
        <v/>
      </c>
      <c r="AO33">
        <f/>
        <v/>
      </c>
      <c r="AP33">
        <f/>
        <v/>
      </c>
      <c r="AQ33">
        <f/>
        <v/>
      </c>
      <c r="AR33">
        <f/>
        <v/>
      </c>
      <c r="AS33">
        <f/>
        <v/>
      </c>
      <c r="AT33">
        <f/>
        <v/>
      </c>
      <c r="AU33">
        <f/>
        <v/>
      </c>
      <c r="AV33">
        <f/>
        <v/>
      </c>
      <c r="AW33">
        <f/>
        <v/>
      </c>
      <c r="AX33">
        <f/>
        <v/>
      </c>
      <c r="AY33">
        <f/>
        <v/>
      </c>
      <c r="AZ33">
        <f/>
        <v/>
      </c>
      <c r="BA33">
        <f/>
        <v/>
      </c>
      <c r="BB33">
        <f/>
        <v/>
      </c>
      <c r="BC33">
        <f/>
        <v/>
      </c>
      <c r="BD33">
        <f/>
        <v/>
      </c>
      <c r="BE33">
        <f/>
        <v/>
      </c>
      <c r="BF33">
        <f/>
        <v/>
      </c>
    </row>
    <row r="34">
      <c r="A34" s="19" t="inlineStr">
        <is>
          <t>Zaatar</t>
        </is>
      </c>
      <c r="B34" s="20" t="n">
        <v>100</v>
      </c>
      <c r="C34" s="20" t="n">
        <v>41</v>
      </c>
      <c r="D34" s="20" t="n">
        <v>4.1</v>
      </c>
      <c r="E34" s="20" t="n">
        <v>4.92</v>
      </c>
      <c r="F34" s="21" t="n">
        <v>120</v>
      </c>
      <c r="G34" s="20" t="n">
        <v>428</v>
      </c>
      <c r="H34" s="20" t="inlineStr">
        <is>
          <t>Epice 100ml</t>
        </is>
      </c>
      <c r="I34" s="20" t="n">
        <v>0.64</v>
      </c>
      <c r="J34" s="20" t="e">
        <v>#VALUE!</v>
      </c>
      <c r="K34" s="20" t="n">
        <v>101.11</v>
      </c>
      <c r="L34" s="20" t="n"/>
      <c r="M34" s="20" t="n"/>
      <c r="N34" s="22" t="n"/>
      <c r="P34">
        <f/>
        <v/>
      </c>
      <c r="Q34">
        <f/>
        <v/>
      </c>
      <c r="R34">
        <f/>
        <v/>
      </c>
      <c r="S34">
        <f/>
        <v/>
      </c>
      <c r="T34">
        <f/>
        <v/>
      </c>
      <c r="U34">
        <f/>
        <v/>
      </c>
      <c r="V34">
        <f/>
        <v/>
      </c>
      <c r="W34">
        <f/>
        <v/>
      </c>
      <c r="X34">
        <f/>
        <v/>
      </c>
      <c r="Y34">
        <f/>
        <v/>
      </c>
      <c r="Z34">
        <f/>
        <v/>
      </c>
      <c r="AA34">
        <f/>
        <v/>
      </c>
      <c r="AB34">
        <f/>
        <v/>
      </c>
      <c r="AC34">
        <f/>
        <v/>
      </c>
      <c r="AD34">
        <f/>
        <v/>
      </c>
      <c r="AE34">
        <f/>
        <v/>
      </c>
      <c r="AF34">
        <f/>
        <v/>
      </c>
      <c r="AG34">
        <f/>
        <v/>
      </c>
      <c r="AH34">
        <f/>
        <v/>
      </c>
      <c r="AI34">
        <f/>
        <v/>
      </c>
      <c r="AJ34">
        <f/>
        <v/>
      </c>
      <c r="AK34">
        <f/>
        <v/>
      </c>
      <c r="AL34">
        <f/>
        <v/>
      </c>
      <c r="AM34">
        <f/>
        <v/>
      </c>
      <c r="AN34">
        <f/>
        <v/>
      </c>
      <c r="AO34">
        <f/>
        <v/>
      </c>
      <c r="AP34">
        <f/>
        <v/>
      </c>
      <c r="AQ34">
        <f/>
        <v/>
      </c>
      <c r="AR34">
        <f/>
        <v/>
      </c>
      <c r="AS34">
        <f/>
        <v/>
      </c>
      <c r="AT34">
        <f/>
        <v/>
      </c>
      <c r="AU34">
        <f/>
        <v/>
      </c>
      <c r="AV34">
        <f/>
        <v/>
      </c>
      <c r="AW34">
        <f/>
        <v/>
      </c>
      <c r="AX34">
        <f/>
        <v/>
      </c>
      <c r="AY34">
        <f/>
        <v/>
      </c>
      <c r="AZ34">
        <f/>
        <v/>
      </c>
      <c r="BA34">
        <f/>
        <v/>
      </c>
      <c r="BB34">
        <f/>
        <v/>
      </c>
      <c r="BC34">
        <f/>
        <v/>
      </c>
      <c r="BD34">
        <f/>
        <v/>
      </c>
      <c r="BE34">
        <f/>
        <v/>
      </c>
      <c r="BF34">
        <f/>
        <v/>
      </c>
    </row>
    <row r="35">
      <c r="A35" s="19" t="inlineStr">
        <is>
          <t>Colombo</t>
        </is>
      </c>
      <c r="B35" s="20" t="n">
        <v>100</v>
      </c>
      <c r="C35" s="20" t="n">
        <v>40</v>
      </c>
      <c r="D35" s="20" t="n">
        <v>4</v>
      </c>
      <c r="E35" s="20" t="n">
        <v>4</v>
      </c>
      <c r="F35" s="21" t="n">
        <v>100</v>
      </c>
      <c r="G35" s="20" t="n">
        <v>336</v>
      </c>
      <c r="H35" s="20" t="inlineStr">
        <is>
          <t>Epice 100ml</t>
        </is>
      </c>
      <c r="I35" s="20" t="n">
        <v>0.64</v>
      </c>
      <c r="J35" s="20" t="n"/>
      <c r="K35" s="20" t="n"/>
      <c r="L35" s="20" t="n"/>
      <c r="M35" s="20" t="n"/>
      <c r="N35" s="22" t="n"/>
      <c r="P35">
        <f/>
        <v/>
      </c>
      <c r="Q35">
        <f/>
        <v/>
      </c>
      <c r="R35">
        <f/>
        <v/>
      </c>
      <c r="S35">
        <f/>
        <v/>
      </c>
      <c r="T35">
        <f/>
        <v/>
      </c>
      <c r="U35">
        <f/>
        <v/>
      </c>
      <c r="V35">
        <f/>
        <v/>
      </c>
      <c r="W35">
        <f/>
        <v/>
      </c>
      <c r="X35">
        <f/>
        <v/>
      </c>
      <c r="Y35">
        <f/>
        <v/>
      </c>
      <c r="Z35">
        <f/>
        <v/>
      </c>
      <c r="AA35">
        <f/>
        <v/>
      </c>
      <c r="AB35">
        <f/>
        <v/>
      </c>
      <c r="AC35">
        <f/>
        <v/>
      </c>
      <c r="AD35">
        <f/>
        <v/>
      </c>
      <c r="AE35">
        <f/>
        <v/>
      </c>
      <c r="AF35">
        <f/>
        <v/>
      </c>
      <c r="AG35">
        <f/>
        <v/>
      </c>
      <c r="AH35">
        <f/>
        <v/>
      </c>
      <c r="AI35">
        <f/>
        <v/>
      </c>
      <c r="AJ35">
        <f/>
        <v/>
      </c>
      <c r="AK35">
        <f/>
        <v/>
      </c>
      <c r="AL35">
        <f/>
        <v/>
      </c>
      <c r="AM35">
        <f/>
        <v/>
      </c>
      <c r="AN35">
        <f/>
        <v/>
      </c>
      <c r="AO35">
        <f/>
        <v/>
      </c>
      <c r="AP35">
        <f/>
        <v/>
      </c>
      <c r="AQ35">
        <f/>
        <v/>
      </c>
      <c r="AR35">
        <f/>
        <v/>
      </c>
      <c r="AS35">
        <f/>
        <v/>
      </c>
      <c r="AT35">
        <f/>
        <v/>
      </c>
      <c r="AU35">
        <f/>
        <v/>
      </c>
      <c r="AV35">
        <f/>
        <v/>
      </c>
      <c r="AW35">
        <f/>
        <v/>
      </c>
      <c r="AX35">
        <f/>
        <v/>
      </c>
      <c r="AY35">
        <f/>
        <v/>
      </c>
      <c r="AZ35">
        <f/>
        <v/>
      </c>
      <c r="BA35">
        <f/>
        <v/>
      </c>
      <c r="BB35">
        <f/>
        <v/>
      </c>
      <c r="BC35">
        <f/>
        <v/>
      </c>
      <c r="BD35">
        <f/>
        <v/>
      </c>
      <c r="BE35">
        <f/>
        <v/>
      </c>
      <c r="BF35">
        <f/>
        <v/>
      </c>
    </row>
    <row r="36">
      <c r="A36" s="19" t="inlineStr">
        <is>
          <t>Panch phoron</t>
        </is>
      </c>
      <c r="B36" s="20" t="n">
        <v>125</v>
      </c>
      <c r="C36" s="20" t="n">
        <v>65</v>
      </c>
      <c r="D36" s="20" t="n">
        <v>8.125</v>
      </c>
      <c r="E36" s="20" t="n">
        <v>6.5</v>
      </c>
      <c r="F36" s="21" t="n">
        <v>100</v>
      </c>
      <c r="G36" s="20" t="n">
        <v>732.5</v>
      </c>
      <c r="H36" s="20" t="inlineStr">
        <is>
          <t>Epice 100ml</t>
        </is>
      </c>
      <c r="I36" s="20" t="n">
        <v>0.64</v>
      </c>
      <c r="J36" s="20" t="n">
        <v>90</v>
      </c>
      <c r="K36" s="20" t="n"/>
      <c r="L36" s="20" t="n"/>
      <c r="M36" s="20" t="n"/>
      <c r="N36" s="22" t="n">
        <v>85</v>
      </c>
      <c r="P36">
        <f/>
        <v/>
      </c>
      <c r="Q36">
        <f/>
        <v/>
      </c>
      <c r="R36">
        <f/>
        <v/>
      </c>
      <c r="S36">
        <f/>
        <v/>
      </c>
      <c r="T36">
        <f/>
        <v/>
      </c>
      <c r="U36">
        <f/>
        <v/>
      </c>
      <c r="V36">
        <f/>
        <v/>
      </c>
      <c r="W36">
        <f/>
        <v/>
      </c>
      <c r="X36">
        <f/>
        <v/>
      </c>
      <c r="Y36">
        <f/>
        <v/>
      </c>
      <c r="Z36">
        <f/>
        <v/>
      </c>
      <c r="AA36">
        <f/>
        <v/>
      </c>
      <c r="AB36">
        <f/>
        <v/>
      </c>
      <c r="AC36">
        <f/>
        <v/>
      </c>
      <c r="AD36">
        <f/>
        <v/>
      </c>
      <c r="AE36">
        <f/>
        <v/>
      </c>
      <c r="AF36">
        <f/>
        <v/>
      </c>
      <c r="AG36">
        <f/>
        <v/>
      </c>
      <c r="AH36">
        <f/>
        <v/>
      </c>
      <c r="AI36">
        <f/>
        <v/>
      </c>
      <c r="AJ36">
        <f/>
        <v/>
      </c>
      <c r="AK36">
        <f/>
        <v/>
      </c>
      <c r="AL36">
        <f/>
        <v/>
      </c>
      <c r="AM36">
        <f/>
        <v/>
      </c>
      <c r="AN36">
        <f/>
        <v/>
      </c>
      <c r="AO36">
        <f/>
        <v/>
      </c>
      <c r="AP36">
        <f/>
        <v/>
      </c>
      <c r="AQ36">
        <f/>
        <v/>
      </c>
      <c r="AR36">
        <f/>
        <v/>
      </c>
      <c r="AS36">
        <f/>
        <v/>
      </c>
      <c r="AT36">
        <f/>
        <v/>
      </c>
      <c r="AU36">
        <f/>
        <v/>
      </c>
      <c r="AV36">
        <f/>
        <v/>
      </c>
      <c r="AW36">
        <f/>
        <v/>
      </c>
      <c r="AX36">
        <f/>
        <v/>
      </c>
      <c r="AY36">
        <f/>
        <v/>
      </c>
      <c r="AZ36">
        <f/>
        <v/>
      </c>
      <c r="BA36">
        <f/>
        <v/>
      </c>
      <c r="BB36">
        <f/>
        <v/>
      </c>
      <c r="BC36">
        <f/>
        <v/>
      </c>
      <c r="BD36">
        <f/>
        <v/>
      </c>
      <c r="BE36">
        <f/>
        <v/>
      </c>
      <c r="BF36">
        <f/>
        <v/>
      </c>
    </row>
    <row r="37">
      <c r="A37" s="23" t="inlineStr">
        <is>
          <t>Cumin graine</t>
        </is>
      </c>
      <c r="B37" s="20" t="n">
        <v>150</v>
      </c>
      <c r="C37" s="20" t="n">
        <v>45</v>
      </c>
      <c r="D37" s="20" t="n">
        <v>6.75</v>
      </c>
      <c r="E37" s="20" t="n">
        <v>4.455</v>
      </c>
      <c r="F37" s="21" t="n">
        <v>99</v>
      </c>
      <c r="G37" s="20" t="n">
        <v>572.25</v>
      </c>
      <c r="H37" s="20" t="inlineStr">
        <is>
          <t>Epice 100ml</t>
        </is>
      </c>
      <c r="I37" s="20" t="n">
        <v>0.64</v>
      </c>
      <c r="J37" s="20" t="n">
        <v>20</v>
      </c>
      <c r="K37" s="20" t="n">
        <v>99.75</v>
      </c>
      <c r="L37" s="20" t="n"/>
      <c r="M37" s="20" t="n"/>
      <c r="N37" s="22" t="n"/>
      <c r="P37">
        <f/>
        <v/>
      </c>
      <c r="Q37">
        <f/>
        <v/>
      </c>
      <c r="R37">
        <f/>
        <v/>
      </c>
      <c r="S37">
        <f/>
        <v/>
      </c>
      <c r="T37">
        <f/>
        <v/>
      </c>
      <c r="U37">
        <f/>
        <v/>
      </c>
      <c r="V37">
        <f/>
        <v/>
      </c>
      <c r="W37">
        <f/>
        <v/>
      </c>
      <c r="X37">
        <f/>
        <v/>
      </c>
      <c r="Y37">
        <f/>
        <v/>
      </c>
      <c r="Z37">
        <f/>
        <v/>
      </c>
      <c r="AA37">
        <f/>
        <v/>
      </c>
      <c r="AB37">
        <f/>
        <v/>
      </c>
      <c r="AC37">
        <f/>
        <v/>
      </c>
      <c r="AD37">
        <f/>
        <v/>
      </c>
      <c r="AE37">
        <f/>
        <v/>
      </c>
      <c r="AF37">
        <f/>
        <v/>
      </c>
      <c r="AG37">
        <f/>
        <v/>
      </c>
      <c r="AH37">
        <f/>
        <v/>
      </c>
      <c r="AI37">
        <f/>
        <v/>
      </c>
      <c r="AJ37">
        <f/>
        <v/>
      </c>
      <c r="AK37">
        <f/>
        <v/>
      </c>
      <c r="AL37">
        <f/>
        <v/>
      </c>
      <c r="AM37">
        <f/>
        <v/>
      </c>
      <c r="AN37">
        <f/>
        <v/>
      </c>
      <c r="AO37">
        <f/>
        <v/>
      </c>
      <c r="AP37">
        <f/>
        <v/>
      </c>
      <c r="AQ37">
        <f/>
        <v/>
      </c>
      <c r="AR37">
        <f/>
        <v/>
      </c>
      <c r="AS37">
        <f/>
        <v/>
      </c>
      <c r="AT37">
        <f/>
        <v/>
      </c>
      <c r="AU37">
        <f/>
        <v/>
      </c>
      <c r="AV37">
        <f/>
        <v/>
      </c>
      <c r="AW37">
        <f/>
        <v/>
      </c>
      <c r="AX37">
        <f/>
        <v/>
      </c>
      <c r="AY37">
        <f/>
        <v/>
      </c>
      <c r="AZ37">
        <f/>
        <v/>
      </c>
      <c r="BA37">
        <f/>
        <v/>
      </c>
      <c r="BB37">
        <f/>
        <v/>
      </c>
      <c r="BC37">
        <f/>
        <v/>
      </c>
      <c r="BD37">
        <f/>
        <v/>
      </c>
      <c r="BE37">
        <f/>
        <v/>
      </c>
      <c r="BF37">
        <f/>
        <v/>
      </c>
    </row>
    <row r="38">
      <c r="A38" s="19" t="inlineStr">
        <is>
          <t>Harissa</t>
        </is>
      </c>
      <c r="B38" s="20" t="n">
        <v>400</v>
      </c>
      <c r="C38" s="20" t="n">
        <v>65</v>
      </c>
      <c r="D38" s="20" t="n">
        <v>26</v>
      </c>
      <c r="E38" s="20" t="n">
        <v>3.575</v>
      </c>
      <c r="F38" s="21" t="n">
        <v>55</v>
      </c>
      <c r="G38" s="20" t="n">
        <v>1174</v>
      </c>
      <c r="H38" s="20" t="inlineStr">
        <is>
          <t>Epice 100ml</t>
        </is>
      </c>
      <c r="I38" s="20" t="n">
        <v>0.64</v>
      </c>
      <c r="J38" s="20" t="n">
        <v>55</v>
      </c>
      <c r="K38" s="20" t="n">
        <v>40</v>
      </c>
      <c r="L38" s="20" t="n"/>
      <c r="M38" s="20" t="n"/>
      <c r="N38" s="22" t="n"/>
      <c r="P38">
        <f/>
        <v/>
      </c>
      <c r="Q38">
        <f/>
        <v/>
      </c>
      <c r="R38">
        <f/>
        <v/>
      </c>
      <c r="S38">
        <f/>
        <v/>
      </c>
      <c r="T38">
        <f/>
        <v/>
      </c>
      <c r="U38">
        <f/>
        <v/>
      </c>
      <c r="V38">
        <f/>
        <v/>
      </c>
      <c r="W38">
        <f/>
        <v/>
      </c>
      <c r="X38">
        <f/>
        <v/>
      </c>
      <c r="Y38">
        <f/>
        <v/>
      </c>
      <c r="Z38">
        <f/>
        <v/>
      </c>
      <c r="AA38">
        <f/>
        <v/>
      </c>
      <c r="AB38">
        <f/>
        <v/>
      </c>
      <c r="AC38">
        <f/>
        <v/>
      </c>
      <c r="AD38">
        <f/>
        <v/>
      </c>
      <c r="AE38">
        <f/>
        <v/>
      </c>
      <c r="AF38">
        <f/>
        <v/>
      </c>
      <c r="AG38">
        <f/>
        <v/>
      </c>
      <c r="AH38">
        <f/>
        <v/>
      </c>
      <c r="AI38">
        <f/>
        <v/>
      </c>
      <c r="AJ38">
        <f/>
        <v/>
      </c>
      <c r="AK38">
        <f/>
        <v/>
      </c>
      <c r="AL38">
        <f/>
        <v/>
      </c>
      <c r="AM38">
        <f/>
        <v/>
      </c>
      <c r="AN38">
        <f/>
        <v/>
      </c>
      <c r="AO38">
        <f/>
        <v/>
      </c>
      <c r="AP38">
        <f/>
        <v/>
      </c>
      <c r="AQ38">
        <f/>
        <v/>
      </c>
      <c r="AR38">
        <f/>
        <v/>
      </c>
      <c r="AS38">
        <f/>
        <v/>
      </c>
      <c r="AT38">
        <f/>
        <v/>
      </c>
      <c r="AU38">
        <f/>
        <v/>
      </c>
      <c r="AV38">
        <f/>
        <v/>
      </c>
      <c r="AW38">
        <f/>
        <v/>
      </c>
      <c r="AX38">
        <f/>
        <v/>
      </c>
      <c r="AY38">
        <f/>
        <v/>
      </c>
      <c r="AZ38">
        <f/>
        <v/>
      </c>
      <c r="BA38">
        <f/>
        <v/>
      </c>
      <c r="BB38">
        <f/>
        <v/>
      </c>
      <c r="BC38">
        <f/>
        <v/>
      </c>
      <c r="BD38">
        <f/>
        <v/>
      </c>
      <c r="BE38">
        <f/>
        <v/>
      </c>
      <c r="BF38">
        <f/>
        <v/>
      </c>
    </row>
    <row r="39">
      <c r="A39" s="19" t="inlineStr">
        <is>
          <t>Herbe de provence</t>
        </is>
      </c>
      <c r="B39" s="20" t="n">
        <v>500</v>
      </c>
      <c r="C39" s="20" t="n">
        <v>20</v>
      </c>
      <c r="D39" s="20" t="n">
        <v>10</v>
      </c>
      <c r="E39" s="20" t="n">
        <v>2.9</v>
      </c>
      <c r="F39" s="21" t="n">
        <v>145</v>
      </c>
      <c r="G39" s="20" t="n">
        <v>1130</v>
      </c>
      <c r="H39" s="20" t="inlineStr">
        <is>
          <t>Epice 100ml</t>
        </is>
      </c>
      <c r="I39" s="20" t="n">
        <v>0.64</v>
      </c>
      <c r="J39" s="20" t="n">
        <v>11.6</v>
      </c>
      <c r="K39" s="20" t="n">
        <v>80</v>
      </c>
      <c r="L39" s="20" t="n"/>
      <c r="M39" s="20" t="n"/>
      <c r="N39" s="22" t="n">
        <v>123.25</v>
      </c>
      <c r="O39">
        <f>Produit!N2:N71,Produit!U1:U71</f>
        <v/>
      </c>
      <c r="P39">
        <f/>
        <v/>
      </c>
      <c r="Q39">
        <f/>
        <v/>
      </c>
      <c r="R39">
        <f/>
        <v/>
      </c>
      <c r="S39">
        <f/>
        <v/>
      </c>
      <c r="T39">
        <f/>
        <v/>
      </c>
      <c r="U39">
        <f/>
        <v/>
      </c>
      <c r="V39">
        <f/>
        <v/>
      </c>
      <c r="W39">
        <f/>
        <v/>
      </c>
      <c r="X39">
        <f/>
        <v/>
      </c>
      <c r="Y39">
        <f/>
        <v/>
      </c>
      <c r="Z39">
        <f/>
        <v/>
      </c>
      <c r="AA39">
        <f/>
        <v/>
      </c>
      <c r="AB39">
        <f/>
        <v/>
      </c>
      <c r="AC39">
        <f/>
        <v/>
      </c>
      <c r="AD39">
        <f/>
        <v/>
      </c>
      <c r="AE39">
        <f/>
        <v/>
      </c>
      <c r="AF39">
        <f/>
        <v/>
      </c>
      <c r="AG39">
        <f/>
        <v/>
      </c>
      <c r="AH39">
        <f/>
        <v/>
      </c>
      <c r="AI39">
        <f/>
        <v/>
      </c>
      <c r="AJ39">
        <f/>
        <v/>
      </c>
      <c r="AK39">
        <f/>
        <v/>
      </c>
      <c r="AL39">
        <f/>
        <v/>
      </c>
      <c r="AM39">
        <f/>
        <v/>
      </c>
      <c r="AN39">
        <f/>
        <v/>
      </c>
      <c r="AO39">
        <f/>
        <v/>
      </c>
      <c r="AP39">
        <f/>
        <v/>
      </c>
      <c r="AQ39">
        <f/>
        <v/>
      </c>
      <c r="AR39">
        <f/>
        <v/>
      </c>
      <c r="AS39">
        <f/>
        <v/>
      </c>
      <c r="AT39">
        <f/>
        <v/>
      </c>
      <c r="AU39">
        <f/>
        <v/>
      </c>
      <c r="AV39">
        <f/>
        <v/>
      </c>
      <c r="AW39">
        <f/>
        <v/>
      </c>
      <c r="AX39">
        <f/>
        <v/>
      </c>
      <c r="AY39">
        <f/>
        <v/>
      </c>
      <c r="AZ39">
        <f/>
        <v/>
      </c>
      <c r="BA39">
        <f/>
        <v/>
      </c>
      <c r="BB39">
        <f/>
        <v/>
      </c>
      <c r="BC39">
        <f/>
        <v/>
      </c>
      <c r="BD39">
        <f/>
        <v/>
      </c>
      <c r="BE39">
        <f/>
        <v/>
      </c>
      <c r="BF39">
        <f/>
        <v/>
      </c>
    </row>
    <row r="40">
      <c r="P40">
        <f/>
        <v/>
      </c>
      <c r="Q40">
        <f/>
        <v/>
      </c>
      <c r="R40">
        <f/>
        <v/>
      </c>
      <c r="S40">
        <f/>
        <v/>
      </c>
      <c r="T40">
        <f/>
        <v/>
      </c>
      <c r="U40">
        <f/>
        <v/>
      </c>
      <c r="V40">
        <f/>
        <v/>
      </c>
      <c r="W40">
        <f/>
        <v/>
      </c>
      <c r="X40">
        <f/>
        <v/>
      </c>
      <c r="Y40">
        <f/>
        <v/>
      </c>
      <c r="Z40">
        <f/>
        <v/>
      </c>
      <c r="AA40">
        <f/>
        <v/>
      </c>
      <c r="AB40">
        <f/>
        <v/>
      </c>
      <c r="AC40">
        <f/>
        <v/>
      </c>
      <c r="AD40">
        <f/>
        <v/>
      </c>
      <c r="AE40">
        <f/>
        <v/>
      </c>
      <c r="AF40">
        <f/>
        <v/>
      </c>
      <c r="AG40">
        <f/>
        <v/>
      </c>
      <c r="AH40">
        <f/>
        <v/>
      </c>
      <c r="AI40">
        <f/>
        <v/>
      </c>
      <c r="AJ40">
        <f/>
        <v/>
      </c>
      <c r="AK40">
        <f/>
        <v/>
      </c>
      <c r="AL40">
        <f/>
        <v/>
      </c>
      <c r="AM40">
        <f/>
        <v/>
      </c>
      <c r="AN40">
        <f/>
        <v/>
      </c>
      <c r="AO40">
        <f/>
        <v/>
      </c>
      <c r="AP40">
        <f/>
        <v/>
      </c>
      <c r="AQ40">
        <f/>
        <v/>
      </c>
      <c r="AR40">
        <f/>
        <v/>
      </c>
      <c r="AS40">
        <f/>
        <v/>
      </c>
      <c r="AT40">
        <f/>
        <v/>
      </c>
      <c r="AU40">
        <f/>
        <v/>
      </c>
      <c r="AV40">
        <f/>
        <v/>
      </c>
      <c r="AW40">
        <f/>
        <v/>
      </c>
      <c r="AX40">
        <f/>
        <v/>
      </c>
      <c r="AY40">
        <f/>
        <v/>
      </c>
      <c r="AZ40">
        <f/>
        <v/>
      </c>
      <c r="BA40">
        <f/>
        <v/>
      </c>
      <c r="BB40">
        <f/>
        <v/>
      </c>
      <c r="BC40">
        <f/>
        <v/>
      </c>
      <c r="BD40">
        <f/>
        <v/>
      </c>
      <c r="BE40">
        <f/>
        <v/>
      </c>
      <c r="BF40">
        <f/>
        <v/>
      </c>
    </row>
    <row r="41">
      <c r="P41">
        <f/>
        <v/>
      </c>
      <c r="Q41">
        <f/>
        <v/>
      </c>
      <c r="R41">
        <f/>
        <v/>
      </c>
      <c r="S41">
        <f/>
        <v/>
      </c>
      <c r="T41">
        <f/>
        <v/>
      </c>
      <c r="U41">
        <f/>
        <v/>
      </c>
      <c r="V41">
        <f/>
        <v/>
      </c>
      <c r="W41">
        <f/>
        <v/>
      </c>
      <c r="X41">
        <f/>
        <v/>
      </c>
      <c r="Y41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  <c r="AE41">
        <f/>
        <v/>
      </c>
      <c r="AF41">
        <f/>
        <v/>
      </c>
      <c r="AG41">
        <f/>
        <v/>
      </c>
      <c r="AH41">
        <f/>
        <v/>
      </c>
      <c r="AI41">
        <f/>
        <v/>
      </c>
      <c r="AJ41">
        <f/>
        <v/>
      </c>
      <c r="AK41">
        <f/>
        <v/>
      </c>
      <c r="AL41">
        <f/>
        <v/>
      </c>
      <c r="AM41">
        <f/>
        <v/>
      </c>
      <c r="AN41">
        <f/>
        <v/>
      </c>
      <c r="AO41">
        <f/>
        <v/>
      </c>
      <c r="AP41">
        <f/>
        <v/>
      </c>
      <c r="AQ41">
        <f/>
        <v/>
      </c>
      <c r="AR41">
        <f/>
        <v/>
      </c>
      <c r="AS41">
        <f/>
        <v/>
      </c>
      <c r="AT41">
        <f/>
        <v/>
      </c>
      <c r="AU41">
        <f/>
        <v/>
      </c>
      <c r="AV41">
        <f/>
        <v/>
      </c>
      <c r="AW41">
        <f/>
        <v/>
      </c>
      <c r="AX41">
        <f/>
        <v/>
      </c>
      <c r="AY41">
        <f/>
        <v/>
      </c>
      <c r="AZ41">
        <f/>
        <v/>
      </c>
      <c r="BA41">
        <f/>
        <v/>
      </c>
      <c r="BB41">
        <f/>
        <v/>
      </c>
      <c r="BC41">
        <f/>
        <v/>
      </c>
      <c r="BD41">
        <f/>
        <v/>
      </c>
      <c r="BE41">
        <f/>
        <v/>
      </c>
      <c r="BF41">
        <f/>
        <v/>
      </c>
    </row>
    <row r="42">
      <c r="P42">
        <f/>
        <v/>
      </c>
      <c r="Q42">
        <f/>
        <v/>
      </c>
      <c r="R42">
        <f/>
        <v/>
      </c>
      <c r="S42">
        <f/>
        <v/>
      </c>
      <c r="T42">
        <f/>
        <v/>
      </c>
      <c r="U42">
        <f/>
        <v/>
      </c>
      <c r="V42">
        <f/>
        <v/>
      </c>
      <c r="W42">
        <f/>
        <v/>
      </c>
      <c r="X42">
        <f/>
        <v/>
      </c>
      <c r="Y42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  <c r="AE42">
        <f/>
        <v/>
      </c>
      <c r="AF42">
        <f/>
        <v/>
      </c>
      <c r="AG42">
        <f/>
        <v/>
      </c>
      <c r="AH42">
        <f/>
        <v/>
      </c>
      <c r="AI42">
        <f/>
        <v/>
      </c>
      <c r="AJ42">
        <f/>
        <v/>
      </c>
      <c r="AK42">
        <f/>
        <v/>
      </c>
      <c r="AL42">
        <f/>
        <v/>
      </c>
      <c r="AM42">
        <f/>
        <v/>
      </c>
      <c r="AN42">
        <f/>
        <v/>
      </c>
      <c r="AO42">
        <f/>
        <v/>
      </c>
      <c r="AP42">
        <f/>
        <v/>
      </c>
      <c r="AQ42">
        <f/>
        <v/>
      </c>
      <c r="AR42">
        <f/>
        <v/>
      </c>
      <c r="AS42">
        <f/>
        <v/>
      </c>
      <c r="AT42">
        <f/>
        <v/>
      </c>
      <c r="AU42">
        <f/>
        <v/>
      </c>
      <c r="AV42">
        <f/>
        <v/>
      </c>
      <c r="AW42">
        <f/>
        <v/>
      </c>
      <c r="AX42">
        <f/>
        <v/>
      </c>
      <c r="AY42">
        <f/>
        <v/>
      </c>
      <c r="AZ42">
        <f/>
        <v/>
      </c>
      <c r="BA42">
        <f/>
        <v/>
      </c>
      <c r="BB42">
        <f/>
        <v/>
      </c>
      <c r="BC42">
        <f/>
        <v/>
      </c>
      <c r="BD42">
        <f/>
        <v/>
      </c>
      <c r="BE42">
        <f/>
        <v/>
      </c>
      <c r="BF42">
        <f/>
        <v/>
      </c>
    </row>
    <row r="43">
      <c r="P43">
        <f/>
        <v/>
      </c>
      <c r="Q43">
        <f/>
        <v/>
      </c>
      <c r="R43">
        <f/>
        <v/>
      </c>
      <c r="S43">
        <f/>
        <v/>
      </c>
      <c r="T43">
        <f/>
        <v/>
      </c>
      <c r="U43">
        <f/>
        <v/>
      </c>
      <c r="V43">
        <f/>
        <v/>
      </c>
      <c r="W43">
        <f/>
        <v/>
      </c>
      <c r="X43">
        <f/>
        <v/>
      </c>
      <c r="Y43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  <c r="AE43">
        <f/>
        <v/>
      </c>
      <c r="AF43">
        <f/>
        <v/>
      </c>
      <c r="AG43">
        <f/>
        <v/>
      </c>
      <c r="AH43">
        <f/>
        <v/>
      </c>
      <c r="AI43">
        <f/>
        <v/>
      </c>
      <c r="AJ43">
        <f/>
        <v/>
      </c>
      <c r="AK43">
        <f/>
        <v/>
      </c>
      <c r="AL43">
        <f/>
        <v/>
      </c>
      <c r="AM43">
        <f/>
        <v/>
      </c>
      <c r="AN43">
        <f/>
        <v/>
      </c>
      <c r="AO43">
        <f/>
        <v/>
      </c>
      <c r="AP43">
        <f/>
        <v/>
      </c>
      <c r="AQ43">
        <f/>
        <v/>
      </c>
      <c r="AR43">
        <f/>
        <v/>
      </c>
      <c r="AS43">
        <f/>
        <v/>
      </c>
      <c r="AT43">
        <f/>
        <v/>
      </c>
      <c r="AU43">
        <f/>
        <v/>
      </c>
      <c r="AV43">
        <f/>
        <v/>
      </c>
      <c r="AW43">
        <f/>
        <v/>
      </c>
      <c r="AX43">
        <f/>
        <v/>
      </c>
      <c r="AY43">
        <f/>
        <v/>
      </c>
      <c r="AZ43">
        <f/>
        <v/>
      </c>
      <c r="BA43">
        <f/>
        <v/>
      </c>
      <c r="BB43">
        <f/>
        <v/>
      </c>
      <c r="BC43">
        <f/>
        <v/>
      </c>
      <c r="BD43">
        <f/>
        <v/>
      </c>
      <c r="BE43">
        <f/>
        <v/>
      </c>
      <c r="BF43">
        <f/>
        <v/>
      </c>
    </row>
    <row r="44">
      <c r="P44">
        <f/>
        <v/>
      </c>
      <c r="Q44">
        <f/>
        <v/>
      </c>
      <c r="R44">
        <f/>
        <v/>
      </c>
      <c r="S44">
        <f/>
        <v/>
      </c>
      <c r="T44">
        <f/>
        <v/>
      </c>
      <c r="U44">
        <f/>
        <v/>
      </c>
      <c r="V44">
        <f/>
        <v/>
      </c>
      <c r="W44">
        <f/>
        <v/>
      </c>
      <c r="X44">
        <f/>
        <v/>
      </c>
      <c r="Y4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  <c r="AE44">
        <f/>
        <v/>
      </c>
      <c r="AF44">
        <f/>
        <v/>
      </c>
      <c r="AG44">
        <f/>
        <v/>
      </c>
      <c r="AH44">
        <f/>
        <v/>
      </c>
      <c r="AI44">
        <f/>
        <v/>
      </c>
      <c r="AJ44">
        <f/>
        <v/>
      </c>
      <c r="AK44">
        <f/>
        <v/>
      </c>
      <c r="AL44">
        <f/>
        <v/>
      </c>
      <c r="AM44">
        <f/>
        <v/>
      </c>
      <c r="AN44">
        <f/>
        <v/>
      </c>
      <c r="AO44">
        <f/>
        <v/>
      </c>
      <c r="AP44">
        <f/>
        <v/>
      </c>
      <c r="AQ44">
        <f/>
        <v/>
      </c>
      <c r="AR44">
        <f/>
        <v/>
      </c>
      <c r="AS44">
        <f/>
        <v/>
      </c>
      <c r="AT44">
        <f/>
        <v/>
      </c>
      <c r="AU44">
        <f/>
        <v/>
      </c>
      <c r="AV44">
        <f/>
        <v/>
      </c>
      <c r="AW44">
        <f/>
        <v/>
      </c>
      <c r="AX44">
        <f/>
        <v/>
      </c>
      <c r="AY44">
        <f/>
        <v/>
      </c>
      <c r="AZ44">
        <f/>
        <v/>
      </c>
      <c r="BA44">
        <f/>
        <v/>
      </c>
      <c r="BB44">
        <f/>
        <v/>
      </c>
      <c r="BC44">
        <f/>
        <v/>
      </c>
      <c r="BD44">
        <f/>
        <v/>
      </c>
      <c r="BE44">
        <f/>
        <v/>
      </c>
      <c r="BF44">
        <f/>
        <v/>
      </c>
    </row>
    <row r="45">
      <c r="P45">
        <f/>
        <v/>
      </c>
      <c r="Q45">
        <f/>
        <v/>
      </c>
      <c r="R45">
        <f/>
        <v/>
      </c>
      <c r="S45">
        <f/>
        <v/>
      </c>
      <c r="T45">
        <f/>
        <v/>
      </c>
      <c r="U45">
        <f/>
        <v/>
      </c>
      <c r="V45">
        <f/>
        <v/>
      </c>
      <c r="W45">
        <f/>
        <v/>
      </c>
      <c r="X45">
        <f/>
        <v/>
      </c>
      <c r="Y45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  <c r="AE45">
        <f/>
        <v/>
      </c>
      <c r="AF45">
        <f/>
        <v/>
      </c>
      <c r="AG45">
        <f/>
        <v/>
      </c>
      <c r="AH45">
        <f/>
        <v/>
      </c>
      <c r="AI45">
        <f/>
        <v/>
      </c>
      <c r="AJ45">
        <f/>
        <v/>
      </c>
      <c r="AK45">
        <f/>
        <v/>
      </c>
      <c r="AL45">
        <f/>
        <v/>
      </c>
      <c r="AM45">
        <f/>
        <v/>
      </c>
      <c r="AN45">
        <f/>
        <v/>
      </c>
      <c r="AO45">
        <f/>
        <v/>
      </c>
      <c r="AP45">
        <f/>
        <v/>
      </c>
      <c r="AQ45">
        <f/>
        <v/>
      </c>
      <c r="AR45">
        <f/>
        <v/>
      </c>
      <c r="AS45">
        <f/>
        <v/>
      </c>
      <c r="AT45">
        <f/>
        <v/>
      </c>
      <c r="AU45">
        <f/>
        <v/>
      </c>
      <c r="AV45">
        <f/>
        <v/>
      </c>
      <c r="AW45">
        <f/>
        <v/>
      </c>
      <c r="AX45">
        <f/>
        <v/>
      </c>
      <c r="AY45">
        <f/>
        <v/>
      </c>
      <c r="AZ45">
        <f/>
        <v/>
      </c>
      <c r="BA45">
        <f/>
        <v/>
      </c>
      <c r="BB45">
        <f/>
        <v/>
      </c>
      <c r="BC45">
        <f/>
        <v/>
      </c>
      <c r="BD45">
        <f/>
        <v/>
      </c>
      <c r="BE45">
        <f/>
        <v/>
      </c>
      <c r="BF45">
        <f/>
        <v/>
      </c>
    </row>
    <row r="46">
      <c r="P46">
        <f/>
        <v/>
      </c>
      <c r="Q46">
        <f/>
        <v/>
      </c>
      <c r="R46">
        <f/>
        <v/>
      </c>
      <c r="S46">
        <f/>
        <v/>
      </c>
      <c r="T46">
        <f/>
        <v/>
      </c>
      <c r="U46">
        <f/>
        <v/>
      </c>
      <c r="V46">
        <f/>
        <v/>
      </c>
      <c r="W46">
        <f/>
        <v/>
      </c>
      <c r="X46">
        <f/>
        <v/>
      </c>
      <c r="Y46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  <c r="AE46">
        <f/>
        <v/>
      </c>
      <c r="AF46">
        <f/>
        <v/>
      </c>
      <c r="AG46">
        <f/>
        <v/>
      </c>
      <c r="AH46">
        <f/>
        <v/>
      </c>
      <c r="AI46">
        <f/>
        <v/>
      </c>
      <c r="AJ46">
        <f/>
        <v/>
      </c>
      <c r="AK46">
        <f/>
        <v/>
      </c>
      <c r="AL46">
        <f/>
        <v/>
      </c>
      <c r="AM46">
        <f/>
        <v/>
      </c>
      <c r="AN46">
        <f/>
        <v/>
      </c>
      <c r="AO46">
        <f/>
        <v/>
      </c>
      <c r="AP46">
        <f/>
        <v/>
      </c>
      <c r="AQ46">
        <f/>
        <v/>
      </c>
      <c r="AR46">
        <f/>
        <v/>
      </c>
      <c r="AS46">
        <f/>
        <v/>
      </c>
      <c r="AT46">
        <f/>
        <v/>
      </c>
      <c r="AU46">
        <f/>
        <v/>
      </c>
      <c r="AV46">
        <f/>
        <v/>
      </c>
      <c r="AW46">
        <f/>
        <v/>
      </c>
      <c r="AX46">
        <f/>
        <v/>
      </c>
      <c r="AY46">
        <f/>
        <v/>
      </c>
      <c r="AZ46">
        <f/>
        <v/>
      </c>
      <c r="BA46">
        <f/>
        <v/>
      </c>
      <c r="BB46">
        <f/>
        <v/>
      </c>
      <c r="BC46">
        <f/>
        <v/>
      </c>
      <c r="BD46">
        <f/>
        <v/>
      </c>
      <c r="BE46">
        <f/>
        <v/>
      </c>
      <c r="BF46">
        <f/>
        <v/>
      </c>
    </row>
    <row r="47">
      <c r="P47">
        <f/>
        <v/>
      </c>
      <c r="Q47">
        <f/>
        <v/>
      </c>
      <c r="R47">
        <f/>
        <v/>
      </c>
      <c r="S47">
        <f/>
        <v/>
      </c>
      <c r="T47">
        <f/>
        <v/>
      </c>
      <c r="U47">
        <f/>
        <v/>
      </c>
      <c r="V47">
        <f/>
        <v/>
      </c>
      <c r="W47">
        <f/>
        <v/>
      </c>
      <c r="X47">
        <f/>
        <v/>
      </c>
      <c r="Y47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  <c r="AE47">
        <f/>
        <v/>
      </c>
      <c r="AF47">
        <f/>
        <v/>
      </c>
      <c r="AG47">
        <f/>
        <v/>
      </c>
      <c r="AH47">
        <f/>
        <v/>
      </c>
      <c r="AI47">
        <f/>
        <v/>
      </c>
      <c r="AJ47">
        <f/>
        <v/>
      </c>
      <c r="AK47">
        <f/>
        <v/>
      </c>
      <c r="AL47">
        <f/>
        <v/>
      </c>
      <c r="AM47">
        <f/>
        <v/>
      </c>
      <c r="AN47">
        <f/>
        <v/>
      </c>
      <c r="AO47">
        <f/>
        <v/>
      </c>
      <c r="AP47">
        <f/>
        <v/>
      </c>
      <c r="AQ47">
        <f/>
        <v/>
      </c>
      <c r="AR47">
        <f/>
        <v/>
      </c>
      <c r="AS47">
        <f/>
        <v/>
      </c>
      <c r="AT47">
        <f/>
        <v/>
      </c>
      <c r="AU47">
        <f/>
        <v/>
      </c>
      <c r="AV47">
        <f/>
        <v/>
      </c>
      <c r="AW47">
        <f/>
        <v/>
      </c>
      <c r="AX47">
        <f/>
        <v/>
      </c>
      <c r="AY47">
        <f/>
        <v/>
      </c>
      <c r="AZ47">
        <f/>
        <v/>
      </c>
      <c r="BA47">
        <f/>
        <v/>
      </c>
      <c r="BB47">
        <f/>
        <v/>
      </c>
      <c r="BC47">
        <f/>
        <v/>
      </c>
      <c r="BD47">
        <f/>
        <v/>
      </c>
      <c r="BE47">
        <f/>
        <v/>
      </c>
      <c r="BF47">
        <f/>
        <v/>
      </c>
    </row>
    <row r="48">
      <c r="P48">
        <f/>
        <v/>
      </c>
      <c r="Q48">
        <f/>
        <v/>
      </c>
      <c r="R48">
        <f/>
        <v/>
      </c>
      <c r="S48">
        <f/>
        <v/>
      </c>
      <c r="T48">
        <f/>
        <v/>
      </c>
      <c r="U48">
        <f/>
        <v/>
      </c>
      <c r="V48">
        <f/>
        <v/>
      </c>
      <c r="W48">
        <f/>
        <v/>
      </c>
      <c r="X48">
        <f/>
        <v/>
      </c>
      <c r="Y48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  <c r="AE48">
        <f/>
        <v/>
      </c>
      <c r="AF48">
        <f/>
        <v/>
      </c>
      <c r="AG48">
        <f/>
        <v/>
      </c>
      <c r="AH48">
        <f/>
        <v/>
      </c>
      <c r="AI48">
        <f/>
        <v/>
      </c>
      <c r="AJ48">
        <f/>
        <v/>
      </c>
      <c r="AK48">
        <f/>
        <v/>
      </c>
      <c r="AL48">
        <f/>
        <v/>
      </c>
      <c r="AM48">
        <f/>
        <v/>
      </c>
      <c r="AN48">
        <f/>
        <v/>
      </c>
      <c r="AO48">
        <f/>
        <v/>
      </c>
      <c r="AP48">
        <f/>
        <v/>
      </c>
      <c r="AQ48">
        <f/>
        <v/>
      </c>
      <c r="AR48">
        <f/>
        <v/>
      </c>
      <c r="AS48">
        <f/>
        <v/>
      </c>
      <c r="AT48">
        <f/>
        <v/>
      </c>
      <c r="AU48">
        <f/>
        <v/>
      </c>
      <c r="AV48">
        <f/>
        <v/>
      </c>
      <c r="AW48">
        <f/>
        <v/>
      </c>
      <c r="AX48">
        <f/>
        <v/>
      </c>
      <c r="AY48">
        <f/>
        <v/>
      </c>
      <c r="AZ48">
        <f/>
        <v/>
      </c>
      <c r="BA48">
        <f/>
        <v/>
      </c>
      <c r="BB48">
        <f/>
        <v/>
      </c>
      <c r="BC48">
        <f/>
        <v/>
      </c>
      <c r="BD48">
        <f/>
        <v/>
      </c>
      <c r="BE48">
        <f/>
        <v/>
      </c>
      <c r="BF48">
        <f/>
        <v/>
      </c>
    </row>
    <row r="49">
      <c r="P49">
        <f/>
        <v/>
      </c>
      <c r="Q49">
        <f/>
        <v/>
      </c>
      <c r="R49">
        <f/>
        <v/>
      </c>
      <c r="S49">
        <f/>
        <v/>
      </c>
      <c r="T49">
        <f/>
        <v/>
      </c>
      <c r="U49">
        <f/>
        <v/>
      </c>
      <c r="V49">
        <f/>
        <v/>
      </c>
      <c r="W49">
        <f/>
        <v/>
      </c>
      <c r="X49">
        <f/>
        <v/>
      </c>
      <c r="Y49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  <c r="AE49">
        <f/>
        <v/>
      </c>
      <c r="AF49">
        <f/>
        <v/>
      </c>
      <c r="AG49">
        <f/>
        <v/>
      </c>
      <c r="AH49">
        <f/>
        <v/>
      </c>
      <c r="AI49">
        <f/>
        <v/>
      </c>
      <c r="AJ49">
        <f/>
        <v/>
      </c>
      <c r="AK49">
        <f/>
        <v/>
      </c>
      <c r="AL49">
        <f/>
        <v/>
      </c>
      <c r="AM49">
        <f/>
        <v/>
      </c>
      <c r="AN49">
        <f/>
        <v/>
      </c>
      <c r="AO49">
        <f/>
        <v/>
      </c>
      <c r="AP49">
        <f/>
        <v/>
      </c>
      <c r="AQ49">
        <f/>
        <v/>
      </c>
      <c r="AR49">
        <f/>
        <v/>
      </c>
      <c r="AS49">
        <f/>
        <v/>
      </c>
      <c r="AT49">
        <f/>
        <v/>
      </c>
      <c r="AU49">
        <f/>
        <v/>
      </c>
      <c r="AV49">
        <f/>
        <v/>
      </c>
      <c r="AW49">
        <f/>
        <v/>
      </c>
      <c r="AX49">
        <f/>
        <v/>
      </c>
      <c r="AY49">
        <f/>
        <v/>
      </c>
      <c r="AZ49">
        <f/>
        <v/>
      </c>
      <c r="BA49">
        <f/>
        <v/>
      </c>
      <c r="BB49">
        <f/>
        <v/>
      </c>
      <c r="BC49">
        <f/>
        <v/>
      </c>
      <c r="BD49">
        <f/>
        <v/>
      </c>
      <c r="BE49">
        <f/>
        <v/>
      </c>
      <c r="BF49">
        <f/>
        <v/>
      </c>
    </row>
    <row r="50">
      <c r="P50">
        <f/>
        <v/>
      </c>
      <c r="Q50">
        <f/>
        <v/>
      </c>
      <c r="R50">
        <f/>
        <v/>
      </c>
      <c r="S50">
        <f/>
        <v/>
      </c>
      <c r="T50">
        <f/>
        <v/>
      </c>
      <c r="U50">
        <f/>
        <v/>
      </c>
      <c r="V50">
        <f/>
        <v/>
      </c>
      <c r="W50">
        <f/>
        <v/>
      </c>
      <c r="X50">
        <f/>
        <v/>
      </c>
      <c r="Y50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  <c r="AE50">
        <f/>
        <v/>
      </c>
      <c r="AF50">
        <f/>
        <v/>
      </c>
      <c r="AG50">
        <f/>
        <v/>
      </c>
      <c r="AH50">
        <f/>
        <v/>
      </c>
      <c r="AI50">
        <f/>
        <v/>
      </c>
      <c r="AJ50">
        <f/>
        <v/>
      </c>
      <c r="AK50">
        <f/>
        <v/>
      </c>
      <c r="AL50">
        <f/>
        <v/>
      </c>
      <c r="AM50">
        <f/>
        <v/>
      </c>
      <c r="AN50">
        <f/>
        <v/>
      </c>
      <c r="AO50">
        <f/>
        <v/>
      </c>
      <c r="AP50">
        <f/>
        <v/>
      </c>
      <c r="AQ50">
        <f/>
        <v/>
      </c>
      <c r="AR50">
        <f/>
        <v/>
      </c>
      <c r="AS50">
        <f/>
        <v/>
      </c>
      <c r="AT50">
        <f/>
        <v/>
      </c>
      <c r="AU50">
        <f/>
        <v/>
      </c>
      <c r="AV50">
        <f/>
        <v/>
      </c>
      <c r="AW50">
        <f/>
        <v/>
      </c>
      <c r="AX50">
        <f/>
        <v/>
      </c>
      <c r="AY50">
        <f/>
        <v/>
      </c>
      <c r="AZ50">
        <f/>
        <v/>
      </c>
      <c r="BA50">
        <f/>
        <v/>
      </c>
      <c r="BB50">
        <f/>
        <v/>
      </c>
      <c r="BC50">
        <f/>
        <v/>
      </c>
      <c r="BD50">
        <f/>
        <v/>
      </c>
      <c r="BE50">
        <f/>
        <v/>
      </c>
      <c r="BF50">
        <f/>
        <v/>
      </c>
    </row>
    <row r="51">
      <c r="P51">
        <f/>
        <v/>
      </c>
      <c r="Q51">
        <f/>
        <v/>
      </c>
      <c r="R51">
        <f/>
        <v/>
      </c>
      <c r="S51">
        <f/>
        <v/>
      </c>
      <c r="T51">
        <f/>
        <v/>
      </c>
      <c r="U51">
        <f/>
        <v/>
      </c>
      <c r="V51">
        <f/>
        <v/>
      </c>
      <c r="W51">
        <f/>
        <v/>
      </c>
      <c r="X51">
        <f/>
        <v/>
      </c>
      <c r="Y51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  <c r="AE51">
        <f/>
        <v/>
      </c>
      <c r="AF51">
        <f/>
        <v/>
      </c>
      <c r="AG51">
        <f/>
        <v/>
      </c>
      <c r="AH51">
        <f/>
        <v/>
      </c>
      <c r="AI51">
        <f/>
        <v/>
      </c>
      <c r="AJ51">
        <f/>
        <v/>
      </c>
      <c r="AK51">
        <f/>
        <v/>
      </c>
      <c r="AL51">
        <f/>
        <v/>
      </c>
      <c r="AM51">
        <f/>
        <v/>
      </c>
      <c r="AN51">
        <f/>
        <v/>
      </c>
      <c r="AO51">
        <f/>
        <v/>
      </c>
      <c r="AP51">
        <f/>
        <v/>
      </c>
      <c r="AQ51">
        <f/>
        <v/>
      </c>
      <c r="AR51">
        <f/>
        <v/>
      </c>
      <c r="AS51">
        <f/>
        <v/>
      </c>
      <c r="AT51">
        <f/>
        <v/>
      </c>
      <c r="AU51">
        <f/>
        <v/>
      </c>
      <c r="AV51">
        <f/>
        <v/>
      </c>
      <c r="AW51">
        <f/>
        <v/>
      </c>
      <c r="AX51">
        <f/>
        <v/>
      </c>
      <c r="AY51">
        <f/>
        <v/>
      </c>
      <c r="AZ51">
        <f/>
        <v/>
      </c>
      <c r="BA51">
        <f/>
        <v/>
      </c>
      <c r="BB51">
        <f/>
        <v/>
      </c>
      <c r="BC51">
        <f/>
        <v/>
      </c>
      <c r="BD51">
        <f/>
        <v/>
      </c>
      <c r="BE51">
        <f/>
        <v/>
      </c>
      <c r="BF51">
        <f/>
        <v/>
      </c>
    </row>
    <row r="52">
      <c r="P52">
        <f/>
        <v/>
      </c>
      <c r="Q52">
        <f/>
        <v/>
      </c>
      <c r="R52">
        <f/>
        <v/>
      </c>
      <c r="S52">
        <f/>
        <v/>
      </c>
      <c r="T52">
        <f/>
        <v/>
      </c>
      <c r="U52">
        <f/>
        <v/>
      </c>
      <c r="V52">
        <f/>
        <v/>
      </c>
      <c r="W52">
        <f/>
        <v/>
      </c>
      <c r="X52">
        <f/>
        <v/>
      </c>
      <c r="Y52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  <c r="AE52">
        <f/>
        <v/>
      </c>
      <c r="AF52">
        <f/>
        <v/>
      </c>
      <c r="AG52">
        <f/>
        <v/>
      </c>
      <c r="AH52">
        <f/>
        <v/>
      </c>
      <c r="AI52">
        <f/>
        <v/>
      </c>
      <c r="AJ52">
        <f/>
        <v/>
      </c>
      <c r="AK52">
        <f/>
        <v/>
      </c>
      <c r="AL52">
        <f/>
        <v/>
      </c>
      <c r="AM52">
        <f/>
        <v/>
      </c>
      <c r="AN52">
        <f/>
        <v/>
      </c>
      <c r="AO52">
        <f/>
        <v/>
      </c>
      <c r="AP52">
        <f/>
        <v/>
      </c>
      <c r="AQ52">
        <f/>
        <v/>
      </c>
      <c r="AR52">
        <f/>
        <v/>
      </c>
      <c r="AS52">
        <f/>
        <v/>
      </c>
      <c r="AT52">
        <f/>
        <v/>
      </c>
      <c r="AU52">
        <f/>
        <v/>
      </c>
      <c r="AV52">
        <f/>
        <v/>
      </c>
      <c r="AW52">
        <f/>
        <v/>
      </c>
      <c r="AX52">
        <f/>
        <v/>
      </c>
      <c r="AY52">
        <f/>
        <v/>
      </c>
      <c r="AZ52">
        <f/>
        <v/>
      </c>
      <c r="BA52">
        <f/>
        <v/>
      </c>
      <c r="BB52">
        <f/>
        <v/>
      </c>
      <c r="BC52">
        <f/>
        <v/>
      </c>
      <c r="BD52">
        <f/>
        <v/>
      </c>
      <c r="BE52">
        <f/>
        <v/>
      </c>
      <c r="BF52">
        <f/>
        <v/>
      </c>
    </row>
    <row r="53">
      <c r="P53">
        <f/>
        <v/>
      </c>
      <c r="Q53">
        <f/>
        <v/>
      </c>
      <c r="R53">
        <f/>
        <v/>
      </c>
      <c r="S53">
        <f/>
        <v/>
      </c>
      <c r="T53">
        <f/>
        <v/>
      </c>
      <c r="U53">
        <f/>
        <v/>
      </c>
      <c r="V53">
        <f/>
        <v/>
      </c>
      <c r="W53">
        <f/>
        <v/>
      </c>
      <c r="X53">
        <f/>
        <v/>
      </c>
      <c r="Y53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  <c r="AE53">
        <f/>
        <v/>
      </c>
      <c r="AF53">
        <f/>
        <v/>
      </c>
      <c r="AG53">
        <f/>
        <v/>
      </c>
      <c r="AH53">
        <f/>
        <v/>
      </c>
      <c r="AI53">
        <f/>
        <v/>
      </c>
      <c r="AJ53">
        <f/>
        <v/>
      </c>
      <c r="AK53">
        <f/>
        <v/>
      </c>
      <c r="AL53">
        <f/>
        <v/>
      </c>
      <c r="AM53">
        <f/>
        <v/>
      </c>
      <c r="AN53">
        <f/>
        <v/>
      </c>
      <c r="AO53">
        <f/>
        <v/>
      </c>
      <c r="AP53">
        <f/>
        <v/>
      </c>
      <c r="AQ53">
        <f/>
        <v/>
      </c>
      <c r="AR53">
        <f/>
        <v/>
      </c>
      <c r="AS53">
        <f/>
        <v/>
      </c>
      <c r="AT53">
        <f/>
        <v/>
      </c>
      <c r="AU53">
        <f/>
        <v/>
      </c>
      <c r="AV53">
        <f/>
        <v/>
      </c>
      <c r="AW53">
        <f/>
        <v/>
      </c>
      <c r="AX53">
        <f/>
        <v/>
      </c>
      <c r="AY53">
        <f/>
        <v/>
      </c>
      <c r="AZ53">
        <f/>
        <v/>
      </c>
      <c r="BA53">
        <f/>
        <v/>
      </c>
      <c r="BB53">
        <f/>
        <v/>
      </c>
      <c r="BC53">
        <f/>
        <v/>
      </c>
      <c r="BD53">
        <f/>
        <v/>
      </c>
      <c r="BE53">
        <f/>
        <v/>
      </c>
      <c r="BF53">
        <f/>
        <v/>
      </c>
    </row>
    <row r="54">
      <c r="P54">
        <f/>
        <v/>
      </c>
      <c r="Q54">
        <f/>
        <v/>
      </c>
      <c r="R54">
        <f/>
        <v/>
      </c>
      <c r="S54">
        <f/>
        <v/>
      </c>
      <c r="T54">
        <f/>
        <v/>
      </c>
      <c r="U54">
        <f/>
        <v/>
      </c>
      <c r="V54">
        <f/>
        <v/>
      </c>
      <c r="W54">
        <f/>
        <v/>
      </c>
      <c r="X54">
        <f/>
        <v/>
      </c>
      <c r="Y5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  <c r="AE54">
        <f/>
        <v/>
      </c>
      <c r="AF54">
        <f/>
        <v/>
      </c>
      <c r="AG54">
        <f/>
        <v/>
      </c>
      <c r="AH54">
        <f/>
        <v/>
      </c>
      <c r="AI54">
        <f/>
        <v/>
      </c>
      <c r="AJ54">
        <f/>
        <v/>
      </c>
      <c r="AK54">
        <f/>
        <v/>
      </c>
      <c r="AL54">
        <f/>
        <v/>
      </c>
      <c r="AM54">
        <f/>
        <v/>
      </c>
      <c r="AN54">
        <f/>
        <v/>
      </c>
      <c r="AO54">
        <f/>
        <v/>
      </c>
      <c r="AP54">
        <f/>
        <v/>
      </c>
      <c r="AQ54">
        <f/>
        <v/>
      </c>
      <c r="AR54">
        <f/>
        <v/>
      </c>
      <c r="AS54">
        <f/>
        <v/>
      </c>
      <c r="AT54">
        <f/>
        <v/>
      </c>
      <c r="AU54">
        <f/>
        <v/>
      </c>
      <c r="AV54">
        <f/>
        <v/>
      </c>
      <c r="AW54">
        <f/>
        <v/>
      </c>
      <c r="AX54">
        <f/>
        <v/>
      </c>
      <c r="AY54">
        <f/>
        <v/>
      </c>
      <c r="AZ54">
        <f/>
        <v/>
      </c>
      <c r="BA54">
        <f/>
        <v/>
      </c>
      <c r="BB54">
        <f/>
        <v/>
      </c>
      <c r="BC54">
        <f/>
        <v/>
      </c>
      <c r="BD54">
        <f/>
        <v/>
      </c>
      <c r="BE54">
        <f/>
        <v/>
      </c>
      <c r="BF54">
        <f/>
        <v/>
      </c>
    </row>
    <row r="55">
      <c r="P55">
        <f/>
        <v/>
      </c>
      <c r="Q55">
        <f/>
        <v/>
      </c>
      <c r="R55">
        <f/>
        <v/>
      </c>
      <c r="S55">
        <f/>
        <v/>
      </c>
      <c r="T55">
        <f/>
        <v/>
      </c>
      <c r="U55">
        <f/>
        <v/>
      </c>
      <c r="V55">
        <f/>
        <v/>
      </c>
      <c r="W55">
        <f/>
        <v/>
      </c>
      <c r="X55">
        <f/>
        <v/>
      </c>
      <c r="Y55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  <c r="AE55">
        <f/>
        <v/>
      </c>
      <c r="AF55">
        <f/>
        <v/>
      </c>
      <c r="AG55">
        <f/>
        <v/>
      </c>
      <c r="AH55">
        <f/>
        <v/>
      </c>
      <c r="AI55">
        <f/>
        <v/>
      </c>
      <c r="AJ55">
        <f/>
        <v/>
      </c>
      <c r="AK55">
        <f/>
        <v/>
      </c>
      <c r="AL55">
        <f/>
        <v/>
      </c>
      <c r="AM55">
        <f/>
        <v/>
      </c>
      <c r="AN55">
        <f/>
        <v/>
      </c>
      <c r="AO55">
        <f/>
        <v/>
      </c>
      <c r="AP55">
        <f/>
        <v/>
      </c>
      <c r="AQ55">
        <f/>
        <v/>
      </c>
      <c r="AR55">
        <f/>
        <v/>
      </c>
      <c r="AS55">
        <f/>
        <v/>
      </c>
      <c r="AT55">
        <f/>
        <v/>
      </c>
      <c r="AU55">
        <f/>
        <v/>
      </c>
      <c r="AV55">
        <f/>
        <v/>
      </c>
      <c r="AW55">
        <f/>
        <v/>
      </c>
      <c r="AX55">
        <f/>
        <v/>
      </c>
      <c r="AY55">
        <f/>
        <v/>
      </c>
      <c r="AZ55">
        <f/>
        <v/>
      </c>
      <c r="BA55">
        <f/>
        <v/>
      </c>
      <c r="BB55">
        <f/>
        <v/>
      </c>
      <c r="BC55">
        <f/>
        <v/>
      </c>
      <c r="BD55">
        <f/>
        <v/>
      </c>
      <c r="BE55">
        <f/>
        <v/>
      </c>
      <c r="BF55">
        <f/>
        <v/>
      </c>
    </row>
    <row r="56">
      <c r="P56">
        <f/>
        <v/>
      </c>
      <c r="Q56">
        <f/>
        <v/>
      </c>
      <c r="R56">
        <f/>
        <v/>
      </c>
      <c r="S56">
        <f/>
        <v/>
      </c>
      <c r="T56">
        <f/>
        <v/>
      </c>
      <c r="U56">
        <f/>
        <v/>
      </c>
      <c r="V56">
        <f/>
        <v/>
      </c>
      <c r="W56">
        <f/>
        <v/>
      </c>
      <c r="X56">
        <f/>
        <v/>
      </c>
      <c r="Y56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  <c r="AE56">
        <f/>
        <v/>
      </c>
      <c r="AF56">
        <f/>
        <v/>
      </c>
      <c r="AG56">
        <f/>
        <v/>
      </c>
      <c r="AH56">
        <f/>
        <v/>
      </c>
      <c r="AI56">
        <f/>
        <v/>
      </c>
      <c r="AJ56">
        <f/>
        <v/>
      </c>
      <c r="AK56">
        <f/>
        <v/>
      </c>
      <c r="AL56">
        <f/>
        <v/>
      </c>
      <c r="AM56">
        <f/>
        <v/>
      </c>
      <c r="AN56">
        <f/>
        <v/>
      </c>
      <c r="AO56">
        <f/>
        <v/>
      </c>
      <c r="AP56">
        <f/>
        <v/>
      </c>
      <c r="AQ56">
        <f/>
        <v/>
      </c>
      <c r="AR56">
        <f/>
        <v/>
      </c>
      <c r="AS56">
        <f/>
        <v/>
      </c>
      <c r="AT56">
        <f/>
        <v/>
      </c>
      <c r="AU56">
        <f/>
        <v/>
      </c>
      <c r="AV56">
        <f/>
        <v/>
      </c>
      <c r="AW56">
        <f/>
        <v/>
      </c>
      <c r="AX56">
        <f/>
        <v/>
      </c>
      <c r="AY56">
        <f/>
        <v/>
      </c>
      <c r="AZ56">
        <f/>
        <v/>
      </c>
      <c r="BA56">
        <f/>
        <v/>
      </c>
      <c r="BB56">
        <f/>
        <v/>
      </c>
      <c r="BC56">
        <f/>
        <v/>
      </c>
      <c r="BD56">
        <f/>
        <v/>
      </c>
      <c r="BE56">
        <f/>
        <v/>
      </c>
      <c r="BF56">
        <f/>
        <v/>
      </c>
    </row>
    <row r="57">
      <c r="P57">
        <f/>
        <v/>
      </c>
      <c r="Q57">
        <f/>
        <v/>
      </c>
      <c r="R57">
        <f/>
        <v/>
      </c>
      <c r="S57">
        <f/>
        <v/>
      </c>
      <c r="T57">
        <f/>
        <v/>
      </c>
      <c r="U57">
        <f/>
        <v/>
      </c>
      <c r="V57">
        <f/>
        <v/>
      </c>
      <c r="W57">
        <f/>
        <v/>
      </c>
      <c r="X57">
        <f/>
        <v/>
      </c>
      <c r="Y57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  <c r="AE57">
        <f/>
        <v/>
      </c>
      <c r="AF57">
        <f/>
        <v/>
      </c>
      <c r="AG57">
        <f/>
        <v/>
      </c>
      <c r="AH57">
        <f/>
        <v/>
      </c>
      <c r="AI57">
        <f/>
        <v/>
      </c>
      <c r="AJ57">
        <f/>
        <v/>
      </c>
      <c r="AK57">
        <f/>
        <v/>
      </c>
      <c r="AL57">
        <f/>
        <v/>
      </c>
      <c r="AM57">
        <f/>
        <v/>
      </c>
      <c r="AN57">
        <f/>
        <v/>
      </c>
      <c r="AO57">
        <f/>
        <v/>
      </c>
      <c r="AP57">
        <f/>
        <v/>
      </c>
      <c r="AQ57">
        <f/>
        <v/>
      </c>
      <c r="AR57">
        <f/>
        <v/>
      </c>
      <c r="AS57">
        <f/>
        <v/>
      </c>
      <c r="AT57">
        <f/>
        <v/>
      </c>
      <c r="AU57">
        <f/>
        <v/>
      </c>
      <c r="AV57">
        <f/>
        <v/>
      </c>
      <c r="AW57">
        <f/>
        <v/>
      </c>
      <c r="AX57">
        <f/>
        <v/>
      </c>
      <c r="AY57">
        <f/>
        <v/>
      </c>
      <c r="AZ57">
        <f/>
        <v/>
      </c>
      <c r="BA57">
        <f/>
        <v/>
      </c>
      <c r="BB57">
        <f/>
        <v/>
      </c>
      <c r="BC57">
        <f/>
        <v/>
      </c>
      <c r="BD57">
        <f/>
        <v/>
      </c>
      <c r="BE57">
        <f/>
        <v/>
      </c>
      <c r="BF57">
        <f/>
        <v/>
      </c>
    </row>
    <row r="58">
      <c r="P58">
        <f/>
        <v/>
      </c>
      <c r="Q58">
        <f/>
        <v/>
      </c>
      <c r="R58">
        <f/>
        <v/>
      </c>
      <c r="S58">
        <f/>
        <v/>
      </c>
      <c r="T58">
        <f/>
        <v/>
      </c>
      <c r="U58">
        <f/>
        <v/>
      </c>
      <c r="V58">
        <f/>
        <v/>
      </c>
      <c r="W58">
        <f/>
        <v/>
      </c>
      <c r="X58">
        <f/>
        <v/>
      </c>
      <c r="Y58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  <c r="AE58">
        <f/>
        <v/>
      </c>
      <c r="AF58">
        <f/>
        <v/>
      </c>
      <c r="AG58">
        <f/>
        <v/>
      </c>
      <c r="AH58">
        <f/>
        <v/>
      </c>
      <c r="AI58">
        <f/>
        <v/>
      </c>
      <c r="AJ58">
        <f/>
        <v/>
      </c>
      <c r="AK58">
        <f/>
        <v/>
      </c>
      <c r="AL58">
        <f/>
        <v/>
      </c>
      <c r="AM58">
        <f/>
        <v/>
      </c>
      <c r="AN58">
        <f/>
        <v/>
      </c>
      <c r="AO58">
        <f/>
        <v/>
      </c>
      <c r="AP58">
        <f/>
        <v/>
      </c>
      <c r="AQ58">
        <f/>
        <v/>
      </c>
      <c r="AR58">
        <f/>
        <v/>
      </c>
      <c r="AS58">
        <f/>
        <v/>
      </c>
      <c r="AT58">
        <f/>
        <v/>
      </c>
      <c r="AU58">
        <f/>
        <v/>
      </c>
      <c r="AV58">
        <f/>
        <v/>
      </c>
      <c r="AW58">
        <f/>
        <v/>
      </c>
      <c r="AX58">
        <f/>
        <v/>
      </c>
      <c r="AY58">
        <f/>
        <v/>
      </c>
      <c r="AZ58">
        <f/>
        <v/>
      </c>
      <c r="BA58">
        <f/>
        <v/>
      </c>
      <c r="BB58">
        <f/>
        <v/>
      </c>
      <c r="BC58">
        <f/>
        <v/>
      </c>
      <c r="BD58">
        <f/>
        <v/>
      </c>
      <c r="BE58">
        <f/>
        <v/>
      </c>
      <c r="BF58">
        <f/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codeName="Feuil11">
    <outlinePr summaryBelow="1" summaryRight="1"/>
    <pageSetUpPr/>
  </sheetPr>
  <dimension ref="A1:I1218"/>
  <sheetViews>
    <sheetView workbookViewId="0">
      <selection activeCell="B9" sqref="B9"/>
    </sheetView>
  </sheetViews>
  <sheetFormatPr baseColWidth="10" defaultColWidth="11" defaultRowHeight="16"/>
  <cols>
    <col width="4.33203125" customWidth="1" min="1" max="1"/>
    <col width="22.83203125" customWidth="1" min="2" max="2"/>
    <col width="26" customWidth="1" min="3" max="3"/>
    <col width="20.6640625" customWidth="1" min="4" max="4"/>
    <col width="18.83203125" customWidth="1" min="5" max="5"/>
    <col width="25.5" customWidth="1" min="6" max="6"/>
    <col width="23.5" customWidth="1" min="7" max="7"/>
    <col width="16" customWidth="1" min="8" max="8"/>
    <col width="14.1640625" customWidth="1" min="9" max="9"/>
    <col width="25.5" customWidth="1" min="10" max="10"/>
  </cols>
  <sheetData>
    <row r="1">
      <c r="A1" t="inlineStr">
        <is>
          <t>Logs</t>
        </is>
      </c>
    </row>
    <row r="122">
      <c r="A122" t="n">
        <v>3</v>
      </c>
      <c r="B122" t="inlineStr">
        <is>
          <t>Cornichons aigres-douxCornichon doux</t>
        </is>
      </c>
      <c r="C122" t="inlineStr">
        <is>
          <t>Graine D'Aneth</t>
        </is>
      </c>
      <c r="D122" t="inlineStr">
        <is>
          <t>productionInKg</t>
        </is>
      </c>
      <c r="E122" t="n">
        <v>135</v>
      </c>
      <c r="F122" t="inlineStr">
        <is>
          <t>inversReductionIngredient</t>
        </is>
      </c>
      <c r="H122" t="inlineStr">
        <is>
          <t>finalValue</t>
        </is>
      </c>
      <c r="I122" t="n">
        <v>0.04528681650452868</v>
      </c>
    </row>
    <row r="123">
      <c r="A123" t="n">
        <v>4</v>
      </c>
      <c r="B123" t="inlineStr">
        <is>
          <t>Cornichons aigres-douxCornichon doux</t>
        </is>
      </c>
      <c r="C123" t="inlineStr">
        <is>
          <t>Graine D'Aneth</t>
        </is>
      </c>
      <c r="D123" t="inlineStr">
        <is>
          <t>PROD</t>
        </is>
      </c>
      <c r="E123" t="inlineStr">
        <is>
          <t>aneth</t>
        </is>
      </c>
      <c r="F123" t="inlineStr">
        <is>
          <t>productionToAdd</t>
        </is>
      </c>
      <c r="G123" t="n">
        <v>0.04528681650452868</v>
      </c>
      <c r="H123" t="inlineStr">
        <is>
          <t>currentCell</t>
        </is>
      </c>
      <c r="I123" t="n">
        <v>0.04528681650452868</v>
      </c>
    </row>
    <row r="124">
      <c r="A124" t="n">
        <v>1</v>
      </c>
      <c r="B124" t="inlineStr">
        <is>
          <t>Cumin graineEpice 100ml</t>
        </is>
      </c>
      <c r="D124" t="inlineStr">
        <is>
          <t>annee</t>
        </is>
      </c>
      <c r="E124" t="n">
        <v>1</v>
      </c>
      <c r="F124" t="inlineStr">
        <is>
          <t>prod</t>
        </is>
      </c>
      <c r="G124" t="n">
        <v>16.8</v>
      </c>
    </row>
    <row r="125">
      <c r="A125" t="n">
        <v>2</v>
      </c>
      <c r="B125" t="inlineStr">
        <is>
          <t>Cumin graineEpice 100ml</t>
        </is>
      </c>
      <c r="C125" t="inlineStr">
        <is>
          <t>Graine De Cumin</t>
        </is>
      </c>
      <c r="D125" t="inlineStr">
        <is>
          <t>recetteProportion</t>
        </is>
      </c>
      <c r="E125" t="n">
        <v>1</v>
      </c>
    </row>
    <row r="126">
      <c r="A126" t="n">
        <v>3</v>
      </c>
      <c r="B126" t="inlineStr">
        <is>
          <t>Cumin graineEpice 100ml</t>
        </is>
      </c>
      <c r="C126" t="inlineStr">
        <is>
          <t>Graine De Cumin</t>
        </is>
      </c>
      <c r="D126" t="inlineStr">
        <is>
          <t>productionInKg</t>
        </is>
      </c>
      <c r="E126" t="n">
        <v>16.8</v>
      </c>
      <c r="F126" t="inlineStr">
        <is>
          <t>inversReductionIngredient</t>
        </is>
      </c>
      <c r="H126" t="inlineStr">
        <is>
          <t>finalValue</t>
        </is>
      </c>
      <c r="I126" t="n">
        <v>11.76</v>
      </c>
    </row>
    <row r="127">
      <c r="A127" t="n">
        <v>4</v>
      </c>
      <c r="B127" t="inlineStr">
        <is>
          <t>Cumin graineEpice 100ml</t>
        </is>
      </c>
      <c r="C127" t="inlineStr">
        <is>
          <t>Graine De Cumin</t>
        </is>
      </c>
      <c r="D127" t="inlineStr">
        <is>
          <t>PROD</t>
        </is>
      </c>
      <c r="E127" t="inlineStr">
        <is>
          <t>graine cumin</t>
        </is>
      </c>
      <c r="F127" t="inlineStr">
        <is>
          <t>productionToAdd</t>
        </is>
      </c>
      <c r="G127" t="n">
        <v>11.76</v>
      </c>
      <c r="H127" t="inlineStr">
        <is>
          <t>currentCell</t>
        </is>
      </c>
      <c r="I127" t="n">
        <v>11.76</v>
      </c>
    </row>
    <row r="128">
      <c r="A128" t="n">
        <v>1</v>
      </c>
      <c r="B128" t="inlineStr">
        <is>
          <t>Cumin graineEpice 100ml</t>
        </is>
      </c>
      <c r="D128" t="inlineStr">
        <is>
          <t>annee</t>
        </is>
      </c>
      <c r="E128" t="n">
        <v>2</v>
      </c>
      <c r="F128" t="inlineStr">
        <is>
          <t>prod</t>
        </is>
      </c>
      <c r="G128" t="n">
        <v>16.8</v>
      </c>
    </row>
    <row r="129">
      <c r="A129" t="n">
        <v>2</v>
      </c>
      <c r="B129" t="inlineStr">
        <is>
          <t>Cumin graineEpice 100ml</t>
        </is>
      </c>
      <c r="C129" t="inlineStr">
        <is>
          <t>Graine De Cumin</t>
        </is>
      </c>
      <c r="D129" t="inlineStr">
        <is>
          <t>recetteProportion</t>
        </is>
      </c>
      <c r="E129" t="n">
        <v>1</v>
      </c>
    </row>
    <row r="130">
      <c r="A130" t="n">
        <v>3</v>
      </c>
      <c r="B130" t="inlineStr">
        <is>
          <t>Cumin graineEpice 100ml</t>
        </is>
      </c>
      <c r="C130" t="inlineStr">
        <is>
          <t>Graine De Cumin</t>
        </is>
      </c>
      <c r="D130" t="inlineStr">
        <is>
          <t>productionInKg</t>
        </is>
      </c>
      <c r="E130" t="n">
        <v>16.8</v>
      </c>
      <c r="F130" t="inlineStr">
        <is>
          <t>inversReductionIngredient</t>
        </is>
      </c>
      <c r="H130" t="inlineStr">
        <is>
          <t>finalValue</t>
        </is>
      </c>
      <c r="I130" t="n">
        <v>11.76</v>
      </c>
    </row>
    <row r="131">
      <c r="A131" t="n">
        <v>4</v>
      </c>
      <c r="B131" t="inlineStr">
        <is>
          <t>Cumin graineEpice 100ml</t>
        </is>
      </c>
      <c r="C131" t="inlineStr">
        <is>
          <t>Graine De Cumin</t>
        </is>
      </c>
      <c r="D131" t="inlineStr">
        <is>
          <t>PROD</t>
        </is>
      </c>
      <c r="E131" t="inlineStr">
        <is>
          <t>graine cumin</t>
        </is>
      </c>
      <c r="F131" t="inlineStr">
        <is>
          <t>productionToAdd</t>
        </is>
      </c>
      <c r="G131" t="n">
        <v>11.76</v>
      </c>
      <c r="H131" t="inlineStr">
        <is>
          <t>currentCell</t>
        </is>
      </c>
      <c r="I131" t="n">
        <v>11.76</v>
      </c>
    </row>
    <row r="132">
      <c r="A132" t="n">
        <v>1</v>
      </c>
      <c r="B132" t="inlineStr">
        <is>
          <t>Cumin mouluEpice 100ml</t>
        </is>
      </c>
      <c r="D132" t="inlineStr">
        <is>
          <t>annee</t>
        </is>
      </c>
      <c r="E132" t="n">
        <v>1</v>
      </c>
      <c r="F132" t="inlineStr">
        <is>
          <t>prod</t>
        </is>
      </c>
      <c r="G132" t="n">
        <v>21</v>
      </c>
    </row>
    <row r="133">
      <c r="A133" t="n">
        <v>2</v>
      </c>
      <c r="B133" t="inlineStr">
        <is>
          <t>Cumin mouluEpice 100ml</t>
        </is>
      </c>
      <c r="C133" t="inlineStr">
        <is>
          <t>Cumin Moulu</t>
        </is>
      </c>
      <c r="D133" t="inlineStr">
        <is>
          <t>recetteProportion</t>
        </is>
      </c>
      <c r="E133" t="n">
        <v>1</v>
      </c>
    </row>
    <row r="135">
      <c r="A135" t="n">
        <v>4</v>
      </c>
      <c r="B135" t="inlineStr">
        <is>
          <t>Cumin mouluEpice 100ml</t>
        </is>
      </c>
      <c r="C135" t="inlineStr">
        <is>
          <t>Cumin Moulu</t>
        </is>
      </c>
      <c r="D135" t="inlineStr">
        <is>
          <t>PROD</t>
        </is>
      </c>
      <c r="E135" t="inlineStr">
        <is>
          <t>graine cumin</t>
        </is>
      </c>
      <c r="F135" t="inlineStr">
        <is>
          <t>productionToAdd</t>
        </is>
      </c>
      <c r="G135" t="n">
        <v>14.7</v>
      </c>
      <c r="H135" t="inlineStr">
        <is>
          <t>currentCell</t>
        </is>
      </c>
      <c r="I135" t="n">
        <v>26.46</v>
      </c>
    </row>
    <row r="136">
      <c r="A136" t="n">
        <v>1</v>
      </c>
      <c r="B136" t="inlineStr">
        <is>
          <t>Cumin mouluEpice 100ml</t>
        </is>
      </c>
      <c r="D136" t="inlineStr">
        <is>
          <t>annee</t>
        </is>
      </c>
      <c r="E136" t="n">
        <v>2</v>
      </c>
      <c r="F136" t="inlineStr">
        <is>
          <t>prod</t>
        </is>
      </c>
      <c r="G136" t="n">
        <v>21</v>
      </c>
    </row>
    <row r="137">
      <c r="A137" t="n">
        <v>2</v>
      </c>
      <c r="B137" t="inlineStr">
        <is>
          <t>Cumin mouluEpice 100ml</t>
        </is>
      </c>
      <c r="C137" t="inlineStr">
        <is>
          <t>Cumin Moulu</t>
        </is>
      </c>
      <c r="D137" t="inlineStr">
        <is>
          <t>recetteProportion</t>
        </is>
      </c>
      <c r="E137" t="n">
        <v>1</v>
      </c>
    </row>
    <row r="138">
      <c r="A138" t="n">
        <v>3</v>
      </c>
      <c r="B138" t="inlineStr">
        <is>
          <t>Cumin mouluEpice 100ml</t>
        </is>
      </c>
      <c r="C138" t="inlineStr">
        <is>
          <t>Cumin Moulu</t>
        </is>
      </c>
      <c r="D138" t="inlineStr">
        <is>
          <t>productionInKg</t>
        </is>
      </c>
      <c r="E138" t="n">
        <v>21</v>
      </c>
      <c r="F138" t="inlineStr">
        <is>
          <t>inversReductionIngredient</t>
        </is>
      </c>
      <c r="H138" t="inlineStr">
        <is>
          <t>finalValue</t>
        </is>
      </c>
      <c r="I138" t="n">
        <v>14.7</v>
      </c>
    </row>
    <row r="139">
      <c r="A139" t="n">
        <v>4</v>
      </c>
      <c r="B139" t="inlineStr">
        <is>
          <t>Cumin mouluEpice 100ml</t>
        </is>
      </c>
      <c r="C139" t="inlineStr">
        <is>
          <t>Cumin Moulu</t>
        </is>
      </c>
      <c r="D139" t="inlineStr">
        <is>
          <t>PROD</t>
        </is>
      </c>
      <c r="E139" t="inlineStr">
        <is>
          <t>graine cumin</t>
        </is>
      </c>
      <c r="F139" t="inlineStr">
        <is>
          <t>productionToAdd</t>
        </is>
      </c>
      <c r="G139" t="n">
        <v>14.7</v>
      </c>
      <c r="H139" t="inlineStr">
        <is>
          <t>currentCell</t>
        </is>
      </c>
      <c r="I139" t="n">
        <v>26.46</v>
      </c>
    </row>
    <row r="140">
      <c r="A140" t="n">
        <v>1</v>
      </c>
      <c r="B140" t="inlineStr">
        <is>
          <t>epices viandes rougesEpice 100ml</t>
        </is>
      </c>
      <c r="D140" t="inlineStr">
        <is>
          <t>annee</t>
        </is>
      </c>
      <c r="E140" t="n">
        <v>1</v>
      </c>
      <c r="F140" t="inlineStr">
        <is>
          <t>prod</t>
        </is>
      </c>
      <c r="G140" t="n">
        <v>21</v>
      </c>
    </row>
    <row r="142">
      <c r="A142" t="n">
        <v>3</v>
      </c>
      <c r="B142" t="inlineStr">
        <is>
          <t>epices viandes rougesEpice 100ml</t>
        </is>
      </c>
      <c r="C142" t="inlineStr">
        <is>
          <t>Paprika Fummer</t>
        </is>
      </c>
      <c r="D142" t="inlineStr">
        <is>
          <t>productionInKg</t>
        </is>
      </c>
      <c r="E142" t="n">
        <v>21</v>
      </c>
      <c r="F142" t="inlineStr">
        <is>
          <t>inversReductionIngredient</t>
        </is>
      </c>
      <c r="H142" t="inlineStr">
        <is>
          <t>finalValue</t>
        </is>
      </c>
      <c r="I142" t="n">
        <v>1.392265193370166</v>
      </c>
    </row>
    <row r="143">
      <c r="A143" t="n">
        <v>4</v>
      </c>
      <c r="B143" t="inlineStr">
        <is>
          <t>epices viandes rougesEpice 100ml</t>
        </is>
      </c>
      <c r="C143" t="inlineStr">
        <is>
          <t>Paprika Fummer</t>
        </is>
      </c>
      <c r="D143" t="inlineStr">
        <is>
          <t>PROD</t>
        </is>
      </c>
      <c r="E143" t="inlineStr">
        <is>
          <t>piment doux rouge</t>
        </is>
      </c>
      <c r="F143" t="inlineStr">
        <is>
          <t>productionToAdd</t>
        </is>
      </c>
      <c r="G143" t="n">
        <v>1.392265193370166</v>
      </c>
      <c r="H143" t="inlineStr">
        <is>
          <t>currentCell</t>
        </is>
      </c>
      <c r="I143" t="n">
        <v>1.392265193370166</v>
      </c>
    </row>
    <row r="144">
      <c r="A144" t="n">
        <v>2</v>
      </c>
      <c r="B144" t="inlineStr">
        <is>
          <t>epices viandes rougesEpice 100ml</t>
        </is>
      </c>
      <c r="C144" t="inlineStr">
        <is>
          <t>Cumin Moulu</t>
        </is>
      </c>
      <c r="D144" t="inlineStr">
        <is>
          <t>recetteProportion</t>
        </is>
      </c>
      <c r="E144" t="n">
        <v>0.1104972375690608</v>
      </c>
    </row>
    <row r="145">
      <c r="A145" t="n">
        <v>3</v>
      </c>
      <c r="B145" t="inlineStr">
        <is>
          <t>epices viandes rougesEpice 100ml</t>
        </is>
      </c>
      <c r="C145" t="inlineStr">
        <is>
          <t>Cumin Moulu</t>
        </is>
      </c>
      <c r="D145" t="inlineStr">
        <is>
          <t>productionInKg</t>
        </is>
      </c>
      <c r="E145" t="n">
        <v>21</v>
      </c>
      <c r="F145" t="inlineStr">
        <is>
          <t>inversReductionIngredient</t>
        </is>
      </c>
      <c r="H145" t="inlineStr">
        <is>
          <t>finalValue</t>
        </is>
      </c>
      <c r="I145" t="n">
        <v>1.624309392265193</v>
      </c>
    </row>
    <row r="146">
      <c r="A146" t="n">
        <v>4</v>
      </c>
      <c r="B146" t="inlineStr">
        <is>
          <t>epices viandes rougesEpice 100ml</t>
        </is>
      </c>
      <c r="C146" t="inlineStr">
        <is>
          <t>Cumin Moulu</t>
        </is>
      </c>
      <c r="D146" t="inlineStr">
        <is>
          <t>PROD</t>
        </is>
      </c>
      <c r="E146" t="inlineStr">
        <is>
          <t>graine cumin</t>
        </is>
      </c>
      <c r="F146" t="inlineStr">
        <is>
          <t>productionToAdd</t>
        </is>
      </c>
      <c r="G146" t="n">
        <v>1.624309392265193</v>
      </c>
      <c r="H146" t="inlineStr">
        <is>
          <t>currentCell</t>
        </is>
      </c>
      <c r="I146" t="n">
        <v>28.08430939226519</v>
      </c>
    </row>
    <row r="147">
      <c r="A147" t="n">
        <v>2</v>
      </c>
      <c r="B147" t="inlineStr">
        <is>
          <t>epices viandes rougesEpice 100ml</t>
        </is>
      </c>
      <c r="C147" t="inlineStr">
        <is>
          <t>Origan</t>
        </is>
      </c>
      <c r="D147" t="inlineStr">
        <is>
          <t>recetteProportion</t>
        </is>
      </c>
      <c r="E147" t="n">
        <v>0.1104972375690608</v>
      </c>
    </row>
    <row r="148">
      <c r="A148" t="n">
        <v>3</v>
      </c>
      <c r="B148" t="inlineStr">
        <is>
          <t>epices viandes rougesEpice 100ml</t>
        </is>
      </c>
      <c r="C148" t="inlineStr">
        <is>
          <t>Origan</t>
        </is>
      </c>
      <c r="D148" t="inlineStr">
        <is>
          <t>productionInKg</t>
        </is>
      </c>
      <c r="E148" t="n">
        <v>21</v>
      </c>
      <c r="F148" t="inlineStr">
        <is>
          <t>inversReductionIngredient</t>
        </is>
      </c>
      <c r="H148" t="inlineStr">
        <is>
          <t>finalValue</t>
        </is>
      </c>
      <c r="I148" t="n">
        <v>0.4640883977900552</v>
      </c>
    </row>
    <row r="149">
      <c r="A149" t="n">
        <v>4</v>
      </c>
      <c r="B149" t="inlineStr">
        <is>
          <t>epices viandes rougesEpice 100ml</t>
        </is>
      </c>
      <c r="C149" t="inlineStr">
        <is>
          <t>Origan</t>
        </is>
      </c>
      <c r="D149" t="inlineStr">
        <is>
          <t>PROD</t>
        </is>
      </c>
      <c r="E149" t="inlineStr">
        <is>
          <t>origan</t>
        </is>
      </c>
      <c r="F149" t="inlineStr">
        <is>
          <t>productionToAdd</t>
        </is>
      </c>
      <c r="G149" t="n">
        <v>0.4640883977900552</v>
      </c>
      <c r="H149" t="inlineStr">
        <is>
          <t>currentCell</t>
        </is>
      </c>
      <c r="I149" t="n">
        <v>0.4640883977900552</v>
      </c>
    </row>
    <row r="150">
      <c r="A150" t="n">
        <v>2</v>
      </c>
      <c r="B150" t="inlineStr">
        <is>
          <t>epices viandes rougesEpice 100ml</t>
        </is>
      </c>
      <c r="C150" t="inlineStr">
        <is>
          <t>Graine De Moutarde</t>
        </is>
      </c>
      <c r="D150" t="inlineStr">
        <is>
          <t>recetteProportion</t>
        </is>
      </c>
      <c r="E150" t="n">
        <v>0.1104972375690608</v>
      </c>
    </row>
    <row r="151">
      <c r="A151" t="n">
        <v>3</v>
      </c>
      <c r="B151" t="inlineStr">
        <is>
          <t>epices viandes rougesEpice 100ml</t>
        </is>
      </c>
      <c r="C151" t="inlineStr">
        <is>
          <t>Graine De Moutarde</t>
        </is>
      </c>
      <c r="D151" t="inlineStr">
        <is>
          <t>productionInKg</t>
        </is>
      </c>
      <c r="E151" t="n">
        <v>21</v>
      </c>
      <c r="F151" t="inlineStr">
        <is>
          <t>inversReductionIngredient</t>
        </is>
      </c>
      <c r="H151" t="inlineStr">
        <is>
          <t>finalValue</t>
        </is>
      </c>
      <c r="I151" t="n">
        <v>1.624309392265193</v>
      </c>
    </row>
    <row r="152">
      <c r="A152" t="n">
        <v>4</v>
      </c>
      <c r="B152" t="inlineStr">
        <is>
          <t>epices viandes rougesEpice 100ml</t>
        </is>
      </c>
      <c r="C152" t="inlineStr">
        <is>
          <t>Graine De Moutarde</t>
        </is>
      </c>
      <c r="D152" t="inlineStr">
        <is>
          <t>PROD</t>
        </is>
      </c>
      <c r="E152" t="inlineStr">
        <is>
          <t>graine de moutarde</t>
        </is>
      </c>
      <c r="F152" t="inlineStr">
        <is>
          <t>productionToAdd</t>
        </is>
      </c>
      <c r="G152" t="n">
        <v>1.624309392265193</v>
      </c>
      <c r="H152" t="inlineStr">
        <is>
          <t>currentCell</t>
        </is>
      </c>
      <c r="I152" t="n">
        <v>10.96865121616281</v>
      </c>
    </row>
    <row r="153">
      <c r="A153" t="n">
        <v>2</v>
      </c>
      <c r="B153" t="inlineStr">
        <is>
          <t>epices viandes rougesEpice 100ml</t>
        </is>
      </c>
      <c r="C153" t="inlineStr">
        <is>
          <t>Thym</t>
        </is>
      </c>
      <c r="D153" t="inlineStr">
        <is>
          <t>recetteProportion</t>
        </is>
      </c>
      <c r="E153" t="n">
        <v>0.3314917127071823</v>
      </c>
    </row>
    <row r="154">
      <c r="A154" t="n">
        <v>3</v>
      </c>
      <c r="B154" t="inlineStr">
        <is>
          <t>epices viandes rougesEpice 100ml</t>
        </is>
      </c>
      <c r="C154" t="inlineStr">
        <is>
          <t>Thym</t>
        </is>
      </c>
      <c r="D154" t="inlineStr">
        <is>
          <t>productionInKg</t>
        </is>
      </c>
      <c r="E154" t="n">
        <v>21</v>
      </c>
      <c r="F154" t="inlineStr">
        <is>
          <t>inversReductionIngredient</t>
        </is>
      </c>
      <c r="H154" t="inlineStr">
        <is>
          <t>finalValue</t>
        </is>
      </c>
      <c r="I154" t="n">
        <v>2.43646408839779</v>
      </c>
    </row>
    <row r="155">
      <c r="A155" t="n">
        <v>4</v>
      </c>
      <c r="B155" t="inlineStr">
        <is>
          <t>epices viandes rougesEpice 100ml</t>
        </is>
      </c>
      <c r="C155" t="inlineStr">
        <is>
          <t>Thym</t>
        </is>
      </c>
      <c r="D155" t="inlineStr">
        <is>
          <t>PROD</t>
        </is>
      </c>
      <c r="E155" t="inlineStr">
        <is>
          <t>thym</t>
        </is>
      </c>
      <c r="F155" t="inlineStr">
        <is>
          <t>productionToAdd</t>
        </is>
      </c>
      <c r="G155" t="n">
        <v>2.43646408839779</v>
      </c>
      <c r="H155" t="inlineStr">
        <is>
          <t>currentCell</t>
        </is>
      </c>
      <c r="I155" t="n">
        <v>2.43646408839779</v>
      </c>
    </row>
    <row r="156">
      <c r="A156" t="n">
        <v>2</v>
      </c>
      <c r="B156" t="inlineStr">
        <is>
          <t>epices viandes rougesEpice 100ml</t>
        </is>
      </c>
      <c r="C156" t="inlineStr">
        <is>
          <t>Piment De Cayenne Jaune SEC</t>
        </is>
      </c>
      <c r="D156" t="inlineStr">
        <is>
          <t>recetteProportion</t>
        </is>
      </c>
      <c r="E156" t="n">
        <v>0.005524861878453038</v>
      </c>
    </row>
    <row r="157">
      <c r="A157" t="n">
        <v>1</v>
      </c>
      <c r="B157" t="inlineStr">
        <is>
          <t>epices viandes rougesEpice 100ml</t>
        </is>
      </c>
      <c r="D157" t="inlineStr">
        <is>
          <t>annee</t>
        </is>
      </c>
      <c r="E157" t="n">
        <v>2</v>
      </c>
      <c r="F157" t="inlineStr">
        <is>
          <t>prod</t>
        </is>
      </c>
      <c r="G157" t="n">
        <v>21</v>
      </c>
    </row>
    <row r="158">
      <c r="A158" t="n">
        <v>2</v>
      </c>
      <c r="B158" t="inlineStr">
        <is>
          <t>epices viandes rougesEpice 100ml</t>
        </is>
      </c>
      <c r="C158" t="inlineStr">
        <is>
          <t>Paprika Fummer</t>
        </is>
      </c>
      <c r="D158" t="inlineStr">
        <is>
          <t>recetteProportion</t>
        </is>
      </c>
      <c r="E158" t="n">
        <v>0.3314917127071823</v>
      </c>
    </row>
    <row r="159">
      <c r="A159" t="n">
        <v>3</v>
      </c>
      <c r="B159" t="inlineStr">
        <is>
          <t>epices viandes rougesEpice 100ml</t>
        </is>
      </c>
      <c r="C159" t="inlineStr">
        <is>
          <t>Paprika Fummer</t>
        </is>
      </c>
      <c r="D159" t="inlineStr">
        <is>
          <t>productionInKg</t>
        </is>
      </c>
      <c r="E159" t="n">
        <v>21</v>
      </c>
      <c r="F159" t="inlineStr">
        <is>
          <t>inversReductionIngredient</t>
        </is>
      </c>
      <c r="H159" t="inlineStr">
        <is>
          <t>finalValue</t>
        </is>
      </c>
      <c r="I159" t="n">
        <v>1.392265193370166</v>
      </c>
    </row>
    <row r="160">
      <c r="A160" t="n">
        <v>4</v>
      </c>
      <c r="B160" t="inlineStr">
        <is>
          <t>epices viandes rougesEpice 100ml</t>
        </is>
      </c>
      <c r="C160" t="inlineStr">
        <is>
          <t>Paprika Fummer</t>
        </is>
      </c>
      <c r="D160" t="inlineStr">
        <is>
          <t>PROD</t>
        </is>
      </c>
      <c r="E160" t="inlineStr">
        <is>
          <t>piment doux rouge</t>
        </is>
      </c>
      <c r="F160" t="inlineStr">
        <is>
          <t>productionToAdd</t>
        </is>
      </c>
      <c r="G160" t="n">
        <v>1.392265193370166</v>
      </c>
      <c r="H160" t="inlineStr">
        <is>
          <t>currentCell</t>
        </is>
      </c>
      <c r="I160" t="n">
        <v>1.392265193370166</v>
      </c>
    </row>
    <row r="161">
      <c r="A161" t="n">
        <v>2</v>
      </c>
      <c r="B161" t="inlineStr">
        <is>
          <t>epices viandes rougesEpice 100ml</t>
        </is>
      </c>
      <c r="C161" t="inlineStr">
        <is>
          <t>Cumin Moulu</t>
        </is>
      </c>
      <c r="D161" t="inlineStr">
        <is>
          <t>recetteProportion</t>
        </is>
      </c>
      <c r="E161" t="n">
        <v>0.1104972375690608</v>
      </c>
    </row>
    <row r="162">
      <c r="A162" t="n">
        <v>3</v>
      </c>
      <c r="B162" t="inlineStr">
        <is>
          <t>epices viandes rougesEpice 100ml</t>
        </is>
      </c>
      <c r="C162" t="inlineStr">
        <is>
          <t>Cumin Moulu</t>
        </is>
      </c>
      <c r="D162" t="inlineStr">
        <is>
          <t>productionInKg</t>
        </is>
      </c>
      <c r="E162" t="n">
        <v>21</v>
      </c>
      <c r="F162" t="inlineStr">
        <is>
          <t>inversReductionIngredient</t>
        </is>
      </c>
      <c r="H162" t="inlineStr">
        <is>
          <t>finalValue</t>
        </is>
      </c>
      <c r="I162" t="n">
        <v>1.624309392265193</v>
      </c>
    </row>
    <row r="164">
      <c r="A164" t="n">
        <v>2</v>
      </c>
      <c r="B164" t="inlineStr">
        <is>
          <t>epices viandes rougesEpice 100ml</t>
        </is>
      </c>
      <c r="C164" t="inlineStr">
        <is>
          <t>Origan</t>
        </is>
      </c>
      <c r="D164" t="inlineStr">
        <is>
          <t>recetteProportion</t>
        </is>
      </c>
      <c r="E164" t="n">
        <v>0.1104972375690608</v>
      </c>
    </row>
    <row r="165">
      <c r="A165" t="n">
        <v>3</v>
      </c>
      <c r="B165" t="inlineStr">
        <is>
          <t>epices viandes rougesEpice 100ml</t>
        </is>
      </c>
      <c r="C165" t="inlineStr">
        <is>
          <t>Origan</t>
        </is>
      </c>
      <c r="D165" t="inlineStr">
        <is>
          <t>productionInKg</t>
        </is>
      </c>
      <c r="E165" t="n">
        <v>21</v>
      </c>
      <c r="F165" t="inlineStr">
        <is>
          <t>inversReductionIngredient</t>
        </is>
      </c>
      <c r="H165" t="inlineStr">
        <is>
          <t>finalValue</t>
        </is>
      </c>
      <c r="I165" t="n">
        <v>0.4640883977900552</v>
      </c>
    </row>
    <row r="166">
      <c r="A166" t="n">
        <v>4</v>
      </c>
      <c r="B166" t="inlineStr">
        <is>
          <t>epices viandes rougesEpice 100ml</t>
        </is>
      </c>
      <c r="C166" t="inlineStr">
        <is>
          <t>Origan</t>
        </is>
      </c>
      <c r="D166" t="inlineStr">
        <is>
          <t>PROD</t>
        </is>
      </c>
      <c r="E166" t="inlineStr">
        <is>
          <t>origan</t>
        </is>
      </c>
      <c r="F166" t="inlineStr">
        <is>
          <t>productionToAdd</t>
        </is>
      </c>
      <c r="G166" t="n">
        <v>0.4640883977900552</v>
      </c>
      <c r="H166" t="inlineStr">
        <is>
          <t>currentCell</t>
        </is>
      </c>
      <c r="I166" t="n">
        <v>0.4640883977900552</v>
      </c>
    </row>
    <row r="167">
      <c r="A167" t="n">
        <v>2</v>
      </c>
      <c r="B167" t="inlineStr">
        <is>
          <t>epices viandes rougesEpice 100ml</t>
        </is>
      </c>
      <c r="C167" t="inlineStr">
        <is>
          <t>Graine De Moutarde</t>
        </is>
      </c>
      <c r="D167" t="inlineStr">
        <is>
          <t>recetteProportion</t>
        </is>
      </c>
      <c r="E167" t="n">
        <v>0.1104972375690608</v>
      </c>
    </row>
    <row r="168">
      <c r="A168" t="n">
        <v>3</v>
      </c>
      <c r="B168" t="inlineStr">
        <is>
          <t>epices viandes rougesEpice 100ml</t>
        </is>
      </c>
      <c r="C168" t="inlineStr">
        <is>
          <t>Graine De Moutarde</t>
        </is>
      </c>
      <c r="D168" t="inlineStr">
        <is>
          <t>productionInKg</t>
        </is>
      </c>
      <c r="E168" t="n">
        <v>21</v>
      </c>
      <c r="F168" t="inlineStr">
        <is>
          <t>inversReductionIngredient</t>
        </is>
      </c>
      <c r="H168" t="inlineStr">
        <is>
          <t>finalValue</t>
        </is>
      </c>
      <c r="I168" t="n">
        <v>1.624309392265193</v>
      </c>
    </row>
    <row r="169">
      <c r="A169" t="n">
        <v>4</v>
      </c>
      <c r="B169" t="inlineStr">
        <is>
          <t>epices viandes rougesEpice 100ml</t>
        </is>
      </c>
      <c r="C169" t="inlineStr">
        <is>
          <t>Graine De Moutarde</t>
        </is>
      </c>
      <c r="D169" t="inlineStr">
        <is>
          <t>PROD</t>
        </is>
      </c>
      <c r="E169" t="inlineStr">
        <is>
          <t>graine de moutarde</t>
        </is>
      </c>
      <c r="F169" t="inlineStr">
        <is>
          <t>productionToAdd</t>
        </is>
      </c>
      <c r="G169" t="n">
        <v>1.624309392265193</v>
      </c>
      <c r="H169" t="inlineStr">
        <is>
          <t>currentCell</t>
        </is>
      </c>
      <c r="I169" t="n">
        <v>10.96865121616281</v>
      </c>
    </row>
    <row r="170">
      <c r="A170" t="n">
        <v>2</v>
      </c>
      <c r="B170" t="inlineStr">
        <is>
          <t>epices viandes rougesEpice 100ml</t>
        </is>
      </c>
      <c r="C170" t="inlineStr">
        <is>
          <t>Thym</t>
        </is>
      </c>
      <c r="D170" t="inlineStr">
        <is>
          <t>recetteProportion</t>
        </is>
      </c>
      <c r="E170" t="n">
        <v>0.3314917127071823</v>
      </c>
    </row>
    <row r="171">
      <c r="A171" t="n">
        <v>3</v>
      </c>
      <c r="B171" t="inlineStr">
        <is>
          <t>epices viandes rougesEpice 100ml</t>
        </is>
      </c>
      <c r="C171" t="inlineStr">
        <is>
          <t>Thym</t>
        </is>
      </c>
      <c r="D171" t="inlineStr">
        <is>
          <t>productionInKg</t>
        </is>
      </c>
      <c r="E171" t="n">
        <v>21</v>
      </c>
      <c r="F171" t="inlineStr">
        <is>
          <t>inversReductionIngredient</t>
        </is>
      </c>
      <c r="H171" t="inlineStr">
        <is>
          <t>finalValue</t>
        </is>
      </c>
      <c r="I171" t="n">
        <v>2.43646408839779</v>
      </c>
    </row>
    <row r="172">
      <c r="A172" t="n">
        <v>4</v>
      </c>
      <c r="B172" t="inlineStr">
        <is>
          <t>epices viandes rougesEpice 100ml</t>
        </is>
      </c>
      <c r="C172" t="inlineStr">
        <is>
          <t>Thym</t>
        </is>
      </c>
      <c r="D172" t="inlineStr">
        <is>
          <t>PROD</t>
        </is>
      </c>
      <c r="E172" t="inlineStr">
        <is>
          <t>thym</t>
        </is>
      </c>
      <c r="F172" t="inlineStr">
        <is>
          <t>productionToAdd</t>
        </is>
      </c>
      <c r="G172" t="n">
        <v>2.43646408839779</v>
      </c>
      <c r="H172" t="inlineStr">
        <is>
          <t>currentCell</t>
        </is>
      </c>
      <c r="I172" t="n">
        <v>2.43646408839779</v>
      </c>
    </row>
    <row r="173">
      <c r="A173" t="n">
        <v>2</v>
      </c>
      <c r="B173" t="inlineStr">
        <is>
          <t>epices viandes rougesEpice 100ml</t>
        </is>
      </c>
      <c r="C173" t="inlineStr">
        <is>
          <t>Piment De Cayenne Jaune SEC</t>
        </is>
      </c>
      <c r="D173" t="inlineStr">
        <is>
          <t>recetteProportion</t>
        </is>
      </c>
      <c r="E173" t="n">
        <v>0.005524861878453038</v>
      </c>
    </row>
    <row r="174">
      <c r="A174" t="n">
        <v>1</v>
      </c>
      <c r="B174" t="inlineStr">
        <is>
          <t>GingembreEpice 100ml</t>
        </is>
      </c>
      <c r="D174" t="inlineStr">
        <is>
          <t>annee</t>
        </is>
      </c>
      <c r="E174" t="n">
        <v>1</v>
      </c>
      <c r="F174" t="inlineStr">
        <is>
          <t>prod</t>
        </is>
      </c>
      <c r="G174" t="n">
        <v>25.2</v>
      </c>
    </row>
    <row r="175">
      <c r="A175" t="n">
        <v>2</v>
      </c>
      <c r="B175" t="inlineStr">
        <is>
          <t>GingembreEpice 100ml</t>
        </is>
      </c>
      <c r="C175" t="inlineStr">
        <is>
          <t>Gingembre Sec</t>
        </is>
      </c>
      <c r="D175" t="inlineStr">
        <is>
          <t>recetteProportion</t>
        </is>
      </c>
      <c r="E175" t="n">
        <v>1</v>
      </c>
    </row>
    <row r="176">
      <c r="A176" t="n">
        <v>3</v>
      </c>
      <c r="B176" t="inlineStr">
        <is>
          <t>GingembreEpice 100ml</t>
        </is>
      </c>
      <c r="C176" t="inlineStr">
        <is>
          <t>Gingembre Sec</t>
        </is>
      </c>
      <c r="D176" t="inlineStr">
        <is>
          <t>productionInKg</t>
        </is>
      </c>
      <c r="E176" t="n">
        <v>25.2</v>
      </c>
      <c r="F176" t="inlineStr">
        <is>
          <t>inversReductionIngredient</t>
        </is>
      </c>
      <c r="H176" t="inlineStr">
        <is>
          <t>finalValue</t>
        </is>
      </c>
      <c r="I176" t="n">
        <v>21.42</v>
      </c>
    </row>
    <row r="177">
      <c r="A177" t="n">
        <v>4</v>
      </c>
      <c r="B177" t="inlineStr">
        <is>
          <t>GingembreEpice 100ml</t>
        </is>
      </c>
      <c r="C177" t="inlineStr">
        <is>
          <t>Gingembre Sec</t>
        </is>
      </c>
      <c r="D177" t="inlineStr">
        <is>
          <t>PROD</t>
        </is>
      </c>
      <c r="E177" t="inlineStr">
        <is>
          <t>gingembre</t>
        </is>
      </c>
      <c r="F177" t="inlineStr">
        <is>
          <t>productionToAdd</t>
        </is>
      </c>
      <c r="G177" t="n">
        <v>21.42</v>
      </c>
      <c r="H177" t="inlineStr">
        <is>
          <t>currentCell</t>
        </is>
      </c>
      <c r="I177" t="n">
        <v>21.42</v>
      </c>
    </row>
    <row r="178">
      <c r="A178" t="n">
        <v>1</v>
      </c>
      <c r="B178" t="inlineStr">
        <is>
          <t>GingembreEpice 100ml</t>
        </is>
      </c>
      <c r="D178" t="inlineStr">
        <is>
          <t>annee</t>
        </is>
      </c>
      <c r="E178" t="n">
        <v>2</v>
      </c>
      <c r="F178" t="inlineStr">
        <is>
          <t>prod</t>
        </is>
      </c>
      <c r="G178" t="n">
        <v>25.2</v>
      </c>
    </row>
    <row r="179">
      <c r="A179" t="n">
        <v>2</v>
      </c>
      <c r="B179" t="inlineStr">
        <is>
          <t>GingembreEpice 100ml</t>
        </is>
      </c>
      <c r="C179" t="inlineStr">
        <is>
          <t>Gingembre Sec</t>
        </is>
      </c>
      <c r="D179" t="inlineStr">
        <is>
          <t>recetteProportion</t>
        </is>
      </c>
      <c r="E179" t="n">
        <v>1</v>
      </c>
    </row>
    <row r="180">
      <c r="A180" t="n">
        <v>3</v>
      </c>
      <c r="B180" t="inlineStr">
        <is>
          <t>GingembreEpice 100ml</t>
        </is>
      </c>
      <c r="C180" t="inlineStr">
        <is>
          <t>Gingembre Sec</t>
        </is>
      </c>
      <c r="D180" t="inlineStr">
        <is>
          <t>productionInKg</t>
        </is>
      </c>
      <c r="E180" t="n">
        <v>25.2</v>
      </c>
      <c r="F180" t="inlineStr">
        <is>
          <t>inversReductionIngredient</t>
        </is>
      </c>
      <c r="H180" t="inlineStr">
        <is>
          <t>finalValue</t>
        </is>
      </c>
      <c r="I180" t="n">
        <v>21.42</v>
      </c>
    </row>
    <row r="181">
      <c r="A181" t="n">
        <v>4</v>
      </c>
      <c r="B181" t="inlineStr">
        <is>
          <t>GingembreEpice 100ml</t>
        </is>
      </c>
      <c r="C181" t="inlineStr">
        <is>
          <t>Gingembre Sec</t>
        </is>
      </c>
      <c r="D181" t="inlineStr">
        <is>
          <t>PROD</t>
        </is>
      </c>
      <c r="E181" t="inlineStr">
        <is>
          <t>gingembre</t>
        </is>
      </c>
      <c r="F181" t="inlineStr">
        <is>
          <t>productionToAdd</t>
        </is>
      </c>
      <c r="G181" t="n">
        <v>21.42</v>
      </c>
      <c r="H181" t="inlineStr">
        <is>
          <t>currentCell</t>
        </is>
      </c>
      <c r="I181" t="n">
        <v>21.42</v>
      </c>
    </row>
    <row r="182">
      <c r="A182" t="n">
        <v>1</v>
      </c>
      <c r="B182" t="inlineStr">
        <is>
          <t>Moutarde à l'estragonMoutarde verre 212 ml</t>
        </is>
      </c>
      <c r="D182" t="inlineStr">
        <is>
          <t>annee</t>
        </is>
      </c>
      <c r="E182" t="n">
        <v>1</v>
      </c>
      <c r="F182" t="inlineStr">
        <is>
          <t>prod</t>
        </is>
      </c>
      <c r="G182" t="n">
        <v>88.2</v>
      </c>
    </row>
    <row r="183">
      <c r="A183" t="n">
        <v>1</v>
      </c>
      <c r="B183" t="inlineStr">
        <is>
          <t>Moutarde à l'estragonMoutarde verre 212 ml</t>
        </is>
      </c>
      <c r="D183" t="inlineStr">
        <is>
          <t>annee</t>
        </is>
      </c>
      <c r="E183" t="n">
        <v>2</v>
      </c>
      <c r="F183" t="inlineStr">
        <is>
          <t>prod</t>
        </is>
      </c>
      <c r="G183" t="n">
        <v>88.2</v>
      </c>
    </row>
    <row r="184">
      <c r="A184" t="n">
        <v>1</v>
      </c>
      <c r="B184" t="inlineStr">
        <is>
          <t>Paprika fumeEpice 100ml</t>
        </is>
      </c>
      <c r="D184" t="inlineStr">
        <is>
          <t>annee</t>
        </is>
      </c>
      <c r="E184" t="n">
        <v>1</v>
      </c>
      <c r="F184" t="inlineStr">
        <is>
          <t>prod</t>
        </is>
      </c>
      <c r="G184" t="n">
        <v>25.2</v>
      </c>
    </row>
    <row r="186">
      <c r="A186" t="n">
        <v>3</v>
      </c>
      <c r="B186" t="inlineStr">
        <is>
          <t>Paprika fumeEpice 100ml</t>
        </is>
      </c>
      <c r="C186" t="inlineStr">
        <is>
          <t>Piment Doux Rouge En Poudre</t>
        </is>
      </c>
      <c r="D186" t="inlineStr">
        <is>
          <t>productionInKg</t>
        </is>
      </c>
      <c r="E186" t="n">
        <v>25.2</v>
      </c>
      <c r="F186" t="inlineStr">
        <is>
          <t>inversReductionIngredient</t>
        </is>
      </c>
      <c r="H186" t="inlineStr">
        <is>
          <t>finalValue</t>
        </is>
      </c>
      <c r="I186" t="n">
        <v>5.04</v>
      </c>
    </row>
    <row r="187">
      <c r="A187" t="n">
        <v>4</v>
      </c>
      <c r="B187" t="inlineStr">
        <is>
          <t>Paprika fumeEpice 100ml</t>
        </is>
      </c>
      <c r="C187" t="inlineStr">
        <is>
          <t>Piment Doux Rouge En Poudre</t>
        </is>
      </c>
      <c r="D187" t="inlineStr">
        <is>
          <t>PROD</t>
        </is>
      </c>
      <c r="E187" t="inlineStr">
        <is>
          <t>piment doux rouge</t>
        </is>
      </c>
      <c r="F187" t="inlineStr">
        <is>
          <t>productionToAdd</t>
        </is>
      </c>
      <c r="G187" t="n">
        <v>5.04</v>
      </c>
      <c r="H187" t="inlineStr">
        <is>
          <t>currentCell</t>
        </is>
      </c>
      <c r="I187" t="n">
        <v>6.432265193370165</v>
      </c>
    </row>
    <row r="188">
      <c r="A188" t="n">
        <v>1</v>
      </c>
      <c r="B188" t="inlineStr">
        <is>
          <t>Paprika fumeEpice 100ml</t>
        </is>
      </c>
      <c r="D188" t="inlineStr">
        <is>
          <t>annee</t>
        </is>
      </c>
      <c r="E188" t="n">
        <v>2</v>
      </c>
      <c r="F188" t="inlineStr">
        <is>
          <t>prod</t>
        </is>
      </c>
      <c r="G188" t="n">
        <v>25.2</v>
      </c>
    </row>
    <row r="189">
      <c r="A189" t="n">
        <v>2</v>
      </c>
      <c r="B189" t="inlineStr">
        <is>
          <t>Paprika fumeEpice 100ml</t>
        </is>
      </c>
      <c r="C189" t="inlineStr">
        <is>
          <t>Piment Doux Rouge En Poudre</t>
        </is>
      </c>
      <c r="D189" t="inlineStr">
        <is>
          <t>recetteProportion</t>
        </is>
      </c>
      <c r="E189" t="n">
        <v>1</v>
      </c>
    </row>
    <row r="190">
      <c r="A190" t="n">
        <v>3</v>
      </c>
      <c r="B190" t="inlineStr">
        <is>
          <t>Paprika fumeEpice 100ml</t>
        </is>
      </c>
      <c r="C190" t="inlineStr">
        <is>
          <t>Piment Doux Rouge En Poudre</t>
        </is>
      </c>
      <c r="D190" t="inlineStr">
        <is>
          <t>productionInKg</t>
        </is>
      </c>
      <c r="E190" t="n">
        <v>25.2</v>
      </c>
      <c r="F190" t="inlineStr">
        <is>
          <t>inversReductionIngredient</t>
        </is>
      </c>
      <c r="H190" t="inlineStr">
        <is>
          <t>finalValue</t>
        </is>
      </c>
      <c r="I190" t="n">
        <v>5.04</v>
      </c>
    </row>
    <row r="191">
      <c r="A191" t="n">
        <v>4</v>
      </c>
      <c r="B191" t="inlineStr">
        <is>
          <t>Paprika fumeEpice 100ml</t>
        </is>
      </c>
      <c r="C191" t="inlineStr">
        <is>
          <t>Piment Doux Rouge En Poudre</t>
        </is>
      </c>
      <c r="D191" t="inlineStr">
        <is>
          <t>PROD</t>
        </is>
      </c>
      <c r="E191" t="inlineStr">
        <is>
          <t>piment doux rouge</t>
        </is>
      </c>
      <c r="F191" t="inlineStr">
        <is>
          <t>productionToAdd</t>
        </is>
      </c>
      <c r="G191" t="n">
        <v>5.04</v>
      </c>
      <c r="H191" t="inlineStr">
        <is>
          <t>currentCell</t>
        </is>
      </c>
      <c r="I191" t="n">
        <v>6.432265193370165</v>
      </c>
    </row>
    <row r="192">
      <c r="A192" t="n">
        <v>1</v>
      </c>
      <c r="B192" t="inlineStr">
        <is>
          <t>Sirop de mentheSirop 500 ml</t>
        </is>
      </c>
      <c r="D192" t="inlineStr">
        <is>
          <t>annee</t>
        </is>
      </c>
      <c r="E192" t="n">
        <v>1</v>
      </c>
      <c r="F192" t="inlineStr">
        <is>
          <t>prod</t>
        </is>
      </c>
      <c r="G192" t="n">
        <v>210</v>
      </c>
    </row>
    <row r="193">
      <c r="A193" t="n">
        <v>1</v>
      </c>
      <c r="B193" t="inlineStr">
        <is>
          <t>Sirop de mentheSirop 500 ml</t>
        </is>
      </c>
      <c r="D193" t="inlineStr">
        <is>
          <t>annee</t>
        </is>
      </c>
      <c r="E193" t="n">
        <v>2</v>
      </c>
      <c r="F193" t="inlineStr">
        <is>
          <t>prod</t>
        </is>
      </c>
      <c r="G193" t="n">
        <v>210</v>
      </c>
    </row>
    <row r="194">
      <c r="A194" t="n">
        <v>1</v>
      </c>
      <c r="B194" t="inlineStr">
        <is>
          <t>Sucre aux fleuresEpice 100ml</t>
        </is>
      </c>
      <c r="D194" t="inlineStr">
        <is>
          <t>annee</t>
        </is>
      </c>
      <c r="E194" t="n">
        <v>1</v>
      </c>
      <c r="F194" t="inlineStr">
        <is>
          <t>prod</t>
        </is>
      </c>
      <c r="G194" t="n">
        <v>31.5</v>
      </c>
    </row>
    <row r="195">
      <c r="A195" t="n">
        <v>2</v>
      </c>
      <c r="B195" t="inlineStr">
        <is>
          <t>Sucre aux fleuresEpice 100ml</t>
        </is>
      </c>
      <c r="C195" t="inlineStr">
        <is>
          <t xml:space="preserve">Sucre Blanc </t>
        </is>
      </c>
      <c r="D195" t="inlineStr">
        <is>
          <t>recetteProportion</t>
        </is>
      </c>
      <c r="E195" t="n">
        <v>0.9401709401709402</v>
      </c>
    </row>
    <row r="196">
      <c r="A196" t="n">
        <v>3</v>
      </c>
      <c r="B196" t="inlineStr">
        <is>
          <t>Sucre aux fleuresEpice 100ml</t>
        </is>
      </c>
      <c r="C196" t="inlineStr">
        <is>
          <t xml:space="preserve">Sucre Blanc </t>
        </is>
      </c>
      <c r="D196" t="inlineStr">
        <is>
          <t>productionInKg</t>
        </is>
      </c>
      <c r="E196" t="n">
        <v>31.5</v>
      </c>
      <c r="F196" t="inlineStr">
        <is>
          <t>inversReductionIngredient</t>
        </is>
      </c>
      <c r="H196" t="inlineStr">
        <is>
          <t>finalValue</t>
        </is>
      </c>
      <c r="I196" t="n">
        <v>29.61538461538462</v>
      </c>
    </row>
    <row r="197">
      <c r="A197" t="n">
        <v>2</v>
      </c>
      <c r="B197" t="inlineStr">
        <is>
          <t>Sucre aux fleuresEpice 100ml</t>
        </is>
      </c>
      <c r="C197" t="inlineStr">
        <is>
          <t>Monarde SEC</t>
        </is>
      </c>
      <c r="D197" t="inlineStr">
        <is>
          <t>recetteProportion</t>
        </is>
      </c>
      <c r="E197" t="n">
        <v>0.004273504273504274</v>
      </c>
    </row>
    <row r="199">
      <c r="A199" t="n">
        <v>2</v>
      </c>
      <c r="B199" t="inlineStr">
        <is>
          <t>Sucre aux fleuresEpice 100ml</t>
        </is>
      </c>
      <c r="C199" t="inlineStr">
        <is>
          <t>Sureau SEC</t>
        </is>
      </c>
      <c r="D199" t="inlineStr">
        <is>
          <t>recetteProportion</t>
        </is>
      </c>
      <c r="E199" t="n">
        <v>0.004273504273504274</v>
      </c>
    </row>
    <row r="200">
      <c r="A200" t="n">
        <v>2</v>
      </c>
      <c r="B200" t="inlineStr">
        <is>
          <t>Sucre aux fleuresEpice 100ml</t>
        </is>
      </c>
      <c r="C200" t="inlineStr">
        <is>
          <t>Camomille Romaine SEC</t>
        </is>
      </c>
      <c r="D200" t="inlineStr">
        <is>
          <t>recetteProportion</t>
        </is>
      </c>
      <c r="E200" t="n">
        <v>0.004273504273504274</v>
      </c>
    </row>
    <row r="201">
      <c r="A201" t="n">
        <v>2</v>
      </c>
      <c r="B201" t="inlineStr">
        <is>
          <t>Sucre aux fleuresEpice 100ml</t>
        </is>
      </c>
      <c r="C201" t="inlineStr">
        <is>
          <t>Bleuet SEC</t>
        </is>
      </c>
      <c r="D201" t="inlineStr">
        <is>
          <t>recetteProportion</t>
        </is>
      </c>
      <c r="E201" t="n">
        <v>0.004273504273504274</v>
      </c>
    </row>
    <row r="202">
      <c r="A202" t="n">
        <v>2</v>
      </c>
      <c r="B202" t="inlineStr">
        <is>
          <t>Sucre aux fleuresEpice 100ml</t>
        </is>
      </c>
      <c r="C202" t="inlineStr">
        <is>
          <t>La Pensee SEC</t>
        </is>
      </c>
      <c r="D202" t="inlineStr">
        <is>
          <t>recetteProportion</t>
        </is>
      </c>
      <c r="E202" t="n">
        <v>0.004273504273504274</v>
      </c>
    </row>
    <row r="203">
      <c r="A203" t="n">
        <v>2</v>
      </c>
      <c r="B203" t="inlineStr">
        <is>
          <t>Sucre aux fleuresEpice 100ml</t>
        </is>
      </c>
      <c r="C203" t="inlineStr">
        <is>
          <t>Fleure Helichrysum SEC</t>
        </is>
      </c>
      <c r="D203" t="inlineStr">
        <is>
          <t>recetteProportion</t>
        </is>
      </c>
      <c r="E203" t="n">
        <v>0.004273504273504274</v>
      </c>
    </row>
    <row r="204">
      <c r="A204" t="n">
        <v>2</v>
      </c>
      <c r="B204" t="inlineStr">
        <is>
          <t>Sucre aux fleuresEpice 100ml</t>
        </is>
      </c>
      <c r="C204" t="inlineStr">
        <is>
          <t>Hemerocalle SEC</t>
        </is>
      </c>
      <c r="D204" t="inlineStr">
        <is>
          <t>recetteProportion</t>
        </is>
      </c>
      <c r="E204" t="n">
        <v>0.004273504273504274</v>
      </c>
    </row>
    <row r="205">
      <c r="A205" t="n">
        <v>2</v>
      </c>
      <c r="B205" t="inlineStr">
        <is>
          <t>Sucre aux fleuresEpice 100ml</t>
        </is>
      </c>
      <c r="C205" t="inlineStr">
        <is>
          <t>Souci SEC (Calendula Officinalis)</t>
        </is>
      </c>
      <c r="D205" t="inlineStr">
        <is>
          <t>recetteProportion</t>
        </is>
      </c>
      <c r="E205" t="n">
        <v>0.004273504273504274</v>
      </c>
    </row>
    <row r="206">
      <c r="A206" t="n">
        <v>2</v>
      </c>
      <c r="B206" t="inlineStr">
        <is>
          <t>Sucre aux fleuresEpice 100ml</t>
        </is>
      </c>
      <c r="C206" t="inlineStr">
        <is>
          <t>Rose SEC</t>
        </is>
      </c>
      <c r="D206" t="inlineStr">
        <is>
          <t>recetteProportion</t>
        </is>
      </c>
      <c r="E206" t="n">
        <v>0.004273504273504274</v>
      </c>
    </row>
    <row r="207">
      <c r="A207" t="n">
        <v>2</v>
      </c>
      <c r="B207" t="inlineStr">
        <is>
          <t>Sucre aux fleuresEpice 100ml</t>
        </is>
      </c>
      <c r="C207" t="inlineStr">
        <is>
          <t>Pelargonium SEC (Geranium)</t>
        </is>
      </c>
      <c r="D207" t="inlineStr">
        <is>
          <t>recetteProportion</t>
        </is>
      </c>
      <c r="E207" t="n">
        <v>0.004273504273504274</v>
      </c>
    </row>
    <row r="208">
      <c r="A208" t="n">
        <v>2</v>
      </c>
      <c r="B208" t="inlineStr">
        <is>
          <t>Sucre aux fleuresEpice 100ml</t>
        </is>
      </c>
      <c r="C208" t="inlineStr">
        <is>
          <t>Lavande SEC</t>
        </is>
      </c>
      <c r="D208" t="inlineStr">
        <is>
          <t>recetteProportion</t>
        </is>
      </c>
      <c r="E208" t="n">
        <v>0.004273504273504274</v>
      </c>
    </row>
    <row r="209">
      <c r="A209" t="n">
        <v>2</v>
      </c>
      <c r="B209" t="inlineStr">
        <is>
          <t>Sucre aux fleuresEpice 100ml</t>
        </is>
      </c>
      <c r="C209" t="inlineStr">
        <is>
          <t>Oeillet D’Inde SEC</t>
        </is>
      </c>
      <c r="D209" t="inlineStr">
        <is>
          <t>recetteProportion</t>
        </is>
      </c>
      <c r="E209" t="n">
        <v>0.004273504273504274</v>
      </c>
    </row>
    <row r="210">
      <c r="A210" t="n">
        <v>2</v>
      </c>
      <c r="B210" t="inlineStr">
        <is>
          <t>Sucre aux fleuresEpice 100ml</t>
        </is>
      </c>
      <c r="C210" t="inlineStr">
        <is>
          <t>L'Agastache SEC</t>
        </is>
      </c>
      <c r="D210" t="inlineStr">
        <is>
          <t>recetteProportion</t>
        </is>
      </c>
      <c r="E210" t="n">
        <v>0.004273504273504274</v>
      </c>
    </row>
    <row r="211">
      <c r="A211" t="n">
        <v>1</v>
      </c>
      <c r="B211" t="inlineStr">
        <is>
          <t>Sucre aux fleuresEpice 100ml</t>
        </is>
      </c>
      <c r="D211" t="inlineStr">
        <is>
          <t>annee</t>
        </is>
      </c>
      <c r="E211" t="n">
        <v>2</v>
      </c>
      <c r="F211" t="inlineStr">
        <is>
          <t>prod</t>
        </is>
      </c>
      <c r="G211" t="n">
        <v>31.5</v>
      </c>
    </row>
    <row r="212">
      <c r="A212" t="n">
        <v>2</v>
      </c>
      <c r="B212" t="inlineStr">
        <is>
          <t>Sucre aux fleuresEpice 100ml</t>
        </is>
      </c>
      <c r="C212" t="inlineStr">
        <is>
          <t xml:space="preserve">Sucre Blanc </t>
        </is>
      </c>
      <c r="D212" t="inlineStr">
        <is>
          <t>recetteProportion</t>
        </is>
      </c>
      <c r="E212" t="n">
        <v>0.9401709401709402</v>
      </c>
    </row>
    <row r="213">
      <c r="A213" t="n">
        <v>3</v>
      </c>
      <c r="B213" t="inlineStr">
        <is>
          <t>Sucre aux fleuresEpice 100ml</t>
        </is>
      </c>
      <c r="C213" t="inlineStr">
        <is>
          <t xml:space="preserve">Sucre Blanc </t>
        </is>
      </c>
      <c r="D213" t="inlineStr">
        <is>
          <t>productionInKg</t>
        </is>
      </c>
      <c r="E213" t="n">
        <v>31.5</v>
      </c>
      <c r="F213" t="inlineStr">
        <is>
          <t>inversReductionIngredient</t>
        </is>
      </c>
      <c r="H213" t="inlineStr">
        <is>
          <t>finalValue</t>
        </is>
      </c>
      <c r="I213" t="n">
        <v>29.61538461538462</v>
      </c>
    </row>
    <row r="214">
      <c r="A214" t="n">
        <v>2</v>
      </c>
      <c r="B214" t="inlineStr">
        <is>
          <t>Sucre aux fleuresEpice 100ml</t>
        </is>
      </c>
      <c r="C214" t="inlineStr">
        <is>
          <t>Monarde SEC</t>
        </is>
      </c>
      <c r="D214" t="inlineStr">
        <is>
          <t>recetteProportion</t>
        </is>
      </c>
      <c r="E214" t="n">
        <v>0.004273504273504274</v>
      </c>
    </row>
    <row r="215">
      <c r="A215" t="n">
        <v>2</v>
      </c>
      <c r="B215" t="inlineStr">
        <is>
          <t>Sucre aux fleuresEpice 100ml</t>
        </is>
      </c>
      <c r="C215" t="inlineStr">
        <is>
          <t>Mauve SEC</t>
        </is>
      </c>
      <c r="D215" t="inlineStr">
        <is>
          <t>recetteProportion</t>
        </is>
      </c>
      <c r="E215" t="n">
        <v>0.004273504273504274</v>
      </c>
    </row>
    <row r="216">
      <c r="A216" t="n">
        <v>2</v>
      </c>
      <c r="B216" t="inlineStr">
        <is>
          <t>Sucre aux fleuresEpice 100ml</t>
        </is>
      </c>
      <c r="C216" t="inlineStr">
        <is>
          <t>Sureau SEC</t>
        </is>
      </c>
      <c r="D216" t="inlineStr">
        <is>
          <t>recetteProportion</t>
        </is>
      </c>
      <c r="E216" t="n">
        <v>0.004273504273504274</v>
      </c>
    </row>
    <row r="217">
      <c r="A217" t="n">
        <v>2</v>
      </c>
      <c r="B217" t="inlineStr">
        <is>
          <t>Sucre aux fleuresEpice 100ml</t>
        </is>
      </c>
      <c r="C217" t="inlineStr">
        <is>
          <t>Camomille Romaine SEC</t>
        </is>
      </c>
      <c r="D217" t="inlineStr">
        <is>
          <t>recetteProportion</t>
        </is>
      </c>
      <c r="E217" t="n">
        <v>0.004273504273504274</v>
      </c>
    </row>
    <row r="218">
      <c r="A218" t="n">
        <v>2</v>
      </c>
      <c r="B218" t="inlineStr">
        <is>
          <t>Sucre aux fleuresEpice 100ml</t>
        </is>
      </c>
      <c r="C218" t="inlineStr">
        <is>
          <t>Bleuet SEC</t>
        </is>
      </c>
      <c r="D218" t="inlineStr">
        <is>
          <t>recetteProportion</t>
        </is>
      </c>
      <c r="E218" t="n">
        <v>0.004273504273504274</v>
      </c>
    </row>
    <row r="219">
      <c r="A219" t="n">
        <v>2</v>
      </c>
      <c r="B219" t="inlineStr">
        <is>
          <t>Sucre aux fleuresEpice 100ml</t>
        </is>
      </c>
      <c r="C219" t="inlineStr">
        <is>
          <t>La Pensee SEC</t>
        </is>
      </c>
      <c r="D219" t="inlineStr">
        <is>
          <t>recetteProportion</t>
        </is>
      </c>
      <c r="E219" t="n">
        <v>0.004273504273504274</v>
      </c>
    </row>
    <row r="221">
      <c r="A221" t="n">
        <v>2</v>
      </c>
      <c r="B221" t="inlineStr">
        <is>
          <t>Sucre aux fleuresEpice 100ml</t>
        </is>
      </c>
      <c r="C221" t="inlineStr">
        <is>
          <t>Hemerocalle SEC</t>
        </is>
      </c>
      <c r="D221" t="inlineStr">
        <is>
          <t>recetteProportion</t>
        </is>
      </c>
      <c r="E221" t="n">
        <v>0.004273504273504274</v>
      </c>
    </row>
    <row r="222">
      <c r="A222" t="n">
        <v>2</v>
      </c>
      <c r="B222" t="inlineStr">
        <is>
          <t>Sucre aux fleuresEpice 100ml</t>
        </is>
      </c>
      <c r="C222" t="inlineStr">
        <is>
          <t>Souci SEC (Calendula Officinalis)</t>
        </is>
      </c>
      <c r="D222" t="inlineStr">
        <is>
          <t>recetteProportion</t>
        </is>
      </c>
      <c r="E222" t="n">
        <v>0.004273504273504274</v>
      </c>
    </row>
    <row r="223">
      <c r="A223" t="n">
        <v>2</v>
      </c>
      <c r="B223" t="inlineStr">
        <is>
          <t>Sucre aux fleuresEpice 100ml</t>
        </is>
      </c>
      <c r="C223" t="inlineStr">
        <is>
          <t>Rose SEC</t>
        </is>
      </c>
      <c r="D223" t="inlineStr">
        <is>
          <t>recetteProportion</t>
        </is>
      </c>
      <c r="E223" t="n">
        <v>0.004273504273504274</v>
      </c>
    </row>
    <row r="224">
      <c r="A224" t="n">
        <v>2</v>
      </c>
      <c r="B224" t="inlineStr">
        <is>
          <t>Sucre aux fleuresEpice 100ml</t>
        </is>
      </c>
      <c r="C224" t="inlineStr">
        <is>
          <t>Pelargonium SEC (Geranium)</t>
        </is>
      </c>
      <c r="D224" t="inlineStr">
        <is>
          <t>recetteProportion</t>
        </is>
      </c>
      <c r="E224" t="n">
        <v>0.004273504273504274</v>
      </c>
    </row>
    <row r="225">
      <c r="A225" t="n">
        <v>2</v>
      </c>
      <c r="B225" t="inlineStr">
        <is>
          <t>Sucre aux fleuresEpice 100ml</t>
        </is>
      </c>
      <c r="C225" t="inlineStr">
        <is>
          <t>Lavande SEC</t>
        </is>
      </c>
      <c r="D225" t="inlineStr">
        <is>
          <t>recetteProportion</t>
        </is>
      </c>
      <c r="E225" t="n">
        <v>0.004273504273504274</v>
      </c>
    </row>
    <row r="226">
      <c r="A226" t="n">
        <v>2</v>
      </c>
      <c r="B226" t="inlineStr">
        <is>
          <t>Sucre aux fleuresEpice 100ml</t>
        </is>
      </c>
      <c r="C226" t="inlineStr">
        <is>
          <t>Oeillet D’Inde SEC</t>
        </is>
      </c>
      <c r="D226" t="inlineStr">
        <is>
          <t>recetteProportion</t>
        </is>
      </c>
      <c r="E226" t="n">
        <v>0.004273504273504274</v>
      </c>
    </row>
    <row r="227">
      <c r="A227" t="n">
        <v>2</v>
      </c>
      <c r="B227" t="inlineStr">
        <is>
          <t>Sucre aux fleuresEpice 100ml</t>
        </is>
      </c>
      <c r="C227" t="inlineStr">
        <is>
          <t>L'Agastache SEC</t>
        </is>
      </c>
      <c r="D227" t="inlineStr">
        <is>
          <t>recetteProportion</t>
        </is>
      </c>
      <c r="E227" t="n">
        <v>0.004273504273504274</v>
      </c>
    </row>
    <row r="228">
      <c r="A228" t="n">
        <v>1</v>
      </c>
      <c r="B228" t="inlineStr">
        <is>
          <t>CurryEpice 100ml</t>
        </is>
      </c>
      <c r="D228" t="inlineStr">
        <is>
          <t>annee</t>
        </is>
      </c>
      <c r="E228" t="n">
        <v>1</v>
      </c>
      <c r="F228" t="inlineStr">
        <is>
          <t>prod</t>
        </is>
      </c>
      <c r="G228" t="n">
        <v>27.3</v>
      </c>
    </row>
    <row r="229">
      <c r="A229" t="n">
        <v>2</v>
      </c>
      <c r="B229" t="inlineStr">
        <is>
          <t>CurryEpice 100ml</t>
        </is>
      </c>
      <c r="C229" t="inlineStr">
        <is>
          <t>Coriandre Graine</t>
        </is>
      </c>
      <c r="D229" t="inlineStr">
        <is>
          <t>recetteProportion</t>
        </is>
      </c>
      <c r="E229" t="n">
        <v>0.03409090909090909</v>
      </c>
    </row>
    <row r="230">
      <c r="A230" t="n">
        <v>3</v>
      </c>
      <c r="B230" t="inlineStr">
        <is>
          <t>CurryEpice 100ml</t>
        </is>
      </c>
      <c r="C230" t="inlineStr">
        <is>
          <t>Coriandre Graine</t>
        </is>
      </c>
      <c r="D230" t="inlineStr">
        <is>
          <t>productionInKg</t>
        </is>
      </c>
      <c r="E230" t="n">
        <v>27.3</v>
      </c>
      <c r="F230" t="inlineStr">
        <is>
          <t>inversReductionIngredient</t>
        </is>
      </c>
      <c r="H230" t="inlineStr">
        <is>
          <t>finalValue</t>
        </is>
      </c>
      <c r="I230" t="n">
        <v>0.6514772727272726</v>
      </c>
    </row>
    <row r="231">
      <c r="A231" t="n">
        <v>4</v>
      </c>
      <c r="B231" t="inlineStr">
        <is>
          <t>CurryEpice 100ml</t>
        </is>
      </c>
      <c r="C231" t="inlineStr">
        <is>
          <t>Coriandre Graine</t>
        </is>
      </c>
      <c r="D231" t="inlineStr">
        <is>
          <t>PROD</t>
        </is>
      </c>
      <c r="E231" t="inlineStr">
        <is>
          <t>coriandre graine</t>
        </is>
      </c>
      <c r="F231" t="inlineStr">
        <is>
          <t>productionToAdd</t>
        </is>
      </c>
      <c r="G231" t="n">
        <v>0.6514772727272726</v>
      </c>
      <c r="H231" t="inlineStr">
        <is>
          <t>currentCell</t>
        </is>
      </c>
      <c r="I231" t="n">
        <v>1.744415312882885</v>
      </c>
    </row>
    <row r="232">
      <c r="A232" t="n">
        <v>2</v>
      </c>
      <c r="B232" t="inlineStr">
        <is>
          <t>CurryEpice 100ml</t>
        </is>
      </c>
      <c r="C232" t="inlineStr">
        <is>
          <t>Curcuma Moulu</t>
        </is>
      </c>
      <c r="D232" t="inlineStr">
        <is>
          <t>recetteProportion</t>
        </is>
      </c>
      <c r="E232" t="n">
        <v>0.04545454545454546</v>
      </c>
    </row>
    <row r="233">
      <c r="A233" t="n">
        <v>3</v>
      </c>
      <c r="B233" t="inlineStr">
        <is>
          <t>CurryEpice 100ml</t>
        </is>
      </c>
      <c r="C233" t="inlineStr">
        <is>
          <t>Curcuma Moulu</t>
        </is>
      </c>
      <c r="D233" t="inlineStr">
        <is>
          <t>productionInKg</t>
        </is>
      </c>
      <c r="E233" t="n">
        <v>27.3</v>
      </c>
      <c r="F233" t="inlineStr">
        <is>
          <t>inversReductionIngredient</t>
        </is>
      </c>
      <c r="H233" t="inlineStr">
        <is>
          <t>finalValue</t>
        </is>
      </c>
      <c r="I233" t="n">
        <v>1.054772727272727</v>
      </c>
    </row>
    <row r="234">
      <c r="A234" t="n">
        <v>4</v>
      </c>
      <c r="B234" t="inlineStr">
        <is>
          <t>CurryEpice 100ml</t>
        </is>
      </c>
      <c r="C234" t="inlineStr">
        <is>
          <t>Curcuma Moulu</t>
        </is>
      </c>
      <c r="D234" t="inlineStr">
        <is>
          <t>PROD</t>
        </is>
      </c>
      <c r="E234" t="inlineStr">
        <is>
          <t>curcuma</t>
        </is>
      </c>
      <c r="F234" t="inlineStr">
        <is>
          <t>productionToAdd</t>
        </is>
      </c>
      <c r="G234" t="n">
        <v>1.054772727272727</v>
      </c>
      <c r="H234" t="inlineStr">
        <is>
          <t>currentCell</t>
        </is>
      </c>
      <c r="I234" t="n">
        <v>1.054772727272727</v>
      </c>
    </row>
    <row r="235">
      <c r="A235" t="n">
        <v>2</v>
      </c>
      <c r="B235" t="inlineStr">
        <is>
          <t>CurryEpice 100ml</t>
        </is>
      </c>
      <c r="C235" t="inlineStr">
        <is>
          <t>Graine De Moutarde</t>
        </is>
      </c>
      <c r="D235" t="inlineStr">
        <is>
          <t>recetteProportion</t>
        </is>
      </c>
      <c r="E235" t="n">
        <v>0.02272727272727273</v>
      </c>
    </row>
    <row r="236">
      <c r="A236" t="n">
        <v>3</v>
      </c>
      <c r="B236" t="inlineStr">
        <is>
          <t>CurryEpice 100ml</t>
        </is>
      </c>
      <c r="C236" t="inlineStr">
        <is>
          <t>Graine De Moutarde</t>
        </is>
      </c>
      <c r="D236" t="inlineStr">
        <is>
          <t>productionInKg</t>
        </is>
      </c>
      <c r="E236" t="n">
        <v>27.3</v>
      </c>
      <c r="F236" t="inlineStr">
        <is>
          <t>inversReductionIngredient</t>
        </is>
      </c>
      <c r="H236" t="inlineStr">
        <is>
          <t>finalValue</t>
        </is>
      </c>
      <c r="I236" t="n">
        <v>0.4343181818181818</v>
      </c>
    </row>
    <row r="237">
      <c r="A237" t="n">
        <v>4</v>
      </c>
      <c r="B237" t="inlineStr">
        <is>
          <t>CurryEpice 100ml</t>
        </is>
      </c>
      <c r="C237" t="inlineStr">
        <is>
          <t>Graine De Moutarde</t>
        </is>
      </c>
      <c r="D237" t="inlineStr">
        <is>
          <t>PROD</t>
        </is>
      </c>
      <c r="E237" t="inlineStr">
        <is>
          <t>graine de moutarde</t>
        </is>
      </c>
      <c r="F237" t="inlineStr">
        <is>
          <t>productionToAdd</t>
        </is>
      </c>
      <c r="G237" t="n">
        <v>0.4343181818181818</v>
      </c>
      <c r="H237" t="inlineStr">
        <is>
          <t>currentCell</t>
        </is>
      </c>
      <c r="I237" t="n">
        <v>11.40296939798099</v>
      </c>
    </row>
    <row r="238">
      <c r="A238" t="n">
        <v>2</v>
      </c>
      <c r="B238" t="inlineStr">
        <is>
          <t>CurryEpice 100ml</t>
        </is>
      </c>
      <c r="C238" t="inlineStr">
        <is>
          <t>Cumin Moulu</t>
        </is>
      </c>
      <c r="D238" t="inlineStr">
        <is>
          <t>recetteProportion</t>
        </is>
      </c>
      <c r="E238" t="n">
        <v>0.02272727272727273</v>
      </c>
    </row>
    <row r="240">
      <c r="A240" t="n">
        <v>4</v>
      </c>
      <c r="B240" t="inlineStr">
        <is>
          <t>CurryEpice 100ml</t>
        </is>
      </c>
      <c r="C240" t="inlineStr">
        <is>
          <t>Cumin Moulu</t>
        </is>
      </c>
      <c r="D240" t="inlineStr">
        <is>
          <t>PROD</t>
        </is>
      </c>
      <c r="E240" t="inlineStr">
        <is>
          <t>graine cumin</t>
        </is>
      </c>
      <c r="F240" t="inlineStr">
        <is>
          <t>productionToAdd</t>
        </is>
      </c>
      <c r="G240" t="n">
        <v>0.4343181818181818</v>
      </c>
      <c r="H240" t="inlineStr">
        <is>
          <t>currentCell</t>
        </is>
      </c>
      <c r="I240" t="n">
        <v>28.51862757408338</v>
      </c>
    </row>
    <row r="241">
      <c r="A241" t="n">
        <v>2</v>
      </c>
      <c r="B241" t="inlineStr">
        <is>
          <t>CurryEpice 100ml</t>
        </is>
      </c>
      <c r="C241" t="inlineStr">
        <is>
          <t>Sel</t>
        </is>
      </c>
      <c r="D241" t="inlineStr">
        <is>
          <t>recetteProportion</t>
        </is>
      </c>
      <c r="E241" t="n">
        <v>0.04545454545454546</v>
      </c>
    </row>
    <row r="242">
      <c r="A242" t="n">
        <v>3</v>
      </c>
      <c r="B242" t="inlineStr">
        <is>
          <t>CurryEpice 100ml</t>
        </is>
      </c>
      <c r="C242" t="inlineStr">
        <is>
          <t>Sel</t>
        </is>
      </c>
      <c r="D242" t="inlineStr">
        <is>
          <t>productionInKg</t>
        </is>
      </c>
      <c r="E242" t="n">
        <v>27.3</v>
      </c>
      <c r="F242" t="inlineStr">
        <is>
          <t>inversReductionIngredient</t>
        </is>
      </c>
      <c r="H242" t="inlineStr">
        <is>
          <t>finalValue</t>
        </is>
      </c>
      <c r="I242" t="n">
        <v>1.240909090909091</v>
      </c>
    </row>
    <row r="243">
      <c r="A243" t="n">
        <v>4</v>
      </c>
      <c r="B243" t="inlineStr">
        <is>
          <t>CurryEpice 100ml</t>
        </is>
      </c>
      <c r="C243" t="inlineStr">
        <is>
          <t>Sel</t>
        </is>
      </c>
      <c r="D243" t="inlineStr">
        <is>
          <t>PROD</t>
        </is>
      </c>
      <c r="E243" t="inlineStr">
        <is>
          <t>sel</t>
        </is>
      </c>
      <c r="F243" t="inlineStr">
        <is>
          <t>productionToAdd</t>
        </is>
      </c>
      <c r="G243" t="n">
        <v>1.240909090909091</v>
      </c>
      <c r="H243" t="inlineStr">
        <is>
          <t>currentCell</t>
        </is>
      </c>
      <c r="I243" t="n">
        <v>29.08856684841951</v>
      </c>
    </row>
    <row r="244">
      <c r="A244" t="n">
        <v>2</v>
      </c>
      <c r="B244" t="inlineStr">
        <is>
          <t>CurryEpice 100ml</t>
        </is>
      </c>
      <c r="C244" t="inlineStr">
        <is>
          <t>Poivre Noir</t>
        </is>
      </c>
      <c r="D244" t="inlineStr">
        <is>
          <t>recetteProportion</t>
        </is>
      </c>
      <c r="E244" t="n">
        <v>0.03409090909090909</v>
      </c>
    </row>
    <row r="245">
      <c r="A245" t="n">
        <v>3</v>
      </c>
      <c r="B245" t="inlineStr">
        <is>
          <t>CurryEpice 100ml</t>
        </is>
      </c>
      <c r="C245" t="inlineStr">
        <is>
          <t>Poivre Noir</t>
        </is>
      </c>
      <c r="D245" t="inlineStr">
        <is>
          <t>productionInKg</t>
        </is>
      </c>
      <c r="E245" t="n">
        <v>27.3</v>
      </c>
      <c r="F245" t="inlineStr">
        <is>
          <t>inversReductionIngredient</t>
        </is>
      </c>
      <c r="H245" t="inlineStr">
        <is>
          <t>finalValue</t>
        </is>
      </c>
      <c r="I245" t="n">
        <v>0.1861363636363636</v>
      </c>
    </row>
    <row r="246">
      <c r="A246" t="n">
        <v>4</v>
      </c>
      <c r="B246" t="inlineStr">
        <is>
          <t>CurryEpice 100ml</t>
        </is>
      </c>
      <c r="C246" t="inlineStr">
        <is>
          <t>Poivre Noir</t>
        </is>
      </c>
      <c r="D246" t="inlineStr">
        <is>
          <t>PROD</t>
        </is>
      </c>
      <c r="E246" t="inlineStr">
        <is>
          <t>poivre noir</t>
        </is>
      </c>
      <c r="F246" t="inlineStr">
        <is>
          <t>productionToAdd</t>
        </is>
      </c>
      <c r="G246" t="n">
        <v>0.1861363636363636</v>
      </c>
      <c r="H246" t="inlineStr">
        <is>
          <t>currentCell</t>
        </is>
      </c>
      <c r="I246" t="n">
        <v>0.1861363636363636</v>
      </c>
    </row>
    <row r="247">
      <c r="A247" t="n">
        <v>2</v>
      </c>
      <c r="B247" t="inlineStr">
        <is>
          <t>CurryEpice 100ml</t>
        </is>
      </c>
      <c r="C247" t="inlineStr">
        <is>
          <t>Gingembre Sec</t>
        </is>
      </c>
      <c r="D247" t="inlineStr">
        <is>
          <t>recetteProportion</t>
        </is>
      </c>
      <c r="E247" t="n">
        <v>0.02272727272727273</v>
      </c>
    </row>
    <row r="248">
      <c r="A248" t="n">
        <v>3</v>
      </c>
      <c r="B248" t="inlineStr">
        <is>
          <t>CurryEpice 100ml</t>
        </is>
      </c>
      <c r="C248" t="inlineStr">
        <is>
          <t>Gingembre Sec</t>
        </is>
      </c>
      <c r="D248" t="inlineStr">
        <is>
          <t>productionInKg</t>
        </is>
      </c>
      <c r="E248" t="n">
        <v>27.3</v>
      </c>
      <c r="F248" t="inlineStr">
        <is>
          <t>inversReductionIngredient</t>
        </is>
      </c>
      <c r="H248" t="inlineStr">
        <is>
          <t>finalValue</t>
        </is>
      </c>
      <c r="I248" t="n">
        <v>0.5273863636363636</v>
      </c>
    </row>
    <row r="249">
      <c r="A249" t="n">
        <v>4</v>
      </c>
      <c r="B249" t="inlineStr">
        <is>
          <t>CurryEpice 100ml</t>
        </is>
      </c>
      <c r="C249" t="inlineStr">
        <is>
          <t>Gingembre Sec</t>
        </is>
      </c>
      <c r="D249" t="inlineStr">
        <is>
          <t>PROD</t>
        </is>
      </c>
      <c r="E249" t="inlineStr">
        <is>
          <t>gingembre</t>
        </is>
      </c>
      <c r="F249" t="inlineStr">
        <is>
          <t>productionToAdd</t>
        </is>
      </c>
      <c r="G249" t="n">
        <v>0.5273863636363636</v>
      </c>
      <c r="H249" t="inlineStr">
        <is>
          <t>currentCell</t>
        </is>
      </c>
      <c r="I249" t="n">
        <v>21.94738636363636</v>
      </c>
    </row>
    <row r="250">
      <c r="A250" t="n">
        <v>2</v>
      </c>
      <c r="B250" t="inlineStr">
        <is>
          <t>CurryEpice 100ml</t>
        </is>
      </c>
      <c r="C250" t="inlineStr">
        <is>
          <t>Curcuma Moulu</t>
        </is>
      </c>
      <c r="D250" t="inlineStr">
        <is>
          <t>recetteProportion</t>
        </is>
      </c>
      <c r="E250" t="n">
        <v>0.1363636363636364</v>
      </c>
    </row>
    <row r="251">
      <c r="A251" t="n">
        <v>3</v>
      </c>
      <c r="B251" t="inlineStr">
        <is>
          <t>CurryEpice 100ml</t>
        </is>
      </c>
      <c r="C251" t="inlineStr">
        <is>
          <t>Curcuma Moulu</t>
        </is>
      </c>
      <c r="D251" t="inlineStr">
        <is>
          <t>productionInKg</t>
        </is>
      </c>
      <c r="E251" t="n">
        <v>27.3</v>
      </c>
      <c r="F251" t="inlineStr">
        <is>
          <t>inversReductionIngredient</t>
        </is>
      </c>
      <c r="H251" t="inlineStr">
        <is>
          <t>finalValue</t>
        </is>
      </c>
      <c r="I251" t="n">
        <v>3.164318181818182</v>
      </c>
    </row>
    <row r="253">
      <c r="A253" t="n">
        <v>2</v>
      </c>
      <c r="B253" t="inlineStr">
        <is>
          <t>CurryEpice 100ml</t>
        </is>
      </c>
      <c r="C253" t="inlineStr">
        <is>
          <t>Cumin Moulu</t>
        </is>
      </c>
      <c r="D253" t="inlineStr">
        <is>
          <t>recetteProportion</t>
        </is>
      </c>
      <c r="E253" t="n">
        <v>0.2727272727272727</v>
      </c>
    </row>
    <row r="254">
      <c r="A254" t="n">
        <v>3</v>
      </c>
      <c r="B254" t="inlineStr">
        <is>
          <t>CurryEpice 100ml</t>
        </is>
      </c>
      <c r="C254" t="inlineStr">
        <is>
          <t>Cumin Moulu</t>
        </is>
      </c>
      <c r="D254" t="inlineStr">
        <is>
          <t>productionInKg</t>
        </is>
      </c>
      <c r="E254" t="n">
        <v>27.3</v>
      </c>
      <c r="F254" t="inlineStr">
        <is>
          <t>inversReductionIngredient</t>
        </is>
      </c>
      <c r="H254" t="inlineStr">
        <is>
          <t>finalValue</t>
        </is>
      </c>
      <c r="I254" t="n">
        <v>5.211818181818181</v>
      </c>
    </row>
    <row r="255">
      <c r="A255" t="n">
        <v>4</v>
      </c>
      <c r="B255" t="inlineStr">
        <is>
          <t>CurryEpice 100ml</t>
        </is>
      </c>
      <c r="C255" t="inlineStr">
        <is>
          <t>Cumin Moulu</t>
        </is>
      </c>
      <c r="D255" t="inlineStr">
        <is>
          <t>PROD</t>
        </is>
      </c>
      <c r="E255" t="inlineStr">
        <is>
          <t>graine cumin</t>
        </is>
      </c>
      <c r="F255" t="inlineStr">
        <is>
          <t>productionToAdd</t>
        </is>
      </c>
      <c r="G255" t="n">
        <v>5.211818181818181</v>
      </c>
      <c r="H255" t="inlineStr">
        <is>
          <t>currentCell</t>
        </is>
      </c>
      <c r="I255" t="n">
        <v>33.73044575590156</v>
      </c>
    </row>
    <row r="256">
      <c r="A256" t="n">
        <v>2</v>
      </c>
      <c r="B256" t="inlineStr">
        <is>
          <t>CurryEpice 100ml</t>
        </is>
      </c>
      <c r="C256" t="inlineStr">
        <is>
          <t>Coriandre Moulue</t>
        </is>
      </c>
      <c r="D256" t="inlineStr">
        <is>
          <t>recetteProportion</t>
        </is>
      </c>
      <c r="E256" t="n">
        <v>0.2727272727272727</v>
      </c>
    </row>
    <row r="257">
      <c r="A257" t="n">
        <v>3</v>
      </c>
      <c r="B257" t="inlineStr">
        <is>
          <t>CurryEpice 100ml</t>
        </is>
      </c>
      <c r="C257" t="inlineStr">
        <is>
          <t>Coriandre Moulue</t>
        </is>
      </c>
      <c r="D257" t="inlineStr">
        <is>
          <t>productionInKg</t>
        </is>
      </c>
      <c r="E257" t="n">
        <v>27.3</v>
      </c>
      <c r="F257" t="inlineStr">
        <is>
          <t>inversReductionIngredient</t>
        </is>
      </c>
      <c r="H257" t="inlineStr">
        <is>
          <t>finalValue</t>
        </is>
      </c>
      <c r="I257" t="n">
        <v>7.445454545454545</v>
      </c>
    </row>
    <row r="258">
      <c r="A258" t="n">
        <v>4</v>
      </c>
      <c r="B258" t="inlineStr">
        <is>
          <t>CurryEpice 100ml</t>
        </is>
      </c>
      <c r="C258" t="inlineStr">
        <is>
          <t>Coriandre Moulue</t>
        </is>
      </c>
      <c r="D258" t="inlineStr">
        <is>
          <t>PROD</t>
        </is>
      </c>
      <c r="E258" t="inlineStr">
        <is>
          <t>coriandre graine</t>
        </is>
      </c>
      <c r="F258" t="inlineStr">
        <is>
          <t>productionToAdd</t>
        </is>
      </c>
      <c r="G258" t="n">
        <v>7.445454545454545</v>
      </c>
      <c r="H258" t="inlineStr">
        <is>
          <t>currentCell</t>
        </is>
      </c>
      <c r="I258" t="n">
        <v>9.189869858337429</v>
      </c>
    </row>
    <row r="259">
      <c r="A259" t="n">
        <v>2</v>
      </c>
      <c r="B259" t="inlineStr">
        <is>
          <t>CurryEpice 100ml</t>
        </is>
      </c>
      <c r="C259" t="inlineStr">
        <is>
          <t>Graine De Moutarde</t>
        </is>
      </c>
      <c r="D259" t="inlineStr">
        <is>
          <t>recetteProportion</t>
        </is>
      </c>
      <c r="E259" t="n">
        <v>0.02272727272727273</v>
      </c>
    </row>
    <row r="260">
      <c r="A260" t="n">
        <v>3</v>
      </c>
      <c r="B260" t="inlineStr">
        <is>
          <t>CurryEpice 100ml</t>
        </is>
      </c>
      <c r="C260" t="inlineStr">
        <is>
          <t>Graine De Moutarde</t>
        </is>
      </c>
      <c r="D260" t="inlineStr">
        <is>
          <t>productionInKg</t>
        </is>
      </c>
      <c r="E260" t="n">
        <v>27.3</v>
      </c>
      <c r="F260" t="inlineStr">
        <is>
          <t>inversReductionIngredient</t>
        </is>
      </c>
      <c r="H260" t="inlineStr">
        <is>
          <t>finalValue</t>
        </is>
      </c>
      <c r="I260" t="n">
        <v>0.4343181818181818</v>
      </c>
    </row>
    <row r="261">
      <c r="A261" t="n">
        <v>4</v>
      </c>
      <c r="B261" t="inlineStr">
        <is>
          <t>CurryEpice 100ml</t>
        </is>
      </c>
      <c r="C261" t="inlineStr">
        <is>
          <t>Graine De Moutarde</t>
        </is>
      </c>
      <c r="D261" t="inlineStr">
        <is>
          <t>PROD</t>
        </is>
      </c>
      <c r="E261" t="inlineStr">
        <is>
          <t>graine de moutarde</t>
        </is>
      </c>
      <c r="F261" t="inlineStr">
        <is>
          <t>productionToAdd</t>
        </is>
      </c>
      <c r="G261" t="n">
        <v>0.4343181818181818</v>
      </c>
      <c r="H261" t="inlineStr">
        <is>
          <t>currentCell</t>
        </is>
      </c>
      <c r="I261" t="n">
        <v>11.83728757979917</v>
      </c>
    </row>
    <row r="262">
      <c r="A262" t="n">
        <v>2</v>
      </c>
      <c r="B262" t="inlineStr">
        <is>
          <t>CurryEpice 100ml</t>
        </is>
      </c>
      <c r="C262" t="inlineStr">
        <is>
          <t>Gingembre Sec</t>
        </is>
      </c>
      <c r="D262" t="inlineStr">
        <is>
          <t>recetteProportion</t>
        </is>
      </c>
      <c r="E262" t="n">
        <v>0.02272727272727273</v>
      </c>
    </row>
    <row r="263">
      <c r="A263" t="n">
        <v>3</v>
      </c>
      <c r="B263" t="inlineStr">
        <is>
          <t>CurryEpice 100ml</t>
        </is>
      </c>
      <c r="C263" t="inlineStr">
        <is>
          <t>Gingembre Sec</t>
        </is>
      </c>
      <c r="D263" t="inlineStr">
        <is>
          <t>productionInKg</t>
        </is>
      </c>
      <c r="E263" t="n">
        <v>27.3</v>
      </c>
      <c r="F263" t="inlineStr">
        <is>
          <t>inversReductionIngredient</t>
        </is>
      </c>
      <c r="H263" t="inlineStr">
        <is>
          <t>finalValue</t>
        </is>
      </c>
      <c r="I263" t="n">
        <v>0.5273863636363636</v>
      </c>
    </row>
    <row r="264">
      <c r="A264" t="n">
        <v>4</v>
      </c>
      <c r="B264" t="inlineStr">
        <is>
          <t>CurryEpice 100ml</t>
        </is>
      </c>
      <c r="C264" t="inlineStr">
        <is>
          <t>Gingembre Sec</t>
        </is>
      </c>
      <c r="D264" t="inlineStr">
        <is>
          <t>PROD</t>
        </is>
      </c>
      <c r="E264" t="inlineStr">
        <is>
          <t>gingembre</t>
        </is>
      </c>
      <c r="F264" t="inlineStr">
        <is>
          <t>productionToAdd</t>
        </is>
      </c>
      <c r="G264" t="n">
        <v>0.5273863636363636</v>
      </c>
      <c r="H264" t="inlineStr">
        <is>
          <t>currentCell</t>
        </is>
      </c>
      <c r="I264" t="n">
        <v>22.47477272727273</v>
      </c>
    </row>
    <row r="265">
      <c r="A265" t="n">
        <v>2</v>
      </c>
      <c r="B265" t="inlineStr">
        <is>
          <t>CurryEpice 100ml</t>
        </is>
      </c>
      <c r="C265" t="inlineStr">
        <is>
          <t>Paprika Fummer</t>
        </is>
      </c>
      <c r="D265" t="inlineStr">
        <is>
          <t>recetteProportion</t>
        </is>
      </c>
      <c r="E265" t="n">
        <v>0.01136363636363636</v>
      </c>
    </row>
    <row r="266">
      <c r="A266" t="n">
        <v>3</v>
      </c>
      <c r="B266" t="inlineStr">
        <is>
          <t>CurryEpice 100ml</t>
        </is>
      </c>
      <c r="C266" t="inlineStr">
        <is>
          <t>Paprika Fummer</t>
        </is>
      </c>
      <c r="D266" t="inlineStr">
        <is>
          <t>productionInKg</t>
        </is>
      </c>
      <c r="E266" t="n">
        <v>27.3</v>
      </c>
      <c r="F266" t="inlineStr">
        <is>
          <t>inversReductionIngredient</t>
        </is>
      </c>
      <c r="H266" t="inlineStr">
        <is>
          <t>finalValue</t>
        </is>
      </c>
      <c r="I266" t="n">
        <v>0.06204545454545455</v>
      </c>
    </row>
    <row r="267">
      <c r="A267" t="n">
        <v>4</v>
      </c>
      <c r="B267" t="inlineStr">
        <is>
          <t>CurryEpice 100ml</t>
        </is>
      </c>
      <c r="C267" t="inlineStr">
        <is>
          <t>Paprika Fummer</t>
        </is>
      </c>
      <c r="D267" t="inlineStr">
        <is>
          <t>PROD</t>
        </is>
      </c>
      <c r="E267" t="inlineStr">
        <is>
          <t>piment doux rouge</t>
        </is>
      </c>
      <c r="F267" t="inlineStr">
        <is>
          <t>productionToAdd</t>
        </is>
      </c>
      <c r="G267" t="n">
        <v>0.06204545454545455</v>
      </c>
      <c r="H267" t="inlineStr">
        <is>
          <t>currentCell</t>
        </is>
      </c>
      <c r="I267" t="n">
        <v>6.49431064791562</v>
      </c>
    </row>
    <row r="269">
      <c r="A269" t="n">
        <v>3</v>
      </c>
      <c r="B269" t="inlineStr">
        <is>
          <t>CurryEpice 100ml</t>
        </is>
      </c>
      <c r="C269" t="inlineStr">
        <is>
          <t>Piment Doux Rouge En Poudre</t>
        </is>
      </c>
      <c r="D269" t="inlineStr">
        <is>
          <t>productionInKg</t>
        </is>
      </c>
      <c r="E269" t="n">
        <v>27.3</v>
      </c>
      <c r="F269" t="inlineStr">
        <is>
          <t>inversReductionIngredient</t>
        </is>
      </c>
      <c r="H269" t="inlineStr">
        <is>
          <t>finalValue</t>
        </is>
      </c>
      <c r="I269" t="n">
        <v>0.1861363636363636</v>
      </c>
    </row>
    <row r="270">
      <c r="A270" t="n">
        <v>4</v>
      </c>
      <c r="B270" t="inlineStr">
        <is>
          <t>CurryEpice 100ml</t>
        </is>
      </c>
      <c r="C270" t="inlineStr">
        <is>
          <t>Piment Doux Rouge En Poudre</t>
        </is>
      </c>
      <c r="D270" t="inlineStr">
        <is>
          <t>PROD</t>
        </is>
      </c>
      <c r="E270" t="inlineStr">
        <is>
          <t>piment doux rouge</t>
        </is>
      </c>
      <c r="F270" t="inlineStr">
        <is>
          <t>productionToAdd</t>
        </is>
      </c>
      <c r="G270" t="n">
        <v>0.1861363636363636</v>
      </c>
      <c r="H270" t="inlineStr">
        <is>
          <t>currentCell</t>
        </is>
      </c>
      <c r="I270" t="n">
        <v>6.680447011551984</v>
      </c>
    </row>
    <row r="271">
      <c r="A271" t="n">
        <v>1</v>
      </c>
      <c r="B271" t="inlineStr">
        <is>
          <t>CurryEpice 100ml</t>
        </is>
      </c>
      <c r="D271" t="inlineStr">
        <is>
          <t>annee</t>
        </is>
      </c>
      <c r="E271" t="n">
        <v>2</v>
      </c>
      <c r="F271" t="inlineStr">
        <is>
          <t>prod</t>
        </is>
      </c>
      <c r="G271" t="n">
        <v>27.3</v>
      </c>
    </row>
    <row r="272">
      <c r="A272" t="n">
        <v>2</v>
      </c>
      <c r="B272" t="inlineStr">
        <is>
          <t>CurryEpice 100ml</t>
        </is>
      </c>
      <c r="C272" t="inlineStr">
        <is>
          <t>Coriandre Graine</t>
        </is>
      </c>
      <c r="D272" t="inlineStr">
        <is>
          <t>recetteProportion</t>
        </is>
      </c>
      <c r="E272" t="n">
        <v>0.03409090909090909</v>
      </c>
    </row>
    <row r="273">
      <c r="A273" t="n">
        <v>3</v>
      </c>
      <c r="B273" t="inlineStr">
        <is>
          <t>CurryEpice 100ml</t>
        </is>
      </c>
      <c r="C273" t="inlineStr">
        <is>
          <t>Coriandre Graine</t>
        </is>
      </c>
      <c r="D273" t="inlineStr">
        <is>
          <t>productionInKg</t>
        </is>
      </c>
      <c r="E273" t="n">
        <v>27.3</v>
      </c>
      <c r="F273" t="inlineStr">
        <is>
          <t>inversReductionIngredient</t>
        </is>
      </c>
      <c r="H273" t="inlineStr">
        <is>
          <t>finalValue</t>
        </is>
      </c>
      <c r="I273" t="n">
        <v>0.6514772727272726</v>
      </c>
    </row>
    <row r="274">
      <c r="A274" t="n">
        <v>4</v>
      </c>
      <c r="B274" t="inlineStr">
        <is>
          <t>CurryEpice 100ml</t>
        </is>
      </c>
      <c r="C274" t="inlineStr">
        <is>
          <t>Coriandre Graine</t>
        </is>
      </c>
      <c r="D274" t="inlineStr">
        <is>
          <t>PROD</t>
        </is>
      </c>
      <c r="E274" t="inlineStr">
        <is>
          <t>coriandre graine</t>
        </is>
      </c>
      <c r="F274" t="inlineStr">
        <is>
          <t>productionToAdd</t>
        </is>
      </c>
      <c r="G274" t="n">
        <v>0.6514772727272726</v>
      </c>
      <c r="H274" t="inlineStr">
        <is>
          <t>currentCell</t>
        </is>
      </c>
      <c r="I274" t="n">
        <v>1.744415312882885</v>
      </c>
    </row>
    <row r="275">
      <c r="A275" t="n">
        <v>2</v>
      </c>
      <c r="B275" t="inlineStr">
        <is>
          <t>CurryEpice 100ml</t>
        </is>
      </c>
      <c r="C275" t="inlineStr">
        <is>
          <t>Curcuma Moulu</t>
        </is>
      </c>
      <c r="D275" t="inlineStr">
        <is>
          <t>recetteProportion</t>
        </is>
      </c>
      <c r="E275" t="n">
        <v>0.04545454545454546</v>
      </c>
    </row>
    <row r="276">
      <c r="A276" t="n">
        <v>3</v>
      </c>
      <c r="B276" t="inlineStr">
        <is>
          <t>CurryEpice 100ml</t>
        </is>
      </c>
      <c r="C276" t="inlineStr">
        <is>
          <t>Curcuma Moulu</t>
        </is>
      </c>
      <c r="D276" t="inlineStr">
        <is>
          <t>productionInKg</t>
        </is>
      </c>
      <c r="E276" t="n">
        <v>27.3</v>
      </c>
      <c r="F276" t="inlineStr">
        <is>
          <t>inversReductionIngredient</t>
        </is>
      </c>
      <c r="H276" t="inlineStr">
        <is>
          <t>finalValue</t>
        </is>
      </c>
      <c r="I276" t="n">
        <v>1.054772727272727</v>
      </c>
    </row>
    <row r="277">
      <c r="A277" t="n">
        <v>4</v>
      </c>
      <c r="B277" t="inlineStr">
        <is>
          <t>CurryEpice 100ml</t>
        </is>
      </c>
      <c r="C277" t="inlineStr">
        <is>
          <t>Curcuma Moulu</t>
        </is>
      </c>
      <c r="D277" t="inlineStr">
        <is>
          <t>PROD</t>
        </is>
      </c>
      <c r="E277" t="inlineStr">
        <is>
          <t>curcuma</t>
        </is>
      </c>
      <c r="F277" t="inlineStr">
        <is>
          <t>productionToAdd</t>
        </is>
      </c>
      <c r="G277" t="n">
        <v>1.054772727272727</v>
      </c>
      <c r="H277" t="inlineStr">
        <is>
          <t>currentCell</t>
        </is>
      </c>
      <c r="I277" t="n">
        <v>1.054772727272727</v>
      </c>
    </row>
    <row r="278">
      <c r="A278" t="n">
        <v>2</v>
      </c>
      <c r="B278" t="inlineStr">
        <is>
          <t>CurryEpice 100ml</t>
        </is>
      </c>
      <c r="C278" t="inlineStr">
        <is>
          <t>Graine De Moutarde</t>
        </is>
      </c>
      <c r="D278" t="inlineStr">
        <is>
          <t>recetteProportion</t>
        </is>
      </c>
      <c r="E278" t="n">
        <v>0.02272727272727273</v>
      </c>
    </row>
    <row r="279">
      <c r="A279" t="n">
        <v>3</v>
      </c>
      <c r="B279" t="inlineStr">
        <is>
          <t>CurryEpice 100ml</t>
        </is>
      </c>
      <c r="C279" t="inlineStr">
        <is>
          <t>Graine De Moutarde</t>
        </is>
      </c>
      <c r="D279" t="inlineStr">
        <is>
          <t>productionInKg</t>
        </is>
      </c>
      <c r="E279" t="n">
        <v>27.3</v>
      </c>
      <c r="F279" t="inlineStr">
        <is>
          <t>inversReductionIngredient</t>
        </is>
      </c>
      <c r="H279" t="inlineStr">
        <is>
          <t>finalValue</t>
        </is>
      </c>
      <c r="I279" t="n">
        <v>0.4343181818181818</v>
      </c>
    </row>
    <row r="280">
      <c r="A280" t="n">
        <v>4</v>
      </c>
      <c r="B280" t="inlineStr">
        <is>
          <t>CurryEpice 100ml</t>
        </is>
      </c>
      <c r="C280" t="inlineStr">
        <is>
          <t>Graine De Moutarde</t>
        </is>
      </c>
      <c r="D280" t="inlineStr">
        <is>
          <t>PROD</t>
        </is>
      </c>
      <c r="E280" t="inlineStr">
        <is>
          <t>graine de moutarde</t>
        </is>
      </c>
      <c r="F280" t="inlineStr">
        <is>
          <t>productionToAdd</t>
        </is>
      </c>
      <c r="G280" t="n">
        <v>0.4343181818181818</v>
      </c>
      <c r="H280" t="inlineStr">
        <is>
          <t>currentCell</t>
        </is>
      </c>
      <c r="I280" t="n">
        <v>11.40296939798099</v>
      </c>
    </row>
    <row r="281">
      <c r="A281" t="n">
        <v>2</v>
      </c>
      <c r="B281" t="inlineStr">
        <is>
          <t>CurryEpice 100ml</t>
        </is>
      </c>
      <c r="C281" t="inlineStr">
        <is>
          <t>Cumin Moulu</t>
        </is>
      </c>
      <c r="D281" t="inlineStr">
        <is>
          <t>recetteProportion</t>
        </is>
      </c>
      <c r="E281" t="n">
        <v>0.02272727272727273</v>
      </c>
    </row>
    <row r="282">
      <c r="A282" t="n">
        <v>3</v>
      </c>
      <c r="B282" t="inlineStr">
        <is>
          <t>CurryEpice 100ml</t>
        </is>
      </c>
      <c r="C282" t="inlineStr">
        <is>
          <t>Cumin Moulu</t>
        </is>
      </c>
      <c r="D282" t="inlineStr">
        <is>
          <t>productionInKg</t>
        </is>
      </c>
      <c r="E282" t="n">
        <v>27.3</v>
      </c>
      <c r="F282" t="inlineStr">
        <is>
          <t>inversReductionIngredient</t>
        </is>
      </c>
      <c r="H282" t="inlineStr">
        <is>
          <t>finalValue</t>
        </is>
      </c>
      <c r="I282" t="n">
        <v>0.4343181818181818</v>
      </c>
    </row>
    <row r="283">
      <c r="A283" t="n">
        <v>4</v>
      </c>
      <c r="B283" t="inlineStr">
        <is>
          <t>CurryEpice 100ml</t>
        </is>
      </c>
      <c r="C283" t="inlineStr">
        <is>
          <t>Cumin Moulu</t>
        </is>
      </c>
      <c r="D283" t="inlineStr">
        <is>
          <t>PROD</t>
        </is>
      </c>
      <c r="E283" t="inlineStr">
        <is>
          <t>graine cumin</t>
        </is>
      </c>
      <c r="F283" t="inlineStr">
        <is>
          <t>productionToAdd</t>
        </is>
      </c>
      <c r="G283" t="n">
        <v>0.4343181818181818</v>
      </c>
      <c r="H283" t="inlineStr">
        <is>
          <t>currentCell</t>
        </is>
      </c>
      <c r="I283" t="n">
        <v>28.51862757408338</v>
      </c>
    </row>
    <row r="284">
      <c r="A284" t="n">
        <v>2</v>
      </c>
      <c r="B284" t="inlineStr">
        <is>
          <t>CurryEpice 100ml</t>
        </is>
      </c>
      <c r="C284" t="inlineStr">
        <is>
          <t>Sel</t>
        </is>
      </c>
      <c r="D284" t="inlineStr">
        <is>
          <t>recetteProportion</t>
        </is>
      </c>
      <c r="E284" t="n">
        <v>0.04545454545454546</v>
      </c>
    </row>
    <row r="285">
      <c r="A285" t="n">
        <v>3</v>
      </c>
      <c r="B285" t="inlineStr">
        <is>
          <t>CurryEpice 100ml</t>
        </is>
      </c>
      <c r="C285" t="inlineStr">
        <is>
          <t>Sel</t>
        </is>
      </c>
      <c r="D285" t="inlineStr">
        <is>
          <t>productionInKg</t>
        </is>
      </c>
      <c r="E285" t="n">
        <v>27.3</v>
      </c>
      <c r="F285" t="inlineStr">
        <is>
          <t>inversReductionIngredient</t>
        </is>
      </c>
      <c r="H285" t="inlineStr">
        <is>
          <t>finalValue</t>
        </is>
      </c>
      <c r="I285" t="n">
        <v>1.240909090909091</v>
      </c>
    </row>
    <row r="286">
      <c r="A286" t="n">
        <v>4</v>
      </c>
      <c r="B286" t="inlineStr">
        <is>
          <t>CurryEpice 100ml</t>
        </is>
      </c>
      <c r="C286" t="inlineStr">
        <is>
          <t>Sel</t>
        </is>
      </c>
      <c r="D286" t="inlineStr">
        <is>
          <t>PROD</t>
        </is>
      </c>
      <c r="E286" t="inlineStr">
        <is>
          <t>sel</t>
        </is>
      </c>
      <c r="F286" t="inlineStr">
        <is>
          <t>productionToAdd</t>
        </is>
      </c>
      <c r="G286" t="n">
        <v>1.240909090909091</v>
      </c>
      <c r="H286" t="inlineStr">
        <is>
          <t>currentCell</t>
        </is>
      </c>
      <c r="I286" t="n">
        <v>29.08856684841951</v>
      </c>
    </row>
    <row r="287">
      <c r="A287" t="n">
        <v>2</v>
      </c>
      <c r="B287" t="inlineStr">
        <is>
          <t>CurryEpice 100ml</t>
        </is>
      </c>
      <c r="C287" t="inlineStr">
        <is>
          <t>Poivre Noir</t>
        </is>
      </c>
      <c r="D287" t="inlineStr">
        <is>
          <t>recetteProportion</t>
        </is>
      </c>
      <c r="E287" t="n">
        <v>0.03409090909090909</v>
      </c>
    </row>
    <row r="288">
      <c r="A288" t="n">
        <v>3</v>
      </c>
      <c r="B288" t="inlineStr">
        <is>
          <t>CurryEpice 100ml</t>
        </is>
      </c>
      <c r="C288" t="inlineStr">
        <is>
          <t>Poivre Noir</t>
        </is>
      </c>
      <c r="D288" t="inlineStr">
        <is>
          <t>productionInKg</t>
        </is>
      </c>
      <c r="E288" t="n">
        <v>27.3</v>
      </c>
      <c r="F288" t="inlineStr">
        <is>
          <t>inversReductionIngredient</t>
        </is>
      </c>
      <c r="H288" t="inlineStr">
        <is>
          <t>finalValue</t>
        </is>
      </c>
      <c r="I288" t="n">
        <v>0.1861363636363636</v>
      </c>
    </row>
    <row r="289">
      <c r="A289" t="n">
        <v>4</v>
      </c>
      <c r="B289" t="inlineStr">
        <is>
          <t>CurryEpice 100ml</t>
        </is>
      </c>
      <c r="C289" t="inlineStr">
        <is>
          <t>Poivre Noir</t>
        </is>
      </c>
      <c r="D289" t="inlineStr">
        <is>
          <t>PROD</t>
        </is>
      </c>
      <c r="E289" t="inlineStr">
        <is>
          <t>poivre noir</t>
        </is>
      </c>
      <c r="F289" t="inlineStr">
        <is>
          <t>productionToAdd</t>
        </is>
      </c>
      <c r="G289" t="n">
        <v>0.1861363636363636</v>
      </c>
      <c r="H289" t="inlineStr">
        <is>
          <t>currentCell</t>
        </is>
      </c>
      <c r="I289" t="n">
        <v>0.1861363636363636</v>
      </c>
    </row>
    <row r="290">
      <c r="A290" t="n">
        <v>2</v>
      </c>
      <c r="B290" t="inlineStr">
        <is>
          <t>CurryEpice 100ml</t>
        </is>
      </c>
      <c r="C290" t="inlineStr">
        <is>
          <t>Gingembre Sec</t>
        </is>
      </c>
      <c r="D290" t="inlineStr">
        <is>
          <t>recetteProportion</t>
        </is>
      </c>
      <c r="E290" t="n">
        <v>0.02272727272727273</v>
      </c>
    </row>
    <row r="291">
      <c r="A291" t="n">
        <v>3</v>
      </c>
      <c r="B291" t="inlineStr">
        <is>
          <t>CurryEpice 100ml</t>
        </is>
      </c>
      <c r="C291" t="inlineStr">
        <is>
          <t>Gingembre Sec</t>
        </is>
      </c>
      <c r="D291" t="inlineStr">
        <is>
          <t>productionInKg</t>
        </is>
      </c>
      <c r="E291" t="n">
        <v>27.3</v>
      </c>
      <c r="F291" t="inlineStr">
        <is>
          <t>inversReductionIngredient</t>
        </is>
      </c>
      <c r="H291" t="inlineStr">
        <is>
          <t>finalValue</t>
        </is>
      </c>
      <c r="I291" t="n">
        <v>0.5273863636363636</v>
      </c>
    </row>
    <row r="292">
      <c r="A292" t="n">
        <v>4</v>
      </c>
      <c r="B292" t="inlineStr">
        <is>
          <t>CurryEpice 100ml</t>
        </is>
      </c>
      <c r="C292" t="inlineStr">
        <is>
          <t>Gingembre Sec</t>
        </is>
      </c>
      <c r="D292" t="inlineStr">
        <is>
          <t>PROD</t>
        </is>
      </c>
      <c r="E292" t="inlineStr">
        <is>
          <t>gingembre</t>
        </is>
      </c>
      <c r="F292" t="inlineStr">
        <is>
          <t>productionToAdd</t>
        </is>
      </c>
      <c r="G292" t="n">
        <v>0.5273863636363636</v>
      </c>
      <c r="H292" t="inlineStr">
        <is>
          <t>currentCell</t>
        </is>
      </c>
      <c r="I292" t="n">
        <v>21.94738636363636</v>
      </c>
    </row>
    <row r="293">
      <c r="A293" t="n">
        <v>2</v>
      </c>
      <c r="B293" t="inlineStr">
        <is>
          <t>CurryEpice 100ml</t>
        </is>
      </c>
      <c r="C293" t="inlineStr">
        <is>
          <t>Curcuma Moulu</t>
        </is>
      </c>
      <c r="D293" t="inlineStr">
        <is>
          <t>recetteProportion</t>
        </is>
      </c>
      <c r="E293" t="n">
        <v>0.1363636363636364</v>
      </c>
    </row>
    <row r="294">
      <c r="A294" t="n">
        <v>3</v>
      </c>
      <c r="B294" t="inlineStr">
        <is>
          <t>CurryEpice 100ml</t>
        </is>
      </c>
      <c r="C294" t="inlineStr">
        <is>
          <t>Curcuma Moulu</t>
        </is>
      </c>
      <c r="D294" t="inlineStr">
        <is>
          <t>productionInKg</t>
        </is>
      </c>
      <c r="E294" t="n">
        <v>27.3</v>
      </c>
      <c r="F294" t="inlineStr">
        <is>
          <t>inversReductionIngredient</t>
        </is>
      </c>
      <c r="H294" t="inlineStr">
        <is>
          <t>finalValue</t>
        </is>
      </c>
      <c r="I294" t="n">
        <v>3.164318181818182</v>
      </c>
    </row>
    <row r="295">
      <c r="A295" t="n">
        <v>4</v>
      </c>
      <c r="B295" t="inlineStr">
        <is>
          <t>CurryEpice 100ml</t>
        </is>
      </c>
      <c r="C295" t="inlineStr">
        <is>
          <t>Curcuma Moulu</t>
        </is>
      </c>
      <c r="D295" t="inlineStr">
        <is>
          <t>PROD</t>
        </is>
      </c>
      <c r="E295" t="inlineStr">
        <is>
          <t>curcuma</t>
        </is>
      </c>
      <c r="F295" t="inlineStr">
        <is>
          <t>productionToAdd</t>
        </is>
      </c>
      <c r="G295" t="n">
        <v>3.164318181818182</v>
      </c>
      <c r="H295" t="inlineStr">
        <is>
          <t>currentCell</t>
        </is>
      </c>
      <c r="I295" t="n">
        <v>4.219090909090909</v>
      </c>
    </row>
    <row r="296">
      <c r="A296" t="n">
        <v>2</v>
      </c>
      <c r="B296" t="inlineStr">
        <is>
          <t>CurryEpice 100ml</t>
        </is>
      </c>
      <c r="C296" t="inlineStr">
        <is>
          <t>Cumin Moulu</t>
        </is>
      </c>
      <c r="D296" t="inlineStr">
        <is>
          <t>recetteProportion</t>
        </is>
      </c>
      <c r="E296" t="n">
        <v>0.2727272727272727</v>
      </c>
    </row>
    <row r="297">
      <c r="A297" t="n">
        <v>3</v>
      </c>
      <c r="B297" t="inlineStr">
        <is>
          <t>CurryEpice 100ml</t>
        </is>
      </c>
      <c r="C297" t="inlineStr">
        <is>
          <t>Cumin Moulu</t>
        </is>
      </c>
      <c r="D297" t="inlineStr">
        <is>
          <t>productionInKg</t>
        </is>
      </c>
      <c r="E297" t="n">
        <v>27.3</v>
      </c>
      <c r="F297" t="inlineStr">
        <is>
          <t>inversReductionIngredient</t>
        </is>
      </c>
      <c r="H297" t="inlineStr">
        <is>
          <t>finalValue</t>
        </is>
      </c>
      <c r="I297" t="n">
        <v>5.211818181818181</v>
      </c>
    </row>
    <row r="298">
      <c r="A298" t="n">
        <v>4</v>
      </c>
      <c r="B298" t="inlineStr">
        <is>
          <t>CurryEpice 100ml</t>
        </is>
      </c>
      <c r="C298" t="inlineStr">
        <is>
          <t>Cumin Moulu</t>
        </is>
      </c>
      <c r="D298" t="inlineStr">
        <is>
          <t>PROD</t>
        </is>
      </c>
      <c r="E298" t="inlineStr">
        <is>
          <t>graine cumin</t>
        </is>
      </c>
      <c r="F298" t="inlineStr">
        <is>
          <t>productionToAdd</t>
        </is>
      </c>
      <c r="G298" t="n">
        <v>5.211818181818181</v>
      </c>
      <c r="H298" t="inlineStr">
        <is>
          <t>currentCell</t>
        </is>
      </c>
      <c r="I298" t="n">
        <v>33.73044575590156</v>
      </c>
    </row>
    <row r="299">
      <c r="A299" t="n">
        <v>2</v>
      </c>
      <c r="B299" t="inlineStr">
        <is>
          <t>CurryEpice 100ml</t>
        </is>
      </c>
      <c r="C299" t="inlineStr">
        <is>
          <t>Coriandre Moulue</t>
        </is>
      </c>
      <c r="D299" t="inlineStr">
        <is>
          <t>recetteProportion</t>
        </is>
      </c>
      <c r="E299" t="n">
        <v>0.2727272727272727</v>
      </c>
    </row>
    <row r="300">
      <c r="A300" t="n">
        <v>3</v>
      </c>
      <c r="B300" t="inlineStr">
        <is>
          <t>CurryEpice 100ml</t>
        </is>
      </c>
      <c r="C300" t="inlineStr">
        <is>
          <t>Coriandre Moulue</t>
        </is>
      </c>
      <c r="D300" t="inlineStr">
        <is>
          <t>productionInKg</t>
        </is>
      </c>
      <c r="E300" t="n">
        <v>27.3</v>
      </c>
      <c r="F300" t="inlineStr">
        <is>
          <t>inversReductionIngredient</t>
        </is>
      </c>
      <c r="H300" t="inlineStr">
        <is>
          <t>finalValue</t>
        </is>
      </c>
      <c r="I300" t="n">
        <v>7.445454545454545</v>
      </c>
    </row>
    <row r="301">
      <c r="A301" t="n">
        <v>4</v>
      </c>
      <c r="B301" t="inlineStr">
        <is>
          <t>CurryEpice 100ml</t>
        </is>
      </c>
      <c r="C301" t="inlineStr">
        <is>
          <t>Coriandre Moulue</t>
        </is>
      </c>
      <c r="D301" t="inlineStr">
        <is>
          <t>PROD</t>
        </is>
      </c>
      <c r="E301" t="inlineStr">
        <is>
          <t>coriandre graine</t>
        </is>
      </c>
      <c r="F301" t="inlineStr">
        <is>
          <t>productionToAdd</t>
        </is>
      </c>
      <c r="G301" t="n">
        <v>7.445454545454545</v>
      </c>
      <c r="H301" t="inlineStr">
        <is>
          <t>currentCell</t>
        </is>
      </c>
      <c r="I301" t="n">
        <v>9.189869858337429</v>
      </c>
    </row>
    <row r="302">
      <c r="A302" t="n">
        <v>2</v>
      </c>
      <c r="B302" t="inlineStr">
        <is>
          <t>CurryEpice 100ml</t>
        </is>
      </c>
      <c r="C302" t="inlineStr">
        <is>
          <t>Graine De Moutarde</t>
        </is>
      </c>
      <c r="D302" t="inlineStr">
        <is>
          <t>recetteProportion</t>
        </is>
      </c>
      <c r="E302" t="n">
        <v>0.02272727272727273</v>
      </c>
    </row>
    <row r="303">
      <c r="A303" t="n">
        <v>3</v>
      </c>
      <c r="B303" t="inlineStr">
        <is>
          <t>CurryEpice 100ml</t>
        </is>
      </c>
      <c r="C303" t="inlineStr">
        <is>
          <t>Graine De Moutarde</t>
        </is>
      </c>
      <c r="D303" t="inlineStr">
        <is>
          <t>productionInKg</t>
        </is>
      </c>
      <c r="E303" t="n">
        <v>27.3</v>
      </c>
      <c r="F303" t="inlineStr">
        <is>
          <t>inversReductionIngredient</t>
        </is>
      </c>
      <c r="H303" t="inlineStr">
        <is>
          <t>finalValue</t>
        </is>
      </c>
      <c r="I303" t="n">
        <v>0.4343181818181818</v>
      </c>
    </row>
    <row r="304">
      <c r="A304" t="n">
        <v>4</v>
      </c>
      <c r="B304" t="inlineStr">
        <is>
          <t>CurryEpice 100ml</t>
        </is>
      </c>
      <c r="C304" t="inlineStr">
        <is>
          <t>Graine De Moutarde</t>
        </is>
      </c>
      <c r="D304" t="inlineStr">
        <is>
          <t>PROD</t>
        </is>
      </c>
      <c r="E304" t="inlineStr">
        <is>
          <t>graine de moutarde</t>
        </is>
      </c>
      <c r="F304" t="inlineStr">
        <is>
          <t>productionToAdd</t>
        </is>
      </c>
      <c r="G304" t="n">
        <v>0.4343181818181818</v>
      </c>
      <c r="H304" t="inlineStr">
        <is>
          <t>currentCell</t>
        </is>
      </c>
      <c r="I304" t="n">
        <v>11.83728757979917</v>
      </c>
    </row>
    <row r="305">
      <c r="A305" t="n">
        <v>2</v>
      </c>
      <c r="B305" t="inlineStr">
        <is>
          <t>CurryEpice 100ml</t>
        </is>
      </c>
      <c r="C305" t="inlineStr">
        <is>
          <t>Gingembre Sec</t>
        </is>
      </c>
      <c r="D305" t="inlineStr">
        <is>
          <t>recetteProportion</t>
        </is>
      </c>
      <c r="E305" t="n">
        <v>0.02272727272727273</v>
      </c>
    </row>
    <row r="306">
      <c r="A306" t="n">
        <v>3</v>
      </c>
      <c r="B306" t="inlineStr">
        <is>
          <t>CurryEpice 100ml</t>
        </is>
      </c>
      <c r="C306" t="inlineStr">
        <is>
          <t>Gingembre Sec</t>
        </is>
      </c>
      <c r="D306" t="inlineStr">
        <is>
          <t>productionInKg</t>
        </is>
      </c>
      <c r="E306" t="n">
        <v>27.3</v>
      </c>
      <c r="F306" t="inlineStr">
        <is>
          <t>inversReductionIngredient</t>
        </is>
      </c>
      <c r="H306" t="inlineStr">
        <is>
          <t>finalValue</t>
        </is>
      </c>
      <c r="I306" t="n">
        <v>0.5273863636363636</v>
      </c>
    </row>
    <row r="307">
      <c r="A307" t="n">
        <v>4</v>
      </c>
      <c r="B307" t="inlineStr">
        <is>
          <t>CurryEpice 100ml</t>
        </is>
      </c>
      <c r="C307" t="inlineStr">
        <is>
          <t>Gingembre Sec</t>
        </is>
      </c>
      <c r="D307" t="inlineStr">
        <is>
          <t>PROD</t>
        </is>
      </c>
      <c r="E307" t="inlineStr">
        <is>
          <t>gingembre</t>
        </is>
      </c>
      <c r="F307" t="inlineStr">
        <is>
          <t>productionToAdd</t>
        </is>
      </c>
      <c r="G307" t="n">
        <v>0.5273863636363636</v>
      </c>
      <c r="H307" t="inlineStr">
        <is>
          <t>currentCell</t>
        </is>
      </c>
      <c r="I307" t="n">
        <v>22.47477272727273</v>
      </c>
    </row>
    <row r="308">
      <c r="A308" t="n">
        <v>2</v>
      </c>
      <c r="B308" t="inlineStr">
        <is>
          <t>CurryEpice 100ml</t>
        </is>
      </c>
      <c r="C308" t="inlineStr">
        <is>
          <t>Paprika Fummer</t>
        </is>
      </c>
      <c r="D308" t="inlineStr">
        <is>
          <t>recetteProportion</t>
        </is>
      </c>
      <c r="E308" t="n">
        <v>0.01136363636363636</v>
      </c>
    </row>
    <row r="309">
      <c r="A309" t="n">
        <v>3</v>
      </c>
      <c r="B309" t="inlineStr">
        <is>
          <t>CurryEpice 100ml</t>
        </is>
      </c>
      <c r="C309" t="inlineStr">
        <is>
          <t>Paprika Fummer</t>
        </is>
      </c>
      <c r="D309" t="inlineStr">
        <is>
          <t>productionInKg</t>
        </is>
      </c>
      <c r="E309" t="n">
        <v>27.3</v>
      </c>
      <c r="F309" t="inlineStr">
        <is>
          <t>inversReductionIngredient</t>
        </is>
      </c>
      <c r="H309" t="inlineStr">
        <is>
          <t>finalValue</t>
        </is>
      </c>
      <c r="I309" t="n">
        <v>0.06204545454545455</v>
      </c>
    </row>
    <row r="310">
      <c r="A310" t="n">
        <v>4</v>
      </c>
      <c r="B310" t="inlineStr">
        <is>
          <t>CurryEpice 100ml</t>
        </is>
      </c>
      <c r="C310" t="inlineStr">
        <is>
          <t>Paprika Fummer</t>
        </is>
      </c>
      <c r="D310" t="inlineStr">
        <is>
          <t>PROD</t>
        </is>
      </c>
      <c r="E310" t="inlineStr">
        <is>
          <t>piment doux rouge</t>
        </is>
      </c>
      <c r="F310" t="inlineStr">
        <is>
          <t>productionToAdd</t>
        </is>
      </c>
      <c r="G310" t="n">
        <v>0.06204545454545455</v>
      </c>
      <c r="H310" t="inlineStr">
        <is>
          <t>currentCell</t>
        </is>
      </c>
      <c r="I310" t="n">
        <v>6.49431064791562</v>
      </c>
    </row>
    <row r="311">
      <c r="A311" t="n">
        <v>2</v>
      </c>
      <c r="B311" t="inlineStr">
        <is>
          <t>CurryEpice 100ml</t>
        </is>
      </c>
      <c r="C311" t="inlineStr">
        <is>
          <t>Piment Doux Rouge En Poudre</t>
        </is>
      </c>
      <c r="D311" t="inlineStr">
        <is>
          <t>recetteProportion</t>
        </is>
      </c>
      <c r="E311" t="n">
        <v>0.03409090909090909</v>
      </c>
    </row>
    <row r="312">
      <c r="A312" t="n">
        <v>3</v>
      </c>
      <c r="B312" t="inlineStr">
        <is>
          <t>CurryEpice 100ml</t>
        </is>
      </c>
      <c r="C312" t="inlineStr">
        <is>
          <t>Piment Doux Rouge En Poudre</t>
        </is>
      </c>
      <c r="D312" t="inlineStr">
        <is>
          <t>productionInKg</t>
        </is>
      </c>
      <c r="E312" t="n">
        <v>27.3</v>
      </c>
      <c r="F312" t="inlineStr">
        <is>
          <t>inversReductionIngredient</t>
        </is>
      </c>
      <c r="H312" t="inlineStr">
        <is>
          <t>finalValue</t>
        </is>
      </c>
      <c r="I312" t="n">
        <v>0.1861363636363636</v>
      </c>
    </row>
    <row r="313">
      <c r="A313" t="n">
        <v>4</v>
      </c>
      <c r="B313" t="inlineStr">
        <is>
          <t>CurryEpice 100ml</t>
        </is>
      </c>
      <c r="C313" t="inlineStr">
        <is>
          <t>Piment Doux Rouge En Poudre</t>
        </is>
      </c>
      <c r="D313" t="inlineStr">
        <is>
          <t>PROD</t>
        </is>
      </c>
      <c r="E313" t="inlineStr">
        <is>
          <t>piment doux rouge</t>
        </is>
      </c>
      <c r="F313" t="inlineStr">
        <is>
          <t>productionToAdd</t>
        </is>
      </c>
      <c r="G313" t="n">
        <v>0.1861363636363636</v>
      </c>
      <c r="H313" t="inlineStr">
        <is>
          <t>currentCell</t>
        </is>
      </c>
      <c r="I313" t="n">
        <v>6.680447011551984</v>
      </c>
    </row>
    <row r="314">
      <c r="A314" t="n">
        <v>1</v>
      </c>
      <c r="B314" t="inlineStr">
        <is>
          <t>Ail semouleEpice 100ml</t>
        </is>
      </c>
      <c r="D314" t="inlineStr">
        <is>
          <t>annee</t>
        </is>
      </c>
      <c r="E314" t="n">
        <v>1</v>
      </c>
      <c r="F314" t="inlineStr">
        <is>
          <t>prod</t>
        </is>
      </c>
      <c r="G314" t="n">
        <v>9</v>
      </c>
    </row>
    <row r="315">
      <c r="A315" t="n">
        <v>2</v>
      </c>
      <c r="B315" t="inlineStr">
        <is>
          <t>Ail semouleEpice 100ml</t>
        </is>
      </c>
      <c r="C315" t="inlineStr">
        <is>
          <t>Ail semoule</t>
        </is>
      </c>
      <c r="D315" t="inlineStr">
        <is>
          <t>recetteProportion</t>
        </is>
      </c>
      <c r="E315" t="n">
        <v>1</v>
      </c>
    </row>
    <row r="316">
      <c r="A316" t="n">
        <v>1</v>
      </c>
      <c r="B316" t="inlineStr">
        <is>
          <t>Ail semouleEpice 100ml</t>
        </is>
      </c>
      <c r="D316" t="inlineStr">
        <is>
          <t>annee</t>
        </is>
      </c>
      <c r="E316" t="n">
        <v>2</v>
      </c>
      <c r="F316" t="inlineStr">
        <is>
          <t>prod</t>
        </is>
      </c>
      <c r="G316" t="n">
        <v>9</v>
      </c>
    </row>
    <row r="317">
      <c r="A317" t="n">
        <v>2</v>
      </c>
      <c r="B317" t="inlineStr">
        <is>
          <t>Ail semouleEpice 100ml</t>
        </is>
      </c>
      <c r="C317" t="inlineStr">
        <is>
          <t>Ail semoule</t>
        </is>
      </c>
      <c r="D317" t="inlineStr">
        <is>
          <t>recetteProportion</t>
        </is>
      </c>
      <c r="E317" t="n">
        <v>1</v>
      </c>
    </row>
    <row r="319">
      <c r="A319" t="n">
        <v>2</v>
      </c>
      <c r="B319" t="inlineStr">
        <is>
          <t>Carvi graineEpice 100ml</t>
        </is>
      </c>
      <c r="C319" t="inlineStr">
        <is>
          <t>Graine De Carvi</t>
        </is>
      </c>
      <c r="D319" t="inlineStr">
        <is>
          <t>recetteProportion</t>
        </is>
      </c>
      <c r="E319" t="n">
        <v>1</v>
      </c>
    </row>
    <row r="320">
      <c r="A320" t="n">
        <v>3</v>
      </c>
      <c r="B320" t="inlineStr">
        <is>
          <t>Carvi graineEpice 100ml</t>
        </is>
      </c>
      <c r="C320" t="inlineStr">
        <is>
          <t>Graine De Carvi</t>
        </is>
      </c>
      <c r="D320" t="inlineStr">
        <is>
          <t>productionInKg</t>
        </is>
      </c>
      <c r="E320" t="n">
        <v>8.1</v>
      </c>
      <c r="F320" t="inlineStr">
        <is>
          <t>inversReductionIngredient</t>
        </is>
      </c>
      <c r="H320" t="inlineStr">
        <is>
          <t>finalValue</t>
        </is>
      </c>
      <c r="I320" t="n">
        <v>5.669999999999999</v>
      </c>
    </row>
    <row r="321">
      <c r="A321" t="n">
        <v>4</v>
      </c>
      <c r="B321" t="inlineStr">
        <is>
          <t>Carvi graineEpice 100ml</t>
        </is>
      </c>
      <c r="C321" t="inlineStr">
        <is>
          <t>Graine De Carvi</t>
        </is>
      </c>
      <c r="D321" t="inlineStr">
        <is>
          <t>PROD</t>
        </is>
      </c>
      <c r="E321" t="inlineStr">
        <is>
          <t>graine de carvi</t>
        </is>
      </c>
      <c r="F321" t="inlineStr">
        <is>
          <t>productionToAdd</t>
        </is>
      </c>
      <c r="G321" t="n">
        <v>5.669999999999999</v>
      </c>
      <c r="H321" t="inlineStr">
        <is>
          <t>currentCell</t>
        </is>
      </c>
      <c r="I321" t="n">
        <v>5.669999999999999</v>
      </c>
    </row>
    <row r="322">
      <c r="A322" t="n">
        <v>1</v>
      </c>
      <c r="B322" t="inlineStr">
        <is>
          <t>Carvi graineEpice 100ml</t>
        </is>
      </c>
      <c r="D322" t="inlineStr">
        <is>
          <t>annee</t>
        </is>
      </c>
      <c r="E322" t="n">
        <v>2</v>
      </c>
      <c r="F322" t="inlineStr">
        <is>
          <t>prod</t>
        </is>
      </c>
      <c r="G322" t="n">
        <v>8.1</v>
      </c>
    </row>
    <row r="323">
      <c r="A323" t="n">
        <v>2</v>
      </c>
      <c r="B323" t="inlineStr">
        <is>
          <t>Carvi graineEpice 100ml</t>
        </is>
      </c>
      <c r="C323" t="inlineStr">
        <is>
          <t>Graine De Carvi</t>
        </is>
      </c>
      <c r="D323" t="inlineStr">
        <is>
          <t>recetteProportion</t>
        </is>
      </c>
      <c r="E323" t="n">
        <v>1</v>
      </c>
    </row>
    <row r="324">
      <c r="A324" t="n">
        <v>3</v>
      </c>
      <c r="B324" t="inlineStr">
        <is>
          <t>Carvi graineEpice 100ml</t>
        </is>
      </c>
      <c r="C324" t="inlineStr">
        <is>
          <t>Graine De Carvi</t>
        </is>
      </c>
      <c r="D324" t="inlineStr">
        <is>
          <t>productionInKg</t>
        </is>
      </c>
      <c r="E324" t="n">
        <v>8.1</v>
      </c>
      <c r="F324" t="inlineStr">
        <is>
          <t>inversReductionIngredient</t>
        </is>
      </c>
      <c r="H324" t="inlineStr">
        <is>
          <t>finalValue</t>
        </is>
      </c>
      <c r="I324" t="n">
        <v>5.669999999999999</v>
      </c>
    </row>
    <row r="325">
      <c r="A325" t="n">
        <v>4</v>
      </c>
      <c r="B325" t="inlineStr">
        <is>
          <t>Carvi graineEpice 100ml</t>
        </is>
      </c>
      <c r="C325" t="inlineStr">
        <is>
          <t>Graine De Carvi</t>
        </is>
      </c>
      <c r="D325" t="inlineStr">
        <is>
          <t>PROD</t>
        </is>
      </c>
      <c r="E325" t="inlineStr">
        <is>
          <t>graine de carvi</t>
        </is>
      </c>
      <c r="F325" t="inlineStr">
        <is>
          <t>productionToAdd</t>
        </is>
      </c>
      <c r="G325" t="n">
        <v>5.669999999999999</v>
      </c>
      <c r="H325" t="inlineStr">
        <is>
          <t>currentCell</t>
        </is>
      </c>
      <c r="I325" t="n">
        <v>5.669999999999999</v>
      </c>
    </row>
    <row r="326">
      <c r="A326" t="n">
        <v>1</v>
      </c>
      <c r="B326" t="inlineStr">
        <is>
          <t>CurcumaEpice 100ml</t>
        </is>
      </c>
      <c r="D326" t="inlineStr">
        <is>
          <t>annee</t>
        </is>
      </c>
      <c r="E326" t="n">
        <v>1</v>
      </c>
      <c r="F326" t="inlineStr">
        <is>
          <t>prod</t>
        </is>
      </c>
      <c r="G326" t="n">
        <v>10.8</v>
      </c>
    </row>
    <row r="327">
      <c r="A327" t="n">
        <v>2</v>
      </c>
      <c r="B327" t="inlineStr">
        <is>
          <t>CurcumaEpice 100ml</t>
        </is>
      </c>
      <c r="C327" t="inlineStr">
        <is>
          <t>Curcuma Moulu</t>
        </is>
      </c>
      <c r="D327" t="inlineStr">
        <is>
          <t>recetteProportion</t>
        </is>
      </c>
      <c r="E327" t="n">
        <v>1</v>
      </c>
    </row>
    <row r="328">
      <c r="A328" t="n">
        <v>3</v>
      </c>
      <c r="B328" t="inlineStr">
        <is>
          <t>CurcumaEpice 100ml</t>
        </is>
      </c>
      <c r="C328" t="inlineStr">
        <is>
          <t>Curcuma Moulu</t>
        </is>
      </c>
      <c r="D328" t="inlineStr">
        <is>
          <t>productionInKg</t>
        </is>
      </c>
      <c r="E328" t="n">
        <v>10.8</v>
      </c>
      <c r="F328" t="inlineStr">
        <is>
          <t>inversReductionIngredient</t>
        </is>
      </c>
      <c r="H328" t="inlineStr">
        <is>
          <t>finalValue</t>
        </is>
      </c>
      <c r="I328" t="n">
        <v>9.18</v>
      </c>
    </row>
    <row r="329">
      <c r="A329" t="n">
        <v>4</v>
      </c>
      <c r="B329" t="inlineStr">
        <is>
          <t>CurcumaEpice 100ml</t>
        </is>
      </c>
      <c r="C329" t="inlineStr">
        <is>
          <t>Curcuma Moulu</t>
        </is>
      </c>
      <c r="D329" t="inlineStr">
        <is>
          <t>PROD</t>
        </is>
      </c>
      <c r="E329" t="inlineStr">
        <is>
          <t>curcuma</t>
        </is>
      </c>
      <c r="F329" t="inlineStr">
        <is>
          <t>productionToAdd</t>
        </is>
      </c>
      <c r="G329" t="n">
        <v>9.18</v>
      </c>
      <c r="H329" t="inlineStr">
        <is>
          <t>currentCell</t>
        </is>
      </c>
      <c r="I329" t="n">
        <v>13.39909090909091</v>
      </c>
    </row>
    <row r="330">
      <c r="A330" t="n">
        <v>1</v>
      </c>
      <c r="B330" t="inlineStr">
        <is>
          <t>CurcumaEpice 100ml</t>
        </is>
      </c>
      <c r="D330" t="inlineStr">
        <is>
          <t>annee</t>
        </is>
      </c>
      <c r="E330" t="n">
        <v>2</v>
      </c>
      <c r="F330" t="inlineStr">
        <is>
          <t>prod</t>
        </is>
      </c>
      <c r="G330" t="n">
        <v>10.8</v>
      </c>
    </row>
    <row r="331">
      <c r="A331" t="n">
        <v>2</v>
      </c>
      <c r="B331" t="inlineStr">
        <is>
          <t>CurcumaEpice 100ml</t>
        </is>
      </c>
      <c r="C331" t="inlineStr">
        <is>
          <t>Curcuma Moulu</t>
        </is>
      </c>
      <c r="D331" t="inlineStr">
        <is>
          <t>recetteProportion</t>
        </is>
      </c>
      <c r="E331" t="n">
        <v>1</v>
      </c>
    </row>
    <row r="332">
      <c r="A332" t="n">
        <v>3</v>
      </c>
      <c r="B332" t="inlineStr">
        <is>
          <t>CurcumaEpice 100ml</t>
        </is>
      </c>
      <c r="C332" t="inlineStr">
        <is>
          <t>Curcuma Moulu</t>
        </is>
      </c>
      <c r="D332" t="inlineStr">
        <is>
          <t>productionInKg</t>
        </is>
      </c>
      <c r="E332" t="n">
        <v>10.8</v>
      </c>
      <c r="F332" t="inlineStr">
        <is>
          <t>inversReductionIngredient</t>
        </is>
      </c>
      <c r="H332" t="inlineStr">
        <is>
          <t>finalValue</t>
        </is>
      </c>
      <c r="I332" t="n">
        <v>9.18</v>
      </c>
    </row>
    <row r="333">
      <c r="A333" t="n">
        <v>4</v>
      </c>
      <c r="B333" t="inlineStr">
        <is>
          <t>CurcumaEpice 100ml</t>
        </is>
      </c>
      <c r="C333" t="inlineStr">
        <is>
          <t>Curcuma Moulu</t>
        </is>
      </c>
      <c r="D333" t="inlineStr">
        <is>
          <t>PROD</t>
        </is>
      </c>
      <c r="E333" t="inlineStr">
        <is>
          <t>curcuma</t>
        </is>
      </c>
      <c r="F333" t="inlineStr">
        <is>
          <t>productionToAdd</t>
        </is>
      </c>
      <c r="G333" t="n">
        <v>9.18</v>
      </c>
      <c r="H333" t="inlineStr">
        <is>
          <t>currentCell</t>
        </is>
      </c>
      <c r="I333" t="n">
        <v>13.39909090909091</v>
      </c>
    </row>
    <row r="334">
      <c r="A334" t="n">
        <v>1</v>
      </c>
      <c r="B334" t="inlineStr">
        <is>
          <t>PaprikaEpice 100ml</t>
        </is>
      </c>
      <c r="D334" t="inlineStr">
        <is>
          <t>annee</t>
        </is>
      </c>
      <c r="E334" t="n">
        <v>1</v>
      </c>
      <c r="F334" t="inlineStr">
        <is>
          <t>prod</t>
        </is>
      </c>
      <c r="G334" t="n">
        <v>10.8</v>
      </c>
    </row>
    <row r="335">
      <c r="A335" t="n">
        <v>2</v>
      </c>
      <c r="B335" t="inlineStr">
        <is>
          <t>PaprikaEpice 100ml</t>
        </is>
      </c>
      <c r="C335" t="inlineStr">
        <is>
          <t>Piment Doux Rouge En Poudre</t>
        </is>
      </c>
      <c r="D335" t="inlineStr">
        <is>
          <t>recetteProportion</t>
        </is>
      </c>
      <c r="E335" t="n">
        <v>1</v>
      </c>
    </row>
    <row r="336">
      <c r="A336" t="n">
        <v>3</v>
      </c>
      <c r="B336" t="inlineStr">
        <is>
          <t>PaprikaEpice 100ml</t>
        </is>
      </c>
      <c r="C336" t="inlineStr">
        <is>
          <t>Piment Doux Rouge En Poudre</t>
        </is>
      </c>
      <c r="D336" t="inlineStr">
        <is>
          <t>productionInKg</t>
        </is>
      </c>
      <c r="E336" t="n">
        <v>10.8</v>
      </c>
      <c r="F336" t="inlineStr">
        <is>
          <t>inversReductionIngredient</t>
        </is>
      </c>
      <c r="H336" t="inlineStr">
        <is>
          <t>finalValue</t>
        </is>
      </c>
      <c r="I336" t="n">
        <v>2.16</v>
      </c>
    </row>
    <row r="337">
      <c r="A337" t="n">
        <v>4</v>
      </c>
      <c r="B337" t="inlineStr">
        <is>
          <t>PaprikaEpice 100ml</t>
        </is>
      </c>
      <c r="C337" t="inlineStr">
        <is>
          <t>Piment Doux Rouge En Poudre</t>
        </is>
      </c>
      <c r="D337" t="inlineStr">
        <is>
          <t>PROD</t>
        </is>
      </c>
      <c r="E337" t="inlineStr">
        <is>
          <t>piment doux rouge</t>
        </is>
      </c>
      <c r="F337" t="inlineStr">
        <is>
          <t>productionToAdd</t>
        </is>
      </c>
      <c r="G337" t="n">
        <v>2.16</v>
      </c>
      <c r="H337" t="inlineStr">
        <is>
          <t>currentCell</t>
        </is>
      </c>
      <c r="I337" t="n">
        <v>8.840447011551984</v>
      </c>
    </row>
    <row r="338">
      <c r="A338" t="n">
        <v>1</v>
      </c>
      <c r="B338" t="inlineStr">
        <is>
          <t>PaprikaEpice 100ml</t>
        </is>
      </c>
      <c r="D338" t="inlineStr">
        <is>
          <t>annee</t>
        </is>
      </c>
      <c r="E338" t="n">
        <v>2</v>
      </c>
      <c r="F338" t="inlineStr">
        <is>
          <t>prod</t>
        </is>
      </c>
      <c r="G338" t="n">
        <v>10.8</v>
      </c>
    </row>
    <row r="339">
      <c r="A339" t="n">
        <v>2</v>
      </c>
      <c r="B339" t="inlineStr">
        <is>
          <t>PaprikaEpice 100ml</t>
        </is>
      </c>
      <c r="C339" t="inlineStr">
        <is>
          <t>Piment Doux Rouge En Poudre</t>
        </is>
      </c>
      <c r="D339" t="inlineStr">
        <is>
          <t>recetteProportion</t>
        </is>
      </c>
      <c r="E339" t="n">
        <v>1</v>
      </c>
    </row>
    <row r="340">
      <c r="A340" t="n">
        <v>3</v>
      </c>
      <c r="B340" t="inlineStr">
        <is>
          <t>PaprikaEpice 100ml</t>
        </is>
      </c>
      <c r="C340" t="inlineStr">
        <is>
          <t>Piment Doux Rouge En Poudre</t>
        </is>
      </c>
      <c r="D340" t="inlineStr">
        <is>
          <t>productionInKg</t>
        </is>
      </c>
      <c r="E340" t="n">
        <v>10.8</v>
      </c>
      <c r="F340" t="inlineStr">
        <is>
          <t>inversReductionIngredient</t>
        </is>
      </c>
      <c r="H340" t="inlineStr">
        <is>
          <t>finalValue</t>
        </is>
      </c>
      <c r="I340" t="n">
        <v>2.16</v>
      </c>
    </row>
    <row r="341">
      <c r="A341" t="n">
        <v>4</v>
      </c>
      <c r="B341" t="inlineStr">
        <is>
          <t>PaprikaEpice 100ml</t>
        </is>
      </c>
      <c r="C341" t="inlineStr">
        <is>
          <t>Piment Doux Rouge En Poudre</t>
        </is>
      </c>
      <c r="D341" t="inlineStr">
        <is>
          <t>PROD</t>
        </is>
      </c>
      <c r="E341" t="inlineStr">
        <is>
          <t>piment doux rouge</t>
        </is>
      </c>
      <c r="F341" t="inlineStr">
        <is>
          <t>productionToAdd</t>
        </is>
      </c>
      <c r="G341" t="n">
        <v>2.16</v>
      </c>
      <c r="H341" t="inlineStr">
        <is>
          <t>currentCell</t>
        </is>
      </c>
      <c r="I341" t="n">
        <v>8.840447011551984</v>
      </c>
    </row>
    <row r="342">
      <c r="A342" t="n">
        <v>1</v>
      </c>
      <c r="B342" t="inlineStr">
        <is>
          <t>Sirop aux fleuresSirop 500 ml</t>
        </is>
      </c>
      <c r="D342" t="inlineStr">
        <is>
          <t>annee</t>
        </is>
      </c>
      <c r="E342" t="n">
        <v>1</v>
      </c>
      <c r="F342" t="inlineStr">
        <is>
          <t>prod</t>
        </is>
      </c>
      <c r="G342" t="n">
        <v>90</v>
      </c>
    </row>
    <row r="343">
      <c r="A343" t="n">
        <v>1</v>
      </c>
      <c r="B343" t="inlineStr">
        <is>
          <t>Sirop aux fleuresSirop 500 ml</t>
        </is>
      </c>
      <c r="D343" t="inlineStr">
        <is>
          <t>annee</t>
        </is>
      </c>
      <c r="E343" t="n">
        <v>2</v>
      </c>
      <c r="F343" t="inlineStr">
        <is>
          <t>prod</t>
        </is>
      </c>
      <c r="G343" t="n">
        <v>90</v>
      </c>
    </row>
    <row r="344">
      <c r="A344" t="n">
        <v>1</v>
      </c>
      <c r="B344" t="inlineStr">
        <is>
          <t>Sirop de basilicSirop 500 ml</t>
        </is>
      </c>
      <c r="D344" t="inlineStr">
        <is>
          <t>annee</t>
        </is>
      </c>
      <c r="E344" t="n">
        <v>1</v>
      </c>
      <c r="F344" t="inlineStr">
        <is>
          <t>prod</t>
        </is>
      </c>
      <c r="G344" t="n">
        <v>90</v>
      </c>
    </row>
    <row r="345">
      <c r="A345" t="n">
        <v>1</v>
      </c>
      <c r="B345" t="inlineStr">
        <is>
          <t>Sirop de basilicSirop 500 ml</t>
        </is>
      </c>
      <c r="D345" t="inlineStr">
        <is>
          <t>annee</t>
        </is>
      </c>
      <c r="E345" t="n">
        <v>2</v>
      </c>
      <c r="F345" t="inlineStr">
        <is>
          <t>prod</t>
        </is>
      </c>
      <c r="G345" t="n">
        <v>90</v>
      </c>
    </row>
    <row r="346">
      <c r="A346" t="n">
        <v>1</v>
      </c>
      <c r="B346" t="inlineStr">
        <is>
          <t>Sirop de thymSirop 500 ml</t>
        </is>
      </c>
      <c r="D346" t="inlineStr">
        <is>
          <t>annee</t>
        </is>
      </c>
      <c r="E346" t="n">
        <v>1</v>
      </c>
      <c r="F346" t="inlineStr">
        <is>
          <t>prod</t>
        </is>
      </c>
      <c r="G346" t="n">
        <v>90</v>
      </c>
    </row>
    <row r="347">
      <c r="A347" t="n">
        <v>1</v>
      </c>
      <c r="B347" t="inlineStr">
        <is>
          <t>Sirop de thymSirop 500 ml</t>
        </is>
      </c>
      <c r="D347" t="inlineStr">
        <is>
          <t>annee</t>
        </is>
      </c>
      <c r="E347" t="n">
        <v>2</v>
      </c>
      <c r="F347" t="inlineStr">
        <is>
          <t>prod</t>
        </is>
      </c>
      <c r="G347" t="n">
        <v>90</v>
      </c>
    </row>
    <row r="348">
      <c r="A348" t="n">
        <v>1</v>
      </c>
      <c r="B348" t="inlineStr">
        <is>
          <t>Sucre à l'hibiscusEpice 200ml</t>
        </is>
      </c>
      <c r="D348" t="inlineStr">
        <is>
          <t>annee</t>
        </is>
      </c>
      <c r="E348" t="n">
        <v>1</v>
      </c>
      <c r="F348" t="inlineStr">
        <is>
          <t>prod</t>
        </is>
      </c>
      <c r="G348" t="n">
        <v>36</v>
      </c>
    </row>
    <row r="349">
      <c r="A349" t="n">
        <v>1</v>
      </c>
      <c r="B349" t="inlineStr">
        <is>
          <t>Sucre à l'hibiscusEpice 200ml</t>
        </is>
      </c>
      <c r="D349" t="inlineStr">
        <is>
          <t>annee</t>
        </is>
      </c>
      <c r="E349" t="n">
        <v>2</v>
      </c>
      <c r="F349" t="inlineStr">
        <is>
          <t>prod</t>
        </is>
      </c>
      <c r="G349" t="n">
        <v>36</v>
      </c>
    </row>
    <row r="350">
      <c r="A350" t="n">
        <v>1</v>
      </c>
      <c r="B350" t="inlineStr">
        <is>
          <t>Vinaigre du soleilVinaigre 250 ml</t>
        </is>
      </c>
      <c r="D350" t="inlineStr">
        <is>
          <t>annee</t>
        </is>
      </c>
      <c r="E350" t="n">
        <v>1</v>
      </c>
      <c r="F350" t="inlineStr">
        <is>
          <t>prod</t>
        </is>
      </c>
      <c r="G350" t="n">
        <v>45</v>
      </c>
    </row>
    <row r="351">
      <c r="A351" t="n">
        <v>2</v>
      </c>
      <c r="B351" t="inlineStr">
        <is>
          <t>Vinaigre du soleilVinaigre 250 ml</t>
        </is>
      </c>
      <c r="C351" t="inlineStr">
        <is>
          <t>Vinaigre De Cidre</t>
        </is>
      </c>
      <c r="D351" t="inlineStr">
        <is>
          <t>recetteProportion</t>
        </is>
      </c>
      <c r="E351" t="n">
        <v>0.97</v>
      </c>
    </row>
    <row r="352">
      <c r="A352" t="n">
        <v>3</v>
      </c>
      <c r="B352" t="inlineStr">
        <is>
          <t>Vinaigre du soleilVinaigre 250 ml</t>
        </is>
      </c>
      <c r="C352" t="inlineStr">
        <is>
          <t>Vinaigre De Cidre</t>
        </is>
      </c>
      <c r="D352" t="inlineStr">
        <is>
          <t>productionInKg</t>
        </is>
      </c>
      <c r="E352" t="n">
        <v>45</v>
      </c>
      <c r="F352" t="inlineStr">
        <is>
          <t>inversReductionIngredient</t>
        </is>
      </c>
      <c r="H352" t="inlineStr">
        <is>
          <t>finalValue</t>
        </is>
      </c>
      <c r="I352" t="n">
        <v>43.65</v>
      </c>
    </row>
    <row r="353">
      <c r="A353" t="n">
        <v>4</v>
      </c>
      <c r="B353" t="inlineStr">
        <is>
          <t>Vinaigre du soleilVinaigre 250 ml</t>
        </is>
      </c>
      <c r="C353" t="inlineStr">
        <is>
          <t>Vinaigre De Cidre</t>
        </is>
      </c>
      <c r="D353" t="inlineStr">
        <is>
          <t>PROD</t>
        </is>
      </c>
      <c r="E353" t="inlineStr">
        <is>
          <t>vinaigre de cidre</t>
        </is>
      </c>
      <c r="F353" t="inlineStr">
        <is>
          <t>productionToAdd</t>
        </is>
      </c>
      <c r="G353" t="n">
        <v>43.65</v>
      </c>
      <c r="H353" t="inlineStr">
        <is>
          <t>currentCell</t>
        </is>
      </c>
      <c r="I353" t="n">
        <v>160.750504302387</v>
      </c>
    </row>
    <row r="354">
      <c r="A354" t="n">
        <v>2</v>
      </c>
      <c r="B354" t="inlineStr">
        <is>
          <t>Vinaigre du soleilVinaigre 250 ml</t>
        </is>
      </c>
      <c r="C354" t="inlineStr">
        <is>
          <t>Fleure Helichrysum SEC</t>
        </is>
      </c>
      <c r="D354" t="inlineStr">
        <is>
          <t>recetteProportion</t>
        </is>
      </c>
      <c r="E354" t="n">
        <v>0.02</v>
      </c>
    </row>
    <row r="355">
      <c r="A355" t="n">
        <v>2</v>
      </c>
      <c r="B355" t="inlineStr">
        <is>
          <t>Vinaigre du soleilVinaigre 250 ml</t>
        </is>
      </c>
      <c r="C355" t="inlineStr">
        <is>
          <t>Origan</t>
        </is>
      </c>
      <c r="D355" t="inlineStr">
        <is>
          <t>recetteProportion</t>
        </is>
      </c>
      <c r="E355" t="n">
        <v>0.01</v>
      </c>
    </row>
    <row r="356">
      <c r="A356" t="n">
        <v>3</v>
      </c>
      <c r="B356" t="inlineStr">
        <is>
          <t>Vinaigre du soleilVinaigre 250 ml</t>
        </is>
      </c>
      <c r="C356" t="inlineStr">
        <is>
          <t>Origan</t>
        </is>
      </c>
      <c r="D356" t="inlineStr">
        <is>
          <t>productionInKg</t>
        </is>
      </c>
      <c r="E356" t="n">
        <v>45</v>
      </c>
      <c r="F356" t="inlineStr">
        <is>
          <t>inversReductionIngredient</t>
        </is>
      </c>
      <c r="H356" t="inlineStr">
        <is>
          <t>finalValue</t>
        </is>
      </c>
      <c r="I356" t="n">
        <v>0.09000000000000001</v>
      </c>
    </row>
    <row r="357">
      <c r="A357" t="n">
        <v>4</v>
      </c>
      <c r="B357" t="inlineStr">
        <is>
          <t>Vinaigre du soleilVinaigre 250 ml</t>
        </is>
      </c>
      <c r="C357" t="inlineStr">
        <is>
          <t>Origan</t>
        </is>
      </c>
      <c r="D357" t="inlineStr">
        <is>
          <t>PROD</t>
        </is>
      </c>
      <c r="E357" t="inlineStr">
        <is>
          <t>origan</t>
        </is>
      </c>
      <c r="F357" t="inlineStr">
        <is>
          <t>productionToAdd</t>
        </is>
      </c>
      <c r="G357" t="n">
        <v>0.09000000000000001</v>
      </c>
      <c r="H357" t="inlineStr">
        <is>
          <t>currentCell</t>
        </is>
      </c>
      <c r="I357" t="n">
        <v>0.5540883977900553</v>
      </c>
    </row>
    <row r="359">
      <c r="A359" t="n">
        <v>2</v>
      </c>
      <c r="B359" t="inlineStr">
        <is>
          <t>Vinaigre du soleilVinaigre 250 ml</t>
        </is>
      </c>
      <c r="C359" t="inlineStr">
        <is>
          <t>Vinaigre De Cidre</t>
        </is>
      </c>
      <c r="D359" t="inlineStr">
        <is>
          <t>recetteProportion</t>
        </is>
      </c>
      <c r="E359" t="n">
        <v>0.97</v>
      </c>
    </row>
    <row r="360">
      <c r="A360" t="n">
        <v>3</v>
      </c>
      <c r="B360" t="inlineStr">
        <is>
          <t>Vinaigre du soleilVinaigre 250 ml</t>
        </is>
      </c>
      <c r="C360" t="inlineStr">
        <is>
          <t>Vinaigre De Cidre</t>
        </is>
      </c>
      <c r="D360" t="inlineStr">
        <is>
          <t>productionInKg</t>
        </is>
      </c>
      <c r="E360" t="n">
        <v>45</v>
      </c>
      <c r="F360" t="inlineStr">
        <is>
          <t>inversReductionIngredient</t>
        </is>
      </c>
      <c r="H360" t="inlineStr">
        <is>
          <t>finalValue</t>
        </is>
      </c>
      <c r="I360" t="n">
        <v>43.65</v>
      </c>
    </row>
    <row r="361">
      <c r="A361" t="n">
        <v>4</v>
      </c>
      <c r="B361" t="inlineStr">
        <is>
          <t>Vinaigre du soleilVinaigre 250 ml</t>
        </is>
      </c>
      <c r="C361" t="inlineStr">
        <is>
          <t>Vinaigre De Cidre</t>
        </is>
      </c>
      <c r="D361" t="inlineStr">
        <is>
          <t>PROD</t>
        </is>
      </c>
      <c r="E361" t="inlineStr">
        <is>
          <t>vinaigre de cidre</t>
        </is>
      </c>
      <c r="F361" t="inlineStr">
        <is>
          <t>productionToAdd</t>
        </is>
      </c>
      <c r="G361" t="n">
        <v>43.65</v>
      </c>
      <c r="H361" t="inlineStr">
        <is>
          <t>currentCell</t>
        </is>
      </c>
      <c r="I361" t="n">
        <v>160.750504302387</v>
      </c>
    </row>
    <row r="362">
      <c r="A362" t="n">
        <v>2</v>
      </c>
      <c r="B362" t="inlineStr">
        <is>
          <t>Vinaigre du soleilVinaigre 250 ml</t>
        </is>
      </c>
      <c r="C362" t="inlineStr">
        <is>
          <t>Fleure Helichrysum SEC</t>
        </is>
      </c>
      <c r="D362" t="inlineStr">
        <is>
          <t>recetteProportion</t>
        </is>
      </c>
      <c r="E362" t="n">
        <v>0.02</v>
      </c>
    </row>
    <row r="363">
      <c r="A363" t="n">
        <v>2</v>
      </c>
      <c r="B363" t="inlineStr">
        <is>
          <t>Vinaigre du soleilVinaigre 250 ml</t>
        </is>
      </c>
      <c r="C363" t="inlineStr">
        <is>
          <t>Origan</t>
        </is>
      </c>
      <c r="D363" t="inlineStr">
        <is>
          <t>recetteProportion</t>
        </is>
      </c>
      <c r="E363" t="n">
        <v>0.01</v>
      </c>
    </row>
    <row r="364">
      <c r="A364" t="n">
        <v>3</v>
      </c>
      <c r="B364" t="inlineStr">
        <is>
          <t>Vinaigre du soleilVinaigre 250 ml</t>
        </is>
      </c>
      <c r="C364" t="inlineStr">
        <is>
          <t>Origan</t>
        </is>
      </c>
      <c r="D364" t="inlineStr">
        <is>
          <t>productionInKg</t>
        </is>
      </c>
      <c r="E364" t="n">
        <v>45</v>
      </c>
      <c r="F364" t="inlineStr">
        <is>
          <t>inversReductionIngredient</t>
        </is>
      </c>
      <c r="H364" t="inlineStr">
        <is>
          <t>finalValue</t>
        </is>
      </c>
      <c r="I364" t="n">
        <v>0.09000000000000001</v>
      </c>
    </row>
    <row r="365">
      <c r="A365" t="n">
        <v>4</v>
      </c>
      <c r="B365" t="inlineStr">
        <is>
          <t>Vinaigre du soleilVinaigre 250 ml</t>
        </is>
      </c>
      <c r="C365" t="inlineStr">
        <is>
          <t>Origan</t>
        </is>
      </c>
      <c r="D365" t="inlineStr">
        <is>
          <t>PROD</t>
        </is>
      </c>
      <c r="E365" t="inlineStr">
        <is>
          <t>origan</t>
        </is>
      </c>
      <c r="F365" t="inlineStr">
        <is>
          <t>productionToAdd</t>
        </is>
      </c>
      <c r="G365" t="n">
        <v>0.09000000000000001</v>
      </c>
      <c r="H365" t="inlineStr">
        <is>
          <t>currentCell</t>
        </is>
      </c>
      <c r="I365" t="n">
        <v>0.5540883977900553</v>
      </c>
    </row>
    <row r="366">
      <c r="A366" t="n">
        <v>1</v>
      </c>
      <c r="B366" t="inlineStr">
        <is>
          <t>Vinaigre du sureauVinaigre 250 ml</t>
        </is>
      </c>
      <c r="D366" t="inlineStr">
        <is>
          <t>annee</t>
        </is>
      </c>
      <c r="E366" t="n">
        <v>1</v>
      </c>
      <c r="F366" t="inlineStr">
        <is>
          <t>prod</t>
        </is>
      </c>
      <c r="G366" t="n">
        <v>45</v>
      </c>
    </row>
    <row r="367">
      <c r="A367" t="n">
        <v>2</v>
      </c>
      <c r="B367" t="inlineStr">
        <is>
          <t>Vinaigre du sureauVinaigre 250 ml</t>
        </is>
      </c>
      <c r="C367" t="inlineStr">
        <is>
          <t>Vinaigre De Cidre</t>
        </is>
      </c>
      <c r="D367" t="inlineStr">
        <is>
          <t>recetteProportion</t>
        </is>
      </c>
      <c r="E367" t="n">
        <v>0.92</v>
      </c>
    </row>
    <row r="368">
      <c r="A368" t="n">
        <v>3</v>
      </c>
      <c r="B368" t="inlineStr">
        <is>
          <t>Vinaigre du sureauVinaigre 250 ml</t>
        </is>
      </c>
      <c r="C368" t="inlineStr">
        <is>
          <t>Vinaigre De Cidre</t>
        </is>
      </c>
      <c r="D368" t="inlineStr">
        <is>
          <t>productionInKg</t>
        </is>
      </c>
      <c r="E368" t="n">
        <v>45</v>
      </c>
      <c r="F368" t="inlineStr">
        <is>
          <t>inversReductionIngredient</t>
        </is>
      </c>
      <c r="H368" t="inlineStr">
        <is>
          <t>finalValue</t>
        </is>
      </c>
      <c r="I368" t="n">
        <v>41.4</v>
      </c>
    </row>
    <row r="369">
      <c r="A369" t="n">
        <v>4</v>
      </c>
      <c r="B369" t="inlineStr">
        <is>
          <t>Vinaigre du sureauVinaigre 250 ml</t>
        </is>
      </c>
      <c r="C369" t="inlineStr">
        <is>
          <t>Vinaigre De Cidre</t>
        </is>
      </c>
      <c r="D369" t="inlineStr">
        <is>
          <t>PROD</t>
        </is>
      </c>
      <c r="E369" t="inlineStr">
        <is>
          <t>vinaigre de cidre</t>
        </is>
      </c>
      <c r="F369" t="inlineStr">
        <is>
          <t>productionToAdd</t>
        </is>
      </c>
      <c r="G369" t="n">
        <v>41.4</v>
      </c>
      <c r="H369" t="inlineStr">
        <is>
          <t>currentCell</t>
        </is>
      </c>
      <c r="I369" t="n">
        <v>202.150504302387</v>
      </c>
    </row>
    <row r="370">
      <c r="A370" t="n">
        <v>2</v>
      </c>
      <c r="B370" t="inlineStr">
        <is>
          <t>Vinaigre du sureauVinaigre 250 ml</t>
        </is>
      </c>
      <c r="C370" t="inlineStr">
        <is>
          <t>Sureau SEC</t>
        </is>
      </c>
      <c r="D370" t="inlineStr">
        <is>
          <t>recetteProportion</t>
        </is>
      </c>
      <c r="E370" t="n">
        <v>0.03</v>
      </c>
    </row>
    <row r="371">
      <c r="A371" t="n">
        <v>2</v>
      </c>
      <c r="B371" t="inlineStr">
        <is>
          <t>Vinaigre du sureauVinaigre 250 ml</t>
        </is>
      </c>
      <c r="C371" t="inlineStr">
        <is>
          <t xml:space="preserve">Sucre Blanc </t>
        </is>
      </c>
      <c r="D371" t="inlineStr">
        <is>
          <t>recetteProportion</t>
        </is>
      </c>
      <c r="E371" t="n">
        <v>0.05</v>
      </c>
    </row>
    <row r="372">
      <c r="A372" t="n">
        <v>3</v>
      </c>
      <c r="B372" t="inlineStr">
        <is>
          <t>Vinaigre du sureauVinaigre 250 ml</t>
        </is>
      </c>
      <c r="C372" t="inlineStr">
        <is>
          <t xml:space="preserve">Sucre Blanc </t>
        </is>
      </c>
      <c r="D372" t="inlineStr">
        <is>
          <t>productionInKg</t>
        </is>
      </c>
      <c r="E372" t="n">
        <v>45</v>
      </c>
      <c r="F372" t="inlineStr">
        <is>
          <t>inversReductionIngredient</t>
        </is>
      </c>
      <c r="H372" t="inlineStr">
        <is>
          <t>finalValue</t>
        </is>
      </c>
      <c r="I372" t="n">
        <v>2.25</v>
      </c>
    </row>
    <row r="374">
      <c r="A374" t="n">
        <v>2</v>
      </c>
      <c r="B374" t="inlineStr">
        <is>
          <t>Vinaigre du sureauVinaigre 250 ml</t>
        </is>
      </c>
      <c r="C374" t="inlineStr">
        <is>
          <t>Vinaigre De Cidre</t>
        </is>
      </c>
      <c r="D374" t="inlineStr">
        <is>
          <t>recetteProportion</t>
        </is>
      </c>
      <c r="E374" t="n">
        <v>0.92</v>
      </c>
    </row>
    <row r="375">
      <c r="A375" t="n">
        <v>3</v>
      </c>
      <c r="B375" t="inlineStr">
        <is>
          <t>Vinaigre du sureauVinaigre 250 ml</t>
        </is>
      </c>
      <c r="C375" t="inlineStr">
        <is>
          <t>Vinaigre De Cidre</t>
        </is>
      </c>
      <c r="D375" t="inlineStr">
        <is>
          <t>productionInKg</t>
        </is>
      </c>
      <c r="E375" t="n">
        <v>45</v>
      </c>
      <c r="F375" t="inlineStr">
        <is>
          <t>inversReductionIngredient</t>
        </is>
      </c>
      <c r="H375" t="inlineStr">
        <is>
          <t>finalValue</t>
        </is>
      </c>
      <c r="I375" t="n">
        <v>41.4</v>
      </c>
    </row>
    <row r="376">
      <c r="A376" t="n">
        <v>4</v>
      </c>
      <c r="B376" t="inlineStr">
        <is>
          <t>Vinaigre du sureauVinaigre 250 ml</t>
        </is>
      </c>
      <c r="C376" t="inlineStr">
        <is>
          <t>Vinaigre De Cidre</t>
        </is>
      </c>
      <c r="D376" t="inlineStr">
        <is>
          <t>PROD</t>
        </is>
      </c>
      <c r="E376" t="inlineStr">
        <is>
          <t>vinaigre de cidre</t>
        </is>
      </c>
      <c r="F376" t="inlineStr">
        <is>
          <t>productionToAdd</t>
        </is>
      </c>
      <c r="G376" t="n">
        <v>41.4</v>
      </c>
      <c r="H376" t="inlineStr">
        <is>
          <t>currentCell</t>
        </is>
      </c>
      <c r="I376" t="n">
        <v>202.150504302387</v>
      </c>
    </row>
    <row r="377">
      <c r="A377" t="n">
        <v>2</v>
      </c>
      <c r="B377" t="inlineStr">
        <is>
          <t>Vinaigre du sureauVinaigre 250 ml</t>
        </is>
      </c>
      <c r="C377" t="inlineStr">
        <is>
          <t>Sureau SEC</t>
        </is>
      </c>
      <c r="D377" t="inlineStr">
        <is>
          <t>recetteProportion</t>
        </is>
      </c>
      <c r="E377" t="n">
        <v>0.03</v>
      </c>
    </row>
    <row r="378">
      <c r="A378" t="n">
        <v>2</v>
      </c>
      <c r="B378" t="inlineStr">
        <is>
          <t>Vinaigre du sureauVinaigre 250 ml</t>
        </is>
      </c>
      <c r="C378" t="inlineStr">
        <is>
          <t xml:space="preserve">Sucre Blanc </t>
        </is>
      </c>
      <c r="D378" t="inlineStr">
        <is>
          <t>recetteProportion</t>
        </is>
      </c>
      <c r="E378" t="n">
        <v>0.05</v>
      </c>
    </row>
    <row r="379">
      <c r="A379" t="n">
        <v>3</v>
      </c>
      <c r="B379" t="inlineStr">
        <is>
          <t>Vinaigre du sureauVinaigre 250 ml</t>
        </is>
      </c>
      <c r="C379" t="inlineStr">
        <is>
          <t xml:space="preserve">Sucre Blanc </t>
        </is>
      </c>
      <c r="D379" t="inlineStr">
        <is>
          <t>productionInKg</t>
        </is>
      </c>
      <c r="E379" t="n">
        <v>45</v>
      </c>
      <c r="F379" t="inlineStr">
        <is>
          <t>inversReductionIngredient</t>
        </is>
      </c>
      <c r="H379" t="inlineStr">
        <is>
          <t>finalValue</t>
        </is>
      </c>
      <c r="I379" t="n">
        <v>2.25</v>
      </c>
    </row>
    <row r="380">
      <c r="A380" t="n">
        <v>1</v>
      </c>
      <c r="B380" t="inlineStr">
        <is>
          <t>ZaatarEpice 100ml</t>
        </is>
      </c>
      <c r="D380" t="inlineStr">
        <is>
          <t>annee</t>
        </is>
      </c>
      <c r="E380" t="n">
        <v>1</v>
      </c>
      <c r="F380" t="inlineStr">
        <is>
          <t>prod</t>
        </is>
      </c>
      <c r="G380" t="n">
        <v>9</v>
      </c>
    </row>
    <row r="381">
      <c r="A381" t="n">
        <v>2</v>
      </c>
      <c r="B381" t="inlineStr">
        <is>
          <t>ZaatarEpice 100ml</t>
        </is>
      </c>
      <c r="C381" t="inlineStr">
        <is>
          <t>Cumin Moulu</t>
        </is>
      </c>
      <c r="D381" t="inlineStr">
        <is>
          <t>recetteProportion</t>
        </is>
      </c>
      <c r="E381" t="n">
        <v>0.2222222222222222</v>
      </c>
    </row>
    <row r="382">
      <c r="A382" t="n">
        <v>3</v>
      </c>
      <c r="B382" t="inlineStr">
        <is>
          <t>ZaatarEpice 100ml</t>
        </is>
      </c>
      <c r="C382" t="inlineStr">
        <is>
          <t>Cumin Moulu</t>
        </is>
      </c>
      <c r="D382" t="inlineStr">
        <is>
          <t>productionInKg</t>
        </is>
      </c>
      <c r="E382" t="n">
        <v>9</v>
      </c>
      <c r="F382" t="inlineStr">
        <is>
          <t>inversReductionIngredient</t>
        </is>
      </c>
      <c r="H382" t="inlineStr">
        <is>
          <t>finalValue</t>
        </is>
      </c>
      <c r="I382" t="n">
        <v>1.4</v>
      </c>
    </row>
    <row r="383">
      <c r="A383" t="n">
        <v>4</v>
      </c>
      <c r="B383" t="inlineStr">
        <is>
          <t>ZaatarEpice 100ml</t>
        </is>
      </c>
      <c r="C383" t="inlineStr">
        <is>
          <t>Cumin Moulu</t>
        </is>
      </c>
      <c r="D383" t="inlineStr">
        <is>
          <t>PROD</t>
        </is>
      </c>
      <c r="E383" t="inlineStr">
        <is>
          <t>graine cumin</t>
        </is>
      </c>
      <c r="F383" t="inlineStr">
        <is>
          <t>productionToAdd</t>
        </is>
      </c>
      <c r="G383" t="n">
        <v>1.4</v>
      </c>
      <c r="H383" t="inlineStr">
        <is>
          <t>currentCell</t>
        </is>
      </c>
      <c r="I383" t="n">
        <v>35.13044575590155</v>
      </c>
    </row>
    <row r="384">
      <c r="A384" t="n">
        <v>2</v>
      </c>
      <c r="B384" t="inlineStr">
        <is>
          <t>ZaatarEpice 100ml</t>
        </is>
      </c>
      <c r="C384" t="inlineStr">
        <is>
          <t>Sel</t>
        </is>
      </c>
      <c r="D384" t="inlineStr">
        <is>
          <t>recetteProportion</t>
        </is>
      </c>
      <c r="E384" t="n">
        <v>0.1111111111111111</v>
      </c>
    </row>
    <row r="385">
      <c r="A385" t="n">
        <v>3</v>
      </c>
      <c r="B385" t="inlineStr">
        <is>
          <t>ZaatarEpice 100ml</t>
        </is>
      </c>
      <c r="C385" t="inlineStr">
        <is>
          <t>Sel</t>
        </is>
      </c>
      <c r="D385" t="inlineStr">
        <is>
          <t>productionInKg</t>
        </is>
      </c>
      <c r="E385" t="n">
        <v>9</v>
      </c>
      <c r="F385" t="inlineStr">
        <is>
          <t>inversReductionIngredient</t>
        </is>
      </c>
      <c r="H385" t="inlineStr">
        <is>
          <t>finalValue</t>
        </is>
      </c>
      <c r="I385" t="n">
        <v>1</v>
      </c>
    </row>
    <row r="386">
      <c r="A386" t="n">
        <v>4</v>
      </c>
      <c r="B386" t="inlineStr">
        <is>
          <t>ZaatarEpice 100ml</t>
        </is>
      </c>
      <c r="C386" t="inlineStr">
        <is>
          <t>Sel</t>
        </is>
      </c>
      <c r="D386" t="inlineStr">
        <is>
          <t>PROD</t>
        </is>
      </c>
      <c r="E386" t="inlineStr">
        <is>
          <t>sel</t>
        </is>
      </c>
      <c r="F386" t="inlineStr">
        <is>
          <t>productionToAdd</t>
        </is>
      </c>
      <c r="G386" t="n">
        <v>1</v>
      </c>
      <c r="H386" t="inlineStr">
        <is>
          <t>currentCell</t>
        </is>
      </c>
      <c r="I386" t="n">
        <v>30.08856684841951</v>
      </c>
    </row>
    <row r="387">
      <c r="A387" t="n">
        <v>2</v>
      </c>
      <c r="B387" t="inlineStr">
        <is>
          <t>ZaatarEpice 100ml</t>
        </is>
      </c>
      <c r="C387" t="inlineStr">
        <is>
          <t>Sesame</t>
        </is>
      </c>
      <c r="D387" t="inlineStr">
        <is>
          <t>recetteProportion</t>
        </is>
      </c>
      <c r="E387" t="n">
        <v>0.2222222222222222</v>
      </c>
    </row>
    <row r="388">
      <c r="A388" t="n">
        <v>2</v>
      </c>
      <c r="B388" t="inlineStr">
        <is>
          <t>ZaatarEpice 100ml</t>
        </is>
      </c>
      <c r="C388" t="inlineStr">
        <is>
          <t>Origan</t>
        </is>
      </c>
      <c r="D388" t="inlineStr">
        <is>
          <t>recetteProportion</t>
        </is>
      </c>
      <c r="E388" t="n">
        <v>0.2222222222222222</v>
      </c>
    </row>
    <row r="389">
      <c r="A389" t="n">
        <v>3</v>
      </c>
      <c r="B389" t="inlineStr">
        <is>
          <t>ZaatarEpice 100ml</t>
        </is>
      </c>
      <c r="C389" t="inlineStr">
        <is>
          <t>Origan</t>
        </is>
      </c>
      <c r="D389" t="inlineStr">
        <is>
          <t>productionInKg</t>
        </is>
      </c>
      <c r="E389" t="n">
        <v>9</v>
      </c>
      <c r="F389" t="inlineStr">
        <is>
          <t>inversReductionIngredient</t>
        </is>
      </c>
      <c r="H389" t="inlineStr">
        <is>
          <t>finalValue</t>
        </is>
      </c>
      <c r="I389" t="n">
        <v>0.4</v>
      </c>
    </row>
    <row r="391">
      <c r="A391" t="n">
        <v>2</v>
      </c>
      <c r="B391" t="inlineStr">
        <is>
          <t>ZaatarEpice 100ml</t>
        </is>
      </c>
      <c r="C391" t="inlineStr">
        <is>
          <t>Sumac</t>
        </is>
      </c>
      <c r="D391" t="inlineStr">
        <is>
          <t>recetteProportion</t>
        </is>
      </c>
      <c r="E391" t="n">
        <v>0.2222222222222222</v>
      </c>
    </row>
    <row r="392">
      <c r="A392" t="n">
        <v>3</v>
      </c>
      <c r="B392" t="inlineStr">
        <is>
          <t>ZaatarEpice 100ml</t>
        </is>
      </c>
      <c r="C392" t="inlineStr">
        <is>
          <t>Sumac</t>
        </is>
      </c>
      <c r="D392" t="inlineStr">
        <is>
          <t>productionInKg</t>
        </is>
      </c>
      <c r="E392" t="n">
        <v>9</v>
      </c>
      <c r="F392" t="inlineStr">
        <is>
          <t>inversReductionIngredient</t>
        </is>
      </c>
      <c r="H392" t="inlineStr">
        <is>
          <t>finalValue</t>
        </is>
      </c>
      <c r="I392" t="n">
        <v>1.8</v>
      </c>
    </row>
    <row r="393">
      <c r="A393" t="n">
        <v>4</v>
      </c>
      <c r="B393" t="inlineStr">
        <is>
          <t>ZaatarEpice 100ml</t>
        </is>
      </c>
      <c r="C393" t="inlineStr">
        <is>
          <t>Sumac</t>
        </is>
      </c>
      <c r="D393" t="inlineStr">
        <is>
          <t>PROD</t>
        </is>
      </c>
      <c r="E393" t="inlineStr">
        <is>
          <t>sumac</t>
        </is>
      </c>
      <c r="F393" t="inlineStr">
        <is>
          <t>productionToAdd</t>
        </is>
      </c>
      <c r="G393" t="n">
        <v>1.8</v>
      </c>
      <c r="H393" t="inlineStr">
        <is>
          <t>currentCell</t>
        </is>
      </c>
      <c r="I393" t="n">
        <v>1.8</v>
      </c>
    </row>
    <row r="394">
      <c r="A394" t="n">
        <v>1</v>
      </c>
      <c r="B394" t="inlineStr">
        <is>
          <t>ZaatarEpice 100ml</t>
        </is>
      </c>
      <c r="D394" t="inlineStr">
        <is>
          <t>annee</t>
        </is>
      </c>
      <c r="E394" t="n">
        <v>2</v>
      </c>
      <c r="F394" t="inlineStr">
        <is>
          <t>prod</t>
        </is>
      </c>
      <c r="G394" t="n">
        <v>9</v>
      </c>
    </row>
    <row r="395">
      <c r="A395" t="n">
        <v>2</v>
      </c>
      <c r="B395" t="inlineStr">
        <is>
          <t>ZaatarEpice 100ml</t>
        </is>
      </c>
      <c r="C395" t="inlineStr">
        <is>
          <t>Cumin Moulu</t>
        </is>
      </c>
      <c r="D395" t="inlineStr">
        <is>
          <t>recetteProportion</t>
        </is>
      </c>
      <c r="E395" t="n">
        <v>0.2222222222222222</v>
      </c>
    </row>
    <row r="396">
      <c r="A396" t="n">
        <v>3</v>
      </c>
      <c r="B396" t="inlineStr">
        <is>
          <t>ZaatarEpice 100ml</t>
        </is>
      </c>
      <c r="C396" t="inlineStr">
        <is>
          <t>Cumin Moulu</t>
        </is>
      </c>
      <c r="D396" t="inlineStr">
        <is>
          <t>productionInKg</t>
        </is>
      </c>
      <c r="E396" t="n">
        <v>9</v>
      </c>
      <c r="F396" t="inlineStr">
        <is>
          <t>inversReductionIngredient</t>
        </is>
      </c>
      <c r="H396" t="inlineStr">
        <is>
          <t>finalValue</t>
        </is>
      </c>
      <c r="I396" t="n">
        <v>1.4</v>
      </c>
    </row>
    <row r="397">
      <c r="A397" t="n">
        <v>4</v>
      </c>
      <c r="B397" t="inlineStr">
        <is>
          <t>ZaatarEpice 100ml</t>
        </is>
      </c>
      <c r="C397" t="inlineStr">
        <is>
          <t>Cumin Moulu</t>
        </is>
      </c>
      <c r="D397" t="inlineStr">
        <is>
          <t>PROD</t>
        </is>
      </c>
      <c r="E397" t="inlineStr">
        <is>
          <t>graine cumin</t>
        </is>
      </c>
      <c r="F397" t="inlineStr">
        <is>
          <t>productionToAdd</t>
        </is>
      </c>
      <c r="G397" t="n">
        <v>1.4</v>
      </c>
      <c r="H397" t="inlineStr">
        <is>
          <t>currentCell</t>
        </is>
      </c>
      <c r="I397" t="n">
        <v>35.13044575590155</v>
      </c>
    </row>
    <row r="398">
      <c r="A398" t="n">
        <v>2</v>
      </c>
      <c r="B398" t="inlineStr">
        <is>
          <t>ZaatarEpice 100ml</t>
        </is>
      </c>
      <c r="C398" t="inlineStr">
        <is>
          <t>Sel</t>
        </is>
      </c>
      <c r="D398" t="inlineStr">
        <is>
          <t>recetteProportion</t>
        </is>
      </c>
      <c r="E398" t="n">
        <v>0.1111111111111111</v>
      </c>
    </row>
    <row r="399">
      <c r="A399" t="n">
        <v>3</v>
      </c>
      <c r="B399" t="inlineStr">
        <is>
          <t>ZaatarEpice 100ml</t>
        </is>
      </c>
      <c r="C399" t="inlineStr">
        <is>
          <t>Sel</t>
        </is>
      </c>
      <c r="D399" t="inlineStr">
        <is>
          <t>productionInKg</t>
        </is>
      </c>
      <c r="E399" t="n">
        <v>9</v>
      </c>
      <c r="F399" t="inlineStr">
        <is>
          <t>inversReductionIngredient</t>
        </is>
      </c>
      <c r="H399" t="inlineStr">
        <is>
          <t>finalValue</t>
        </is>
      </c>
      <c r="I399" t="n">
        <v>1</v>
      </c>
    </row>
    <row r="400">
      <c r="A400" t="n">
        <v>4</v>
      </c>
      <c r="B400" t="inlineStr">
        <is>
          <t>ZaatarEpice 100ml</t>
        </is>
      </c>
      <c r="C400" t="inlineStr">
        <is>
          <t>Sel</t>
        </is>
      </c>
      <c r="D400" t="inlineStr">
        <is>
          <t>PROD</t>
        </is>
      </c>
      <c r="E400" t="inlineStr">
        <is>
          <t>sel</t>
        </is>
      </c>
      <c r="F400" t="inlineStr">
        <is>
          <t>productionToAdd</t>
        </is>
      </c>
      <c r="G400" t="n">
        <v>1</v>
      </c>
      <c r="H400" t="inlineStr">
        <is>
          <t>currentCell</t>
        </is>
      </c>
      <c r="I400" t="n">
        <v>30.08856684841951</v>
      </c>
    </row>
    <row r="401">
      <c r="A401" t="n">
        <v>2</v>
      </c>
      <c r="B401" t="inlineStr">
        <is>
          <t>ZaatarEpice 100ml</t>
        </is>
      </c>
      <c r="C401" t="inlineStr">
        <is>
          <t>Sesame</t>
        </is>
      </c>
      <c r="D401" t="inlineStr">
        <is>
          <t>recetteProportion</t>
        </is>
      </c>
      <c r="E401" t="n">
        <v>0.2222222222222222</v>
      </c>
    </row>
    <row r="402">
      <c r="A402" t="n">
        <v>2</v>
      </c>
      <c r="B402" t="inlineStr">
        <is>
          <t>ZaatarEpice 100ml</t>
        </is>
      </c>
      <c r="C402" t="inlineStr">
        <is>
          <t>Origan</t>
        </is>
      </c>
      <c r="D402" t="inlineStr">
        <is>
          <t>recetteProportion</t>
        </is>
      </c>
      <c r="E402" t="n">
        <v>0.2222222222222222</v>
      </c>
    </row>
    <row r="403">
      <c r="A403" t="n">
        <v>3</v>
      </c>
      <c r="B403" t="inlineStr">
        <is>
          <t>ZaatarEpice 100ml</t>
        </is>
      </c>
      <c r="C403" t="inlineStr">
        <is>
          <t>Origan</t>
        </is>
      </c>
      <c r="D403" t="inlineStr">
        <is>
          <t>productionInKg</t>
        </is>
      </c>
      <c r="E403" t="n">
        <v>9</v>
      </c>
      <c r="F403" t="inlineStr">
        <is>
          <t>inversReductionIngredient</t>
        </is>
      </c>
      <c r="H403" t="inlineStr">
        <is>
          <t>finalValue</t>
        </is>
      </c>
      <c r="I403" t="n">
        <v>0.4</v>
      </c>
    </row>
    <row r="404">
      <c r="A404" t="n">
        <v>4</v>
      </c>
      <c r="B404" t="inlineStr">
        <is>
          <t>ZaatarEpice 100ml</t>
        </is>
      </c>
      <c r="C404" t="inlineStr">
        <is>
          <t>Origan</t>
        </is>
      </c>
      <c r="D404" t="inlineStr">
        <is>
          <t>PROD</t>
        </is>
      </c>
      <c r="E404" t="inlineStr">
        <is>
          <t>origan</t>
        </is>
      </c>
      <c r="F404" t="inlineStr">
        <is>
          <t>productionToAdd</t>
        </is>
      </c>
      <c r="G404" t="n">
        <v>0.4</v>
      </c>
      <c r="H404" t="inlineStr">
        <is>
          <t>currentCell</t>
        </is>
      </c>
      <c r="I404" t="n">
        <v>0.9540883977900553</v>
      </c>
    </row>
    <row r="405">
      <c r="A405" t="n">
        <v>2</v>
      </c>
      <c r="B405" t="inlineStr">
        <is>
          <t>ZaatarEpice 100ml</t>
        </is>
      </c>
      <c r="C405" t="inlineStr">
        <is>
          <t>Sumac</t>
        </is>
      </c>
      <c r="D405" t="inlineStr">
        <is>
          <t>recetteProportion</t>
        </is>
      </c>
      <c r="E405" t="n">
        <v>0.2222222222222222</v>
      </c>
    </row>
    <row r="406">
      <c r="A406" t="n">
        <v>3</v>
      </c>
      <c r="B406" t="inlineStr">
        <is>
          <t>ZaatarEpice 100ml</t>
        </is>
      </c>
      <c r="C406" t="inlineStr">
        <is>
          <t>Sumac</t>
        </is>
      </c>
      <c r="D406" t="inlineStr">
        <is>
          <t>productionInKg</t>
        </is>
      </c>
      <c r="E406" t="n">
        <v>9</v>
      </c>
      <c r="F406" t="inlineStr">
        <is>
          <t>inversReductionIngredient</t>
        </is>
      </c>
      <c r="H406" t="inlineStr">
        <is>
          <t>finalValue</t>
        </is>
      </c>
      <c r="I406" t="n">
        <v>1.8</v>
      </c>
    </row>
    <row r="407">
      <c r="A407" t="n">
        <v>4</v>
      </c>
      <c r="B407" t="inlineStr">
        <is>
          <t>ZaatarEpice 100ml</t>
        </is>
      </c>
      <c r="C407" t="inlineStr">
        <is>
          <t>Sumac</t>
        </is>
      </c>
      <c r="D407" t="inlineStr">
        <is>
          <t>PROD</t>
        </is>
      </c>
      <c r="E407" t="inlineStr">
        <is>
          <t>sumac</t>
        </is>
      </c>
      <c r="F407" t="inlineStr">
        <is>
          <t>productionToAdd</t>
        </is>
      </c>
      <c r="G407" t="n">
        <v>1.8</v>
      </c>
      <c r="H407" t="inlineStr">
        <is>
          <t>currentCell</t>
        </is>
      </c>
      <c r="I407" t="n">
        <v>1.8</v>
      </c>
    </row>
    <row r="408">
      <c r="A408" t="n">
        <v>1</v>
      </c>
      <c r="B408" t="inlineStr">
        <is>
          <t>Tabasco Rouge moyenEpice 100ml</t>
        </is>
      </c>
      <c r="D408" t="inlineStr">
        <is>
          <t>annee</t>
        </is>
      </c>
      <c r="E408" t="n">
        <v>1</v>
      </c>
      <c r="F408" t="inlineStr">
        <is>
          <t>prod</t>
        </is>
      </c>
      <c r="G408" t="n">
        <v>9</v>
      </c>
    </row>
    <row r="409">
      <c r="A409" t="n">
        <v>2</v>
      </c>
      <c r="B409" t="inlineStr">
        <is>
          <t>Tabasco Rouge moyenEpice 100ml</t>
        </is>
      </c>
      <c r="C409" t="inlineStr">
        <is>
          <t>Ail</t>
        </is>
      </c>
      <c r="D409" t="inlineStr">
        <is>
          <t>recetteProportion</t>
        </is>
      </c>
      <c r="E409" t="n">
        <v>0.04225352112676056</v>
      </c>
    </row>
    <row r="410">
      <c r="A410" t="n">
        <v>3</v>
      </c>
      <c r="B410" t="inlineStr">
        <is>
          <t>Tabasco Rouge moyenEpice 100ml</t>
        </is>
      </c>
      <c r="C410" t="inlineStr">
        <is>
          <t>Ail</t>
        </is>
      </c>
      <c r="D410" t="inlineStr">
        <is>
          <t>productionInKg</t>
        </is>
      </c>
      <c r="E410" t="n">
        <v>9</v>
      </c>
      <c r="F410" t="inlineStr">
        <is>
          <t>inversReductionIngredient</t>
        </is>
      </c>
      <c r="H410" t="inlineStr">
        <is>
          <t>finalValue</t>
        </is>
      </c>
      <c r="I410" t="n">
        <v>0.3802816901408451</v>
      </c>
    </row>
    <row r="411">
      <c r="A411" t="n">
        <v>4</v>
      </c>
      <c r="B411" t="inlineStr">
        <is>
          <t>Tabasco Rouge moyenEpice 100ml</t>
        </is>
      </c>
      <c r="C411" t="inlineStr">
        <is>
          <t>Ail</t>
        </is>
      </c>
      <c r="D411" t="inlineStr">
        <is>
          <t>PROD</t>
        </is>
      </c>
      <c r="E411" t="inlineStr">
        <is>
          <t>ail</t>
        </is>
      </c>
      <c r="F411" t="inlineStr">
        <is>
          <t>productionToAdd</t>
        </is>
      </c>
      <c r="G411" t="n">
        <v>0.3802816901408451</v>
      </c>
      <c r="H411" t="inlineStr">
        <is>
          <t>currentCell</t>
        </is>
      </c>
      <c r="I411" t="n">
        <v>0.3802816901408451</v>
      </c>
    </row>
    <row r="412">
      <c r="A412" t="n">
        <v>2</v>
      </c>
      <c r="B412" t="inlineStr">
        <is>
          <t>Tabasco Rouge moyenEpice 100ml</t>
        </is>
      </c>
      <c r="C412" t="inlineStr">
        <is>
          <t>Piments Rouge</t>
        </is>
      </c>
      <c r="D412" t="inlineStr">
        <is>
          <t>recetteProportion</t>
        </is>
      </c>
      <c r="E412" t="n">
        <v>0.704225352112676</v>
      </c>
    </row>
    <row r="413">
      <c r="A413" t="n">
        <v>3</v>
      </c>
      <c r="B413" t="inlineStr">
        <is>
          <t>Tabasco Rouge moyenEpice 100ml</t>
        </is>
      </c>
      <c r="C413" t="inlineStr">
        <is>
          <t>Piments Rouge</t>
        </is>
      </c>
      <c r="D413" t="inlineStr">
        <is>
          <t>productionInKg</t>
        </is>
      </c>
      <c r="E413" t="n">
        <v>9</v>
      </c>
      <c r="F413" t="inlineStr">
        <is>
          <t>inversReductionIngredient</t>
        </is>
      </c>
      <c r="H413" t="inlineStr">
        <is>
          <t>finalValue</t>
        </is>
      </c>
      <c r="I413" t="n">
        <v>6.338028169014084</v>
      </c>
    </row>
    <row r="414">
      <c r="A414" t="n">
        <v>4</v>
      </c>
      <c r="B414" t="inlineStr">
        <is>
          <t>Tabasco Rouge moyenEpice 100ml</t>
        </is>
      </c>
      <c r="C414" t="inlineStr">
        <is>
          <t>Piments Rouge</t>
        </is>
      </c>
      <c r="D414" t="inlineStr">
        <is>
          <t>PROD</t>
        </is>
      </c>
      <c r="E414" t="inlineStr">
        <is>
          <t>piments rouge - THUNDER MOUNTAIN LONGHORN</t>
        </is>
      </c>
      <c r="F414" t="inlineStr">
        <is>
          <t>productionToAdd</t>
        </is>
      </c>
      <c r="G414" t="n">
        <v>6.338028169014084</v>
      </c>
      <c r="H414" t="inlineStr">
        <is>
          <t>currentCell</t>
        </is>
      </c>
      <c r="I414" t="n">
        <v>6.338028169014084</v>
      </c>
    </row>
    <row r="415">
      <c r="A415" t="n">
        <v>2</v>
      </c>
      <c r="B415" t="inlineStr">
        <is>
          <t>Tabasco Rouge moyenEpice 100ml</t>
        </is>
      </c>
      <c r="C415" t="inlineStr">
        <is>
          <t>Oignon</t>
        </is>
      </c>
      <c r="D415" t="inlineStr">
        <is>
          <t>recetteProportion</t>
        </is>
      </c>
      <c r="E415" t="n">
        <v>0.07042253521126761</v>
      </c>
    </row>
    <row r="416">
      <c r="A416" t="n">
        <v>3</v>
      </c>
      <c r="B416" t="inlineStr">
        <is>
          <t>Tabasco Rouge moyenEpice 100ml</t>
        </is>
      </c>
      <c r="C416" t="inlineStr">
        <is>
          <t>Oignon</t>
        </is>
      </c>
      <c r="D416" t="inlineStr">
        <is>
          <t>productionInKg</t>
        </is>
      </c>
      <c r="E416" t="n">
        <v>9</v>
      </c>
      <c r="F416" t="inlineStr">
        <is>
          <t>inversReductionIngredient</t>
        </is>
      </c>
      <c r="H416" t="inlineStr">
        <is>
          <t>finalValue</t>
        </is>
      </c>
      <c r="I416" t="n">
        <v>0.6338028169014085</v>
      </c>
    </row>
    <row r="417">
      <c r="A417" t="n">
        <v>4</v>
      </c>
      <c r="B417" t="inlineStr">
        <is>
          <t>Tabasco Rouge moyenEpice 100ml</t>
        </is>
      </c>
      <c r="C417" t="inlineStr">
        <is>
          <t>Oignon</t>
        </is>
      </c>
      <c r="D417" t="inlineStr">
        <is>
          <t>PROD</t>
        </is>
      </c>
      <c r="E417" t="inlineStr">
        <is>
          <t>oignon</t>
        </is>
      </c>
      <c r="F417" t="inlineStr">
        <is>
          <t>productionToAdd</t>
        </is>
      </c>
      <c r="G417" t="n">
        <v>0.6338028169014085</v>
      </c>
      <c r="H417" t="inlineStr">
        <is>
          <t>currentCell</t>
        </is>
      </c>
      <c r="I417" t="n">
        <v>0.6338028169014085</v>
      </c>
    </row>
    <row r="418">
      <c r="A418" t="n">
        <v>2</v>
      </c>
      <c r="B418" t="inlineStr">
        <is>
          <t>Tabasco Rouge moyenEpice 100ml</t>
        </is>
      </c>
      <c r="C418" t="inlineStr">
        <is>
          <t>Sel</t>
        </is>
      </c>
      <c r="D418" t="inlineStr">
        <is>
          <t>recetteProportion</t>
        </is>
      </c>
      <c r="E418" t="n">
        <v>0.07042253521126761</v>
      </c>
    </row>
    <row r="420">
      <c r="A420" t="n">
        <v>4</v>
      </c>
      <c r="B420" t="inlineStr">
        <is>
          <t>Tabasco Rouge moyenEpice 100ml</t>
        </is>
      </c>
      <c r="C420" t="inlineStr">
        <is>
          <t>Sel</t>
        </is>
      </c>
      <c r="D420" t="inlineStr">
        <is>
          <t>PROD</t>
        </is>
      </c>
      <c r="E420" t="inlineStr">
        <is>
          <t>sel</t>
        </is>
      </c>
      <c r="F420" t="inlineStr">
        <is>
          <t>productionToAdd</t>
        </is>
      </c>
      <c r="G420" t="n">
        <v>0.6338028169014085</v>
      </c>
      <c r="H420" t="inlineStr">
        <is>
          <t>currentCell</t>
        </is>
      </c>
      <c r="I420" t="n">
        <v>30.72236966532092</v>
      </c>
    </row>
    <row r="421">
      <c r="A421" t="n">
        <v>2</v>
      </c>
      <c r="B421" t="inlineStr">
        <is>
          <t>Tabasco Rouge moyenEpice 100ml</t>
        </is>
      </c>
      <c r="C421" t="inlineStr">
        <is>
          <t>Vinaigre De Cidre</t>
        </is>
      </c>
      <c r="D421" t="inlineStr">
        <is>
          <t>recetteProportion</t>
        </is>
      </c>
      <c r="E421" t="n">
        <v>0.04225352112676056</v>
      </c>
    </row>
    <row r="422">
      <c r="A422" t="n">
        <v>3</v>
      </c>
      <c r="B422" t="inlineStr">
        <is>
          <t>Tabasco Rouge moyenEpice 100ml</t>
        </is>
      </c>
      <c r="C422" t="inlineStr">
        <is>
          <t>Vinaigre De Cidre</t>
        </is>
      </c>
      <c r="D422" t="inlineStr">
        <is>
          <t>productionInKg</t>
        </is>
      </c>
      <c r="E422" t="n">
        <v>9</v>
      </c>
      <c r="F422" t="inlineStr">
        <is>
          <t>inversReductionIngredient</t>
        </is>
      </c>
      <c r="H422" t="inlineStr">
        <is>
          <t>finalValue</t>
        </is>
      </c>
      <c r="I422" t="n">
        <v>0.3802816901408451</v>
      </c>
    </row>
    <row r="423">
      <c r="A423" t="n">
        <v>4</v>
      </c>
      <c r="B423" t="inlineStr">
        <is>
          <t>Tabasco Rouge moyenEpice 100ml</t>
        </is>
      </c>
      <c r="C423" t="inlineStr">
        <is>
          <t>Vinaigre De Cidre</t>
        </is>
      </c>
      <c r="D423" t="inlineStr">
        <is>
          <t>PROD</t>
        </is>
      </c>
      <c r="E423" t="inlineStr">
        <is>
          <t>vinaigre de cidre</t>
        </is>
      </c>
      <c r="F423" t="inlineStr">
        <is>
          <t>productionToAdd</t>
        </is>
      </c>
      <c r="G423" t="n">
        <v>0.3802816901408451</v>
      </c>
      <c r="H423" t="inlineStr">
        <is>
          <t>currentCell</t>
        </is>
      </c>
      <c r="I423" t="n">
        <v>202.5307859925279</v>
      </c>
    </row>
    <row r="424">
      <c r="A424" t="n">
        <v>2</v>
      </c>
      <c r="B424" t="inlineStr">
        <is>
          <t>Tabasco Rouge moyenEpice 100ml</t>
        </is>
      </c>
      <c r="C424" t="inlineStr">
        <is>
          <t>Figue</t>
        </is>
      </c>
      <c r="D424" t="inlineStr">
        <is>
          <t>recetteProportion</t>
        </is>
      </c>
      <c r="E424" t="n">
        <v>0.07042253521126761</v>
      </c>
    </row>
    <row r="425">
      <c r="A425" t="n">
        <v>3</v>
      </c>
      <c r="B425" t="inlineStr">
        <is>
          <t>Tabasco Rouge moyenEpice 100ml</t>
        </is>
      </c>
      <c r="C425" t="inlineStr">
        <is>
          <t>Figue</t>
        </is>
      </c>
      <c r="D425" t="inlineStr">
        <is>
          <t>productionInKg</t>
        </is>
      </c>
      <c r="E425" t="n">
        <v>9</v>
      </c>
      <c r="F425" t="inlineStr">
        <is>
          <t>inversReductionIngredient</t>
        </is>
      </c>
      <c r="H425" t="inlineStr">
        <is>
          <t>finalValue</t>
        </is>
      </c>
      <c r="I425" t="n">
        <v>0.6338028169014085</v>
      </c>
    </row>
    <row r="426">
      <c r="A426" t="n">
        <v>4</v>
      </c>
      <c r="B426" t="inlineStr">
        <is>
          <t>Tabasco Rouge moyenEpice 100ml</t>
        </is>
      </c>
      <c r="C426" t="inlineStr">
        <is>
          <t>Figue</t>
        </is>
      </c>
      <c r="D426" t="inlineStr">
        <is>
          <t>PROD</t>
        </is>
      </c>
      <c r="E426" t="inlineStr">
        <is>
          <t>figue</t>
        </is>
      </c>
      <c r="F426" t="inlineStr">
        <is>
          <t>productionToAdd</t>
        </is>
      </c>
      <c r="G426" t="n">
        <v>0.6338028169014085</v>
      </c>
      <c r="H426" t="inlineStr">
        <is>
          <t>currentCell</t>
        </is>
      </c>
      <c r="I426" t="n">
        <v>0.6338028169014085</v>
      </c>
    </row>
    <row r="427">
      <c r="A427" t="n">
        <v>1</v>
      </c>
      <c r="B427" t="inlineStr">
        <is>
          <t>Tabasco Rouge moyenEpice 100ml</t>
        </is>
      </c>
      <c r="D427" t="inlineStr">
        <is>
          <t>annee</t>
        </is>
      </c>
      <c r="E427" t="n">
        <v>2</v>
      </c>
      <c r="F427" t="inlineStr">
        <is>
          <t>prod</t>
        </is>
      </c>
      <c r="G427" t="n">
        <v>9</v>
      </c>
    </row>
    <row r="428">
      <c r="A428" t="n">
        <v>2</v>
      </c>
      <c r="B428" t="inlineStr">
        <is>
          <t>Tabasco Rouge moyenEpice 100ml</t>
        </is>
      </c>
      <c r="C428" t="inlineStr">
        <is>
          <t>Ail</t>
        </is>
      </c>
      <c r="D428" t="inlineStr">
        <is>
          <t>recetteProportion</t>
        </is>
      </c>
      <c r="E428" t="n">
        <v>0.04225352112676056</v>
      </c>
    </row>
    <row r="429">
      <c r="A429" t="n">
        <v>3</v>
      </c>
      <c r="B429" t="inlineStr">
        <is>
          <t>Tabasco Rouge moyenEpice 100ml</t>
        </is>
      </c>
      <c r="C429" t="inlineStr">
        <is>
          <t>Ail</t>
        </is>
      </c>
      <c r="D429" t="inlineStr">
        <is>
          <t>productionInKg</t>
        </is>
      </c>
      <c r="E429" t="n">
        <v>9</v>
      </c>
      <c r="F429" t="inlineStr">
        <is>
          <t>inversReductionIngredient</t>
        </is>
      </c>
      <c r="H429" t="inlineStr">
        <is>
          <t>finalValue</t>
        </is>
      </c>
      <c r="I429" t="n">
        <v>0.3802816901408451</v>
      </c>
    </row>
    <row r="430">
      <c r="A430" t="n">
        <v>4</v>
      </c>
      <c r="B430" t="inlineStr">
        <is>
          <t>Tabasco Rouge moyenEpice 100ml</t>
        </is>
      </c>
      <c r="C430" t="inlineStr">
        <is>
          <t>Ail</t>
        </is>
      </c>
      <c r="D430" t="inlineStr">
        <is>
          <t>PROD</t>
        </is>
      </c>
      <c r="E430" t="inlineStr">
        <is>
          <t>ail</t>
        </is>
      </c>
      <c r="F430" t="inlineStr">
        <is>
          <t>productionToAdd</t>
        </is>
      </c>
      <c r="G430" t="n">
        <v>0.3802816901408451</v>
      </c>
      <c r="H430" t="inlineStr">
        <is>
          <t>currentCell</t>
        </is>
      </c>
      <c r="I430" t="n">
        <v>0.3802816901408451</v>
      </c>
    </row>
    <row r="431">
      <c r="A431" t="n">
        <v>2</v>
      </c>
      <c r="B431" t="inlineStr">
        <is>
          <t>Tabasco Rouge moyenEpice 100ml</t>
        </is>
      </c>
      <c r="C431" t="inlineStr">
        <is>
          <t>Piments Rouge</t>
        </is>
      </c>
      <c r="D431" t="inlineStr">
        <is>
          <t>recetteProportion</t>
        </is>
      </c>
      <c r="E431" t="n">
        <v>0.704225352112676</v>
      </c>
    </row>
    <row r="432">
      <c r="A432" t="n">
        <v>3</v>
      </c>
      <c r="B432" t="inlineStr">
        <is>
          <t>Tabasco Rouge moyenEpice 100ml</t>
        </is>
      </c>
      <c r="C432" t="inlineStr">
        <is>
          <t>Piments Rouge</t>
        </is>
      </c>
      <c r="D432" t="inlineStr">
        <is>
          <t>productionInKg</t>
        </is>
      </c>
      <c r="E432" t="n">
        <v>9</v>
      </c>
      <c r="F432" t="inlineStr">
        <is>
          <t>inversReductionIngredient</t>
        </is>
      </c>
      <c r="H432" t="inlineStr">
        <is>
          <t>finalValue</t>
        </is>
      </c>
      <c r="I432" t="n">
        <v>6.338028169014084</v>
      </c>
    </row>
    <row r="433">
      <c r="A433" t="n">
        <v>4</v>
      </c>
      <c r="B433" t="inlineStr">
        <is>
          <t>Tabasco Rouge moyenEpice 100ml</t>
        </is>
      </c>
      <c r="C433" t="inlineStr">
        <is>
          <t>Piments Rouge</t>
        </is>
      </c>
      <c r="D433" t="inlineStr">
        <is>
          <t>PROD</t>
        </is>
      </c>
      <c r="E433" t="inlineStr">
        <is>
          <t>piments rouge - THUNDER MOUNTAIN LONGHORN</t>
        </is>
      </c>
      <c r="F433" t="inlineStr">
        <is>
          <t>productionToAdd</t>
        </is>
      </c>
      <c r="G433" t="n">
        <v>6.338028169014084</v>
      </c>
      <c r="H433" t="inlineStr">
        <is>
          <t>currentCell</t>
        </is>
      </c>
      <c r="I433" t="n">
        <v>6.338028169014084</v>
      </c>
    </row>
    <row r="434">
      <c r="A434" t="n">
        <v>2</v>
      </c>
      <c r="B434" t="inlineStr">
        <is>
          <t>Tabasco Rouge moyenEpice 100ml</t>
        </is>
      </c>
      <c r="C434" t="inlineStr">
        <is>
          <t>Oignon</t>
        </is>
      </c>
      <c r="D434" t="inlineStr">
        <is>
          <t>recetteProportion</t>
        </is>
      </c>
      <c r="E434" t="n">
        <v>0.07042253521126761</v>
      </c>
    </row>
    <row r="435">
      <c r="A435" t="n">
        <v>3</v>
      </c>
      <c r="B435" t="inlineStr">
        <is>
          <t>Tabasco Rouge moyenEpice 100ml</t>
        </is>
      </c>
      <c r="C435" t="inlineStr">
        <is>
          <t>Oignon</t>
        </is>
      </c>
      <c r="D435" t="inlineStr">
        <is>
          <t>productionInKg</t>
        </is>
      </c>
      <c r="E435" t="n">
        <v>9</v>
      </c>
      <c r="F435" t="inlineStr">
        <is>
          <t>inversReductionIngredient</t>
        </is>
      </c>
      <c r="H435" t="inlineStr">
        <is>
          <t>finalValue</t>
        </is>
      </c>
      <c r="I435" t="n">
        <v>0.6338028169014085</v>
      </c>
    </row>
    <row r="436">
      <c r="A436" t="n">
        <v>4</v>
      </c>
      <c r="B436" t="inlineStr">
        <is>
          <t>Tabasco Rouge moyenEpice 100ml</t>
        </is>
      </c>
      <c r="C436" t="inlineStr">
        <is>
          <t>Oignon</t>
        </is>
      </c>
      <c r="D436" t="inlineStr">
        <is>
          <t>PROD</t>
        </is>
      </c>
      <c r="E436" t="inlineStr">
        <is>
          <t>oignon</t>
        </is>
      </c>
      <c r="F436" t="inlineStr">
        <is>
          <t>productionToAdd</t>
        </is>
      </c>
      <c r="G436" t="n">
        <v>0.6338028169014085</v>
      </c>
      <c r="H436" t="inlineStr">
        <is>
          <t>currentCell</t>
        </is>
      </c>
      <c r="I436" t="n">
        <v>0.6338028169014085</v>
      </c>
    </row>
    <row r="437">
      <c r="A437" t="n">
        <v>2</v>
      </c>
      <c r="B437" t="inlineStr">
        <is>
          <t>Tabasco Rouge moyenEpice 100ml</t>
        </is>
      </c>
      <c r="C437" t="inlineStr">
        <is>
          <t>Sel</t>
        </is>
      </c>
      <c r="D437" t="inlineStr">
        <is>
          <t>recetteProportion</t>
        </is>
      </c>
      <c r="E437" t="n">
        <v>0.07042253521126761</v>
      </c>
    </row>
    <row r="438">
      <c r="A438" t="n">
        <v>3</v>
      </c>
      <c r="B438" t="inlineStr">
        <is>
          <t>Tabasco Rouge moyenEpice 100ml</t>
        </is>
      </c>
      <c r="C438" t="inlineStr">
        <is>
          <t>Sel</t>
        </is>
      </c>
      <c r="D438" t="inlineStr">
        <is>
          <t>productionInKg</t>
        </is>
      </c>
      <c r="E438" t="n">
        <v>9</v>
      </c>
      <c r="F438" t="inlineStr">
        <is>
          <t>inversReductionIngredient</t>
        </is>
      </c>
      <c r="H438" t="inlineStr">
        <is>
          <t>finalValue</t>
        </is>
      </c>
      <c r="I438" t="n">
        <v>0.6338028169014085</v>
      </c>
    </row>
    <row r="439">
      <c r="A439" t="n">
        <v>4</v>
      </c>
      <c r="B439" t="inlineStr">
        <is>
          <t>Tabasco Rouge moyenEpice 100ml</t>
        </is>
      </c>
      <c r="C439" t="inlineStr">
        <is>
          <t>Sel</t>
        </is>
      </c>
      <c r="D439" t="inlineStr">
        <is>
          <t>PROD</t>
        </is>
      </c>
      <c r="E439" t="inlineStr">
        <is>
          <t>sel</t>
        </is>
      </c>
      <c r="F439" t="inlineStr">
        <is>
          <t>productionToAdd</t>
        </is>
      </c>
      <c r="G439" t="n">
        <v>0.6338028169014085</v>
      </c>
      <c r="H439" t="inlineStr">
        <is>
          <t>currentCell</t>
        </is>
      </c>
      <c r="I439" t="n">
        <v>30.72236966532092</v>
      </c>
    </row>
    <row r="440">
      <c r="A440" t="n">
        <v>2</v>
      </c>
      <c r="B440" t="inlineStr">
        <is>
          <t>Tabasco Rouge moyenEpice 100ml</t>
        </is>
      </c>
      <c r="C440" t="inlineStr">
        <is>
          <t>Vinaigre De Cidre</t>
        </is>
      </c>
      <c r="D440" t="inlineStr">
        <is>
          <t>recetteProportion</t>
        </is>
      </c>
      <c r="E440" t="n">
        <v>0.04225352112676056</v>
      </c>
    </row>
    <row r="441">
      <c r="A441" t="n">
        <v>3</v>
      </c>
      <c r="B441" t="inlineStr">
        <is>
          <t>Tabasco Rouge moyenEpice 100ml</t>
        </is>
      </c>
      <c r="C441" t="inlineStr">
        <is>
          <t>Vinaigre De Cidre</t>
        </is>
      </c>
      <c r="D441" t="inlineStr">
        <is>
          <t>productionInKg</t>
        </is>
      </c>
      <c r="E441" t="n">
        <v>9</v>
      </c>
      <c r="F441" t="inlineStr">
        <is>
          <t>inversReductionIngredient</t>
        </is>
      </c>
      <c r="H441" t="inlineStr">
        <is>
          <t>finalValue</t>
        </is>
      </c>
      <c r="I441" t="n">
        <v>0.3802816901408451</v>
      </c>
    </row>
    <row r="442">
      <c r="A442" t="n">
        <v>4</v>
      </c>
      <c r="B442" t="inlineStr">
        <is>
          <t>Tabasco Rouge moyenEpice 100ml</t>
        </is>
      </c>
      <c r="C442" t="inlineStr">
        <is>
          <t>Vinaigre De Cidre</t>
        </is>
      </c>
      <c r="D442" t="inlineStr">
        <is>
          <t>PROD</t>
        </is>
      </c>
      <c r="E442" t="inlineStr">
        <is>
          <t>vinaigre de cidre</t>
        </is>
      </c>
      <c r="F442" t="inlineStr">
        <is>
          <t>productionToAdd</t>
        </is>
      </c>
      <c r="G442" t="n">
        <v>0.3802816901408451</v>
      </c>
      <c r="H442" t="inlineStr">
        <is>
          <t>currentCell</t>
        </is>
      </c>
      <c r="I442" t="n">
        <v>202.5307859925279</v>
      </c>
    </row>
    <row r="443">
      <c r="A443" t="n">
        <v>2</v>
      </c>
      <c r="B443" t="inlineStr">
        <is>
          <t>Tabasco Rouge moyenEpice 100ml</t>
        </is>
      </c>
      <c r="C443" t="inlineStr">
        <is>
          <t>Figue</t>
        </is>
      </c>
      <c r="D443" t="inlineStr">
        <is>
          <t>recetteProportion</t>
        </is>
      </c>
      <c r="E443" t="n">
        <v>0.07042253521126761</v>
      </c>
    </row>
    <row r="444">
      <c r="A444" t="n">
        <v>3</v>
      </c>
      <c r="B444" t="inlineStr">
        <is>
          <t>Tabasco Rouge moyenEpice 100ml</t>
        </is>
      </c>
      <c r="C444" t="inlineStr">
        <is>
          <t>Figue</t>
        </is>
      </c>
      <c r="D444" t="inlineStr">
        <is>
          <t>productionInKg</t>
        </is>
      </c>
      <c r="E444" t="n">
        <v>9</v>
      </c>
      <c r="F444" t="inlineStr">
        <is>
          <t>inversReductionIngredient</t>
        </is>
      </c>
      <c r="H444" t="inlineStr">
        <is>
          <t>finalValue</t>
        </is>
      </c>
      <c r="I444" t="n">
        <v>0.6338028169014085</v>
      </c>
    </row>
    <row r="445">
      <c r="A445" t="n">
        <v>4</v>
      </c>
      <c r="B445" t="inlineStr">
        <is>
          <t>Tabasco Rouge moyenEpice 100ml</t>
        </is>
      </c>
      <c r="C445" t="inlineStr">
        <is>
          <t>Figue</t>
        </is>
      </c>
      <c r="D445" t="inlineStr">
        <is>
          <t>PROD</t>
        </is>
      </c>
      <c r="E445" t="inlineStr">
        <is>
          <t>figue</t>
        </is>
      </c>
      <c r="F445" t="inlineStr">
        <is>
          <t>productionToAdd</t>
        </is>
      </c>
      <c r="G445" t="n">
        <v>0.6338028169014085</v>
      </c>
      <c r="H445" t="inlineStr">
        <is>
          <t>currentCell</t>
        </is>
      </c>
      <c r="I445" t="n">
        <v>0.6338028169014085</v>
      </c>
    </row>
    <row r="446">
      <c r="A446" t="n">
        <v>1</v>
      </c>
      <c r="B446" t="inlineStr">
        <is>
          <t>Tabasco jalapenoEpice 100ml</t>
        </is>
      </c>
      <c r="D446" t="inlineStr">
        <is>
          <t>annee</t>
        </is>
      </c>
      <c r="E446" t="n">
        <v>1</v>
      </c>
      <c r="F446" t="inlineStr">
        <is>
          <t>prod</t>
        </is>
      </c>
      <c r="G446" t="n">
        <v>18</v>
      </c>
    </row>
    <row r="447">
      <c r="A447" t="n">
        <v>2</v>
      </c>
      <c r="B447" t="inlineStr">
        <is>
          <t>Tabasco jalapenoEpice 100ml</t>
        </is>
      </c>
      <c r="C447" t="inlineStr">
        <is>
          <t>Piment Jalapeno Vert</t>
        </is>
      </c>
      <c r="D447" t="inlineStr">
        <is>
          <t>recetteProportion</t>
        </is>
      </c>
      <c r="E447" t="n">
        <v>0.7092198581560284</v>
      </c>
    </row>
    <row r="448">
      <c r="A448" t="n">
        <v>3</v>
      </c>
      <c r="B448" t="inlineStr">
        <is>
          <t>Tabasco jalapenoEpice 100ml</t>
        </is>
      </c>
      <c r="C448" t="inlineStr">
        <is>
          <t>Piment Jalapeno Vert</t>
        </is>
      </c>
      <c r="D448" t="inlineStr">
        <is>
          <t>productionInKg</t>
        </is>
      </c>
      <c r="E448" t="n">
        <v>18</v>
      </c>
      <c r="F448" t="inlineStr">
        <is>
          <t>inversReductionIngredient</t>
        </is>
      </c>
      <c r="H448" t="inlineStr">
        <is>
          <t>finalValue</t>
        </is>
      </c>
      <c r="I448" t="n">
        <v>12.76595744680851</v>
      </c>
    </row>
    <row r="450">
      <c r="A450" t="n">
        <v>2</v>
      </c>
      <c r="B450" t="inlineStr">
        <is>
          <t>Tabasco jalapenoEpice 100ml</t>
        </is>
      </c>
      <c r="C450" t="inlineStr">
        <is>
          <t>Sel</t>
        </is>
      </c>
      <c r="D450" t="inlineStr">
        <is>
          <t>recetteProportion</t>
        </is>
      </c>
      <c r="E450" t="n">
        <v>0.07092198581560284</v>
      </c>
    </row>
    <row r="451">
      <c r="A451" t="n">
        <v>3</v>
      </c>
      <c r="B451" t="inlineStr">
        <is>
          <t>Tabasco jalapenoEpice 100ml</t>
        </is>
      </c>
      <c r="C451" t="inlineStr">
        <is>
          <t>Sel</t>
        </is>
      </c>
      <c r="D451" t="inlineStr">
        <is>
          <t>productionInKg</t>
        </is>
      </c>
      <c r="E451" t="n">
        <v>18</v>
      </c>
      <c r="F451" t="inlineStr">
        <is>
          <t>inversReductionIngredient</t>
        </is>
      </c>
      <c r="H451" t="inlineStr">
        <is>
          <t>finalValue</t>
        </is>
      </c>
      <c r="I451" t="n">
        <v>1.276595744680851</v>
      </c>
    </row>
    <row r="452">
      <c r="A452" t="n">
        <v>4</v>
      </c>
      <c r="B452" t="inlineStr">
        <is>
          <t>Tabasco jalapenoEpice 100ml</t>
        </is>
      </c>
      <c r="C452" t="inlineStr">
        <is>
          <t>Sel</t>
        </is>
      </c>
      <c r="D452" t="inlineStr">
        <is>
          <t>PROD</t>
        </is>
      </c>
      <c r="E452" t="inlineStr">
        <is>
          <t>sel</t>
        </is>
      </c>
      <c r="F452" t="inlineStr">
        <is>
          <t>productionToAdd</t>
        </is>
      </c>
      <c r="G452" t="n">
        <v>1.276595744680851</v>
      </c>
      <c r="H452" t="inlineStr">
        <is>
          <t>currentCell</t>
        </is>
      </c>
      <c r="I452" t="n">
        <v>31.99896541000177</v>
      </c>
    </row>
    <row r="453">
      <c r="A453" t="n">
        <v>2</v>
      </c>
      <c r="B453" t="inlineStr">
        <is>
          <t>Tabasco jalapenoEpice 100ml</t>
        </is>
      </c>
      <c r="C453" t="inlineStr">
        <is>
          <t>Vinaigre De Cidre</t>
        </is>
      </c>
      <c r="D453" t="inlineStr">
        <is>
          <t>recetteProportion</t>
        </is>
      </c>
      <c r="E453" t="n">
        <v>0.0425531914893617</v>
      </c>
    </row>
    <row r="454">
      <c r="A454" t="n">
        <v>3</v>
      </c>
      <c r="B454" t="inlineStr">
        <is>
          <t>Tabasco jalapenoEpice 100ml</t>
        </is>
      </c>
      <c r="C454" t="inlineStr">
        <is>
          <t>Vinaigre De Cidre</t>
        </is>
      </c>
      <c r="D454" t="inlineStr">
        <is>
          <t>productionInKg</t>
        </is>
      </c>
      <c r="E454" t="n">
        <v>18</v>
      </c>
      <c r="F454" t="inlineStr">
        <is>
          <t>inversReductionIngredient</t>
        </is>
      </c>
      <c r="H454" t="inlineStr">
        <is>
          <t>finalValue</t>
        </is>
      </c>
      <c r="I454" t="n">
        <v>0.7659574468085106</v>
      </c>
    </row>
    <row r="455">
      <c r="A455" t="n">
        <v>4</v>
      </c>
      <c r="B455" t="inlineStr">
        <is>
          <t>Tabasco jalapenoEpice 100ml</t>
        </is>
      </c>
      <c r="C455" t="inlineStr">
        <is>
          <t>Vinaigre De Cidre</t>
        </is>
      </c>
      <c r="D455" t="inlineStr">
        <is>
          <t>PROD</t>
        </is>
      </c>
      <c r="E455" t="inlineStr">
        <is>
          <t>vinaigre de cidre</t>
        </is>
      </c>
      <c r="F455" t="inlineStr">
        <is>
          <t>productionToAdd</t>
        </is>
      </c>
      <c r="G455" t="n">
        <v>0.7659574468085106</v>
      </c>
      <c r="H455" t="inlineStr">
        <is>
          <t>currentCell</t>
        </is>
      </c>
      <c r="I455" t="n">
        <v>203.2967434393364</v>
      </c>
    </row>
    <row r="456">
      <c r="A456" t="n">
        <v>2</v>
      </c>
      <c r="B456" t="inlineStr">
        <is>
          <t>Tabasco jalapenoEpice 100ml</t>
        </is>
      </c>
      <c r="C456" t="inlineStr">
        <is>
          <t>Basilic Thaï</t>
        </is>
      </c>
      <c r="D456" t="inlineStr">
        <is>
          <t>recetteProportion</t>
        </is>
      </c>
      <c r="E456" t="n">
        <v>0.09219858156028368</v>
      </c>
    </row>
    <row r="457">
      <c r="A457" t="n">
        <v>3</v>
      </c>
      <c r="B457" t="inlineStr">
        <is>
          <t>Tabasco jalapenoEpice 100ml</t>
        </is>
      </c>
      <c r="C457" t="inlineStr">
        <is>
          <t>Basilic Thaï</t>
        </is>
      </c>
      <c r="D457" t="inlineStr">
        <is>
          <t>productionInKg</t>
        </is>
      </c>
      <c r="E457" t="n">
        <v>18</v>
      </c>
      <c r="F457" t="inlineStr">
        <is>
          <t>inversReductionIngredient</t>
        </is>
      </c>
      <c r="H457" t="inlineStr">
        <is>
          <t>finalValue</t>
        </is>
      </c>
      <c r="I457" t="n">
        <v>1.659574468085106</v>
      </c>
    </row>
    <row r="458">
      <c r="A458" t="n">
        <v>4</v>
      </c>
      <c r="B458" t="inlineStr">
        <is>
          <t>Tabasco jalapenoEpice 100ml</t>
        </is>
      </c>
      <c r="C458" t="inlineStr">
        <is>
          <t>Basilic Thaï</t>
        </is>
      </c>
      <c r="D458" t="inlineStr">
        <is>
          <t>PROD</t>
        </is>
      </c>
      <c r="E458" t="inlineStr">
        <is>
          <t>basilic thaï</t>
        </is>
      </c>
      <c r="F458" t="inlineStr">
        <is>
          <t>productionToAdd</t>
        </is>
      </c>
      <c r="G458" t="n">
        <v>1.659574468085106</v>
      </c>
      <c r="H458" t="inlineStr">
        <is>
          <t>currentCell</t>
        </is>
      </c>
      <c r="I458" t="n">
        <v>1.659574468085106</v>
      </c>
    </row>
    <row r="459">
      <c r="A459" t="n">
        <v>2</v>
      </c>
      <c r="B459" t="inlineStr">
        <is>
          <t>Tabasco jalapenoEpice 100ml</t>
        </is>
      </c>
      <c r="C459" t="inlineStr">
        <is>
          <t>Oignon</t>
        </is>
      </c>
      <c r="D459" t="inlineStr">
        <is>
          <t>recetteProportion</t>
        </is>
      </c>
      <c r="E459" t="n">
        <v>0.0851063829787234</v>
      </c>
    </row>
    <row r="460">
      <c r="A460" t="n">
        <v>3</v>
      </c>
      <c r="B460" t="inlineStr">
        <is>
          <t>Tabasco jalapenoEpice 100ml</t>
        </is>
      </c>
      <c r="C460" t="inlineStr">
        <is>
          <t>Oignon</t>
        </is>
      </c>
      <c r="D460" t="inlineStr">
        <is>
          <t>productionInKg</t>
        </is>
      </c>
      <c r="E460" t="n">
        <v>18</v>
      </c>
      <c r="F460" t="inlineStr">
        <is>
          <t>inversReductionIngredient</t>
        </is>
      </c>
      <c r="H460" t="inlineStr">
        <is>
          <t>finalValue</t>
        </is>
      </c>
      <c r="I460" t="n">
        <v>1.531914893617021</v>
      </c>
    </row>
    <row r="461">
      <c r="A461" t="n">
        <v>4</v>
      </c>
      <c r="B461" t="inlineStr">
        <is>
          <t>Tabasco jalapenoEpice 100ml</t>
        </is>
      </c>
      <c r="C461" t="inlineStr">
        <is>
          <t>Oignon</t>
        </is>
      </c>
      <c r="D461" t="inlineStr">
        <is>
          <t>PROD</t>
        </is>
      </c>
      <c r="E461" t="inlineStr">
        <is>
          <t>oignon</t>
        </is>
      </c>
      <c r="F461" t="inlineStr">
        <is>
          <t>productionToAdd</t>
        </is>
      </c>
      <c r="G461" t="n">
        <v>1.531914893617021</v>
      </c>
      <c r="H461" t="inlineStr">
        <is>
          <t>currentCell</t>
        </is>
      </c>
      <c r="I461" t="n">
        <v>2.16571771051843</v>
      </c>
    </row>
    <row r="462">
      <c r="A462" t="n">
        <v>2</v>
      </c>
      <c r="B462" t="inlineStr">
        <is>
          <t>Tabasco jalapenoEpice 100ml</t>
        </is>
      </c>
      <c r="C462" t="inlineStr">
        <is>
          <t>Figue</t>
        </is>
      </c>
      <c r="D462" t="inlineStr">
        <is>
          <t>recetteProportion</t>
        </is>
      </c>
      <c r="E462" t="n">
        <v>0</v>
      </c>
    </row>
    <row r="463">
      <c r="A463" t="n">
        <v>3</v>
      </c>
      <c r="B463" t="inlineStr">
        <is>
          <t>Tabasco jalapenoEpice 100ml</t>
        </is>
      </c>
      <c r="C463" t="inlineStr">
        <is>
          <t>Figue</t>
        </is>
      </c>
      <c r="D463" t="inlineStr">
        <is>
          <t>productionInKg</t>
        </is>
      </c>
      <c r="E463" t="n">
        <v>18</v>
      </c>
      <c r="F463" t="inlineStr">
        <is>
          <t>inversReductionIngredient</t>
        </is>
      </c>
      <c r="H463" t="inlineStr">
        <is>
          <t>finalValue</t>
        </is>
      </c>
      <c r="I463" t="n">
        <v>0</v>
      </c>
    </row>
    <row r="464">
      <c r="A464" t="n">
        <v>4</v>
      </c>
      <c r="B464" t="inlineStr">
        <is>
          <t>Tabasco jalapenoEpice 100ml</t>
        </is>
      </c>
      <c r="C464" t="inlineStr">
        <is>
          <t>Figue</t>
        </is>
      </c>
      <c r="D464" t="inlineStr">
        <is>
          <t>PROD</t>
        </is>
      </c>
      <c r="E464" t="inlineStr">
        <is>
          <t>figue</t>
        </is>
      </c>
      <c r="F464" t="inlineStr">
        <is>
          <t>productionToAdd</t>
        </is>
      </c>
      <c r="G464" t="n">
        <v>0</v>
      </c>
      <c r="H464" t="inlineStr">
        <is>
          <t>currentCell</t>
        </is>
      </c>
      <c r="I464" t="n">
        <v>0.6338028169014085</v>
      </c>
    </row>
    <row r="465">
      <c r="A465" t="n">
        <v>1</v>
      </c>
      <c r="B465" t="inlineStr">
        <is>
          <t>Tabasco jalapenoEpice 100ml</t>
        </is>
      </c>
      <c r="D465" t="inlineStr">
        <is>
          <t>annee</t>
        </is>
      </c>
      <c r="E465" t="n">
        <v>2</v>
      </c>
      <c r="F465" t="inlineStr">
        <is>
          <t>prod</t>
        </is>
      </c>
      <c r="G465" t="n">
        <v>18</v>
      </c>
    </row>
    <row r="466">
      <c r="A466" t="n">
        <v>2</v>
      </c>
      <c r="B466" t="inlineStr">
        <is>
          <t>Tabasco jalapenoEpice 100ml</t>
        </is>
      </c>
      <c r="C466" t="inlineStr">
        <is>
          <t>Piment Jalapeno Vert</t>
        </is>
      </c>
      <c r="D466" t="inlineStr">
        <is>
          <t>recetteProportion</t>
        </is>
      </c>
      <c r="E466" t="n">
        <v>0.7092198581560284</v>
      </c>
    </row>
    <row r="467">
      <c r="A467" t="n">
        <v>3</v>
      </c>
      <c r="B467" t="inlineStr">
        <is>
          <t>Tabasco jalapenoEpice 100ml</t>
        </is>
      </c>
      <c r="C467" t="inlineStr">
        <is>
          <t>Piment Jalapeno Vert</t>
        </is>
      </c>
      <c r="D467" t="inlineStr">
        <is>
          <t>productionInKg</t>
        </is>
      </c>
      <c r="E467" t="n">
        <v>18</v>
      </c>
      <c r="F467" t="inlineStr">
        <is>
          <t>inversReductionIngredient</t>
        </is>
      </c>
      <c r="H467" t="inlineStr">
        <is>
          <t>finalValue</t>
        </is>
      </c>
      <c r="I467" t="n">
        <v>12.76595744680851</v>
      </c>
    </row>
    <row r="468">
      <c r="A468" t="n">
        <v>4</v>
      </c>
      <c r="B468" t="inlineStr">
        <is>
          <t>Tabasco jalapenoEpice 100ml</t>
        </is>
      </c>
      <c r="C468" t="inlineStr">
        <is>
          <t>Piment Jalapeno Vert</t>
        </is>
      </c>
      <c r="D468" t="inlineStr">
        <is>
          <t>PROD</t>
        </is>
      </c>
      <c r="E468" t="inlineStr">
        <is>
          <t>piment jalapeno vert</t>
        </is>
      </c>
      <c r="F468" t="inlineStr">
        <is>
          <t>productionToAdd</t>
        </is>
      </c>
      <c r="G468" t="n">
        <v>12.76595744680851</v>
      </c>
      <c r="H468" t="inlineStr">
        <is>
          <t>currentCell</t>
        </is>
      </c>
      <c r="I468" t="n">
        <v>12.76595744680851</v>
      </c>
    </row>
    <row r="470">
      <c r="A470" t="n">
        <v>3</v>
      </c>
      <c r="B470" t="inlineStr">
        <is>
          <t>Tabasco jalapenoEpice 100ml</t>
        </is>
      </c>
      <c r="C470" t="inlineStr">
        <is>
          <t>Sel</t>
        </is>
      </c>
      <c r="D470" t="inlineStr">
        <is>
          <t>productionInKg</t>
        </is>
      </c>
      <c r="E470" t="n">
        <v>18</v>
      </c>
      <c r="F470" t="inlineStr">
        <is>
          <t>inversReductionIngredient</t>
        </is>
      </c>
      <c r="H470" t="inlineStr">
        <is>
          <t>finalValue</t>
        </is>
      </c>
      <c r="I470" t="n">
        <v>1.276595744680851</v>
      </c>
    </row>
    <row r="471">
      <c r="A471" t="n">
        <v>4</v>
      </c>
      <c r="B471" t="inlineStr">
        <is>
          <t>Tabasco jalapenoEpice 100ml</t>
        </is>
      </c>
      <c r="C471" t="inlineStr">
        <is>
          <t>Sel</t>
        </is>
      </c>
      <c r="D471" t="inlineStr">
        <is>
          <t>PROD</t>
        </is>
      </c>
      <c r="E471" t="inlineStr">
        <is>
          <t>sel</t>
        </is>
      </c>
      <c r="F471" t="inlineStr">
        <is>
          <t>productionToAdd</t>
        </is>
      </c>
      <c r="G471" t="n">
        <v>1.276595744680851</v>
      </c>
      <c r="H471" t="inlineStr">
        <is>
          <t>currentCell</t>
        </is>
      </c>
      <c r="I471" t="n">
        <v>31.99896541000177</v>
      </c>
    </row>
    <row r="472">
      <c r="A472" t="n">
        <v>2</v>
      </c>
      <c r="B472" t="inlineStr">
        <is>
          <t>Tabasco jalapenoEpice 100ml</t>
        </is>
      </c>
      <c r="C472" t="inlineStr">
        <is>
          <t>Vinaigre De Cidre</t>
        </is>
      </c>
      <c r="D472" t="inlineStr">
        <is>
          <t>recetteProportion</t>
        </is>
      </c>
      <c r="E472" t="n">
        <v>0.0425531914893617</v>
      </c>
    </row>
    <row r="473">
      <c r="A473" t="n">
        <v>3</v>
      </c>
      <c r="B473" t="inlineStr">
        <is>
          <t>Tabasco jalapenoEpice 100ml</t>
        </is>
      </c>
      <c r="C473" t="inlineStr">
        <is>
          <t>Vinaigre De Cidre</t>
        </is>
      </c>
      <c r="D473" t="inlineStr">
        <is>
          <t>productionInKg</t>
        </is>
      </c>
      <c r="E473" t="n">
        <v>18</v>
      </c>
      <c r="F473" t="inlineStr">
        <is>
          <t>inversReductionIngredient</t>
        </is>
      </c>
      <c r="H473" t="inlineStr">
        <is>
          <t>finalValue</t>
        </is>
      </c>
      <c r="I473" t="n">
        <v>0.7659574468085106</v>
      </c>
    </row>
    <row r="474">
      <c r="A474" t="n">
        <v>4</v>
      </c>
      <c r="B474" t="inlineStr">
        <is>
          <t>Tabasco jalapenoEpice 100ml</t>
        </is>
      </c>
      <c r="C474" t="inlineStr">
        <is>
          <t>Vinaigre De Cidre</t>
        </is>
      </c>
      <c r="D474" t="inlineStr">
        <is>
          <t>PROD</t>
        </is>
      </c>
      <c r="E474" t="inlineStr">
        <is>
          <t>vinaigre de cidre</t>
        </is>
      </c>
      <c r="F474" t="inlineStr">
        <is>
          <t>productionToAdd</t>
        </is>
      </c>
      <c r="G474" t="n">
        <v>0.7659574468085106</v>
      </c>
      <c r="H474" t="inlineStr">
        <is>
          <t>currentCell</t>
        </is>
      </c>
      <c r="I474" t="n">
        <v>203.2967434393364</v>
      </c>
    </row>
    <row r="475">
      <c r="A475" t="n">
        <v>2</v>
      </c>
      <c r="B475" t="inlineStr">
        <is>
          <t>Tabasco jalapenoEpice 100ml</t>
        </is>
      </c>
      <c r="C475" t="inlineStr">
        <is>
          <t>Basilic Thaï</t>
        </is>
      </c>
      <c r="D475" t="inlineStr">
        <is>
          <t>recetteProportion</t>
        </is>
      </c>
      <c r="E475" t="n">
        <v>0.09219858156028368</v>
      </c>
    </row>
    <row r="476">
      <c r="A476" t="n">
        <v>3</v>
      </c>
      <c r="B476" t="inlineStr">
        <is>
          <t>Tabasco jalapenoEpice 100ml</t>
        </is>
      </c>
      <c r="C476" t="inlineStr">
        <is>
          <t>Basilic Thaï</t>
        </is>
      </c>
      <c r="D476" t="inlineStr">
        <is>
          <t>productionInKg</t>
        </is>
      </c>
      <c r="E476" t="n">
        <v>18</v>
      </c>
      <c r="F476" t="inlineStr">
        <is>
          <t>inversReductionIngredient</t>
        </is>
      </c>
      <c r="H476" t="inlineStr">
        <is>
          <t>finalValue</t>
        </is>
      </c>
      <c r="I476" t="n">
        <v>1.659574468085106</v>
      </c>
    </row>
    <row r="477">
      <c r="A477" t="n">
        <v>4</v>
      </c>
      <c r="B477" t="inlineStr">
        <is>
          <t>Tabasco jalapenoEpice 100ml</t>
        </is>
      </c>
      <c r="C477" t="inlineStr">
        <is>
          <t>Basilic Thaï</t>
        </is>
      </c>
      <c r="D477" t="inlineStr">
        <is>
          <t>PROD</t>
        </is>
      </c>
      <c r="E477" t="inlineStr">
        <is>
          <t>basilic thaï</t>
        </is>
      </c>
      <c r="F477" t="inlineStr">
        <is>
          <t>productionToAdd</t>
        </is>
      </c>
      <c r="G477" t="n">
        <v>1.659574468085106</v>
      </c>
      <c r="H477" t="inlineStr">
        <is>
          <t>currentCell</t>
        </is>
      </c>
      <c r="I477" t="n">
        <v>1.659574468085106</v>
      </c>
    </row>
    <row r="478">
      <c r="A478" t="n">
        <v>2</v>
      </c>
      <c r="B478" t="inlineStr">
        <is>
          <t>Tabasco jalapenoEpice 100ml</t>
        </is>
      </c>
      <c r="C478" t="inlineStr">
        <is>
          <t>Oignon</t>
        </is>
      </c>
      <c r="D478" t="inlineStr">
        <is>
          <t>recetteProportion</t>
        </is>
      </c>
      <c r="E478" t="n">
        <v>0.0851063829787234</v>
      </c>
    </row>
    <row r="479">
      <c r="A479" t="n">
        <v>3</v>
      </c>
      <c r="B479" t="inlineStr">
        <is>
          <t>Tabasco jalapenoEpice 100ml</t>
        </is>
      </c>
      <c r="C479" t="inlineStr">
        <is>
          <t>Oignon</t>
        </is>
      </c>
      <c r="D479" t="inlineStr">
        <is>
          <t>productionInKg</t>
        </is>
      </c>
      <c r="E479" t="n">
        <v>18</v>
      </c>
      <c r="F479" t="inlineStr">
        <is>
          <t>inversReductionIngredient</t>
        </is>
      </c>
      <c r="H479" t="inlineStr">
        <is>
          <t>finalValue</t>
        </is>
      </c>
      <c r="I479" t="n">
        <v>1.531914893617021</v>
      </c>
    </row>
    <row r="480">
      <c r="A480" t="n">
        <v>4</v>
      </c>
      <c r="B480" t="inlineStr">
        <is>
          <t>Tabasco jalapenoEpice 100ml</t>
        </is>
      </c>
      <c r="C480" t="inlineStr">
        <is>
          <t>Oignon</t>
        </is>
      </c>
      <c r="D480" t="inlineStr">
        <is>
          <t>PROD</t>
        </is>
      </c>
      <c r="E480" t="inlineStr">
        <is>
          <t>oignon</t>
        </is>
      </c>
      <c r="F480" t="inlineStr">
        <is>
          <t>productionToAdd</t>
        </is>
      </c>
      <c r="G480" t="n">
        <v>1.531914893617021</v>
      </c>
      <c r="H480" t="inlineStr">
        <is>
          <t>currentCell</t>
        </is>
      </c>
      <c r="I480" t="n">
        <v>2.16571771051843</v>
      </c>
    </row>
    <row r="481">
      <c r="A481" t="n">
        <v>2</v>
      </c>
      <c r="B481" t="inlineStr">
        <is>
          <t>Tabasco jalapenoEpice 100ml</t>
        </is>
      </c>
      <c r="C481" t="inlineStr">
        <is>
          <t>Figue</t>
        </is>
      </c>
      <c r="D481" t="inlineStr">
        <is>
          <t>recetteProportion</t>
        </is>
      </c>
      <c r="E481" t="n">
        <v>0</v>
      </c>
    </row>
    <row r="482">
      <c r="A482" t="n">
        <v>3</v>
      </c>
      <c r="B482" t="inlineStr">
        <is>
          <t>Tabasco jalapenoEpice 100ml</t>
        </is>
      </c>
      <c r="C482" t="inlineStr">
        <is>
          <t>Figue</t>
        </is>
      </c>
      <c r="D482" t="inlineStr">
        <is>
          <t>productionInKg</t>
        </is>
      </c>
      <c r="E482" t="n">
        <v>18</v>
      </c>
      <c r="F482" t="inlineStr">
        <is>
          <t>inversReductionIngredient</t>
        </is>
      </c>
      <c r="H482" t="inlineStr">
        <is>
          <t>finalValue</t>
        </is>
      </c>
      <c r="I482" t="n">
        <v>0</v>
      </c>
    </row>
    <row r="483">
      <c r="A483" t="n">
        <v>4</v>
      </c>
      <c r="B483" t="inlineStr">
        <is>
          <t>Tabasco jalapenoEpice 100ml</t>
        </is>
      </c>
      <c r="C483" t="inlineStr">
        <is>
          <t>Figue</t>
        </is>
      </c>
      <c r="D483" t="inlineStr">
        <is>
          <t>PROD</t>
        </is>
      </c>
      <c r="E483" t="inlineStr">
        <is>
          <t>figue</t>
        </is>
      </c>
      <c r="F483" t="inlineStr">
        <is>
          <t>productionToAdd</t>
        </is>
      </c>
      <c r="G483" t="n">
        <v>0</v>
      </c>
      <c r="H483" t="inlineStr">
        <is>
          <t>currentCell</t>
        </is>
      </c>
      <c r="I483" t="n">
        <v>0.6338028169014085</v>
      </c>
    </row>
    <row r="484">
      <c r="A484" t="n">
        <v>1</v>
      </c>
      <c r="B484" t="inlineStr">
        <is>
          <t>Tabasco cayenne jauneEpice 100ml</t>
        </is>
      </c>
      <c r="D484" t="inlineStr">
        <is>
          <t>annee</t>
        </is>
      </c>
      <c r="E484" t="n">
        <v>1</v>
      </c>
      <c r="F484" t="inlineStr">
        <is>
          <t>prod</t>
        </is>
      </c>
      <c r="G484" t="n">
        <v>9</v>
      </c>
    </row>
    <row r="485">
      <c r="A485" t="n">
        <v>2</v>
      </c>
      <c r="B485" t="inlineStr">
        <is>
          <t>Tabasco cayenne jauneEpice 100ml</t>
        </is>
      </c>
      <c r="C485" t="inlineStr">
        <is>
          <t>Ail</t>
        </is>
      </c>
      <c r="D485" t="inlineStr">
        <is>
          <t>recetteProportion</t>
        </is>
      </c>
      <c r="E485" t="n">
        <v>0.04477611940298507</v>
      </c>
    </row>
    <row r="486">
      <c r="A486" t="n">
        <v>3</v>
      </c>
      <c r="B486" t="inlineStr">
        <is>
          <t>Tabasco cayenne jauneEpice 100ml</t>
        </is>
      </c>
      <c r="C486" t="inlineStr">
        <is>
          <t>Ail</t>
        </is>
      </c>
      <c r="D486" t="inlineStr">
        <is>
          <t>productionInKg</t>
        </is>
      </c>
      <c r="E486" t="n">
        <v>9</v>
      </c>
      <c r="F486" t="inlineStr">
        <is>
          <t>inversReductionIngredient</t>
        </is>
      </c>
      <c r="H486" t="inlineStr">
        <is>
          <t>finalValue</t>
        </is>
      </c>
      <c r="I486" t="n">
        <v>0.4029850746268657</v>
      </c>
    </row>
    <row r="487">
      <c r="A487" t="n">
        <v>4</v>
      </c>
      <c r="B487" t="inlineStr">
        <is>
          <t>Tabasco cayenne jauneEpice 100ml</t>
        </is>
      </c>
      <c r="C487" t="inlineStr">
        <is>
          <t>Ail</t>
        </is>
      </c>
      <c r="D487" t="inlineStr">
        <is>
          <t>PROD</t>
        </is>
      </c>
      <c r="E487" t="inlineStr">
        <is>
          <t>ail</t>
        </is>
      </c>
      <c r="F487" t="inlineStr">
        <is>
          <t>productionToAdd</t>
        </is>
      </c>
      <c r="G487" t="n">
        <v>0.4029850746268657</v>
      </c>
      <c r="H487" t="inlineStr">
        <is>
          <t>currentCell</t>
        </is>
      </c>
      <c r="I487" t="n">
        <v>0.7832667647677107</v>
      </c>
    </row>
    <row r="488">
      <c r="A488" t="n">
        <v>2</v>
      </c>
      <c r="B488" t="inlineStr">
        <is>
          <t>Tabasco cayenne jauneEpice 100ml</t>
        </is>
      </c>
      <c r="C488" t="inlineStr">
        <is>
          <t>Piment De Cayenne Jaune</t>
        </is>
      </c>
      <c r="D488" t="inlineStr">
        <is>
          <t>recetteProportion</t>
        </is>
      </c>
      <c r="E488" t="n">
        <v>0.746268656716418</v>
      </c>
    </row>
    <row r="489">
      <c r="A489" t="n">
        <v>3</v>
      </c>
      <c r="B489" t="inlineStr">
        <is>
          <t>Tabasco cayenne jauneEpice 100ml</t>
        </is>
      </c>
      <c r="C489" t="inlineStr">
        <is>
          <t>Piment De Cayenne Jaune</t>
        </is>
      </c>
      <c r="D489" t="inlineStr">
        <is>
          <t>productionInKg</t>
        </is>
      </c>
      <c r="E489" t="n">
        <v>9</v>
      </c>
      <c r="F489" t="inlineStr">
        <is>
          <t>inversReductionIngredient</t>
        </is>
      </c>
      <c r="H489" t="inlineStr">
        <is>
          <t>finalValue</t>
        </is>
      </c>
      <c r="I489" t="n">
        <v>6.716417910447761</v>
      </c>
    </row>
    <row r="490">
      <c r="A490" t="n">
        <v>4</v>
      </c>
      <c r="B490" t="inlineStr">
        <is>
          <t>Tabasco cayenne jauneEpice 100ml</t>
        </is>
      </c>
      <c r="C490" t="inlineStr">
        <is>
          <t>Piment De Cayenne Jaune</t>
        </is>
      </c>
      <c r="D490" t="inlineStr">
        <is>
          <t>PROD</t>
        </is>
      </c>
      <c r="E490" t="inlineStr">
        <is>
          <t>piment de cayenne jaune</t>
        </is>
      </c>
      <c r="F490" t="inlineStr">
        <is>
          <t>productionToAdd</t>
        </is>
      </c>
      <c r="G490" t="n">
        <v>6.716417910447761</v>
      </c>
      <c r="H490" t="inlineStr">
        <is>
          <t>currentCell</t>
        </is>
      </c>
      <c r="I490" t="n">
        <v>6.716417910447761</v>
      </c>
    </row>
    <row r="491">
      <c r="A491" t="n">
        <v>2</v>
      </c>
      <c r="B491" t="inlineStr">
        <is>
          <t>Tabasco cayenne jauneEpice 100ml</t>
        </is>
      </c>
      <c r="C491" t="inlineStr">
        <is>
          <t>Sel</t>
        </is>
      </c>
      <c r="D491" t="inlineStr">
        <is>
          <t>recetteProportion</t>
        </is>
      </c>
      <c r="E491" t="n">
        <v>0.07462686567164178</v>
      </c>
    </row>
    <row r="492">
      <c r="A492" t="n">
        <v>3</v>
      </c>
      <c r="B492" t="inlineStr">
        <is>
          <t>Tabasco cayenne jauneEpice 100ml</t>
        </is>
      </c>
      <c r="C492" t="inlineStr">
        <is>
          <t>Sel</t>
        </is>
      </c>
      <c r="D492" t="inlineStr">
        <is>
          <t>productionInKg</t>
        </is>
      </c>
      <c r="E492" t="n">
        <v>9</v>
      </c>
      <c r="F492" t="inlineStr">
        <is>
          <t>inversReductionIngredient</t>
        </is>
      </c>
      <c r="H492" t="inlineStr">
        <is>
          <t>finalValue</t>
        </is>
      </c>
      <c r="I492" t="n">
        <v>0.6716417910447761</v>
      </c>
    </row>
    <row r="493">
      <c r="A493" t="n">
        <v>4</v>
      </c>
      <c r="B493" t="inlineStr">
        <is>
          <t>Tabasco cayenne jauneEpice 100ml</t>
        </is>
      </c>
      <c r="C493" t="inlineStr">
        <is>
          <t>Sel</t>
        </is>
      </c>
      <c r="D493" t="inlineStr">
        <is>
          <t>PROD</t>
        </is>
      </c>
      <c r="E493" t="inlineStr">
        <is>
          <t>sel</t>
        </is>
      </c>
      <c r="F493" t="inlineStr">
        <is>
          <t>productionToAdd</t>
        </is>
      </c>
      <c r="G493" t="n">
        <v>0.6716417910447761</v>
      </c>
      <c r="H493" t="inlineStr">
        <is>
          <t>currentCell</t>
        </is>
      </c>
      <c r="I493" t="n">
        <v>32.67060720104654</v>
      </c>
    </row>
    <row r="494">
      <c r="A494" t="n">
        <v>2</v>
      </c>
      <c r="B494" t="inlineStr">
        <is>
          <t>Tabasco cayenne jauneEpice 100ml</t>
        </is>
      </c>
      <c r="C494" t="inlineStr">
        <is>
          <t>Vinaigre De Cidre</t>
        </is>
      </c>
      <c r="D494" t="inlineStr">
        <is>
          <t>recetteProportion</t>
        </is>
      </c>
      <c r="E494" t="n">
        <v>0.04477611940298507</v>
      </c>
    </row>
    <row r="495">
      <c r="A495" t="n">
        <v>3</v>
      </c>
      <c r="B495" t="inlineStr">
        <is>
          <t>Tabasco cayenne jauneEpice 100ml</t>
        </is>
      </c>
      <c r="C495" t="inlineStr">
        <is>
          <t>Vinaigre De Cidre</t>
        </is>
      </c>
      <c r="D495" t="inlineStr">
        <is>
          <t>productionInKg</t>
        </is>
      </c>
      <c r="E495" t="n">
        <v>9</v>
      </c>
      <c r="F495" t="inlineStr">
        <is>
          <t>inversReductionIngredient</t>
        </is>
      </c>
      <c r="H495" t="inlineStr">
        <is>
          <t>finalValue</t>
        </is>
      </c>
      <c r="I495" t="n">
        <v>0.4029850746268657</v>
      </c>
    </row>
    <row r="496">
      <c r="A496" t="n">
        <v>4</v>
      </c>
      <c r="B496" t="inlineStr">
        <is>
          <t>Tabasco cayenne jauneEpice 100ml</t>
        </is>
      </c>
      <c r="C496" t="inlineStr">
        <is>
          <t>Vinaigre De Cidre</t>
        </is>
      </c>
      <c r="D496" t="inlineStr">
        <is>
          <t>PROD</t>
        </is>
      </c>
      <c r="E496" t="inlineStr">
        <is>
          <t>vinaigre de cidre</t>
        </is>
      </c>
      <c r="F496" t="inlineStr">
        <is>
          <t>productionToAdd</t>
        </is>
      </c>
      <c r="G496" t="n">
        <v>0.4029850746268657</v>
      </c>
      <c r="H496" t="inlineStr">
        <is>
          <t>currentCell</t>
        </is>
      </c>
      <c r="I496" t="n">
        <v>203.6997285139632</v>
      </c>
    </row>
    <row r="497">
      <c r="A497" t="n">
        <v>2</v>
      </c>
      <c r="B497" t="inlineStr">
        <is>
          <t>Tabasco cayenne jauneEpice 100ml</t>
        </is>
      </c>
      <c r="C497" t="inlineStr">
        <is>
          <t>Oignon</t>
        </is>
      </c>
      <c r="D497" t="inlineStr">
        <is>
          <t>recetteProportion</t>
        </is>
      </c>
      <c r="E497" t="n">
        <v>0.08955223880597014</v>
      </c>
    </row>
    <row r="498">
      <c r="A498" t="n">
        <v>3</v>
      </c>
      <c r="B498" t="inlineStr">
        <is>
          <t>Tabasco cayenne jauneEpice 100ml</t>
        </is>
      </c>
      <c r="C498" t="inlineStr">
        <is>
          <t>Oignon</t>
        </is>
      </c>
      <c r="D498" t="inlineStr">
        <is>
          <t>productionInKg</t>
        </is>
      </c>
      <c r="E498" t="n">
        <v>9</v>
      </c>
      <c r="F498" t="inlineStr">
        <is>
          <t>inversReductionIngredient</t>
        </is>
      </c>
      <c r="H498" t="inlineStr">
        <is>
          <t>finalValue</t>
        </is>
      </c>
      <c r="I498" t="n">
        <v>0.8059701492537313</v>
      </c>
    </row>
    <row r="499">
      <c r="A499" t="n">
        <v>4</v>
      </c>
      <c r="B499" t="inlineStr">
        <is>
          <t>Tabasco cayenne jauneEpice 100ml</t>
        </is>
      </c>
      <c r="C499" t="inlineStr">
        <is>
          <t>Oignon</t>
        </is>
      </c>
      <c r="D499" t="inlineStr">
        <is>
          <t>PROD</t>
        </is>
      </c>
      <c r="E499" t="inlineStr">
        <is>
          <t>oignon</t>
        </is>
      </c>
      <c r="F499" t="inlineStr">
        <is>
          <t>productionToAdd</t>
        </is>
      </c>
      <c r="G499" t="n">
        <v>0.8059701492537313</v>
      </c>
      <c r="H499" t="inlineStr">
        <is>
          <t>currentCell</t>
        </is>
      </c>
      <c r="I499" t="n">
        <v>2.971687859772161</v>
      </c>
    </row>
    <row r="500">
      <c r="A500" t="n">
        <v>1</v>
      </c>
      <c r="B500" t="inlineStr">
        <is>
          <t>Tabasco cayenne jauneEpice 100ml</t>
        </is>
      </c>
      <c r="D500" t="inlineStr">
        <is>
          <t>annee</t>
        </is>
      </c>
      <c r="E500" t="n">
        <v>2</v>
      </c>
      <c r="F500" t="inlineStr">
        <is>
          <t>prod</t>
        </is>
      </c>
      <c r="G500" t="n">
        <v>9</v>
      </c>
    </row>
    <row r="501">
      <c r="A501" t="n">
        <v>2</v>
      </c>
      <c r="B501" t="inlineStr">
        <is>
          <t>Tabasco cayenne jauneEpice 100ml</t>
        </is>
      </c>
      <c r="C501" t="inlineStr">
        <is>
          <t>Ail</t>
        </is>
      </c>
      <c r="D501" t="inlineStr">
        <is>
          <t>recetteProportion</t>
        </is>
      </c>
      <c r="E501" t="n">
        <v>0.04477611940298507</v>
      </c>
    </row>
    <row r="502">
      <c r="A502" t="n">
        <v>3</v>
      </c>
      <c r="B502" t="inlineStr">
        <is>
          <t>Tabasco cayenne jauneEpice 100ml</t>
        </is>
      </c>
      <c r="C502" t="inlineStr">
        <is>
          <t>Ail</t>
        </is>
      </c>
      <c r="D502" t="inlineStr">
        <is>
          <t>productionInKg</t>
        </is>
      </c>
      <c r="E502" t="n">
        <v>9</v>
      </c>
      <c r="F502" t="inlineStr">
        <is>
          <t>inversReductionIngredient</t>
        </is>
      </c>
      <c r="H502" t="inlineStr">
        <is>
          <t>finalValue</t>
        </is>
      </c>
      <c r="I502" t="n">
        <v>0.4029850746268657</v>
      </c>
    </row>
    <row r="503">
      <c r="A503" t="n">
        <v>4</v>
      </c>
      <c r="B503" t="inlineStr">
        <is>
          <t>Tabasco cayenne jauneEpice 100ml</t>
        </is>
      </c>
      <c r="C503" t="inlineStr">
        <is>
          <t>Ail</t>
        </is>
      </c>
      <c r="D503" t="inlineStr">
        <is>
          <t>PROD</t>
        </is>
      </c>
      <c r="E503" t="inlineStr">
        <is>
          <t>ail</t>
        </is>
      </c>
      <c r="F503" t="inlineStr">
        <is>
          <t>productionToAdd</t>
        </is>
      </c>
      <c r="G503" t="n">
        <v>0.4029850746268657</v>
      </c>
      <c r="H503" t="inlineStr">
        <is>
          <t>currentCell</t>
        </is>
      </c>
      <c r="I503" t="n">
        <v>0.7832667647677107</v>
      </c>
    </row>
    <row r="504">
      <c r="A504" t="n">
        <v>2</v>
      </c>
      <c r="B504" t="inlineStr">
        <is>
          <t>Tabasco cayenne jauneEpice 100ml</t>
        </is>
      </c>
      <c r="C504" t="inlineStr">
        <is>
          <t>Piment De Cayenne Jaune</t>
        </is>
      </c>
      <c r="D504" t="inlineStr">
        <is>
          <t>recetteProportion</t>
        </is>
      </c>
      <c r="E504" t="n">
        <v>0.746268656716418</v>
      </c>
    </row>
    <row r="505">
      <c r="A505" t="n">
        <v>3</v>
      </c>
      <c r="B505" t="inlineStr">
        <is>
          <t>Tabasco cayenne jauneEpice 100ml</t>
        </is>
      </c>
      <c r="C505" t="inlineStr">
        <is>
          <t>Piment De Cayenne Jaune</t>
        </is>
      </c>
      <c r="D505" t="inlineStr">
        <is>
          <t>productionInKg</t>
        </is>
      </c>
      <c r="E505" t="n">
        <v>9</v>
      </c>
      <c r="F505" t="inlineStr">
        <is>
          <t>inversReductionIngredient</t>
        </is>
      </c>
      <c r="H505" t="inlineStr">
        <is>
          <t>finalValue</t>
        </is>
      </c>
      <c r="I505" t="n">
        <v>6.716417910447761</v>
      </c>
    </row>
    <row r="506">
      <c r="A506" t="n">
        <v>4</v>
      </c>
      <c r="B506" t="inlineStr">
        <is>
          <t>Tabasco cayenne jauneEpice 100ml</t>
        </is>
      </c>
      <c r="C506" t="inlineStr">
        <is>
          <t>Piment De Cayenne Jaune</t>
        </is>
      </c>
      <c r="D506" t="inlineStr">
        <is>
          <t>PROD</t>
        </is>
      </c>
      <c r="E506" t="inlineStr">
        <is>
          <t>piment de cayenne jaune</t>
        </is>
      </c>
      <c r="F506" t="inlineStr">
        <is>
          <t>productionToAdd</t>
        </is>
      </c>
      <c r="G506" t="n">
        <v>6.716417910447761</v>
      </c>
      <c r="H506" t="inlineStr">
        <is>
          <t>currentCell</t>
        </is>
      </c>
      <c r="I506" t="n">
        <v>6.716417910447761</v>
      </c>
    </row>
    <row r="507">
      <c r="A507" t="n">
        <v>2</v>
      </c>
      <c r="B507" t="inlineStr">
        <is>
          <t>Tabasco cayenne jauneEpice 100ml</t>
        </is>
      </c>
      <c r="C507" t="inlineStr">
        <is>
          <t>Sel</t>
        </is>
      </c>
      <c r="D507" t="inlineStr">
        <is>
          <t>recetteProportion</t>
        </is>
      </c>
      <c r="E507" t="n">
        <v>0.07462686567164178</v>
      </c>
    </row>
    <row r="508">
      <c r="A508" t="n">
        <v>3</v>
      </c>
      <c r="B508" t="inlineStr">
        <is>
          <t>Tabasco cayenne jauneEpice 100ml</t>
        </is>
      </c>
      <c r="C508" t="inlineStr">
        <is>
          <t>Sel</t>
        </is>
      </c>
      <c r="D508" t="inlineStr">
        <is>
          <t>productionInKg</t>
        </is>
      </c>
      <c r="E508" t="n">
        <v>9</v>
      </c>
      <c r="F508" t="inlineStr">
        <is>
          <t>inversReductionIngredient</t>
        </is>
      </c>
      <c r="H508" t="inlineStr">
        <is>
          <t>finalValue</t>
        </is>
      </c>
      <c r="I508" t="n">
        <v>0.6716417910447761</v>
      </c>
    </row>
    <row r="509">
      <c r="A509" t="n">
        <v>4</v>
      </c>
      <c r="B509" t="inlineStr">
        <is>
          <t>Tabasco cayenne jauneEpice 100ml</t>
        </is>
      </c>
      <c r="C509" t="inlineStr">
        <is>
          <t>Sel</t>
        </is>
      </c>
      <c r="D509" t="inlineStr">
        <is>
          <t>PROD</t>
        </is>
      </c>
      <c r="E509" t="inlineStr">
        <is>
          <t>sel</t>
        </is>
      </c>
      <c r="F509" t="inlineStr">
        <is>
          <t>productionToAdd</t>
        </is>
      </c>
      <c r="G509" t="n">
        <v>0.6716417910447761</v>
      </c>
      <c r="H509" t="inlineStr">
        <is>
          <t>currentCell</t>
        </is>
      </c>
      <c r="I509" t="n">
        <v>32.67060720104654</v>
      </c>
    </row>
    <row r="510">
      <c r="A510" t="n">
        <v>2</v>
      </c>
      <c r="B510" t="inlineStr">
        <is>
          <t>Tabasco cayenne jauneEpice 100ml</t>
        </is>
      </c>
      <c r="C510" t="inlineStr">
        <is>
          <t>Vinaigre De Cidre</t>
        </is>
      </c>
      <c r="D510" t="inlineStr">
        <is>
          <t>recetteProportion</t>
        </is>
      </c>
      <c r="E510" t="n">
        <v>0.04477611940298507</v>
      </c>
    </row>
    <row r="511">
      <c r="A511" t="n">
        <v>3</v>
      </c>
      <c r="B511" t="inlineStr">
        <is>
          <t>Tabasco cayenne jauneEpice 100ml</t>
        </is>
      </c>
      <c r="C511" t="inlineStr">
        <is>
          <t>Vinaigre De Cidre</t>
        </is>
      </c>
      <c r="D511" t="inlineStr">
        <is>
          <t>productionInKg</t>
        </is>
      </c>
      <c r="E511" t="n">
        <v>9</v>
      </c>
      <c r="F511" t="inlineStr">
        <is>
          <t>inversReductionIngredient</t>
        </is>
      </c>
      <c r="H511" t="inlineStr">
        <is>
          <t>finalValue</t>
        </is>
      </c>
      <c r="I511" t="n">
        <v>0.4029850746268657</v>
      </c>
    </row>
    <row r="512">
      <c r="A512" t="n">
        <v>4</v>
      </c>
      <c r="B512" t="inlineStr">
        <is>
          <t>Tabasco cayenne jauneEpice 100ml</t>
        </is>
      </c>
      <c r="C512" t="inlineStr">
        <is>
          <t>Vinaigre De Cidre</t>
        </is>
      </c>
      <c r="D512" t="inlineStr">
        <is>
          <t>PROD</t>
        </is>
      </c>
      <c r="E512" t="inlineStr">
        <is>
          <t>vinaigre de cidre</t>
        </is>
      </c>
      <c r="F512" t="inlineStr">
        <is>
          <t>productionToAdd</t>
        </is>
      </c>
      <c r="G512" t="n">
        <v>0.4029850746268657</v>
      </c>
      <c r="H512" t="inlineStr">
        <is>
          <t>currentCell</t>
        </is>
      </c>
      <c r="I512" t="n">
        <v>203.6997285139632</v>
      </c>
    </row>
    <row r="513">
      <c r="A513" t="n">
        <v>2</v>
      </c>
      <c r="B513" t="inlineStr">
        <is>
          <t>Tabasco cayenne jauneEpice 100ml</t>
        </is>
      </c>
      <c r="C513" t="inlineStr">
        <is>
          <t>Oignon</t>
        </is>
      </c>
      <c r="D513" t="inlineStr">
        <is>
          <t>recetteProportion</t>
        </is>
      </c>
      <c r="E513" t="n">
        <v>0.08955223880597014</v>
      </c>
    </row>
    <row r="514">
      <c r="A514" t="n">
        <v>3</v>
      </c>
      <c r="B514" t="inlineStr">
        <is>
          <t>Tabasco cayenne jauneEpice 100ml</t>
        </is>
      </c>
      <c r="C514" t="inlineStr">
        <is>
          <t>Oignon</t>
        </is>
      </c>
      <c r="D514" t="inlineStr">
        <is>
          <t>productionInKg</t>
        </is>
      </c>
      <c r="E514" t="n">
        <v>9</v>
      </c>
      <c r="F514" t="inlineStr">
        <is>
          <t>inversReductionIngredient</t>
        </is>
      </c>
      <c r="H514" t="inlineStr">
        <is>
          <t>finalValue</t>
        </is>
      </c>
      <c r="I514" t="n">
        <v>0.8059701492537313</v>
      </c>
    </row>
    <row r="515">
      <c r="A515" t="n">
        <v>4</v>
      </c>
      <c r="B515" t="inlineStr">
        <is>
          <t>Tabasco cayenne jauneEpice 100ml</t>
        </is>
      </c>
      <c r="C515" t="inlineStr">
        <is>
          <t>Oignon</t>
        </is>
      </c>
      <c r="D515" t="inlineStr">
        <is>
          <t>PROD</t>
        </is>
      </c>
      <c r="E515" t="inlineStr">
        <is>
          <t>oignon</t>
        </is>
      </c>
      <c r="F515" t="inlineStr">
        <is>
          <t>productionToAdd</t>
        </is>
      </c>
      <c r="G515" t="n">
        <v>0.8059701492537313</v>
      </c>
      <c r="H515" t="inlineStr">
        <is>
          <t>currentCell</t>
        </is>
      </c>
      <c r="I515" t="n">
        <v>2.971687859772161</v>
      </c>
    </row>
    <row r="516">
      <c r="A516" t="n">
        <v>1</v>
      </c>
      <c r="B516" t="inlineStr">
        <is>
          <t>epices tandooriEpice 100ml</t>
        </is>
      </c>
      <c r="D516" t="inlineStr">
        <is>
          <t>annee</t>
        </is>
      </c>
      <c r="E516" t="n">
        <v>1</v>
      </c>
      <c r="F516" t="inlineStr">
        <is>
          <t>prod</t>
        </is>
      </c>
      <c r="G516" t="n">
        <v>9</v>
      </c>
    </row>
    <row r="517">
      <c r="A517" t="n">
        <v>2</v>
      </c>
      <c r="B517" t="inlineStr">
        <is>
          <t>epices tandooriEpice 100ml</t>
        </is>
      </c>
      <c r="C517" t="inlineStr">
        <is>
          <t>Paprika</t>
        </is>
      </c>
      <c r="D517" t="inlineStr">
        <is>
          <t>recetteProportion</t>
        </is>
      </c>
      <c r="E517" t="n">
        <v>0.06437768240343349</v>
      </c>
    </row>
    <row r="518">
      <c r="A518" t="n">
        <v>3</v>
      </c>
      <c r="B518" t="inlineStr">
        <is>
          <t>epices tandooriEpice 100ml</t>
        </is>
      </c>
      <c r="C518" t="inlineStr">
        <is>
          <t>Paprika</t>
        </is>
      </c>
      <c r="D518" t="inlineStr">
        <is>
          <t>productionInKg</t>
        </is>
      </c>
      <c r="E518" t="n">
        <v>9</v>
      </c>
      <c r="F518" t="inlineStr">
        <is>
          <t>inversReductionIngredient</t>
        </is>
      </c>
      <c r="H518" t="inlineStr">
        <is>
          <t>finalValue</t>
        </is>
      </c>
      <c r="I518" t="n">
        <v>0.1158798283261803</v>
      </c>
    </row>
    <row r="519">
      <c r="A519" t="n">
        <v>4</v>
      </c>
      <c r="B519" t="inlineStr">
        <is>
          <t>epices tandooriEpice 100ml</t>
        </is>
      </c>
      <c r="C519" t="inlineStr">
        <is>
          <t>Paprika</t>
        </is>
      </c>
      <c r="D519" t="inlineStr">
        <is>
          <t>PROD</t>
        </is>
      </c>
      <c r="E519" t="inlineStr">
        <is>
          <t>piment doux rouge</t>
        </is>
      </c>
      <c r="F519" t="inlineStr">
        <is>
          <t>productionToAdd</t>
        </is>
      </c>
      <c r="G519" t="n">
        <v>0.1158798283261803</v>
      </c>
      <c r="H519" t="inlineStr">
        <is>
          <t>currentCell</t>
        </is>
      </c>
      <c r="I519" t="n">
        <v>8.956326839878164</v>
      </c>
    </row>
    <row r="520">
      <c r="A520" t="n">
        <v>2</v>
      </c>
      <c r="B520" t="inlineStr">
        <is>
          <t>epices tandooriEpice 100ml</t>
        </is>
      </c>
      <c r="C520" t="inlineStr">
        <is>
          <t>Graine De Cumin</t>
        </is>
      </c>
      <c r="D520" t="inlineStr">
        <is>
          <t>recetteProportion</t>
        </is>
      </c>
      <c r="E520" t="n">
        <v>0.3218884120171674</v>
      </c>
    </row>
    <row r="521">
      <c r="A521" t="n">
        <v>3</v>
      </c>
      <c r="B521" t="inlineStr">
        <is>
          <t>epices tandooriEpice 100ml</t>
        </is>
      </c>
      <c r="C521" t="inlineStr">
        <is>
          <t>Graine De Cumin</t>
        </is>
      </c>
      <c r="D521" t="inlineStr">
        <is>
          <t>productionInKg</t>
        </is>
      </c>
      <c r="E521" t="n">
        <v>9</v>
      </c>
      <c r="F521" t="inlineStr">
        <is>
          <t>inversReductionIngredient</t>
        </is>
      </c>
      <c r="H521" t="inlineStr">
        <is>
          <t>finalValue</t>
        </is>
      </c>
      <c r="I521" t="n">
        <v>2.027896995708155</v>
      </c>
    </row>
    <row r="522">
      <c r="A522" t="n">
        <v>4</v>
      </c>
      <c r="B522" t="inlineStr">
        <is>
          <t>epices tandooriEpice 100ml</t>
        </is>
      </c>
      <c r="C522" t="inlineStr">
        <is>
          <t>Graine De Cumin</t>
        </is>
      </c>
      <c r="D522" t="inlineStr">
        <is>
          <t>PROD</t>
        </is>
      </c>
      <c r="E522" t="inlineStr">
        <is>
          <t>graine cumin</t>
        </is>
      </c>
      <c r="F522" t="inlineStr">
        <is>
          <t>productionToAdd</t>
        </is>
      </c>
      <c r="G522" t="n">
        <v>2.027896995708155</v>
      </c>
      <c r="H522" t="inlineStr">
        <is>
          <t>currentCell</t>
        </is>
      </c>
      <c r="I522" t="n">
        <v>37.15834275160971</v>
      </c>
    </row>
    <row r="523">
      <c r="A523" t="n">
        <v>2</v>
      </c>
      <c r="B523" t="inlineStr">
        <is>
          <t>epices tandooriEpice 100ml</t>
        </is>
      </c>
      <c r="C523" t="inlineStr">
        <is>
          <t>Coriandre Graine</t>
        </is>
      </c>
      <c r="D523" t="inlineStr">
        <is>
          <t>recetteProportion</t>
        </is>
      </c>
      <c r="E523" t="n">
        <v>0.3218884120171674</v>
      </c>
    </row>
    <row r="524">
      <c r="A524" t="n">
        <v>3</v>
      </c>
      <c r="B524" t="inlineStr">
        <is>
          <t>epices tandooriEpice 100ml</t>
        </is>
      </c>
      <c r="C524" t="inlineStr">
        <is>
          <t>Coriandre Graine</t>
        </is>
      </c>
      <c r="D524" t="inlineStr">
        <is>
          <t>productionInKg</t>
        </is>
      </c>
      <c r="E524" t="n">
        <v>9</v>
      </c>
      <c r="F524" t="inlineStr">
        <is>
          <t>inversReductionIngredient</t>
        </is>
      </c>
      <c r="H524" t="inlineStr">
        <is>
          <t>finalValue</t>
        </is>
      </c>
      <c r="I524" t="n">
        <v>2.027896995708155</v>
      </c>
    </row>
    <row r="525">
      <c r="A525" t="n">
        <v>4</v>
      </c>
      <c r="B525" t="inlineStr">
        <is>
          <t>epices tandooriEpice 100ml</t>
        </is>
      </c>
      <c r="C525" t="inlineStr">
        <is>
          <t>Coriandre Graine</t>
        </is>
      </c>
      <c r="D525" t="inlineStr">
        <is>
          <t>PROD</t>
        </is>
      </c>
      <c r="E525" t="inlineStr">
        <is>
          <t>coriandre graine</t>
        </is>
      </c>
      <c r="F525" t="inlineStr">
        <is>
          <t>productionToAdd</t>
        </is>
      </c>
      <c r="G525" t="n">
        <v>2.027896995708155</v>
      </c>
      <c r="H525" t="inlineStr">
        <is>
          <t>currentCell</t>
        </is>
      </c>
      <c r="I525" t="n">
        <v>11.21776685404558</v>
      </c>
    </row>
    <row r="526">
      <c r="A526" t="n">
        <v>2</v>
      </c>
      <c r="B526" t="inlineStr">
        <is>
          <t>epices tandooriEpice 100ml</t>
        </is>
      </c>
      <c r="C526" t="inlineStr">
        <is>
          <t>Gingembre Sec</t>
        </is>
      </c>
      <c r="D526" t="inlineStr">
        <is>
          <t>recetteProportion</t>
        </is>
      </c>
      <c r="E526" t="n">
        <v>0.06437768240343349</v>
      </c>
    </row>
    <row r="527">
      <c r="A527" t="n">
        <v>3</v>
      </c>
      <c r="B527" t="inlineStr">
        <is>
          <t>epices tandooriEpice 100ml</t>
        </is>
      </c>
      <c r="C527" t="inlineStr">
        <is>
          <t>Gingembre Sec</t>
        </is>
      </c>
      <c r="D527" t="inlineStr">
        <is>
          <t>productionInKg</t>
        </is>
      </c>
      <c r="E527" t="n">
        <v>9</v>
      </c>
      <c r="F527" t="inlineStr">
        <is>
          <t>inversReductionIngredient</t>
        </is>
      </c>
      <c r="H527" t="inlineStr">
        <is>
          <t>finalValue</t>
        </is>
      </c>
      <c r="I527" t="n">
        <v>0.4924892703862662</v>
      </c>
    </row>
    <row r="528">
      <c r="A528" t="n">
        <v>4</v>
      </c>
      <c r="B528" t="inlineStr">
        <is>
          <t>epices tandooriEpice 100ml</t>
        </is>
      </c>
      <c r="C528" t="inlineStr">
        <is>
          <t>Gingembre Sec</t>
        </is>
      </c>
      <c r="D528" t="inlineStr">
        <is>
          <t>PROD</t>
        </is>
      </c>
      <c r="E528" t="inlineStr">
        <is>
          <t>gingembre</t>
        </is>
      </c>
      <c r="F528" t="inlineStr">
        <is>
          <t>productionToAdd</t>
        </is>
      </c>
      <c r="G528" t="n">
        <v>0.4924892703862662</v>
      </c>
      <c r="H528" t="inlineStr">
        <is>
          <t>currentCell</t>
        </is>
      </c>
      <c r="I528" t="n">
        <v>22.96726199765899</v>
      </c>
    </row>
    <row r="529">
      <c r="A529" t="n">
        <v>2</v>
      </c>
      <c r="B529" t="inlineStr">
        <is>
          <t>epices tandooriEpice 100ml</t>
        </is>
      </c>
      <c r="C529" t="inlineStr">
        <is>
          <t>Curcuma Moulu</t>
        </is>
      </c>
      <c r="D529" t="inlineStr">
        <is>
          <t>recetteProportion</t>
        </is>
      </c>
      <c r="E529" t="n">
        <v>0.06437768240343349</v>
      </c>
    </row>
    <row r="530">
      <c r="A530" t="n">
        <v>3</v>
      </c>
      <c r="B530" t="inlineStr">
        <is>
          <t>epices tandooriEpice 100ml</t>
        </is>
      </c>
      <c r="C530" t="inlineStr">
        <is>
          <t>Curcuma Moulu</t>
        </is>
      </c>
      <c r="D530" t="inlineStr">
        <is>
          <t>productionInKg</t>
        </is>
      </c>
      <c r="E530" t="n">
        <v>9</v>
      </c>
      <c r="F530" t="inlineStr">
        <is>
          <t>inversReductionIngredient</t>
        </is>
      </c>
      <c r="H530" t="inlineStr">
        <is>
          <t>finalValue</t>
        </is>
      </c>
      <c r="I530" t="n">
        <v>0.4924892703862662</v>
      </c>
    </row>
    <row r="531">
      <c r="A531" t="n">
        <v>4</v>
      </c>
      <c r="B531" t="inlineStr">
        <is>
          <t>epices tandooriEpice 100ml</t>
        </is>
      </c>
      <c r="C531" t="inlineStr">
        <is>
          <t>Curcuma Moulu</t>
        </is>
      </c>
      <c r="D531" t="inlineStr">
        <is>
          <t>PROD</t>
        </is>
      </c>
      <c r="E531" t="inlineStr">
        <is>
          <t>curcuma</t>
        </is>
      </c>
      <c r="F531" t="inlineStr">
        <is>
          <t>productionToAdd</t>
        </is>
      </c>
      <c r="G531" t="n">
        <v>0.4924892703862662</v>
      </c>
      <c r="H531" t="inlineStr">
        <is>
          <t>currentCell</t>
        </is>
      </c>
      <c r="I531" t="n">
        <v>13.89158017947717</v>
      </c>
    </row>
    <row r="532">
      <c r="A532" t="n">
        <v>2</v>
      </c>
      <c r="B532" t="inlineStr">
        <is>
          <t>epices tandooriEpice 100ml</t>
        </is>
      </c>
      <c r="C532" t="inlineStr">
        <is>
          <t>Clous De Girofle</t>
        </is>
      </c>
      <c r="D532" t="inlineStr">
        <is>
          <t>recetteProportion</t>
        </is>
      </c>
      <c r="E532" t="n">
        <v>0.01072961373390558</v>
      </c>
    </row>
    <row r="533">
      <c r="A533" t="n">
        <v>3</v>
      </c>
      <c r="B533" t="inlineStr">
        <is>
          <t>epices tandooriEpice 100ml</t>
        </is>
      </c>
      <c r="C533" t="inlineStr">
        <is>
          <t>Clous De Girofle</t>
        </is>
      </c>
      <c r="D533" t="inlineStr">
        <is>
          <t>productionInKg</t>
        </is>
      </c>
      <c r="E533" t="n">
        <v>9</v>
      </c>
      <c r="F533" t="inlineStr">
        <is>
          <t>inversReductionIngredient</t>
        </is>
      </c>
      <c r="H533" t="inlineStr">
        <is>
          <t>finalValue</t>
        </is>
      </c>
      <c r="I533" t="n">
        <v>0.01931330472103005</v>
      </c>
    </row>
    <row r="534">
      <c r="A534" t="n">
        <v>4</v>
      </c>
      <c r="B534" t="inlineStr">
        <is>
          <t>epices tandooriEpice 100ml</t>
        </is>
      </c>
      <c r="C534" t="inlineStr">
        <is>
          <t>Clous De Girofle</t>
        </is>
      </c>
      <c r="D534" t="inlineStr">
        <is>
          <t>PROD</t>
        </is>
      </c>
      <c r="E534" t="inlineStr">
        <is>
          <t>clous de girofle</t>
        </is>
      </c>
      <c r="F534" t="inlineStr">
        <is>
          <t>productionToAdd</t>
        </is>
      </c>
      <c r="G534" t="n">
        <v>0.01931330472103005</v>
      </c>
      <c r="H534" t="inlineStr">
        <is>
          <t>currentCell</t>
        </is>
      </c>
      <c r="I534" t="n">
        <v>0.01931330472103005</v>
      </c>
    </row>
    <row r="535">
      <c r="A535" t="n">
        <v>2</v>
      </c>
      <c r="B535" t="inlineStr">
        <is>
          <t>epices tandooriEpice 100ml</t>
        </is>
      </c>
      <c r="C535" t="inlineStr">
        <is>
          <t>Cannelle Moulue</t>
        </is>
      </c>
      <c r="D535" t="inlineStr">
        <is>
          <t>recetteProportion</t>
        </is>
      </c>
      <c r="E535" t="n">
        <v>0.02145922746781116</v>
      </c>
    </row>
    <row r="536">
      <c r="A536" t="n">
        <v>3</v>
      </c>
      <c r="B536" t="inlineStr">
        <is>
          <t>epices tandooriEpice 100ml</t>
        </is>
      </c>
      <c r="C536" t="inlineStr">
        <is>
          <t>Cannelle Moulue</t>
        </is>
      </c>
      <c r="D536" t="inlineStr">
        <is>
          <t>productionInKg</t>
        </is>
      </c>
      <c r="E536" t="n">
        <v>9</v>
      </c>
      <c r="F536" t="inlineStr">
        <is>
          <t>inversReductionIngredient</t>
        </is>
      </c>
      <c r="H536" t="inlineStr">
        <is>
          <t>finalValue</t>
        </is>
      </c>
      <c r="I536" t="n">
        <v>0.0386266094420601</v>
      </c>
    </row>
    <row r="537">
      <c r="A537" t="n">
        <v>4</v>
      </c>
      <c r="B537" t="inlineStr">
        <is>
          <t>epices tandooriEpice 100ml</t>
        </is>
      </c>
      <c r="C537" t="inlineStr">
        <is>
          <t>Cannelle Moulue</t>
        </is>
      </c>
      <c r="D537" t="inlineStr">
        <is>
          <t>PROD</t>
        </is>
      </c>
      <c r="E537" t="inlineStr">
        <is>
          <t>cannelle</t>
        </is>
      </c>
      <c r="F537" t="inlineStr">
        <is>
          <t>productionToAdd</t>
        </is>
      </c>
      <c r="G537" t="n">
        <v>0.0386266094420601</v>
      </c>
      <c r="H537" t="inlineStr">
        <is>
          <t>currentCell</t>
        </is>
      </c>
      <c r="I537" t="n">
        <v>0.0386266094420601</v>
      </c>
    </row>
    <row r="538">
      <c r="A538" t="n">
        <v>2</v>
      </c>
      <c r="B538" t="inlineStr">
        <is>
          <t>epices tandooriEpice 100ml</t>
        </is>
      </c>
      <c r="C538" t="inlineStr">
        <is>
          <t>Graine De Cardamone</t>
        </is>
      </c>
      <c r="D538" t="inlineStr">
        <is>
          <t>recetteProportion</t>
        </is>
      </c>
      <c r="E538" t="n">
        <v>0.01716738197424893</v>
      </c>
    </row>
    <row r="539">
      <c r="A539" t="n">
        <v>3</v>
      </c>
      <c r="B539" t="inlineStr">
        <is>
          <t>epices tandooriEpice 100ml</t>
        </is>
      </c>
      <c r="C539" t="inlineStr">
        <is>
          <t>Graine De Cardamone</t>
        </is>
      </c>
      <c r="D539" t="inlineStr">
        <is>
          <t>productionInKg</t>
        </is>
      </c>
      <c r="E539" t="n">
        <v>9</v>
      </c>
      <c r="F539" t="inlineStr">
        <is>
          <t>inversReductionIngredient</t>
        </is>
      </c>
      <c r="H539" t="inlineStr">
        <is>
          <t>finalValue</t>
        </is>
      </c>
      <c r="I539" t="n">
        <v>0.03090128755364807</v>
      </c>
    </row>
    <row r="540">
      <c r="A540" t="n">
        <v>4</v>
      </c>
      <c r="B540" t="inlineStr">
        <is>
          <t>epices tandooriEpice 100ml</t>
        </is>
      </c>
      <c r="C540" t="inlineStr">
        <is>
          <t>Graine De Cardamone</t>
        </is>
      </c>
      <c r="D540" t="inlineStr">
        <is>
          <t>PROD</t>
        </is>
      </c>
      <c r="E540" t="inlineStr">
        <is>
          <t>graine de cardamone</t>
        </is>
      </c>
      <c r="F540" t="inlineStr">
        <is>
          <t>productionToAdd</t>
        </is>
      </c>
      <c r="G540" t="n">
        <v>0.03090128755364807</v>
      </c>
      <c r="H540" t="inlineStr">
        <is>
          <t>currentCell</t>
        </is>
      </c>
      <c r="I540" t="n">
        <v>0.03090128755364807</v>
      </c>
    </row>
    <row r="541">
      <c r="A541" t="n">
        <v>2</v>
      </c>
      <c r="B541" t="inlineStr">
        <is>
          <t>epices tandooriEpice 100ml</t>
        </is>
      </c>
      <c r="C541" t="inlineStr">
        <is>
          <t>Poivre Noir</t>
        </is>
      </c>
      <c r="D541" t="inlineStr">
        <is>
          <t>recetteProportion</t>
        </is>
      </c>
      <c r="E541" t="n">
        <v>0.02145922746781116</v>
      </c>
    </row>
    <row r="542">
      <c r="A542" t="n">
        <v>3</v>
      </c>
      <c r="B542" t="inlineStr">
        <is>
          <t>epices tandooriEpice 100ml</t>
        </is>
      </c>
      <c r="C542" t="inlineStr">
        <is>
          <t>Poivre Noir</t>
        </is>
      </c>
      <c r="D542" t="inlineStr">
        <is>
          <t>productionInKg</t>
        </is>
      </c>
      <c r="E542" t="n">
        <v>9</v>
      </c>
      <c r="F542" t="inlineStr">
        <is>
          <t>inversReductionIngredient</t>
        </is>
      </c>
      <c r="H542" t="inlineStr">
        <is>
          <t>finalValue</t>
        </is>
      </c>
      <c r="I542" t="n">
        <v>0.0386266094420601</v>
      </c>
    </row>
    <row r="543">
      <c r="A543" t="n">
        <v>4</v>
      </c>
      <c r="B543" t="inlineStr">
        <is>
          <t>epices tandooriEpice 100ml</t>
        </is>
      </c>
      <c r="C543" t="inlineStr">
        <is>
          <t>Poivre Noir</t>
        </is>
      </c>
      <c r="D543" t="inlineStr">
        <is>
          <t>PROD</t>
        </is>
      </c>
      <c r="E543" t="inlineStr">
        <is>
          <t>poivre noir</t>
        </is>
      </c>
      <c r="F543" t="inlineStr">
        <is>
          <t>productionToAdd</t>
        </is>
      </c>
      <c r="G543" t="n">
        <v>0.0386266094420601</v>
      </c>
      <c r="H543" t="inlineStr">
        <is>
          <t>currentCell</t>
        </is>
      </c>
      <c r="I543" t="n">
        <v>0.2247629730784237</v>
      </c>
    </row>
    <row r="545">
      <c r="A545" t="n">
        <v>3</v>
      </c>
      <c r="B545" t="inlineStr">
        <is>
          <t>epices tandooriEpice 100ml</t>
        </is>
      </c>
      <c r="C545" t="inlineStr">
        <is>
          <t>Sel</t>
        </is>
      </c>
      <c r="D545" t="inlineStr">
        <is>
          <t>productionInKg</t>
        </is>
      </c>
      <c r="E545" t="n">
        <v>9</v>
      </c>
      <c r="F545" t="inlineStr">
        <is>
          <t>inversReductionIngredient</t>
        </is>
      </c>
      <c r="H545" t="inlineStr">
        <is>
          <t>finalValue</t>
        </is>
      </c>
      <c r="I545" t="n">
        <v>0.1931330472103004</v>
      </c>
    </row>
    <row r="546">
      <c r="A546" t="n">
        <v>4</v>
      </c>
      <c r="B546" t="inlineStr">
        <is>
          <t>epices tandooriEpice 100ml</t>
        </is>
      </c>
      <c r="C546" t="inlineStr">
        <is>
          <t>Sel</t>
        </is>
      </c>
      <c r="D546" t="inlineStr">
        <is>
          <t>PROD</t>
        </is>
      </c>
      <c r="E546" t="inlineStr">
        <is>
          <t>sel</t>
        </is>
      </c>
      <c r="F546" t="inlineStr">
        <is>
          <t>productionToAdd</t>
        </is>
      </c>
      <c r="G546" t="n">
        <v>0.1931330472103004</v>
      </c>
      <c r="H546" t="inlineStr">
        <is>
          <t>currentCell</t>
        </is>
      </c>
      <c r="I546" t="n">
        <v>32.86374024825685</v>
      </c>
    </row>
    <row r="547">
      <c r="A547" t="n">
        <v>2</v>
      </c>
      <c r="B547" t="inlineStr">
        <is>
          <t>epices tandooriEpice 100ml</t>
        </is>
      </c>
      <c r="C547" t="inlineStr">
        <is>
          <t>Piments Rouge Seches</t>
        </is>
      </c>
      <c r="D547" t="inlineStr">
        <is>
          <t>recetteProportion</t>
        </is>
      </c>
      <c r="E547" t="n">
        <v>0.006437768240343348</v>
      </c>
    </row>
    <row r="548">
      <c r="A548" t="n">
        <v>2</v>
      </c>
      <c r="B548" t="inlineStr">
        <is>
          <t>epices tandooriEpice 100ml</t>
        </is>
      </c>
      <c r="C548" t="inlineStr">
        <is>
          <t>Ail semoule</t>
        </is>
      </c>
      <c r="D548" t="inlineStr">
        <is>
          <t>recetteProportion</t>
        </is>
      </c>
      <c r="E548" t="n">
        <v>0.06437768240343349</v>
      </c>
    </row>
    <row r="549">
      <c r="A549" t="n">
        <v>1</v>
      </c>
      <c r="B549" t="inlineStr">
        <is>
          <t>epices tandooriEpice 100ml</t>
        </is>
      </c>
      <c r="D549" t="inlineStr">
        <is>
          <t>annee</t>
        </is>
      </c>
      <c r="E549" t="n">
        <v>2</v>
      </c>
      <c r="F549" t="inlineStr">
        <is>
          <t>prod</t>
        </is>
      </c>
      <c r="G549" t="n">
        <v>9</v>
      </c>
    </row>
    <row r="550">
      <c r="A550" t="n">
        <v>2</v>
      </c>
      <c r="B550" t="inlineStr">
        <is>
          <t>epices tandooriEpice 100ml</t>
        </is>
      </c>
      <c r="C550" t="inlineStr">
        <is>
          <t>Paprika</t>
        </is>
      </c>
      <c r="D550" t="inlineStr">
        <is>
          <t>recetteProportion</t>
        </is>
      </c>
      <c r="E550" t="n">
        <v>0.06437768240343349</v>
      </c>
    </row>
    <row r="551">
      <c r="A551" t="n">
        <v>3</v>
      </c>
      <c r="B551" t="inlineStr">
        <is>
          <t>epices tandooriEpice 100ml</t>
        </is>
      </c>
      <c r="C551" t="inlineStr">
        <is>
          <t>Paprika</t>
        </is>
      </c>
      <c r="D551" t="inlineStr">
        <is>
          <t>productionInKg</t>
        </is>
      </c>
      <c r="E551" t="n">
        <v>9</v>
      </c>
      <c r="F551" t="inlineStr">
        <is>
          <t>inversReductionIngredient</t>
        </is>
      </c>
      <c r="H551" t="inlineStr">
        <is>
          <t>finalValue</t>
        </is>
      </c>
      <c r="I551" t="n">
        <v>0.1158798283261803</v>
      </c>
    </row>
    <row r="552">
      <c r="A552" t="n">
        <v>4</v>
      </c>
      <c r="B552" t="inlineStr">
        <is>
          <t>epices tandooriEpice 100ml</t>
        </is>
      </c>
      <c r="C552" t="inlineStr">
        <is>
          <t>Paprika</t>
        </is>
      </c>
      <c r="D552" t="inlineStr">
        <is>
          <t>PROD</t>
        </is>
      </c>
      <c r="E552" t="inlineStr">
        <is>
          <t>piment doux rouge</t>
        </is>
      </c>
      <c r="F552" t="inlineStr">
        <is>
          <t>productionToAdd</t>
        </is>
      </c>
      <c r="G552" t="n">
        <v>0.1158798283261803</v>
      </c>
      <c r="H552" t="inlineStr">
        <is>
          <t>currentCell</t>
        </is>
      </c>
      <c r="I552" t="n">
        <v>8.956326839878164</v>
      </c>
    </row>
    <row r="553">
      <c r="A553" t="n">
        <v>2</v>
      </c>
      <c r="B553" t="inlineStr">
        <is>
          <t>epices tandooriEpice 100ml</t>
        </is>
      </c>
      <c r="C553" t="inlineStr">
        <is>
          <t>Graine De Cumin</t>
        </is>
      </c>
      <c r="D553" t="inlineStr">
        <is>
          <t>recetteProportion</t>
        </is>
      </c>
      <c r="E553" t="n">
        <v>0.3218884120171674</v>
      </c>
    </row>
    <row r="554">
      <c r="A554" t="n">
        <v>3</v>
      </c>
      <c r="B554" t="inlineStr">
        <is>
          <t>epices tandooriEpice 100ml</t>
        </is>
      </c>
      <c r="C554" t="inlineStr">
        <is>
          <t>Graine De Cumin</t>
        </is>
      </c>
      <c r="D554" t="inlineStr">
        <is>
          <t>productionInKg</t>
        </is>
      </c>
      <c r="E554" t="n">
        <v>9</v>
      </c>
      <c r="F554" t="inlineStr">
        <is>
          <t>inversReductionIngredient</t>
        </is>
      </c>
      <c r="H554" t="inlineStr">
        <is>
          <t>finalValue</t>
        </is>
      </c>
      <c r="I554" t="n">
        <v>2.027896995708155</v>
      </c>
    </row>
    <row r="555">
      <c r="A555" t="n">
        <v>4</v>
      </c>
      <c r="B555" t="inlineStr">
        <is>
          <t>epices tandooriEpice 100ml</t>
        </is>
      </c>
      <c r="C555" t="inlineStr">
        <is>
          <t>Graine De Cumin</t>
        </is>
      </c>
      <c r="D555" t="inlineStr">
        <is>
          <t>PROD</t>
        </is>
      </c>
      <c r="E555" t="inlineStr">
        <is>
          <t>graine cumin</t>
        </is>
      </c>
      <c r="F555" t="inlineStr">
        <is>
          <t>productionToAdd</t>
        </is>
      </c>
      <c r="G555" t="n">
        <v>2.027896995708155</v>
      </c>
      <c r="H555" t="inlineStr">
        <is>
          <t>currentCell</t>
        </is>
      </c>
      <c r="I555" t="n">
        <v>37.15834275160971</v>
      </c>
    </row>
    <row r="556">
      <c r="A556" t="n">
        <v>2</v>
      </c>
      <c r="B556" t="inlineStr">
        <is>
          <t>epices tandooriEpice 100ml</t>
        </is>
      </c>
      <c r="C556" t="inlineStr">
        <is>
          <t>Coriandre Graine</t>
        </is>
      </c>
      <c r="D556" t="inlineStr">
        <is>
          <t>recetteProportion</t>
        </is>
      </c>
      <c r="E556" t="n">
        <v>0.3218884120171674</v>
      </c>
    </row>
    <row r="557">
      <c r="A557" t="n">
        <v>3</v>
      </c>
      <c r="B557" t="inlineStr">
        <is>
          <t>epices tandooriEpice 100ml</t>
        </is>
      </c>
      <c r="C557" t="inlineStr">
        <is>
          <t>Coriandre Graine</t>
        </is>
      </c>
      <c r="D557" t="inlineStr">
        <is>
          <t>productionInKg</t>
        </is>
      </c>
      <c r="E557" t="n">
        <v>9</v>
      </c>
      <c r="F557" t="inlineStr">
        <is>
          <t>inversReductionIngredient</t>
        </is>
      </c>
      <c r="H557" t="inlineStr">
        <is>
          <t>finalValue</t>
        </is>
      </c>
      <c r="I557" t="n">
        <v>2.027896995708155</v>
      </c>
    </row>
    <row r="558">
      <c r="A558" t="n">
        <v>4</v>
      </c>
      <c r="B558" t="inlineStr">
        <is>
          <t>epices tandooriEpice 100ml</t>
        </is>
      </c>
      <c r="C558" t="inlineStr">
        <is>
          <t>Coriandre Graine</t>
        </is>
      </c>
      <c r="D558" t="inlineStr">
        <is>
          <t>PROD</t>
        </is>
      </c>
      <c r="E558" t="inlineStr">
        <is>
          <t>coriandre graine</t>
        </is>
      </c>
      <c r="F558" t="inlineStr">
        <is>
          <t>productionToAdd</t>
        </is>
      </c>
      <c r="G558" t="n">
        <v>2.027896995708155</v>
      </c>
      <c r="H558" t="inlineStr">
        <is>
          <t>currentCell</t>
        </is>
      </c>
      <c r="I558" t="n">
        <v>11.21776685404558</v>
      </c>
    </row>
    <row r="559">
      <c r="A559" t="n">
        <v>2</v>
      </c>
      <c r="B559" t="inlineStr">
        <is>
          <t>epices tandooriEpice 100ml</t>
        </is>
      </c>
      <c r="C559" t="inlineStr">
        <is>
          <t>Gingembre Sec</t>
        </is>
      </c>
      <c r="D559" t="inlineStr">
        <is>
          <t>recetteProportion</t>
        </is>
      </c>
      <c r="E559" t="n">
        <v>0.06437768240343349</v>
      </c>
    </row>
    <row r="560">
      <c r="A560" t="n">
        <v>3</v>
      </c>
      <c r="B560" t="inlineStr">
        <is>
          <t>epices tandooriEpice 100ml</t>
        </is>
      </c>
      <c r="C560" t="inlineStr">
        <is>
          <t>Gingembre Sec</t>
        </is>
      </c>
      <c r="D560" t="inlineStr">
        <is>
          <t>productionInKg</t>
        </is>
      </c>
      <c r="E560" t="n">
        <v>9</v>
      </c>
      <c r="F560" t="inlineStr">
        <is>
          <t>inversReductionIngredient</t>
        </is>
      </c>
      <c r="H560" t="inlineStr">
        <is>
          <t>finalValue</t>
        </is>
      </c>
      <c r="I560" t="n">
        <v>0.4924892703862662</v>
      </c>
    </row>
    <row r="561">
      <c r="A561" t="n">
        <v>4</v>
      </c>
      <c r="B561" t="inlineStr">
        <is>
          <t>epices tandooriEpice 100ml</t>
        </is>
      </c>
      <c r="C561" t="inlineStr">
        <is>
          <t>Gingembre Sec</t>
        </is>
      </c>
      <c r="D561" t="inlineStr">
        <is>
          <t>PROD</t>
        </is>
      </c>
      <c r="E561" t="inlineStr">
        <is>
          <t>gingembre</t>
        </is>
      </c>
      <c r="F561" t="inlineStr">
        <is>
          <t>productionToAdd</t>
        </is>
      </c>
      <c r="G561" t="n">
        <v>0.4924892703862662</v>
      </c>
      <c r="H561" t="inlineStr">
        <is>
          <t>currentCell</t>
        </is>
      </c>
      <c r="I561" t="n">
        <v>22.96726199765899</v>
      </c>
    </row>
    <row r="562">
      <c r="A562" t="n">
        <v>2</v>
      </c>
      <c r="B562" t="inlineStr">
        <is>
          <t>epices tandooriEpice 100ml</t>
        </is>
      </c>
      <c r="C562" t="inlineStr">
        <is>
          <t>Curcuma Moulu</t>
        </is>
      </c>
      <c r="D562" t="inlineStr">
        <is>
          <t>recetteProportion</t>
        </is>
      </c>
      <c r="E562" t="n">
        <v>0.06437768240343349</v>
      </c>
    </row>
    <row r="563">
      <c r="A563" t="n">
        <v>3</v>
      </c>
      <c r="B563" t="inlineStr">
        <is>
          <t>epices tandooriEpice 100ml</t>
        </is>
      </c>
      <c r="C563" t="inlineStr">
        <is>
          <t>Curcuma Moulu</t>
        </is>
      </c>
      <c r="D563" t="inlineStr">
        <is>
          <t>productionInKg</t>
        </is>
      </c>
      <c r="E563" t="n">
        <v>9</v>
      </c>
      <c r="F563" t="inlineStr">
        <is>
          <t>inversReductionIngredient</t>
        </is>
      </c>
      <c r="H563" t="inlineStr">
        <is>
          <t>finalValue</t>
        </is>
      </c>
      <c r="I563" t="n">
        <v>0.4924892703862662</v>
      </c>
    </row>
    <row r="564">
      <c r="A564" t="n">
        <v>4</v>
      </c>
      <c r="B564" t="inlineStr">
        <is>
          <t>epices tandooriEpice 100ml</t>
        </is>
      </c>
      <c r="C564" t="inlineStr">
        <is>
          <t>Curcuma Moulu</t>
        </is>
      </c>
      <c r="D564" t="inlineStr">
        <is>
          <t>PROD</t>
        </is>
      </c>
      <c r="E564" t="inlineStr">
        <is>
          <t>curcuma</t>
        </is>
      </c>
      <c r="F564" t="inlineStr">
        <is>
          <t>productionToAdd</t>
        </is>
      </c>
      <c r="G564" t="n">
        <v>0.4924892703862662</v>
      </c>
      <c r="H564" t="inlineStr">
        <is>
          <t>currentCell</t>
        </is>
      </c>
      <c r="I564" t="n">
        <v>13.89158017947717</v>
      </c>
    </row>
    <row r="565">
      <c r="A565" t="n">
        <v>2</v>
      </c>
      <c r="B565" t="inlineStr">
        <is>
          <t>epices tandooriEpice 100ml</t>
        </is>
      </c>
      <c r="C565" t="inlineStr">
        <is>
          <t>Clous De Girofle</t>
        </is>
      </c>
      <c r="D565" t="inlineStr">
        <is>
          <t>recetteProportion</t>
        </is>
      </c>
      <c r="E565" t="n">
        <v>0.01072961373390558</v>
      </c>
    </row>
    <row r="566">
      <c r="A566" t="n">
        <v>3</v>
      </c>
      <c r="B566" t="inlineStr">
        <is>
          <t>epices tandooriEpice 100ml</t>
        </is>
      </c>
      <c r="C566" t="inlineStr">
        <is>
          <t>Clous De Girofle</t>
        </is>
      </c>
      <c r="D566" t="inlineStr">
        <is>
          <t>productionInKg</t>
        </is>
      </c>
      <c r="E566" t="n">
        <v>9</v>
      </c>
      <c r="F566" t="inlineStr">
        <is>
          <t>inversReductionIngredient</t>
        </is>
      </c>
      <c r="H566" t="inlineStr">
        <is>
          <t>finalValue</t>
        </is>
      </c>
      <c r="I566" t="n">
        <v>0.01931330472103005</v>
      </c>
    </row>
    <row r="567">
      <c r="A567" t="n">
        <v>4</v>
      </c>
      <c r="B567" t="inlineStr">
        <is>
          <t>epices tandooriEpice 100ml</t>
        </is>
      </c>
      <c r="C567" t="inlineStr">
        <is>
          <t>Clous De Girofle</t>
        </is>
      </c>
      <c r="D567" t="inlineStr">
        <is>
          <t>PROD</t>
        </is>
      </c>
      <c r="E567" t="inlineStr">
        <is>
          <t>clous de girofle</t>
        </is>
      </c>
      <c r="F567" t="inlineStr">
        <is>
          <t>productionToAdd</t>
        </is>
      </c>
      <c r="G567" t="n">
        <v>0.01931330472103005</v>
      </c>
      <c r="H567" t="inlineStr">
        <is>
          <t>currentCell</t>
        </is>
      </c>
      <c r="I567" t="n">
        <v>0.01931330472103005</v>
      </c>
    </row>
    <row r="568">
      <c r="A568" t="n">
        <v>2</v>
      </c>
      <c r="B568" t="inlineStr">
        <is>
          <t>epices tandooriEpice 100ml</t>
        </is>
      </c>
      <c r="C568" t="inlineStr">
        <is>
          <t>Cannelle Moulue</t>
        </is>
      </c>
      <c r="D568" t="inlineStr">
        <is>
          <t>recetteProportion</t>
        </is>
      </c>
      <c r="E568" t="n">
        <v>0.02145922746781116</v>
      </c>
    </row>
    <row r="569">
      <c r="A569" t="n">
        <v>3</v>
      </c>
      <c r="B569" t="inlineStr">
        <is>
          <t>epices tandooriEpice 100ml</t>
        </is>
      </c>
      <c r="C569" t="inlineStr">
        <is>
          <t>Cannelle Moulue</t>
        </is>
      </c>
      <c r="D569" t="inlineStr">
        <is>
          <t>productionInKg</t>
        </is>
      </c>
      <c r="E569" t="n">
        <v>9</v>
      </c>
      <c r="F569" t="inlineStr">
        <is>
          <t>inversReductionIngredient</t>
        </is>
      </c>
      <c r="H569" t="inlineStr">
        <is>
          <t>finalValue</t>
        </is>
      </c>
      <c r="I569" t="n">
        <v>0.0386266094420601</v>
      </c>
    </row>
    <row r="570">
      <c r="A570" t="n">
        <v>4</v>
      </c>
      <c r="B570" t="inlineStr">
        <is>
          <t>epices tandooriEpice 100ml</t>
        </is>
      </c>
      <c r="C570" t="inlineStr">
        <is>
          <t>Cannelle Moulue</t>
        </is>
      </c>
      <c r="D570" t="inlineStr">
        <is>
          <t>PROD</t>
        </is>
      </c>
      <c r="E570" t="inlineStr">
        <is>
          <t>cannelle</t>
        </is>
      </c>
      <c r="F570" t="inlineStr">
        <is>
          <t>productionToAdd</t>
        </is>
      </c>
      <c r="G570" t="n">
        <v>0.0386266094420601</v>
      </c>
      <c r="H570" t="inlineStr">
        <is>
          <t>currentCell</t>
        </is>
      </c>
      <c r="I570" t="n">
        <v>0.0386266094420601</v>
      </c>
    </row>
    <row r="571">
      <c r="A571" t="n">
        <v>2</v>
      </c>
      <c r="B571" t="inlineStr">
        <is>
          <t>epices tandooriEpice 100ml</t>
        </is>
      </c>
      <c r="C571" t="inlineStr">
        <is>
          <t>Graine De Cardamone</t>
        </is>
      </c>
      <c r="D571" t="inlineStr">
        <is>
          <t>recetteProportion</t>
        </is>
      </c>
      <c r="E571" t="n">
        <v>0.01716738197424893</v>
      </c>
    </row>
    <row r="572">
      <c r="A572" t="n">
        <v>3</v>
      </c>
      <c r="B572" t="inlineStr">
        <is>
          <t>epices tandooriEpice 100ml</t>
        </is>
      </c>
      <c r="C572" t="inlineStr">
        <is>
          <t>Graine De Cardamone</t>
        </is>
      </c>
      <c r="D572" t="inlineStr">
        <is>
          <t>productionInKg</t>
        </is>
      </c>
      <c r="E572" t="n">
        <v>9</v>
      </c>
      <c r="F572" t="inlineStr">
        <is>
          <t>inversReductionIngredient</t>
        </is>
      </c>
      <c r="H572" t="inlineStr">
        <is>
          <t>finalValue</t>
        </is>
      </c>
      <c r="I572" t="n">
        <v>0.03090128755364807</v>
      </c>
    </row>
    <row r="573">
      <c r="A573" t="n">
        <v>4</v>
      </c>
      <c r="B573" t="inlineStr">
        <is>
          <t>epices tandooriEpice 100ml</t>
        </is>
      </c>
      <c r="C573" t="inlineStr">
        <is>
          <t>Graine De Cardamone</t>
        </is>
      </c>
      <c r="D573" t="inlineStr">
        <is>
          <t>PROD</t>
        </is>
      </c>
      <c r="E573" t="inlineStr">
        <is>
          <t>graine de cardamone</t>
        </is>
      </c>
      <c r="F573" t="inlineStr">
        <is>
          <t>productionToAdd</t>
        </is>
      </c>
      <c r="G573" t="n">
        <v>0.03090128755364807</v>
      </c>
      <c r="H573" t="inlineStr">
        <is>
          <t>currentCell</t>
        </is>
      </c>
      <c r="I573" t="n">
        <v>0.03090128755364807</v>
      </c>
    </row>
    <row r="574">
      <c r="A574" t="n">
        <v>2</v>
      </c>
      <c r="B574" t="inlineStr">
        <is>
          <t>epices tandooriEpice 100ml</t>
        </is>
      </c>
      <c r="C574" t="inlineStr">
        <is>
          <t>Poivre Noir</t>
        </is>
      </c>
      <c r="D574" t="inlineStr">
        <is>
          <t>recetteProportion</t>
        </is>
      </c>
      <c r="E574" t="n">
        <v>0.02145922746781116</v>
      </c>
    </row>
    <row r="575">
      <c r="A575" t="n">
        <v>3</v>
      </c>
      <c r="B575" t="inlineStr">
        <is>
          <t>epices tandooriEpice 100ml</t>
        </is>
      </c>
      <c r="C575" t="inlineStr">
        <is>
          <t>Poivre Noir</t>
        </is>
      </c>
      <c r="D575" t="inlineStr">
        <is>
          <t>productionInKg</t>
        </is>
      </c>
      <c r="E575" t="n">
        <v>9</v>
      </c>
      <c r="F575" t="inlineStr">
        <is>
          <t>inversReductionIngredient</t>
        </is>
      </c>
      <c r="H575" t="inlineStr">
        <is>
          <t>finalValue</t>
        </is>
      </c>
      <c r="I575" t="n">
        <v>0.0386266094420601</v>
      </c>
    </row>
    <row r="576">
      <c r="A576" t="n">
        <v>4</v>
      </c>
      <c r="B576" t="inlineStr">
        <is>
          <t>epices tandooriEpice 100ml</t>
        </is>
      </c>
      <c r="C576" t="inlineStr">
        <is>
          <t>Poivre Noir</t>
        </is>
      </c>
      <c r="D576" t="inlineStr">
        <is>
          <t>PROD</t>
        </is>
      </c>
      <c r="E576" t="inlineStr">
        <is>
          <t>poivre noir</t>
        </is>
      </c>
      <c r="F576" t="inlineStr">
        <is>
          <t>productionToAdd</t>
        </is>
      </c>
      <c r="G576" t="n">
        <v>0.0386266094420601</v>
      </c>
      <c r="H576" t="inlineStr">
        <is>
          <t>currentCell</t>
        </is>
      </c>
      <c r="I576" t="n">
        <v>0.2247629730784237</v>
      </c>
    </row>
    <row r="577">
      <c r="A577" t="n">
        <v>2</v>
      </c>
      <c r="B577" t="inlineStr">
        <is>
          <t>epices tandooriEpice 100ml</t>
        </is>
      </c>
      <c r="C577" t="inlineStr">
        <is>
          <t>Sel</t>
        </is>
      </c>
      <c r="D577" t="inlineStr">
        <is>
          <t>recetteProportion</t>
        </is>
      </c>
      <c r="E577" t="n">
        <v>0.02145922746781116</v>
      </c>
    </row>
    <row r="578">
      <c r="A578" t="n">
        <v>3</v>
      </c>
      <c r="B578" t="inlineStr">
        <is>
          <t>epices tandooriEpice 100ml</t>
        </is>
      </c>
      <c r="C578" t="inlineStr">
        <is>
          <t>Sel</t>
        </is>
      </c>
      <c r="D578" t="inlineStr">
        <is>
          <t>productionInKg</t>
        </is>
      </c>
      <c r="E578" t="n">
        <v>9</v>
      </c>
      <c r="F578" t="inlineStr">
        <is>
          <t>inversReductionIngredient</t>
        </is>
      </c>
      <c r="H578" t="inlineStr">
        <is>
          <t>finalValue</t>
        </is>
      </c>
      <c r="I578" t="n">
        <v>0.1931330472103004</v>
      </c>
    </row>
    <row r="579">
      <c r="A579" t="n">
        <v>4</v>
      </c>
      <c r="B579" t="inlineStr">
        <is>
          <t>epices tandooriEpice 100ml</t>
        </is>
      </c>
      <c r="C579" t="inlineStr">
        <is>
          <t>Sel</t>
        </is>
      </c>
      <c r="D579" t="inlineStr">
        <is>
          <t>PROD</t>
        </is>
      </c>
      <c r="E579" t="inlineStr">
        <is>
          <t>sel</t>
        </is>
      </c>
      <c r="F579" t="inlineStr">
        <is>
          <t>productionToAdd</t>
        </is>
      </c>
      <c r="G579" t="n">
        <v>0.1931330472103004</v>
      </c>
      <c r="H579" t="inlineStr">
        <is>
          <t>currentCell</t>
        </is>
      </c>
      <c r="I579" t="n">
        <v>32.86374024825685</v>
      </c>
    </row>
    <row r="580">
      <c r="A580" t="n">
        <v>2</v>
      </c>
      <c r="B580" t="inlineStr">
        <is>
          <t>epices tandooriEpice 100ml</t>
        </is>
      </c>
      <c r="C580" t="inlineStr">
        <is>
          <t>Piments Rouge Seches</t>
        </is>
      </c>
      <c r="D580" t="inlineStr">
        <is>
          <t>recetteProportion</t>
        </is>
      </c>
      <c r="E580" t="n">
        <v>0.006437768240343348</v>
      </c>
    </row>
    <row r="581">
      <c r="A581" t="n">
        <v>2</v>
      </c>
      <c r="B581" t="inlineStr">
        <is>
          <t>epices tandooriEpice 100ml</t>
        </is>
      </c>
      <c r="C581" t="inlineStr">
        <is>
          <t>Ail semoule</t>
        </is>
      </c>
      <c r="D581" t="inlineStr">
        <is>
          <t>recetteProportion</t>
        </is>
      </c>
      <c r="E581" t="n">
        <v>0.06437768240343349</v>
      </c>
    </row>
    <row r="583">
      <c r="A583" t="n">
        <v>2</v>
      </c>
      <c r="B583" t="inlineStr">
        <is>
          <t>Curry MadraEpice 100ml</t>
        </is>
      </c>
      <c r="C583" t="inlineStr">
        <is>
          <t>Coriandre Graine</t>
        </is>
      </c>
      <c r="D583" t="inlineStr">
        <is>
          <t>recetteProportion</t>
        </is>
      </c>
      <c r="E583" t="n">
        <v>0.1071428571428571</v>
      </c>
    </row>
    <row r="584">
      <c r="A584" t="n">
        <v>3</v>
      </c>
      <c r="B584" t="inlineStr">
        <is>
          <t>Curry MadraEpice 100ml</t>
        </is>
      </c>
      <c r="C584" t="inlineStr">
        <is>
          <t>Coriandre Graine</t>
        </is>
      </c>
      <c r="D584" t="inlineStr">
        <is>
          <t>productionInKg</t>
        </is>
      </c>
      <c r="E584" t="n">
        <v>9</v>
      </c>
      <c r="F584" t="inlineStr">
        <is>
          <t>inversReductionIngredient</t>
        </is>
      </c>
      <c r="H584" t="inlineStr">
        <is>
          <t>finalValue</t>
        </is>
      </c>
      <c r="I584" t="n">
        <v>0.6749999999999999</v>
      </c>
    </row>
    <row r="585">
      <c r="A585" t="n">
        <v>4</v>
      </c>
      <c r="B585" t="inlineStr">
        <is>
          <t>Curry MadraEpice 100ml</t>
        </is>
      </c>
      <c r="C585" t="inlineStr">
        <is>
          <t>Coriandre Graine</t>
        </is>
      </c>
      <c r="D585" t="inlineStr">
        <is>
          <t>PROD</t>
        </is>
      </c>
      <c r="E585" t="inlineStr">
        <is>
          <t>coriandre graine</t>
        </is>
      </c>
      <c r="F585" t="inlineStr">
        <is>
          <t>productionToAdd</t>
        </is>
      </c>
      <c r="G585" t="n">
        <v>0.6749999999999999</v>
      </c>
      <c r="H585" t="inlineStr">
        <is>
          <t>currentCell</t>
        </is>
      </c>
      <c r="I585" t="n">
        <v>11.89276685404558</v>
      </c>
    </row>
    <row r="586">
      <c r="A586" t="n">
        <v>2</v>
      </c>
      <c r="B586" t="inlineStr">
        <is>
          <t>Curry MadraEpice 100ml</t>
        </is>
      </c>
      <c r="C586" t="inlineStr">
        <is>
          <t>Curcuma Moulu</t>
        </is>
      </c>
      <c r="D586" t="inlineStr">
        <is>
          <t>recetteProportion</t>
        </is>
      </c>
      <c r="E586" t="n">
        <v>0.1428571428571428</v>
      </c>
    </row>
    <row r="587">
      <c r="A587" t="n">
        <v>3</v>
      </c>
      <c r="B587" t="inlineStr">
        <is>
          <t>Curry MadraEpice 100ml</t>
        </is>
      </c>
      <c r="C587" t="inlineStr">
        <is>
          <t>Curcuma Moulu</t>
        </is>
      </c>
      <c r="D587" t="inlineStr">
        <is>
          <t>productionInKg</t>
        </is>
      </c>
      <c r="E587" t="n">
        <v>9</v>
      </c>
      <c r="F587" t="inlineStr">
        <is>
          <t>inversReductionIngredient</t>
        </is>
      </c>
      <c r="H587" t="inlineStr">
        <is>
          <t>finalValue</t>
        </is>
      </c>
      <c r="I587" t="n">
        <v>1.092857142857143</v>
      </c>
    </row>
    <row r="588">
      <c r="A588" t="n">
        <v>4</v>
      </c>
      <c r="B588" t="inlineStr">
        <is>
          <t>Curry MadraEpice 100ml</t>
        </is>
      </c>
      <c r="C588" t="inlineStr">
        <is>
          <t>Curcuma Moulu</t>
        </is>
      </c>
      <c r="D588" t="inlineStr">
        <is>
          <t>PROD</t>
        </is>
      </c>
      <c r="E588" t="inlineStr">
        <is>
          <t>curcuma</t>
        </is>
      </c>
      <c r="F588" t="inlineStr">
        <is>
          <t>productionToAdd</t>
        </is>
      </c>
      <c r="G588" t="n">
        <v>1.092857142857143</v>
      </c>
      <c r="H588" t="inlineStr">
        <is>
          <t>currentCell</t>
        </is>
      </c>
      <c r="I588" t="n">
        <v>14.98443732233432</v>
      </c>
    </row>
    <row r="589">
      <c r="A589" t="n">
        <v>2</v>
      </c>
      <c r="B589" t="inlineStr">
        <is>
          <t>Curry MadraEpice 100ml</t>
        </is>
      </c>
      <c r="C589" t="inlineStr">
        <is>
          <t>Graine De Moutarde</t>
        </is>
      </c>
      <c r="D589" t="inlineStr">
        <is>
          <t>recetteProportion</t>
        </is>
      </c>
      <c r="E589" t="n">
        <v>0.07142857142857142</v>
      </c>
    </row>
    <row r="590">
      <c r="A590" t="n">
        <v>3</v>
      </c>
      <c r="B590" t="inlineStr">
        <is>
          <t>Curry MadraEpice 100ml</t>
        </is>
      </c>
      <c r="C590" t="inlineStr">
        <is>
          <t>Graine De Moutarde</t>
        </is>
      </c>
      <c r="D590" t="inlineStr">
        <is>
          <t>productionInKg</t>
        </is>
      </c>
      <c r="E590" t="n">
        <v>9</v>
      </c>
      <c r="F590" t="inlineStr">
        <is>
          <t>inversReductionIngredient</t>
        </is>
      </c>
      <c r="H590" t="inlineStr">
        <is>
          <t>finalValue</t>
        </is>
      </c>
      <c r="I590" t="n">
        <v>0.45</v>
      </c>
    </row>
    <row r="591">
      <c r="A591" t="n">
        <v>4</v>
      </c>
      <c r="B591" t="inlineStr">
        <is>
          <t>Curry MadraEpice 100ml</t>
        </is>
      </c>
      <c r="C591" t="inlineStr">
        <is>
          <t>Graine De Moutarde</t>
        </is>
      </c>
      <c r="D591" t="inlineStr">
        <is>
          <t>PROD</t>
        </is>
      </c>
      <c r="E591" t="inlineStr">
        <is>
          <t>graine de moutarde</t>
        </is>
      </c>
      <c r="F591" t="inlineStr">
        <is>
          <t>productionToAdd</t>
        </is>
      </c>
      <c r="G591" t="n">
        <v>0.45</v>
      </c>
      <c r="H591" t="inlineStr">
        <is>
          <t>currentCell</t>
        </is>
      </c>
      <c r="I591" t="n">
        <v>12.28728757979917</v>
      </c>
    </row>
    <row r="592">
      <c r="A592" t="n">
        <v>2</v>
      </c>
      <c r="B592" t="inlineStr">
        <is>
          <t>Curry MadraEpice 100ml</t>
        </is>
      </c>
      <c r="C592" t="inlineStr">
        <is>
          <t>Cumin Moulu</t>
        </is>
      </c>
      <c r="D592" t="inlineStr">
        <is>
          <t>recetteProportion</t>
        </is>
      </c>
      <c r="E592" t="n">
        <v>0.07142857142857142</v>
      </c>
    </row>
    <row r="593">
      <c r="A593" t="n">
        <v>3</v>
      </c>
      <c r="B593" t="inlineStr">
        <is>
          <t>Curry MadraEpice 100ml</t>
        </is>
      </c>
      <c r="C593" t="inlineStr">
        <is>
          <t>Cumin Moulu</t>
        </is>
      </c>
      <c r="D593" t="inlineStr">
        <is>
          <t>productionInKg</t>
        </is>
      </c>
      <c r="E593" t="n">
        <v>9</v>
      </c>
      <c r="F593" t="inlineStr">
        <is>
          <t>inversReductionIngredient</t>
        </is>
      </c>
      <c r="H593" t="inlineStr">
        <is>
          <t>finalValue</t>
        </is>
      </c>
      <c r="I593" t="n">
        <v>0.45</v>
      </c>
    </row>
    <row r="594">
      <c r="A594" t="n">
        <v>4</v>
      </c>
      <c r="B594" t="inlineStr">
        <is>
          <t>Curry MadraEpice 100ml</t>
        </is>
      </c>
      <c r="C594" t="inlineStr">
        <is>
          <t>Cumin Moulu</t>
        </is>
      </c>
      <c r="D594" t="inlineStr">
        <is>
          <t>PROD</t>
        </is>
      </c>
      <c r="E594" t="inlineStr">
        <is>
          <t>graine cumin</t>
        </is>
      </c>
      <c r="F594" t="inlineStr">
        <is>
          <t>productionToAdd</t>
        </is>
      </c>
      <c r="G594" t="n">
        <v>0.45</v>
      </c>
      <c r="H594" t="inlineStr">
        <is>
          <t>currentCell</t>
        </is>
      </c>
      <c r="I594" t="n">
        <v>37.60834275160971</v>
      </c>
    </row>
    <row r="595">
      <c r="A595" t="n">
        <v>2</v>
      </c>
      <c r="B595" t="inlineStr">
        <is>
          <t>Curry MadraEpice 100ml</t>
        </is>
      </c>
      <c r="C595" t="inlineStr">
        <is>
          <t>Sel</t>
        </is>
      </c>
      <c r="D595" t="inlineStr">
        <is>
          <t>recetteProportion</t>
        </is>
      </c>
      <c r="E595" t="n">
        <v>0.1428571428571428</v>
      </c>
    </row>
    <row r="596">
      <c r="A596" t="n">
        <v>3</v>
      </c>
      <c r="B596" t="inlineStr">
        <is>
          <t>Curry MadraEpice 100ml</t>
        </is>
      </c>
      <c r="C596" t="inlineStr">
        <is>
          <t>Sel</t>
        </is>
      </c>
      <c r="D596" t="inlineStr">
        <is>
          <t>productionInKg</t>
        </is>
      </c>
      <c r="E596" t="n">
        <v>9</v>
      </c>
      <c r="F596" t="inlineStr">
        <is>
          <t>inversReductionIngredient</t>
        </is>
      </c>
      <c r="H596" t="inlineStr">
        <is>
          <t>finalValue</t>
        </is>
      </c>
      <c r="I596" t="n">
        <v>1.285714285714286</v>
      </c>
    </row>
    <row r="597">
      <c r="A597" t="n">
        <v>4</v>
      </c>
      <c r="B597" t="inlineStr">
        <is>
          <t>Curry MadraEpice 100ml</t>
        </is>
      </c>
      <c r="C597" t="inlineStr">
        <is>
          <t>Sel</t>
        </is>
      </c>
      <c r="D597" t="inlineStr">
        <is>
          <t>PROD</t>
        </is>
      </c>
      <c r="E597" t="inlineStr">
        <is>
          <t>sel</t>
        </is>
      </c>
      <c r="F597" t="inlineStr">
        <is>
          <t>productionToAdd</t>
        </is>
      </c>
      <c r="G597" t="n">
        <v>1.285714285714286</v>
      </c>
      <c r="H597" t="inlineStr">
        <is>
          <t>currentCell</t>
        </is>
      </c>
      <c r="I597" t="n">
        <v>34.14945453397113</v>
      </c>
    </row>
    <row r="598">
      <c r="A598" t="n">
        <v>2</v>
      </c>
      <c r="B598" t="inlineStr">
        <is>
          <t>Curry MadraEpice 100ml</t>
        </is>
      </c>
      <c r="C598" t="inlineStr">
        <is>
          <t>Poivre Noir</t>
        </is>
      </c>
      <c r="D598" t="inlineStr">
        <is>
          <t>recetteProportion</t>
        </is>
      </c>
      <c r="E598" t="n">
        <v>0.1071428571428571</v>
      </c>
    </row>
    <row r="599">
      <c r="A599" t="n">
        <v>3</v>
      </c>
      <c r="B599" t="inlineStr">
        <is>
          <t>Curry MadraEpice 100ml</t>
        </is>
      </c>
      <c r="C599" t="inlineStr">
        <is>
          <t>Poivre Noir</t>
        </is>
      </c>
      <c r="D599" t="inlineStr">
        <is>
          <t>productionInKg</t>
        </is>
      </c>
      <c r="E599" t="n">
        <v>9</v>
      </c>
      <c r="F599" t="inlineStr">
        <is>
          <t>inversReductionIngredient</t>
        </is>
      </c>
      <c r="H599" t="inlineStr">
        <is>
          <t>finalValue</t>
        </is>
      </c>
      <c r="I599" t="n">
        <v>0.1928571428571429</v>
      </c>
    </row>
    <row r="600">
      <c r="A600" t="n">
        <v>4</v>
      </c>
      <c r="B600" t="inlineStr">
        <is>
          <t>Curry MadraEpice 100ml</t>
        </is>
      </c>
      <c r="C600" t="inlineStr">
        <is>
          <t>Poivre Noir</t>
        </is>
      </c>
      <c r="D600" t="inlineStr">
        <is>
          <t>PROD</t>
        </is>
      </c>
      <c r="E600" t="inlineStr">
        <is>
          <t>poivre noir</t>
        </is>
      </c>
      <c r="F600" t="inlineStr">
        <is>
          <t>productionToAdd</t>
        </is>
      </c>
      <c r="G600" t="n">
        <v>0.1928571428571429</v>
      </c>
      <c r="H600" t="inlineStr">
        <is>
          <t>currentCell</t>
        </is>
      </c>
      <c r="I600" t="n">
        <v>0.4176201159355666</v>
      </c>
    </row>
    <row r="601">
      <c r="A601" t="n">
        <v>2</v>
      </c>
      <c r="B601" t="inlineStr">
        <is>
          <t>Curry MadraEpice 100ml</t>
        </is>
      </c>
      <c r="C601" t="inlineStr">
        <is>
          <t>Gingembre Sec</t>
        </is>
      </c>
      <c r="D601" t="inlineStr">
        <is>
          <t>recetteProportion</t>
        </is>
      </c>
      <c r="E601" t="n">
        <v>0.07142857142857142</v>
      </c>
    </row>
    <row r="602">
      <c r="A602" t="n">
        <v>3</v>
      </c>
      <c r="B602" t="inlineStr">
        <is>
          <t>Curry MadraEpice 100ml</t>
        </is>
      </c>
      <c r="C602" t="inlineStr">
        <is>
          <t>Gingembre Sec</t>
        </is>
      </c>
      <c r="D602" t="inlineStr">
        <is>
          <t>productionInKg</t>
        </is>
      </c>
      <c r="E602" t="n">
        <v>9</v>
      </c>
      <c r="F602" t="inlineStr">
        <is>
          <t>inversReductionIngredient</t>
        </is>
      </c>
      <c r="H602" t="inlineStr">
        <is>
          <t>finalValue</t>
        </is>
      </c>
      <c r="I602" t="n">
        <v>0.5464285714285714</v>
      </c>
    </row>
    <row r="603">
      <c r="A603" t="n">
        <v>4</v>
      </c>
      <c r="B603" t="inlineStr">
        <is>
          <t>Curry MadraEpice 100ml</t>
        </is>
      </c>
      <c r="C603" t="inlineStr">
        <is>
          <t>Gingembre Sec</t>
        </is>
      </c>
      <c r="D603" t="inlineStr">
        <is>
          <t>PROD</t>
        </is>
      </c>
      <c r="E603" t="inlineStr">
        <is>
          <t>gingembre</t>
        </is>
      </c>
      <c r="F603" t="inlineStr">
        <is>
          <t>productionToAdd</t>
        </is>
      </c>
      <c r="G603" t="n">
        <v>0.5464285714285714</v>
      </c>
      <c r="H603" t="inlineStr">
        <is>
          <t>currentCell</t>
        </is>
      </c>
      <c r="I603" t="n">
        <v>23.51369056908756</v>
      </c>
    </row>
    <row r="604">
      <c r="A604" t="n">
        <v>2</v>
      </c>
      <c r="B604" t="inlineStr">
        <is>
          <t>Curry MadraEpice 100ml</t>
        </is>
      </c>
      <c r="C604" t="inlineStr">
        <is>
          <t>Oignon Seche</t>
        </is>
      </c>
      <c r="D604" t="inlineStr">
        <is>
          <t>recetteProportion</t>
        </is>
      </c>
      <c r="E604" t="n">
        <v>0.03571428571428571</v>
      </c>
    </row>
    <row r="605">
      <c r="A605" t="n">
        <v>2</v>
      </c>
      <c r="B605" t="inlineStr">
        <is>
          <t>Curry MadraEpice 100ml</t>
        </is>
      </c>
      <c r="C605" t="inlineStr">
        <is>
          <t>Fenugrec</t>
        </is>
      </c>
      <c r="D605" t="inlineStr">
        <is>
          <t>recetteProportion</t>
        </is>
      </c>
      <c r="E605" t="n">
        <v>0.03571428571428571</v>
      </c>
    </row>
    <row r="606">
      <c r="A606" t="n">
        <v>3</v>
      </c>
      <c r="B606" t="inlineStr">
        <is>
          <t>Curry MadraEpice 100ml</t>
        </is>
      </c>
      <c r="C606" t="inlineStr">
        <is>
          <t>Fenugrec</t>
        </is>
      </c>
      <c r="D606" t="inlineStr">
        <is>
          <t>productionInKg</t>
        </is>
      </c>
      <c r="E606" t="n">
        <v>9</v>
      </c>
      <c r="F606" t="inlineStr">
        <is>
          <t>inversReductionIngredient</t>
        </is>
      </c>
      <c r="H606" t="inlineStr">
        <is>
          <t>finalValue</t>
        </is>
      </c>
      <c r="I606" t="n">
        <v>0.2892857142857143</v>
      </c>
    </row>
    <row r="607">
      <c r="A607" t="n">
        <v>4</v>
      </c>
      <c r="B607" t="inlineStr">
        <is>
          <t>Curry MadraEpice 100ml</t>
        </is>
      </c>
      <c r="C607" t="inlineStr">
        <is>
          <t>Fenugrec</t>
        </is>
      </c>
      <c r="D607" t="inlineStr">
        <is>
          <t>PROD</t>
        </is>
      </c>
      <c r="E607" t="inlineStr">
        <is>
          <t>graine de fenugrec</t>
        </is>
      </c>
      <c r="F607" t="inlineStr">
        <is>
          <t>productionToAdd</t>
        </is>
      </c>
      <c r="G607" t="n">
        <v>0.2892857142857143</v>
      </c>
      <c r="H607" t="inlineStr">
        <is>
          <t>currentCell</t>
        </is>
      </c>
      <c r="I607" t="n">
        <v>0.2892857142857143</v>
      </c>
    </row>
    <row r="608">
      <c r="A608" t="n">
        <v>2</v>
      </c>
      <c r="B608" t="inlineStr">
        <is>
          <t>Curry MadraEpice 100ml</t>
        </is>
      </c>
      <c r="C608" t="inlineStr">
        <is>
          <t>Piment Œil D'Oiseau</t>
        </is>
      </c>
      <c r="D608" t="inlineStr">
        <is>
          <t>recetteProportion</t>
        </is>
      </c>
      <c r="E608" t="n">
        <v>0.03571428571428571</v>
      </c>
    </row>
    <row r="609">
      <c r="A609" t="n">
        <v>3</v>
      </c>
      <c r="B609" t="inlineStr">
        <is>
          <t>Curry MadraEpice 100ml</t>
        </is>
      </c>
      <c r="C609" t="inlineStr">
        <is>
          <t>Piment Œil D'Oiseau</t>
        </is>
      </c>
      <c r="D609" t="inlineStr">
        <is>
          <t>productionInKg</t>
        </is>
      </c>
      <c r="E609" t="n">
        <v>9</v>
      </c>
      <c r="F609" t="inlineStr">
        <is>
          <t>inversReductionIngredient</t>
        </is>
      </c>
      <c r="H609" t="inlineStr">
        <is>
          <t>finalValue</t>
        </is>
      </c>
      <c r="I609" t="n">
        <v>0.3214285714285714</v>
      </c>
    </row>
    <row r="610">
      <c r="A610" t="n">
        <v>4</v>
      </c>
      <c r="B610" t="inlineStr">
        <is>
          <t>Curry MadraEpice 100ml</t>
        </is>
      </c>
      <c r="C610" t="inlineStr">
        <is>
          <t>Piment Œil D'Oiseau</t>
        </is>
      </c>
      <c r="D610" t="inlineStr">
        <is>
          <t>PROD</t>
        </is>
      </c>
      <c r="E610" t="inlineStr">
        <is>
          <t>piment œil d'oiseau</t>
        </is>
      </c>
      <c r="F610" t="inlineStr">
        <is>
          <t>productionToAdd</t>
        </is>
      </c>
      <c r="G610" t="n">
        <v>0.3214285714285714</v>
      </c>
      <c r="H610" t="inlineStr">
        <is>
          <t>currentCell</t>
        </is>
      </c>
      <c r="I610" t="n">
        <v>0.3214285714285714</v>
      </c>
    </row>
    <row r="611">
      <c r="A611" t="n">
        <v>2</v>
      </c>
      <c r="B611" t="inlineStr">
        <is>
          <t>Curry MadraEpice 100ml</t>
        </is>
      </c>
      <c r="C611" t="inlineStr">
        <is>
          <t>Paprika Fummer</t>
        </is>
      </c>
      <c r="D611" t="inlineStr">
        <is>
          <t>recetteProportion</t>
        </is>
      </c>
      <c r="E611" t="n">
        <v>0.03571428571428571</v>
      </c>
    </row>
    <row r="612">
      <c r="A612" t="n">
        <v>3</v>
      </c>
      <c r="B612" t="inlineStr">
        <is>
          <t>Curry MadraEpice 100ml</t>
        </is>
      </c>
      <c r="C612" t="inlineStr">
        <is>
          <t>Paprika Fummer</t>
        </is>
      </c>
      <c r="D612" t="inlineStr">
        <is>
          <t>productionInKg</t>
        </is>
      </c>
      <c r="E612" t="n">
        <v>9</v>
      </c>
      <c r="F612" t="inlineStr">
        <is>
          <t>inversReductionIngredient</t>
        </is>
      </c>
      <c r="H612" t="inlineStr">
        <is>
          <t>finalValue</t>
        </is>
      </c>
      <c r="I612" t="n">
        <v>0.06428571428571428</v>
      </c>
    </row>
    <row r="613">
      <c r="A613" t="n">
        <v>4</v>
      </c>
      <c r="B613" t="inlineStr">
        <is>
          <t>Curry MadraEpice 100ml</t>
        </is>
      </c>
      <c r="C613" t="inlineStr">
        <is>
          <t>Paprika Fummer</t>
        </is>
      </c>
      <c r="D613" t="inlineStr">
        <is>
          <t>PROD</t>
        </is>
      </c>
      <c r="E613" t="inlineStr">
        <is>
          <t>piment doux rouge</t>
        </is>
      </c>
      <c r="F613" t="inlineStr">
        <is>
          <t>productionToAdd</t>
        </is>
      </c>
      <c r="G613" t="n">
        <v>0.06428571428571428</v>
      </c>
      <c r="H613" t="inlineStr">
        <is>
          <t>currentCell</t>
        </is>
      </c>
      <c r="I613" t="n">
        <v>9.020612554163879</v>
      </c>
    </row>
    <row r="614">
      <c r="A614" t="n">
        <v>2</v>
      </c>
      <c r="B614" t="inlineStr">
        <is>
          <t>Curry MadraEpice 100ml</t>
        </is>
      </c>
      <c r="C614" t="inlineStr">
        <is>
          <t>Piment Doux Rouge En Poudre</t>
        </is>
      </c>
      <c r="D614" t="inlineStr">
        <is>
          <t>recetteProportion</t>
        </is>
      </c>
      <c r="E614" t="n">
        <v>0.1071428571428571</v>
      </c>
    </row>
    <row r="615">
      <c r="A615" t="n">
        <v>3</v>
      </c>
      <c r="B615" t="inlineStr">
        <is>
          <t>Curry MadraEpice 100ml</t>
        </is>
      </c>
      <c r="C615" t="inlineStr">
        <is>
          <t>Piment Doux Rouge En Poudre</t>
        </is>
      </c>
      <c r="D615" t="inlineStr">
        <is>
          <t>productionInKg</t>
        </is>
      </c>
      <c r="E615" t="n">
        <v>9</v>
      </c>
      <c r="F615" t="inlineStr">
        <is>
          <t>inversReductionIngredient</t>
        </is>
      </c>
      <c r="H615" t="inlineStr">
        <is>
          <t>finalValue</t>
        </is>
      </c>
      <c r="I615" t="n">
        <v>0.1928571428571429</v>
      </c>
    </row>
    <row r="616">
      <c r="A616" t="n">
        <v>4</v>
      </c>
      <c r="B616" t="inlineStr">
        <is>
          <t>Curry MadraEpice 100ml</t>
        </is>
      </c>
      <c r="C616" t="inlineStr">
        <is>
          <t>Piment Doux Rouge En Poudre</t>
        </is>
      </c>
      <c r="D616" t="inlineStr">
        <is>
          <t>PROD</t>
        </is>
      </c>
      <c r="E616" t="inlineStr">
        <is>
          <t>piment doux rouge</t>
        </is>
      </c>
      <c r="F616" t="inlineStr">
        <is>
          <t>productionToAdd</t>
        </is>
      </c>
      <c r="G616" t="n">
        <v>0.1928571428571429</v>
      </c>
      <c r="H616" t="inlineStr">
        <is>
          <t>currentCell</t>
        </is>
      </c>
      <c r="I616" t="n">
        <v>9.213469697021022</v>
      </c>
    </row>
    <row r="617">
      <c r="A617" t="n">
        <v>2</v>
      </c>
      <c r="B617" t="inlineStr">
        <is>
          <t>Curry MadraEpice 100ml</t>
        </is>
      </c>
      <c r="C617" t="inlineStr">
        <is>
          <t>Ail semoule</t>
        </is>
      </c>
      <c r="D617" t="inlineStr">
        <is>
          <t>recetteProportion</t>
        </is>
      </c>
      <c r="E617" t="n">
        <v>0.03571428571428571</v>
      </c>
    </row>
    <row r="618">
      <c r="A618" t="n">
        <v>1</v>
      </c>
      <c r="B618" t="inlineStr">
        <is>
          <t>Curry MadraEpice 100ml</t>
        </is>
      </c>
      <c r="D618" t="inlineStr">
        <is>
          <t>annee</t>
        </is>
      </c>
      <c r="E618" t="n">
        <v>2</v>
      </c>
      <c r="F618" t="inlineStr">
        <is>
          <t>prod</t>
        </is>
      </c>
      <c r="G618" t="n">
        <v>9</v>
      </c>
    </row>
    <row r="619">
      <c r="A619" t="n">
        <v>2</v>
      </c>
      <c r="B619" t="inlineStr">
        <is>
          <t>Curry MadraEpice 100ml</t>
        </is>
      </c>
      <c r="C619" t="inlineStr">
        <is>
          <t>Coriandre Graine</t>
        </is>
      </c>
      <c r="D619" t="inlineStr">
        <is>
          <t>recetteProportion</t>
        </is>
      </c>
      <c r="E619" t="n">
        <v>0.1071428571428571</v>
      </c>
    </row>
    <row r="620">
      <c r="A620" t="n">
        <v>3</v>
      </c>
      <c r="B620" t="inlineStr">
        <is>
          <t>Curry MadraEpice 100ml</t>
        </is>
      </c>
      <c r="C620" t="inlineStr">
        <is>
          <t>Coriandre Graine</t>
        </is>
      </c>
      <c r="D620" t="inlineStr">
        <is>
          <t>productionInKg</t>
        </is>
      </c>
      <c r="E620" t="n">
        <v>9</v>
      </c>
      <c r="F620" t="inlineStr">
        <is>
          <t>inversReductionIngredient</t>
        </is>
      </c>
      <c r="H620" t="inlineStr">
        <is>
          <t>finalValue</t>
        </is>
      </c>
      <c r="I620" t="n">
        <v>0.6749999999999999</v>
      </c>
    </row>
    <row r="621">
      <c r="A621" t="n">
        <v>4</v>
      </c>
      <c r="B621" t="inlineStr">
        <is>
          <t>Curry MadraEpice 100ml</t>
        </is>
      </c>
      <c r="C621" t="inlineStr">
        <is>
          <t>Coriandre Graine</t>
        </is>
      </c>
      <c r="D621" t="inlineStr">
        <is>
          <t>PROD</t>
        </is>
      </c>
      <c r="E621" t="inlineStr">
        <is>
          <t>coriandre graine</t>
        </is>
      </c>
      <c r="F621" t="inlineStr">
        <is>
          <t>productionToAdd</t>
        </is>
      </c>
      <c r="G621" t="n">
        <v>0.6749999999999999</v>
      </c>
      <c r="H621" t="inlineStr">
        <is>
          <t>currentCell</t>
        </is>
      </c>
      <c r="I621" t="n">
        <v>11.89276685404558</v>
      </c>
    </row>
    <row r="622">
      <c r="A622" t="n">
        <v>2</v>
      </c>
      <c r="B622" t="inlineStr">
        <is>
          <t>Curry MadraEpice 100ml</t>
        </is>
      </c>
      <c r="C622" t="inlineStr">
        <is>
          <t>Curcuma Moulu</t>
        </is>
      </c>
      <c r="D622" t="inlineStr">
        <is>
          <t>recetteProportion</t>
        </is>
      </c>
      <c r="E622" t="n">
        <v>0.1428571428571428</v>
      </c>
    </row>
    <row r="623">
      <c r="A623" t="n">
        <v>3</v>
      </c>
      <c r="B623" t="inlineStr">
        <is>
          <t>Curry MadraEpice 100ml</t>
        </is>
      </c>
      <c r="C623" t="inlineStr">
        <is>
          <t>Curcuma Moulu</t>
        </is>
      </c>
      <c r="D623" t="inlineStr">
        <is>
          <t>productionInKg</t>
        </is>
      </c>
      <c r="E623" t="n">
        <v>9</v>
      </c>
      <c r="F623" t="inlineStr">
        <is>
          <t>inversReductionIngredient</t>
        </is>
      </c>
      <c r="H623" t="inlineStr">
        <is>
          <t>finalValue</t>
        </is>
      </c>
      <c r="I623" t="n">
        <v>1.092857142857143</v>
      </c>
    </row>
    <row r="624">
      <c r="A624" t="n">
        <v>4</v>
      </c>
      <c r="B624" t="inlineStr">
        <is>
          <t>Curry MadraEpice 100ml</t>
        </is>
      </c>
      <c r="C624" t="inlineStr">
        <is>
          <t>Curcuma Moulu</t>
        </is>
      </c>
      <c r="D624" t="inlineStr">
        <is>
          <t>PROD</t>
        </is>
      </c>
      <c r="E624" t="inlineStr">
        <is>
          <t>curcuma</t>
        </is>
      </c>
      <c r="F624" t="inlineStr">
        <is>
          <t>productionToAdd</t>
        </is>
      </c>
      <c r="G624" t="n">
        <v>1.092857142857143</v>
      </c>
      <c r="H624" t="inlineStr">
        <is>
          <t>currentCell</t>
        </is>
      </c>
      <c r="I624" t="n">
        <v>14.98443732233432</v>
      </c>
    </row>
    <row r="625">
      <c r="A625" t="n">
        <v>2</v>
      </c>
      <c r="B625" t="inlineStr">
        <is>
          <t>Curry MadraEpice 100ml</t>
        </is>
      </c>
      <c r="C625" t="inlineStr">
        <is>
          <t>Graine De Moutarde</t>
        </is>
      </c>
      <c r="D625" t="inlineStr">
        <is>
          <t>recetteProportion</t>
        </is>
      </c>
      <c r="E625" t="n">
        <v>0.07142857142857142</v>
      </c>
    </row>
    <row r="626">
      <c r="A626" t="n">
        <v>3</v>
      </c>
      <c r="B626" t="inlineStr">
        <is>
          <t>Curry MadraEpice 100ml</t>
        </is>
      </c>
      <c r="C626" t="inlineStr">
        <is>
          <t>Graine De Moutarde</t>
        </is>
      </c>
      <c r="D626" t="inlineStr">
        <is>
          <t>productionInKg</t>
        </is>
      </c>
      <c r="E626" t="n">
        <v>9</v>
      </c>
      <c r="F626" t="inlineStr">
        <is>
          <t>inversReductionIngredient</t>
        </is>
      </c>
      <c r="H626" t="inlineStr">
        <is>
          <t>finalValue</t>
        </is>
      </c>
      <c r="I626" t="n">
        <v>0.45</v>
      </c>
    </row>
    <row r="627">
      <c r="A627" t="n">
        <v>4</v>
      </c>
      <c r="B627" t="inlineStr">
        <is>
          <t>Curry MadraEpice 100ml</t>
        </is>
      </c>
      <c r="C627" t="inlineStr">
        <is>
          <t>Graine De Moutarde</t>
        </is>
      </c>
      <c r="D627" t="inlineStr">
        <is>
          <t>PROD</t>
        </is>
      </c>
      <c r="E627" t="inlineStr">
        <is>
          <t>graine de moutarde</t>
        </is>
      </c>
      <c r="F627" t="inlineStr">
        <is>
          <t>productionToAdd</t>
        </is>
      </c>
      <c r="G627" t="n">
        <v>0.45</v>
      </c>
      <c r="H627" t="inlineStr">
        <is>
          <t>currentCell</t>
        </is>
      </c>
      <c r="I627" t="n">
        <v>12.28728757979917</v>
      </c>
    </row>
    <row r="628">
      <c r="A628" t="n">
        <v>2</v>
      </c>
      <c r="B628" t="inlineStr">
        <is>
          <t>Curry MadraEpice 100ml</t>
        </is>
      </c>
      <c r="C628" t="inlineStr">
        <is>
          <t>Cumin Moulu</t>
        </is>
      </c>
      <c r="D628" t="inlineStr">
        <is>
          <t>recetteProportion</t>
        </is>
      </c>
      <c r="E628" t="n">
        <v>0.07142857142857142</v>
      </c>
    </row>
    <row r="629">
      <c r="A629" t="n">
        <v>3</v>
      </c>
      <c r="B629" t="inlineStr">
        <is>
          <t>Curry MadraEpice 100ml</t>
        </is>
      </c>
      <c r="C629" t="inlineStr">
        <is>
          <t>Cumin Moulu</t>
        </is>
      </c>
      <c r="D629" t="inlineStr">
        <is>
          <t>productionInKg</t>
        </is>
      </c>
      <c r="E629" t="n">
        <v>9</v>
      </c>
      <c r="F629" t="inlineStr">
        <is>
          <t>inversReductionIngredient</t>
        </is>
      </c>
      <c r="H629" t="inlineStr">
        <is>
          <t>finalValue</t>
        </is>
      </c>
      <c r="I629" t="n">
        <v>0.45</v>
      </c>
    </row>
    <row r="630">
      <c r="A630" t="n">
        <v>4</v>
      </c>
      <c r="B630" t="inlineStr">
        <is>
          <t>Curry MadraEpice 100ml</t>
        </is>
      </c>
      <c r="C630" t="inlineStr">
        <is>
          <t>Cumin Moulu</t>
        </is>
      </c>
      <c r="D630" t="inlineStr">
        <is>
          <t>PROD</t>
        </is>
      </c>
      <c r="E630" t="inlineStr">
        <is>
          <t>graine cumin</t>
        </is>
      </c>
      <c r="F630" t="inlineStr">
        <is>
          <t>productionToAdd</t>
        </is>
      </c>
      <c r="G630" t="n">
        <v>0.45</v>
      </c>
      <c r="H630" t="inlineStr">
        <is>
          <t>currentCell</t>
        </is>
      </c>
      <c r="I630" t="n">
        <v>37.60834275160971</v>
      </c>
    </row>
    <row r="631">
      <c r="A631" t="n">
        <v>2</v>
      </c>
      <c r="B631" t="inlineStr">
        <is>
          <t>Curry MadraEpice 100ml</t>
        </is>
      </c>
      <c r="C631" t="inlineStr">
        <is>
          <t>Sel</t>
        </is>
      </c>
      <c r="D631" t="inlineStr">
        <is>
          <t>recetteProportion</t>
        </is>
      </c>
      <c r="E631" t="n">
        <v>0.1428571428571428</v>
      </c>
    </row>
    <row r="632">
      <c r="A632" t="n">
        <v>3</v>
      </c>
      <c r="B632" t="inlineStr">
        <is>
          <t>Curry MadraEpice 100ml</t>
        </is>
      </c>
      <c r="C632" t="inlineStr">
        <is>
          <t>Sel</t>
        </is>
      </c>
      <c r="D632" t="inlineStr">
        <is>
          <t>productionInKg</t>
        </is>
      </c>
      <c r="E632" t="n">
        <v>9</v>
      </c>
      <c r="F632" t="inlineStr">
        <is>
          <t>inversReductionIngredient</t>
        </is>
      </c>
      <c r="H632" t="inlineStr">
        <is>
          <t>finalValue</t>
        </is>
      </c>
      <c r="I632" t="n">
        <v>1.285714285714286</v>
      </c>
    </row>
    <row r="633">
      <c r="A633" t="n">
        <v>4</v>
      </c>
      <c r="B633" t="inlineStr">
        <is>
          <t>Curry MadraEpice 100ml</t>
        </is>
      </c>
      <c r="C633" t="inlineStr">
        <is>
          <t>Sel</t>
        </is>
      </c>
      <c r="D633" t="inlineStr">
        <is>
          <t>PROD</t>
        </is>
      </c>
      <c r="E633" t="inlineStr">
        <is>
          <t>sel</t>
        </is>
      </c>
      <c r="F633" t="inlineStr">
        <is>
          <t>productionToAdd</t>
        </is>
      </c>
      <c r="G633" t="n">
        <v>1.285714285714286</v>
      </c>
      <c r="H633" t="inlineStr">
        <is>
          <t>currentCell</t>
        </is>
      </c>
      <c r="I633" t="n">
        <v>34.14945453397113</v>
      </c>
    </row>
    <row r="634">
      <c r="A634" t="n">
        <v>2</v>
      </c>
      <c r="B634" t="inlineStr">
        <is>
          <t>Curry MadraEpice 100ml</t>
        </is>
      </c>
      <c r="C634" t="inlineStr">
        <is>
          <t>Poivre Noir</t>
        </is>
      </c>
      <c r="D634" t="inlineStr">
        <is>
          <t>recetteProportion</t>
        </is>
      </c>
      <c r="E634" t="n">
        <v>0.1071428571428571</v>
      </c>
    </row>
    <row r="635">
      <c r="A635" t="n">
        <v>3</v>
      </c>
      <c r="B635" t="inlineStr">
        <is>
          <t>Curry MadraEpice 100ml</t>
        </is>
      </c>
      <c r="C635" t="inlineStr">
        <is>
          <t>Poivre Noir</t>
        </is>
      </c>
      <c r="D635" t="inlineStr">
        <is>
          <t>productionInKg</t>
        </is>
      </c>
      <c r="E635" t="n">
        <v>9</v>
      </c>
      <c r="F635" t="inlineStr">
        <is>
          <t>inversReductionIngredient</t>
        </is>
      </c>
      <c r="H635" t="inlineStr">
        <is>
          <t>finalValue</t>
        </is>
      </c>
      <c r="I635" t="n">
        <v>0.1928571428571429</v>
      </c>
    </row>
    <row r="636">
      <c r="A636" t="n">
        <v>4</v>
      </c>
      <c r="B636" t="inlineStr">
        <is>
          <t>Curry MadraEpice 100ml</t>
        </is>
      </c>
      <c r="C636" t="inlineStr">
        <is>
          <t>Poivre Noir</t>
        </is>
      </c>
      <c r="D636" t="inlineStr">
        <is>
          <t>PROD</t>
        </is>
      </c>
      <c r="E636" t="inlineStr">
        <is>
          <t>poivre noir</t>
        </is>
      </c>
      <c r="F636" t="inlineStr">
        <is>
          <t>productionToAdd</t>
        </is>
      </c>
      <c r="G636" t="n">
        <v>0.1928571428571429</v>
      </c>
      <c r="H636" t="inlineStr">
        <is>
          <t>currentCell</t>
        </is>
      </c>
      <c r="I636" t="n">
        <v>0.4176201159355666</v>
      </c>
    </row>
    <row r="637">
      <c r="A637" t="n">
        <v>2</v>
      </c>
      <c r="B637" t="inlineStr">
        <is>
          <t>Curry MadraEpice 100ml</t>
        </is>
      </c>
      <c r="C637" t="inlineStr">
        <is>
          <t>Gingembre Sec</t>
        </is>
      </c>
      <c r="D637" t="inlineStr">
        <is>
          <t>recetteProportion</t>
        </is>
      </c>
      <c r="E637" t="n">
        <v>0.07142857142857142</v>
      </c>
    </row>
    <row r="638">
      <c r="A638" t="n">
        <v>3</v>
      </c>
      <c r="B638" t="inlineStr">
        <is>
          <t>Curry MadraEpice 100ml</t>
        </is>
      </c>
      <c r="C638" t="inlineStr">
        <is>
          <t>Gingembre Sec</t>
        </is>
      </c>
      <c r="D638" t="inlineStr">
        <is>
          <t>productionInKg</t>
        </is>
      </c>
      <c r="E638" t="n">
        <v>9</v>
      </c>
      <c r="F638" t="inlineStr">
        <is>
          <t>inversReductionIngredient</t>
        </is>
      </c>
      <c r="H638" t="inlineStr">
        <is>
          <t>finalValue</t>
        </is>
      </c>
      <c r="I638" t="n">
        <v>0.5464285714285714</v>
      </c>
    </row>
    <row r="639">
      <c r="A639" t="n">
        <v>4</v>
      </c>
      <c r="B639" t="inlineStr">
        <is>
          <t>Curry MadraEpice 100ml</t>
        </is>
      </c>
      <c r="C639" t="inlineStr">
        <is>
          <t>Gingembre Sec</t>
        </is>
      </c>
      <c r="D639" t="inlineStr">
        <is>
          <t>PROD</t>
        </is>
      </c>
      <c r="E639" t="inlineStr">
        <is>
          <t>gingembre</t>
        </is>
      </c>
      <c r="F639" t="inlineStr">
        <is>
          <t>productionToAdd</t>
        </is>
      </c>
      <c r="G639" t="n">
        <v>0.5464285714285714</v>
      </c>
      <c r="H639" t="inlineStr">
        <is>
          <t>currentCell</t>
        </is>
      </c>
      <c r="I639" t="n">
        <v>23.51369056908756</v>
      </c>
    </row>
    <row r="640">
      <c r="A640" t="n">
        <v>2</v>
      </c>
      <c r="B640" t="inlineStr">
        <is>
          <t>Curry MadraEpice 100ml</t>
        </is>
      </c>
      <c r="C640" t="inlineStr">
        <is>
          <t>Oignon Seche</t>
        </is>
      </c>
      <c r="D640" t="inlineStr">
        <is>
          <t>recetteProportion</t>
        </is>
      </c>
      <c r="E640" t="n">
        <v>0.03571428571428571</v>
      </c>
    </row>
    <row r="641">
      <c r="A641" t="n">
        <v>2</v>
      </c>
      <c r="B641" t="inlineStr">
        <is>
          <t>Curry MadraEpice 100ml</t>
        </is>
      </c>
      <c r="C641" t="inlineStr">
        <is>
          <t>Fenugrec</t>
        </is>
      </c>
      <c r="D641" t="inlineStr">
        <is>
          <t>recetteProportion</t>
        </is>
      </c>
      <c r="E641" t="n">
        <v>0.03571428571428571</v>
      </c>
    </row>
    <row r="642">
      <c r="A642" t="n">
        <v>3</v>
      </c>
      <c r="B642" t="inlineStr">
        <is>
          <t>Curry MadraEpice 100ml</t>
        </is>
      </c>
      <c r="C642" t="inlineStr">
        <is>
          <t>Fenugrec</t>
        </is>
      </c>
      <c r="D642" t="inlineStr">
        <is>
          <t>productionInKg</t>
        </is>
      </c>
      <c r="E642" t="n">
        <v>9</v>
      </c>
      <c r="F642" t="inlineStr">
        <is>
          <t>inversReductionIngredient</t>
        </is>
      </c>
      <c r="H642" t="inlineStr">
        <is>
          <t>finalValue</t>
        </is>
      </c>
      <c r="I642" t="n">
        <v>0.2892857142857143</v>
      </c>
    </row>
    <row r="643">
      <c r="A643" t="n">
        <v>4</v>
      </c>
      <c r="B643" t="inlineStr">
        <is>
          <t>Curry MadraEpice 100ml</t>
        </is>
      </c>
      <c r="C643" t="inlineStr">
        <is>
          <t>Fenugrec</t>
        </is>
      </c>
      <c r="D643" t="inlineStr">
        <is>
          <t>PROD</t>
        </is>
      </c>
      <c r="E643" t="inlineStr">
        <is>
          <t>graine de fenugrec</t>
        </is>
      </c>
      <c r="F643" t="inlineStr">
        <is>
          <t>productionToAdd</t>
        </is>
      </c>
      <c r="G643" t="n">
        <v>0.2892857142857143</v>
      </c>
      <c r="H643" t="inlineStr">
        <is>
          <t>currentCell</t>
        </is>
      </c>
      <c r="I643" t="n">
        <v>0.2892857142857143</v>
      </c>
    </row>
    <row r="644">
      <c r="A644" t="n">
        <v>2</v>
      </c>
      <c r="B644" t="inlineStr">
        <is>
          <t>Curry MadraEpice 100ml</t>
        </is>
      </c>
      <c r="C644" t="inlineStr">
        <is>
          <t>Piment Œil D'Oiseau</t>
        </is>
      </c>
      <c r="D644" t="inlineStr">
        <is>
          <t>recetteProportion</t>
        </is>
      </c>
      <c r="E644" t="n">
        <v>0.03571428571428571</v>
      </c>
    </row>
    <row r="645">
      <c r="A645" t="n">
        <v>3</v>
      </c>
      <c r="B645" t="inlineStr">
        <is>
          <t>Curry MadraEpice 100ml</t>
        </is>
      </c>
      <c r="C645" t="inlineStr">
        <is>
          <t>Piment Œil D'Oiseau</t>
        </is>
      </c>
      <c r="D645" t="inlineStr">
        <is>
          <t>productionInKg</t>
        </is>
      </c>
      <c r="E645" t="n">
        <v>9</v>
      </c>
      <c r="F645" t="inlineStr">
        <is>
          <t>inversReductionIngredient</t>
        </is>
      </c>
      <c r="H645" t="inlineStr">
        <is>
          <t>finalValue</t>
        </is>
      </c>
      <c r="I645" t="n">
        <v>0.3214285714285714</v>
      </c>
    </row>
    <row r="646">
      <c r="A646" t="n">
        <v>4</v>
      </c>
      <c r="B646" t="inlineStr">
        <is>
          <t>Curry MadraEpice 100ml</t>
        </is>
      </c>
      <c r="C646" t="inlineStr">
        <is>
          <t>Piment Œil D'Oiseau</t>
        </is>
      </c>
      <c r="D646" t="inlineStr">
        <is>
          <t>PROD</t>
        </is>
      </c>
      <c r="E646" t="inlineStr">
        <is>
          <t>piment œil d'oiseau</t>
        </is>
      </c>
      <c r="F646" t="inlineStr">
        <is>
          <t>productionToAdd</t>
        </is>
      </c>
      <c r="G646" t="n">
        <v>0.3214285714285714</v>
      </c>
      <c r="H646" t="inlineStr">
        <is>
          <t>currentCell</t>
        </is>
      </c>
      <c r="I646" t="n">
        <v>0.3214285714285714</v>
      </c>
    </row>
    <row r="647">
      <c r="A647" t="n">
        <v>2</v>
      </c>
      <c r="B647" t="inlineStr">
        <is>
          <t>Curry MadraEpice 100ml</t>
        </is>
      </c>
      <c r="C647" t="inlineStr">
        <is>
          <t>Paprika Fummer</t>
        </is>
      </c>
      <c r="D647" t="inlineStr">
        <is>
          <t>recetteProportion</t>
        </is>
      </c>
      <c r="E647" t="n">
        <v>0.03571428571428571</v>
      </c>
    </row>
    <row r="648">
      <c r="A648" t="n">
        <v>3</v>
      </c>
      <c r="B648" t="inlineStr">
        <is>
          <t>Curry MadraEpice 100ml</t>
        </is>
      </c>
      <c r="C648" t="inlineStr">
        <is>
          <t>Paprika Fummer</t>
        </is>
      </c>
      <c r="D648" t="inlineStr">
        <is>
          <t>productionInKg</t>
        </is>
      </c>
      <c r="E648" t="n">
        <v>9</v>
      </c>
      <c r="F648" t="inlineStr">
        <is>
          <t>inversReductionIngredient</t>
        </is>
      </c>
      <c r="H648" t="inlineStr">
        <is>
          <t>finalValue</t>
        </is>
      </c>
      <c r="I648" t="n">
        <v>0.06428571428571428</v>
      </c>
    </row>
    <row r="649">
      <c r="A649" t="n">
        <v>4</v>
      </c>
      <c r="B649" t="inlineStr">
        <is>
          <t>Curry MadraEpice 100ml</t>
        </is>
      </c>
      <c r="C649" t="inlineStr">
        <is>
          <t>Paprika Fummer</t>
        </is>
      </c>
      <c r="D649" t="inlineStr">
        <is>
          <t>PROD</t>
        </is>
      </c>
      <c r="E649" t="inlineStr">
        <is>
          <t>piment doux rouge</t>
        </is>
      </c>
      <c r="F649" t="inlineStr">
        <is>
          <t>productionToAdd</t>
        </is>
      </c>
      <c r="G649" t="n">
        <v>0.06428571428571428</v>
      </c>
      <c r="H649" t="inlineStr">
        <is>
          <t>currentCell</t>
        </is>
      </c>
      <c r="I649" t="n">
        <v>9.020612554163879</v>
      </c>
    </row>
    <row r="650">
      <c r="A650" t="n">
        <v>2</v>
      </c>
      <c r="B650" t="inlineStr">
        <is>
          <t>Curry MadraEpice 100ml</t>
        </is>
      </c>
      <c r="C650" t="inlineStr">
        <is>
          <t>Piment Doux Rouge En Poudre</t>
        </is>
      </c>
      <c r="D650" t="inlineStr">
        <is>
          <t>recetteProportion</t>
        </is>
      </c>
      <c r="E650" t="n">
        <v>0.1071428571428571</v>
      </c>
    </row>
    <row r="651">
      <c r="A651" t="n">
        <v>3</v>
      </c>
      <c r="B651" t="inlineStr">
        <is>
          <t>Curry MadraEpice 100ml</t>
        </is>
      </c>
      <c r="C651" t="inlineStr">
        <is>
          <t>Piment Doux Rouge En Poudre</t>
        </is>
      </c>
      <c r="D651" t="inlineStr">
        <is>
          <t>productionInKg</t>
        </is>
      </c>
      <c r="E651" t="n">
        <v>9</v>
      </c>
      <c r="F651" t="inlineStr">
        <is>
          <t>inversReductionIngredient</t>
        </is>
      </c>
      <c r="H651" t="inlineStr">
        <is>
          <t>finalValue</t>
        </is>
      </c>
      <c r="I651" t="n">
        <v>0.1928571428571429</v>
      </c>
    </row>
    <row r="652">
      <c r="A652" t="n">
        <v>4</v>
      </c>
      <c r="B652" t="inlineStr">
        <is>
          <t>Curry MadraEpice 100ml</t>
        </is>
      </c>
      <c r="C652" t="inlineStr">
        <is>
          <t>Piment Doux Rouge En Poudre</t>
        </is>
      </c>
      <c r="D652" t="inlineStr">
        <is>
          <t>PROD</t>
        </is>
      </c>
      <c r="E652" t="inlineStr">
        <is>
          <t>piment doux rouge</t>
        </is>
      </c>
      <c r="F652" t="inlineStr">
        <is>
          <t>productionToAdd</t>
        </is>
      </c>
      <c r="G652" t="n">
        <v>0.1928571428571429</v>
      </c>
      <c r="H652" t="inlineStr">
        <is>
          <t>currentCell</t>
        </is>
      </c>
      <c r="I652" t="n">
        <v>9.213469697021022</v>
      </c>
    </row>
    <row r="653">
      <c r="A653" t="n">
        <v>2</v>
      </c>
      <c r="B653" t="inlineStr">
        <is>
          <t>Curry MadraEpice 100ml</t>
        </is>
      </c>
      <c r="C653" t="inlineStr">
        <is>
          <t>Ail semoule</t>
        </is>
      </c>
      <c r="D653" t="inlineStr">
        <is>
          <t>recetteProportion</t>
        </is>
      </c>
      <c r="E653" t="n">
        <v>0.03571428571428571</v>
      </c>
    </row>
    <row r="654">
      <c r="A654" t="n">
        <v>1</v>
      </c>
      <c r="B654" t="inlineStr">
        <is>
          <t>Tabasco violet fortEpice 100ml</t>
        </is>
      </c>
      <c r="D654" t="inlineStr">
        <is>
          <t>annee</t>
        </is>
      </c>
      <c r="E654" t="n">
        <v>1</v>
      </c>
      <c r="F654" t="inlineStr">
        <is>
          <t>prod</t>
        </is>
      </c>
      <c r="G654" t="n">
        <v>1.8</v>
      </c>
    </row>
    <row r="655">
      <c r="A655" t="n">
        <v>2</v>
      </c>
      <c r="B655" t="inlineStr">
        <is>
          <t>Tabasco violet fortEpice 100ml</t>
        </is>
      </c>
      <c r="C655" t="inlineStr">
        <is>
          <t>Ail</t>
        </is>
      </c>
      <c r="D655" t="inlineStr">
        <is>
          <t>recetteProportion</t>
        </is>
      </c>
      <c r="E655" t="n">
        <v>0.04225352112676056</v>
      </c>
    </row>
    <row r="656">
      <c r="A656" t="n">
        <v>3</v>
      </c>
      <c r="B656" t="inlineStr">
        <is>
          <t>Tabasco violet fortEpice 100ml</t>
        </is>
      </c>
      <c r="C656" t="inlineStr">
        <is>
          <t>Ail</t>
        </is>
      </c>
      <c r="D656" t="inlineStr">
        <is>
          <t>productionInKg</t>
        </is>
      </c>
      <c r="E656" t="n">
        <v>1.8</v>
      </c>
      <c r="F656" t="inlineStr">
        <is>
          <t>inversReductionIngredient</t>
        </is>
      </c>
      <c r="H656" t="inlineStr">
        <is>
          <t>finalValue</t>
        </is>
      </c>
      <c r="I656" t="n">
        <v>0.07605633802816901</v>
      </c>
    </row>
    <row r="657">
      <c r="A657" t="n">
        <v>4</v>
      </c>
      <c r="B657" t="inlineStr">
        <is>
          <t>Tabasco violet fortEpice 100ml</t>
        </is>
      </c>
      <c r="C657" t="inlineStr">
        <is>
          <t>Ail</t>
        </is>
      </c>
      <c r="D657" t="inlineStr">
        <is>
          <t>PROD</t>
        </is>
      </c>
      <c r="E657" t="inlineStr">
        <is>
          <t>ail</t>
        </is>
      </c>
      <c r="F657" t="inlineStr">
        <is>
          <t>productionToAdd</t>
        </is>
      </c>
      <c r="G657" t="n">
        <v>0.07605633802816901</v>
      </c>
      <c r="H657" t="inlineStr">
        <is>
          <t>currentCell</t>
        </is>
      </c>
      <c r="I657" t="n">
        <v>0.8593231027958798</v>
      </c>
    </row>
    <row r="658">
      <c r="A658" t="n">
        <v>2</v>
      </c>
      <c r="B658" t="inlineStr">
        <is>
          <t>Tabasco violet fortEpice 100ml</t>
        </is>
      </c>
      <c r="C658" t="inlineStr">
        <is>
          <t>Piment Habanero Violet</t>
        </is>
      </c>
      <c r="D658" t="inlineStr">
        <is>
          <t>recetteProportion</t>
        </is>
      </c>
      <c r="E658" t="n">
        <v>0.6338028169014085</v>
      </c>
    </row>
    <row r="659">
      <c r="A659" t="n">
        <v>3</v>
      </c>
      <c r="B659" t="inlineStr">
        <is>
          <t>Tabasco violet fortEpice 100ml</t>
        </is>
      </c>
      <c r="C659" t="inlineStr">
        <is>
          <t>Piment Habanero Violet</t>
        </is>
      </c>
      <c r="D659" t="inlineStr">
        <is>
          <t>productionInKg</t>
        </is>
      </c>
      <c r="E659" t="n">
        <v>1.8</v>
      </c>
      <c r="F659" t="inlineStr">
        <is>
          <t>inversReductionIngredient</t>
        </is>
      </c>
      <c r="H659" t="inlineStr">
        <is>
          <t>finalValue</t>
        </is>
      </c>
      <c r="I659" t="n">
        <v>1.140845070422535</v>
      </c>
    </row>
    <row r="660">
      <c r="A660" t="n">
        <v>4</v>
      </c>
      <c r="B660" t="inlineStr">
        <is>
          <t>Tabasco violet fortEpice 100ml</t>
        </is>
      </c>
      <c r="C660" t="inlineStr">
        <is>
          <t>Piment Habanero Violet</t>
        </is>
      </c>
      <c r="D660" t="inlineStr">
        <is>
          <t>PROD</t>
        </is>
      </c>
      <c r="E660" t="inlineStr">
        <is>
          <t>piment habanero violet</t>
        </is>
      </c>
      <c r="F660" t="inlineStr">
        <is>
          <t>productionToAdd</t>
        </is>
      </c>
      <c r="G660" t="n">
        <v>1.140845070422535</v>
      </c>
      <c r="H660" t="inlineStr">
        <is>
          <t>currentCell</t>
        </is>
      </c>
      <c r="I660" t="n">
        <v>1.140845070422535</v>
      </c>
    </row>
    <row r="661">
      <c r="A661" t="n">
        <v>2</v>
      </c>
      <c r="B661" t="inlineStr">
        <is>
          <t>Tabasco violet fortEpice 100ml</t>
        </is>
      </c>
      <c r="C661" t="inlineStr">
        <is>
          <t>Piment Violet Fort - Purple Delight</t>
        </is>
      </c>
      <c r="D661" t="inlineStr">
        <is>
          <t>recetteProportion</t>
        </is>
      </c>
      <c r="E661" t="n">
        <v>0.07042253521126761</v>
      </c>
    </row>
    <row r="662">
      <c r="A662" t="n">
        <v>3</v>
      </c>
      <c r="B662" t="inlineStr">
        <is>
          <t>Tabasco violet fortEpice 100ml</t>
        </is>
      </c>
      <c r="C662" t="inlineStr">
        <is>
          <t>Piment Violet Fort - Purple Delight</t>
        </is>
      </c>
      <c r="D662" t="inlineStr">
        <is>
          <t>productionInKg</t>
        </is>
      </c>
      <c r="E662" t="n">
        <v>1.8</v>
      </c>
      <c r="F662" t="inlineStr">
        <is>
          <t>inversReductionIngredient</t>
        </is>
      </c>
      <c r="H662" t="inlineStr">
        <is>
          <t>finalValue</t>
        </is>
      </c>
      <c r="I662" t="n">
        <v>0.1267605633802817</v>
      </c>
    </row>
    <row r="663">
      <c r="A663" t="n">
        <v>4</v>
      </c>
      <c r="B663" t="inlineStr">
        <is>
          <t>Tabasco violet fortEpice 100ml</t>
        </is>
      </c>
      <c r="C663" t="inlineStr">
        <is>
          <t>Piment Violet Fort - Purple Delight</t>
        </is>
      </c>
      <c r="D663" t="inlineStr">
        <is>
          <t>PROD</t>
        </is>
      </c>
      <c r="E663" t="inlineStr">
        <is>
          <t>piment violet fort - Purple Delight</t>
        </is>
      </c>
      <c r="F663" t="inlineStr">
        <is>
          <t>productionToAdd</t>
        </is>
      </c>
      <c r="G663" t="n">
        <v>0.1267605633802817</v>
      </c>
      <c r="H663" t="inlineStr">
        <is>
          <t>currentCell</t>
        </is>
      </c>
      <c r="I663" t="n">
        <v>0.1267605633802817</v>
      </c>
    </row>
    <row r="664">
      <c r="A664" t="n">
        <v>2</v>
      </c>
      <c r="B664" t="inlineStr">
        <is>
          <t>Tabasco violet fortEpice 100ml</t>
        </is>
      </c>
      <c r="C664" t="inlineStr">
        <is>
          <t>Oignon</t>
        </is>
      </c>
      <c r="D664" t="inlineStr">
        <is>
          <t>recetteProportion</t>
        </is>
      </c>
      <c r="E664" t="n">
        <v>0.07042253521126761</v>
      </c>
    </row>
    <row r="665">
      <c r="A665" t="n">
        <v>3</v>
      </c>
      <c r="B665" t="inlineStr">
        <is>
          <t>Tabasco violet fortEpice 100ml</t>
        </is>
      </c>
      <c r="C665" t="inlineStr">
        <is>
          <t>Oignon</t>
        </is>
      </c>
      <c r="D665" t="inlineStr">
        <is>
          <t>productionInKg</t>
        </is>
      </c>
      <c r="E665" t="n">
        <v>1.8</v>
      </c>
      <c r="F665" t="inlineStr">
        <is>
          <t>inversReductionIngredient</t>
        </is>
      </c>
      <c r="H665" t="inlineStr">
        <is>
          <t>finalValue</t>
        </is>
      </c>
      <c r="I665" t="n">
        <v>0.1267605633802817</v>
      </c>
    </row>
    <row r="666">
      <c r="A666" t="n">
        <v>4</v>
      </c>
      <c r="B666" t="inlineStr">
        <is>
          <t>Tabasco violet fortEpice 100ml</t>
        </is>
      </c>
      <c r="C666" t="inlineStr">
        <is>
          <t>Oignon</t>
        </is>
      </c>
      <c r="D666" t="inlineStr">
        <is>
          <t>PROD</t>
        </is>
      </c>
      <c r="E666" t="inlineStr">
        <is>
          <t>oignon</t>
        </is>
      </c>
      <c r="F666" t="inlineStr">
        <is>
          <t>productionToAdd</t>
        </is>
      </c>
      <c r="G666" t="n">
        <v>0.1267605633802817</v>
      </c>
      <c r="H666" t="inlineStr">
        <is>
          <t>currentCell</t>
        </is>
      </c>
      <c r="I666" t="n">
        <v>3.098448423152443</v>
      </c>
    </row>
    <row r="667">
      <c r="A667" t="n">
        <v>2</v>
      </c>
      <c r="B667" t="inlineStr">
        <is>
          <t>Tabasco violet fortEpice 100ml</t>
        </is>
      </c>
      <c r="C667" t="inlineStr">
        <is>
          <t>Sel</t>
        </is>
      </c>
      <c r="D667" t="inlineStr">
        <is>
          <t>recetteProportion</t>
        </is>
      </c>
      <c r="E667" t="n">
        <v>0.07042253521126761</v>
      </c>
    </row>
    <row r="668">
      <c r="A668" t="n">
        <v>3</v>
      </c>
      <c r="B668" t="inlineStr">
        <is>
          <t>Tabasco violet fortEpice 100ml</t>
        </is>
      </c>
      <c r="C668" t="inlineStr">
        <is>
          <t>Sel</t>
        </is>
      </c>
      <c r="D668" t="inlineStr">
        <is>
          <t>productionInKg</t>
        </is>
      </c>
      <c r="E668" t="n">
        <v>1.8</v>
      </c>
      <c r="F668" t="inlineStr">
        <is>
          <t>inversReductionIngredient</t>
        </is>
      </c>
      <c r="H668" t="inlineStr">
        <is>
          <t>finalValue</t>
        </is>
      </c>
      <c r="I668" t="n">
        <v>0.1267605633802817</v>
      </c>
    </row>
    <row r="669">
      <c r="A669" t="n">
        <v>4</v>
      </c>
      <c r="B669" t="inlineStr">
        <is>
          <t>Tabasco violet fortEpice 100ml</t>
        </is>
      </c>
      <c r="C669" t="inlineStr">
        <is>
          <t>Sel</t>
        </is>
      </c>
      <c r="D669" t="inlineStr">
        <is>
          <t>PROD</t>
        </is>
      </c>
      <c r="E669" t="inlineStr">
        <is>
          <t>sel</t>
        </is>
      </c>
      <c r="F669" t="inlineStr">
        <is>
          <t>productionToAdd</t>
        </is>
      </c>
      <c r="G669" t="n">
        <v>0.1267605633802817</v>
      </c>
      <c r="H669" t="inlineStr">
        <is>
          <t>currentCell</t>
        </is>
      </c>
      <c r="I669" t="n">
        <v>34.27621509735141</v>
      </c>
    </row>
    <row r="670">
      <c r="A670" t="n">
        <v>2</v>
      </c>
      <c r="B670" t="inlineStr">
        <is>
          <t>Tabasco violet fortEpice 100ml</t>
        </is>
      </c>
      <c r="C670" t="inlineStr">
        <is>
          <t>Figue</t>
        </is>
      </c>
      <c r="D670" t="inlineStr">
        <is>
          <t>recetteProportion</t>
        </is>
      </c>
      <c r="E670" t="n">
        <v>0.07042253521126761</v>
      </c>
    </row>
    <row r="671">
      <c r="A671" t="n">
        <v>3</v>
      </c>
      <c r="B671" t="inlineStr">
        <is>
          <t>Tabasco violet fortEpice 100ml</t>
        </is>
      </c>
      <c r="C671" t="inlineStr">
        <is>
          <t>Figue</t>
        </is>
      </c>
      <c r="D671" t="inlineStr">
        <is>
          <t>productionInKg</t>
        </is>
      </c>
      <c r="E671" t="n">
        <v>1.8</v>
      </c>
      <c r="F671" t="inlineStr">
        <is>
          <t>inversReductionIngredient</t>
        </is>
      </c>
      <c r="H671" t="inlineStr">
        <is>
          <t>finalValue</t>
        </is>
      </c>
      <c r="I671" t="n">
        <v>0.1267605633802817</v>
      </c>
    </row>
    <row r="672">
      <c r="A672" t="n">
        <v>4</v>
      </c>
      <c r="B672" t="inlineStr">
        <is>
          <t>Tabasco violet fortEpice 100ml</t>
        </is>
      </c>
      <c r="C672" t="inlineStr">
        <is>
          <t>Figue</t>
        </is>
      </c>
      <c r="D672" t="inlineStr">
        <is>
          <t>PROD</t>
        </is>
      </c>
      <c r="E672" t="inlineStr">
        <is>
          <t>figue</t>
        </is>
      </c>
      <c r="F672" t="inlineStr">
        <is>
          <t>productionToAdd</t>
        </is>
      </c>
      <c r="G672" t="n">
        <v>0.1267605633802817</v>
      </c>
      <c r="H672" t="inlineStr">
        <is>
          <t>currentCell</t>
        </is>
      </c>
      <c r="I672" t="n">
        <v>0.7605633802816902</v>
      </c>
    </row>
    <row r="673">
      <c r="A673" t="n">
        <v>2</v>
      </c>
      <c r="B673" t="inlineStr">
        <is>
          <t>Tabasco violet fortEpice 100ml</t>
        </is>
      </c>
      <c r="C673" t="inlineStr">
        <is>
          <t>Vinaigre De Cidre</t>
        </is>
      </c>
      <c r="D673" t="inlineStr">
        <is>
          <t>recetteProportion</t>
        </is>
      </c>
      <c r="E673" t="n">
        <v>0.04225352112676056</v>
      </c>
    </row>
    <row r="674">
      <c r="A674" t="n">
        <v>3</v>
      </c>
      <c r="B674" t="inlineStr">
        <is>
          <t>Tabasco violet fortEpice 100ml</t>
        </is>
      </c>
      <c r="C674" t="inlineStr">
        <is>
          <t>Vinaigre De Cidre</t>
        </is>
      </c>
      <c r="D674" t="inlineStr">
        <is>
          <t>productionInKg</t>
        </is>
      </c>
      <c r="E674" t="n">
        <v>1.8</v>
      </c>
      <c r="F674" t="inlineStr">
        <is>
          <t>inversReductionIngredient</t>
        </is>
      </c>
      <c r="H674" t="inlineStr">
        <is>
          <t>finalValue</t>
        </is>
      </c>
      <c r="I674" t="n">
        <v>0.07605633802816901</v>
      </c>
    </row>
    <row r="675">
      <c r="A675" t="n">
        <v>4</v>
      </c>
      <c r="B675" t="inlineStr">
        <is>
          <t>Tabasco violet fortEpice 100ml</t>
        </is>
      </c>
      <c r="C675" t="inlineStr">
        <is>
          <t>Vinaigre De Cidre</t>
        </is>
      </c>
      <c r="D675" t="inlineStr">
        <is>
          <t>PROD</t>
        </is>
      </c>
      <c r="E675" t="inlineStr">
        <is>
          <t>vinaigre de cidre</t>
        </is>
      </c>
      <c r="F675" t="inlineStr">
        <is>
          <t>productionToAdd</t>
        </is>
      </c>
      <c r="G675" t="n">
        <v>0.07605633802816901</v>
      </c>
      <c r="H675" t="inlineStr">
        <is>
          <t>currentCell</t>
        </is>
      </c>
      <c r="I675" t="n">
        <v>203.7757848519914</v>
      </c>
    </row>
    <row r="676">
      <c r="A676" t="n">
        <v>1</v>
      </c>
      <c r="B676" t="inlineStr">
        <is>
          <t>Tabasco violet fortEpice 100ml</t>
        </is>
      </c>
      <c r="D676" t="inlineStr">
        <is>
          <t>annee</t>
        </is>
      </c>
      <c r="E676" t="n">
        <v>2</v>
      </c>
      <c r="F676" t="inlineStr">
        <is>
          <t>prod</t>
        </is>
      </c>
      <c r="G676" t="n">
        <v>1.8</v>
      </c>
    </row>
    <row r="677">
      <c r="A677" t="n">
        <v>2</v>
      </c>
      <c r="B677" t="inlineStr">
        <is>
          <t>Tabasco violet fortEpice 100ml</t>
        </is>
      </c>
      <c r="C677" t="inlineStr">
        <is>
          <t>Ail</t>
        </is>
      </c>
      <c r="D677" t="inlineStr">
        <is>
          <t>recetteProportion</t>
        </is>
      </c>
      <c r="E677" t="n">
        <v>0.04225352112676056</v>
      </c>
    </row>
    <row r="678">
      <c r="A678" t="n">
        <v>3</v>
      </c>
      <c r="B678" t="inlineStr">
        <is>
          <t>Tabasco violet fortEpice 100ml</t>
        </is>
      </c>
      <c r="C678" t="inlineStr">
        <is>
          <t>Ail</t>
        </is>
      </c>
      <c r="D678" t="inlineStr">
        <is>
          <t>productionInKg</t>
        </is>
      </c>
      <c r="E678" t="n">
        <v>1.8</v>
      </c>
      <c r="F678" t="inlineStr">
        <is>
          <t>inversReductionIngredient</t>
        </is>
      </c>
      <c r="H678" t="inlineStr">
        <is>
          <t>finalValue</t>
        </is>
      </c>
      <c r="I678" t="n">
        <v>0.07605633802816901</v>
      </c>
    </row>
    <row r="679">
      <c r="A679" t="n">
        <v>4</v>
      </c>
      <c r="B679" t="inlineStr">
        <is>
          <t>Tabasco violet fortEpice 100ml</t>
        </is>
      </c>
      <c r="C679" t="inlineStr">
        <is>
          <t>Ail</t>
        </is>
      </c>
      <c r="D679" t="inlineStr">
        <is>
          <t>PROD</t>
        </is>
      </c>
      <c r="E679" t="inlineStr">
        <is>
          <t>ail</t>
        </is>
      </c>
      <c r="F679" t="inlineStr">
        <is>
          <t>productionToAdd</t>
        </is>
      </c>
      <c r="G679" t="n">
        <v>0.07605633802816901</v>
      </c>
      <c r="H679" t="inlineStr">
        <is>
          <t>currentCell</t>
        </is>
      </c>
      <c r="I679" t="n">
        <v>0.8593231027958798</v>
      </c>
    </row>
    <row r="680">
      <c r="A680" t="n">
        <v>2</v>
      </c>
      <c r="B680" t="inlineStr">
        <is>
          <t>Tabasco violet fortEpice 100ml</t>
        </is>
      </c>
      <c r="C680" t="inlineStr">
        <is>
          <t>Piment Habanero Violet</t>
        </is>
      </c>
      <c r="D680" t="inlineStr">
        <is>
          <t>recetteProportion</t>
        </is>
      </c>
      <c r="E680" t="n">
        <v>0.6338028169014085</v>
      </c>
    </row>
    <row r="681">
      <c r="A681" t="n">
        <v>3</v>
      </c>
      <c r="B681" t="inlineStr">
        <is>
          <t>Tabasco violet fortEpice 100ml</t>
        </is>
      </c>
      <c r="C681" t="inlineStr">
        <is>
          <t>Piment Habanero Violet</t>
        </is>
      </c>
      <c r="D681" t="inlineStr">
        <is>
          <t>productionInKg</t>
        </is>
      </c>
      <c r="E681" t="n">
        <v>1.8</v>
      </c>
      <c r="F681" t="inlineStr">
        <is>
          <t>inversReductionIngredient</t>
        </is>
      </c>
      <c r="H681" t="inlineStr">
        <is>
          <t>finalValue</t>
        </is>
      </c>
      <c r="I681" t="n">
        <v>1.140845070422535</v>
      </c>
    </row>
    <row r="682">
      <c r="A682" t="n">
        <v>4</v>
      </c>
      <c r="B682" t="inlineStr">
        <is>
          <t>Tabasco violet fortEpice 100ml</t>
        </is>
      </c>
      <c r="C682" t="inlineStr">
        <is>
          <t>Piment Habanero Violet</t>
        </is>
      </c>
      <c r="D682" t="inlineStr">
        <is>
          <t>PROD</t>
        </is>
      </c>
      <c r="E682" t="inlineStr">
        <is>
          <t>piment habanero violet</t>
        </is>
      </c>
      <c r="F682" t="inlineStr">
        <is>
          <t>productionToAdd</t>
        </is>
      </c>
      <c r="G682" t="n">
        <v>1.140845070422535</v>
      </c>
      <c r="H682" t="inlineStr">
        <is>
          <t>currentCell</t>
        </is>
      </c>
      <c r="I682" t="n">
        <v>1.140845070422535</v>
      </c>
    </row>
    <row r="683">
      <c r="A683" t="n">
        <v>2</v>
      </c>
      <c r="B683" t="inlineStr">
        <is>
          <t>Tabasco violet fortEpice 100ml</t>
        </is>
      </c>
      <c r="C683" t="inlineStr">
        <is>
          <t>Piment Violet Fort - Purple Delight</t>
        </is>
      </c>
      <c r="D683" t="inlineStr">
        <is>
          <t>recetteProportion</t>
        </is>
      </c>
      <c r="E683" t="n">
        <v>0.07042253521126761</v>
      </c>
    </row>
    <row r="684">
      <c r="A684" t="n">
        <v>3</v>
      </c>
      <c r="B684" t="inlineStr">
        <is>
          <t>Tabasco violet fortEpice 100ml</t>
        </is>
      </c>
      <c r="C684" t="inlineStr">
        <is>
          <t>Piment Violet Fort - Purple Delight</t>
        </is>
      </c>
      <c r="D684" t="inlineStr">
        <is>
          <t>productionInKg</t>
        </is>
      </c>
      <c r="E684" t="n">
        <v>1.8</v>
      </c>
      <c r="F684" t="inlineStr">
        <is>
          <t>inversReductionIngredient</t>
        </is>
      </c>
      <c r="H684" t="inlineStr">
        <is>
          <t>finalValue</t>
        </is>
      </c>
      <c r="I684" t="n">
        <v>0.1267605633802817</v>
      </c>
    </row>
    <row r="685">
      <c r="A685" t="n">
        <v>4</v>
      </c>
      <c r="B685" t="inlineStr">
        <is>
          <t>Tabasco violet fortEpice 100ml</t>
        </is>
      </c>
      <c r="C685" t="inlineStr">
        <is>
          <t>Piment Violet Fort - Purple Delight</t>
        </is>
      </c>
      <c r="D685" t="inlineStr">
        <is>
          <t>PROD</t>
        </is>
      </c>
      <c r="E685" t="inlineStr">
        <is>
          <t>piment violet fort - Purple Delight</t>
        </is>
      </c>
      <c r="F685" t="inlineStr">
        <is>
          <t>productionToAdd</t>
        </is>
      </c>
      <c r="G685" t="n">
        <v>0.1267605633802817</v>
      </c>
      <c r="H685" t="inlineStr">
        <is>
          <t>currentCell</t>
        </is>
      </c>
      <c r="I685" t="n">
        <v>0.1267605633802817</v>
      </c>
    </row>
    <row r="686">
      <c r="A686" t="n">
        <v>2</v>
      </c>
      <c r="B686" t="inlineStr">
        <is>
          <t>Tabasco violet fortEpice 100ml</t>
        </is>
      </c>
      <c r="C686" t="inlineStr">
        <is>
          <t>Oignon</t>
        </is>
      </c>
      <c r="D686" t="inlineStr">
        <is>
          <t>recetteProportion</t>
        </is>
      </c>
      <c r="E686" t="n">
        <v>0.07042253521126761</v>
      </c>
    </row>
    <row r="687">
      <c r="A687" t="n">
        <v>3</v>
      </c>
      <c r="B687" t="inlineStr">
        <is>
          <t>Tabasco violet fortEpice 100ml</t>
        </is>
      </c>
      <c r="C687" t="inlineStr">
        <is>
          <t>Oignon</t>
        </is>
      </c>
      <c r="D687" t="inlineStr">
        <is>
          <t>productionInKg</t>
        </is>
      </c>
      <c r="E687" t="n">
        <v>1.8</v>
      </c>
      <c r="F687" t="inlineStr">
        <is>
          <t>inversReductionIngredient</t>
        </is>
      </c>
      <c r="H687" t="inlineStr">
        <is>
          <t>finalValue</t>
        </is>
      </c>
      <c r="I687" t="n">
        <v>0.1267605633802817</v>
      </c>
    </row>
    <row r="688">
      <c r="A688" t="n">
        <v>4</v>
      </c>
      <c r="B688" t="inlineStr">
        <is>
          <t>Tabasco violet fortEpice 100ml</t>
        </is>
      </c>
      <c r="C688" t="inlineStr">
        <is>
          <t>Oignon</t>
        </is>
      </c>
      <c r="D688" t="inlineStr">
        <is>
          <t>PROD</t>
        </is>
      </c>
      <c r="E688" t="inlineStr">
        <is>
          <t>oignon</t>
        </is>
      </c>
      <c r="F688" t="inlineStr">
        <is>
          <t>productionToAdd</t>
        </is>
      </c>
      <c r="G688" t="n">
        <v>0.1267605633802817</v>
      </c>
      <c r="H688" t="inlineStr">
        <is>
          <t>currentCell</t>
        </is>
      </c>
      <c r="I688" t="n">
        <v>3.098448423152443</v>
      </c>
    </row>
    <row r="689">
      <c r="A689" t="n">
        <v>2</v>
      </c>
      <c r="B689" t="inlineStr">
        <is>
          <t>Tabasco violet fortEpice 100ml</t>
        </is>
      </c>
      <c r="C689" t="inlineStr">
        <is>
          <t>Sel</t>
        </is>
      </c>
      <c r="D689" t="inlineStr">
        <is>
          <t>recetteProportion</t>
        </is>
      </c>
      <c r="E689" t="n">
        <v>0.07042253521126761</v>
      </c>
    </row>
    <row r="690">
      <c r="A690" t="n">
        <v>3</v>
      </c>
      <c r="B690" t="inlineStr">
        <is>
          <t>Tabasco violet fortEpice 100ml</t>
        </is>
      </c>
      <c r="C690" t="inlineStr">
        <is>
          <t>Sel</t>
        </is>
      </c>
      <c r="D690" t="inlineStr">
        <is>
          <t>productionInKg</t>
        </is>
      </c>
      <c r="E690" t="n">
        <v>1.8</v>
      </c>
      <c r="F690" t="inlineStr">
        <is>
          <t>inversReductionIngredient</t>
        </is>
      </c>
      <c r="H690" t="inlineStr">
        <is>
          <t>finalValue</t>
        </is>
      </c>
      <c r="I690" t="n">
        <v>0.1267605633802817</v>
      </c>
    </row>
    <row r="691">
      <c r="A691" t="n">
        <v>4</v>
      </c>
      <c r="B691" t="inlineStr">
        <is>
          <t>Tabasco violet fortEpice 100ml</t>
        </is>
      </c>
      <c r="C691" t="inlineStr">
        <is>
          <t>Sel</t>
        </is>
      </c>
      <c r="D691" t="inlineStr">
        <is>
          <t>PROD</t>
        </is>
      </c>
      <c r="E691" t="inlineStr">
        <is>
          <t>sel</t>
        </is>
      </c>
      <c r="F691" t="inlineStr">
        <is>
          <t>productionToAdd</t>
        </is>
      </c>
      <c r="G691" t="n">
        <v>0.1267605633802817</v>
      </c>
      <c r="H691" t="inlineStr">
        <is>
          <t>currentCell</t>
        </is>
      </c>
      <c r="I691" t="n">
        <v>34.27621509735141</v>
      </c>
    </row>
    <row r="692">
      <c r="A692" t="n">
        <v>2</v>
      </c>
      <c r="B692" t="inlineStr">
        <is>
          <t>Tabasco violet fortEpice 100ml</t>
        </is>
      </c>
      <c r="C692" t="inlineStr">
        <is>
          <t>Figue</t>
        </is>
      </c>
      <c r="D692" t="inlineStr">
        <is>
          <t>recetteProportion</t>
        </is>
      </c>
      <c r="E692" t="n">
        <v>0.07042253521126761</v>
      </c>
    </row>
    <row r="693">
      <c r="A693" t="n">
        <v>3</v>
      </c>
      <c r="B693" t="inlineStr">
        <is>
          <t>Tabasco violet fortEpice 100ml</t>
        </is>
      </c>
      <c r="C693" t="inlineStr">
        <is>
          <t>Figue</t>
        </is>
      </c>
      <c r="D693" t="inlineStr">
        <is>
          <t>productionInKg</t>
        </is>
      </c>
      <c r="E693" t="n">
        <v>1.8</v>
      </c>
      <c r="F693" t="inlineStr">
        <is>
          <t>inversReductionIngredient</t>
        </is>
      </c>
      <c r="H693" t="inlineStr">
        <is>
          <t>finalValue</t>
        </is>
      </c>
      <c r="I693" t="n">
        <v>0.1267605633802817</v>
      </c>
    </row>
    <row r="694">
      <c r="A694" t="n">
        <v>4</v>
      </c>
      <c r="B694" t="inlineStr">
        <is>
          <t>Tabasco violet fortEpice 100ml</t>
        </is>
      </c>
      <c r="C694" t="inlineStr">
        <is>
          <t>Figue</t>
        </is>
      </c>
      <c r="D694" t="inlineStr">
        <is>
          <t>PROD</t>
        </is>
      </c>
      <c r="E694" t="inlineStr">
        <is>
          <t>figue</t>
        </is>
      </c>
      <c r="F694" t="inlineStr">
        <is>
          <t>productionToAdd</t>
        </is>
      </c>
      <c r="G694" t="n">
        <v>0.1267605633802817</v>
      </c>
      <c r="H694" t="inlineStr">
        <is>
          <t>currentCell</t>
        </is>
      </c>
      <c r="I694" t="n">
        <v>0.7605633802816902</v>
      </c>
    </row>
    <row r="695">
      <c r="A695" t="n">
        <v>2</v>
      </c>
      <c r="B695" t="inlineStr">
        <is>
          <t>Tabasco violet fortEpice 100ml</t>
        </is>
      </c>
      <c r="C695" t="inlineStr">
        <is>
          <t>Vinaigre De Cidre</t>
        </is>
      </c>
      <c r="D695" t="inlineStr">
        <is>
          <t>recetteProportion</t>
        </is>
      </c>
      <c r="E695" t="n">
        <v>0.04225352112676056</v>
      </c>
    </row>
    <row r="696">
      <c r="A696" t="n">
        <v>3</v>
      </c>
      <c r="B696" t="inlineStr">
        <is>
          <t>Tabasco violet fortEpice 100ml</t>
        </is>
      </c>
      <c r="C696" t="inlineStr">
        <is>
          <t>Vinaigre De Cidre</t>
        </is>
      </c>
      <c r="D696" t="inlineStr">
        <is>
          <t>productionInKg</t>
        </is>
      </c>
      <c r="E696" t="n">
        <v>1.8</v>
      </c>
      <c r="F696" t="inlineStr">
        <is>
          <t>inversReductionIngredient</t>
        </is>
      </c>
      <c r="H696" t="inlineStr">
        <is>
          <t>finalValue</t>
        </is>
      </c>
      <c r="I696" t="n">
        <v>0.07605633802816901</v>
      </c>
    </row>
    <row r="697">
      <c r="A697" t="n">
        <v>4</v>
      </c>
      <c r="B697" t="inlineStr">
        <is>
          <t>Tabasco violet fortEpice 100ml</t>
        </is>
      </c>
      <c r="C697" t="inlineStr">
        <is>
          <t>Vinaigre De Cidre</t>
        </is>
      </c>
      <c r="D697" t="inlineStr">
        <is>
          <t>PROD</t>
        </is>
      </c>
      <c r="E697" t="inlineStr">
        <is>
          <t>vinaigre de cidre</t>
        </is>
      </c>
      <c r="F697" t="inlineStr">
        <is>
          <t>productionToAdd</t>
        </is>
      </c>
      <c r="G697" t="n">
        <v>0.07605633802816901</v>
      </c>
      <c r="H697" t="inlineStr">
        <is>
          <t>currentCell</t>
        </is>
      </c>
      <c r="I697" t="n">
        <v>203.7757848519914</v>
      </c>
    </row>
    <row r="698">
      <c r="A698" t="n">
        <v>2</v>
      </c>
      <c r="B698" t="inlineStr">
        <is>
          <t>Tabasco violet fortEpice 100ml</t>
        </is>
      </c>
      <c r="C698" t="inlineStr">
        <is>
          <t>Oignon</t>
        </is>
      </c>
      <c r="D698" t="inlineStr">
        <is>
          <t>recetteProportion</t>
        </is>
      </c>
      <c r="E698" t="n">
        <v>0.07042253521126761</v>
      </c>
    </row>
    <row r="699">
      <c r="A699" t="n">
        <v>3</v>
      </c>
      <c r="B699" t="inlineStr">
        <is>
          <t>Tabasco violet fortEpice 100ml</t>
        </is>
      </c>
      <c r="C699" t="inlineStr">
        <is>
          <t>Oignon</t>
        </is>
      </c>
      <c r="D699" t="inlineStr">
        <is>
          <t>productionInKg</t>
        </is>
      </c>
      <c r="E699" t="n">
        <v>1.8</v>
      </c>
      <c r="F699" t="inlineStr">
        <is>
          <t>inversReductionIngredient</t>
        </is>
      </c>
      <c r="H699" t="inlineStr">
        <is>
          <t>finalValue</t>
        </is>
      </c>
      <c r="I699" t="n">
        <v>0.1267605633802817</v>
      </c>
    </row>
    <row r="700">
      <c r="A700" t="n">
        <v>4</v>
      </c>
      <c r="B700" t="inlineStr">
        <is>
          <t>Tabasco violet fortEpice 100ml</t>
        </is>
      </c>
      <c r="C700" t="inlineStr">
        <is>
          <t>Oignon</t>
        </is>
      </c>
      <c r="D700" t="inlineStr">
        <is>
          <t>PROD</t>
        </is>
      </c>
      <c r="E700" t="inlineStr">
        <is>
          <t>oignon</t>
        </is>
      </c>
      <c r="F700" t="inlineStr">
        <is>
          <t>productionToAdd</t>
        </is>
      </c>
      <c r="G700" t="n">
        <v>0.1267605633802817</v>
      </c>
      <c r="H700" t="inlineStr">
        <is>
          <t>currentCell</t>
        </is>
      </c>
      <c r="I700" t="n">
        <v>3.162734137438157</v>
      </c>
    </row>
    <row r="701">
      <c r="A701" t="n">
        <v>2</v>
      </c>
      <c r="B701" t="inlineStr">
        <is>
          <t>Tabasco violet fortEpice 100ml</t>
        </is>
      </c>
      <c r="C701" t="inlineStr">
        <is>
          <t>Sel</t>
        </is>
      </c>
      <c r="D701" t="inlineStr">
        <is>
          <t>recetteProportion</t>
        </is>
      </c>
      <c r="E701" t="n">
        <v>0.07042253521126761</v>
      </c>
    </row>
    <row r="702">
      <c r="A702" t="n">
        <v>3</v>
      </c>
      <c r="B702" t="inlineStr">
        <is>
          <t>Tabasco violet fortEpice 100ml</t>
        </is>
      </c>
      <c r="C702" t="inlineStr">
        <is>
          <t>Sel</t>
        </is>
      </c>
      <c r="D702" t="inlineStr">
        <is>
          <t>productionInKg</t>
        </is>
      </c>
      <c r="E702" t="n">
        <v>1.8</v>
      </c>
      <c r="F702" t="inlineStr">
        <is>
          <t>inversReductionIngredient</t>
        </is>
      </c>
      <c r="H702" t="inlineStr">
        <is>
          <t>finalValue</t>
        </is>
      </c>
      <c r="I702" t="n">
        <v>0.1267605633802817</v>
      </c>
    </row>
    <row r="703">
      <c r="A703" t="n">
        <v>4</v>
      </c>
      <c r="B703" t="inlineStr">
        <is>
          <t>Tabasco violet fortEpice 100ml</t>
        </is>
      </c>
      <c r="C703" t="inlineStr">
        <is>
          <t>Sel</t>
        </is>
      </c>
      <c r="D703" t="inlineStr">
        <is>
          <t>PROD</t>
        </is>
      </c>
      <c r="E703" t="inlineStr">
        <is>
          <t>sel</t>
        </is>
      </c>
      <c r="F703" t="inlineStr">
        <is>
          <t>productionToAdd</t>
        </is>
      </c>
      <c r="G703" t="n">
        <v>0.1267605633802817</v>
      </c>
      <c r="H703" t="inlineStr">
        <is>
          <t>currentCell</t>
        </is>
      </c>
      <c r="I703" t="n">
        <v>17.81561879350327</v>
      </c>
    </row>
    <row r="704">
      <c r="A704" t="n">
        <v>2</v>
      </c>
      <c r="B704" t="inlineStr">
        <is>
          <t>Tabasco violet fortEpice 100ml</t>
        </is>
      </c>
      <c r="C704" t="inlineStr">
        <is>
          <t>Figue</t>
        </is>
      </c>
      <c r="D704" t="inlineStr">
        <is>
          <t>recetteProportion</t>
        </is>
      </c>
      <c r="E704" t="n">
        <v>0.07042253521126761</v>
      </c>
    </row>
    <row r="705">
      <c r="A705" t="n">
        <v>3</v>
      </c>
      <c r="B705" t="inlineStr">
        <is>
          <t>Tabasco violet fortEpice 100ml</t>
        </is>
      </c>
      <c r="C705" t="inlineStr">
        <is>
          <t>Figue</t>
        </is>
      </c>
      <c r="D705" t="inlineStr">
        <is>
          <t>productionInKg</t>
        </is>
      </c>
      <c r="E705" t="n">
        <v>1.8</v>
      </c>
      <c r="F705" t="inlineStr">
        <is>
          <t>inversReductionIngredient</t>
        </is>
      </c>
      <c r="H705" t="inlineStr">
        <is>
          <t>finalValue</t>
        </is>
      </c>
      <c r="I705" t="n">
        <v>0.1267605633802817</v>
      </c>
    </row>
    <row r="706">
      <c r="A706" t="n">
        <v>4</v>
      </c>
      <c r="B706" t="inlineStr">
        <is>
          <t>Tabasco violet fortEpice 100ml</t>
        </is>
      </c>
      <c r="C706" t="inlineStr">
        <is>
          <t>Figue</t>
        </is>
      </c>
      <c r="D706" t="inlineStr">
        <is>
          <t>PROD</t>
        </is>
      </c>
      <c r="E706" t="inlineStr">
        <is>
          <t>figue</t>
        </is>
      </c>
      <c r="F706" t="inlineStr">
        <is>
          <t>productionToAdd</t>
        </is>
      </c>
      <c r="G706" t="n">
        <v>0.1267605633802817</v>
      </c>
      <c r="H706" t="inlineStr">
        <is>
          <t>currentCell</t>
        </is>
      </c>
      <c r="I706" t="n">
        <v>0.7605633802816902</v>
      </c>
    </row>
    <row r="707">
      <c r="A707" t="n">
        <v>2</v>
      </c>
      <c r="B707" t="inlineStr">
        <is>
          <t>Tabasco violet fortEpice 100ml</t>
        </is>
      </c>
      <c r="C707" t="inlineStr">
        <is>
          <t>Vinaigre De Cidre</t>
        </is>
      </c>
      <c r="D707" t="inlineStr">
        <is>
          <t>recetteProportion</t>
        </is>
      </c>
      <c r="E707" t="n">
        <v>0.04225352112676056</v>
      </c>
    </row>
    <row r="708">
      <c r="A708" t="n">
        <v>3</v>
      </c>
      <c r="B708" t="inlineStr">
        <is>
          <t>Tabasco violet fortEpice 100ml</t>
        </is>
      </c>
      <c r="C708" t="inlineStr">
        <is>
          <t>Vinaigre De Cidre</t>
        </is>
      </c>
      <c r="D708" t="inlineStr">
        <is>
          <t>productionInKg</t>
        </is>
      </c>
      <c r="E708" t="n">
        <v>1.8</v>
      </c>
      <c r="F708" t="inlineStr">
        <is>
          <t>inversReductionIngredient</t>
        </is>
      </c>
      <c r="H708" t="inlineStr">
        <is>
          <t>finalValue</t>
        </is>
      </c>
      <c r="I708" t="n">
        <v>0.07605633802816901</v>
      </c>
    </row>
    <row r="709">
      <c r="A709" t="n">
        <v>4</v>
      </c>
      <c r="B709" t="inlineStr">
        <is>
          <t>Tabasco violet fortEpice 100ml</t>
        </is>
      </c>
      <c r="C709" t="inlineStr">
        <is>
          <t>Vinaigre De Cidre</t>
        </is>
      </c>
      <c r="D709" t="inlineStr">
        <is>
          <t>PROD</t>
        </is>
      </c>
      <c r="E709" t="inlineStr">
        <is>
          <t>vinaigre de cidre</t>
        </is>
      </c>
      <c r="F709" t="inlineStr">
        <is>
          <t>productionToAdd</t>
        </is>
      </c>
      <c r="G709" t="n">
        <v>0.07605633802816901</v>
      </c>
      <c r="H709" t="inlineStr">
        <is>
          <t>currentCell</t>
        </is>
      </c>
      <c r="I709" t="n">
        <v>179.1220259229472</v>
      </c>
    </row>
    <row r="710">
      <c r="A710" t="n">
        <v>3</v>
      </c>
      <c r="B710" t="inlineStr">
        <is>
          <t>Nuoc chanEpice 100ml</t>
        </is>
      </c>
      <c r="C710" t="inlineStr">
        <is>
          <t>Nuoc-Mâm</t>
        </is>
      </c>
      <c r="D710" t="inlineStr">
        <is>
          <t>productionInKg</t>
        </is>
      </c>
      <c r="E710" t="n">
        <v>0</v>
      </c>
      <c r="F710" t="inlineStr">
        <is>
          <t>inversReductionIngredient</t>
        </is>
      </c>
      <c r="H710" t="inlineStr">
        <is>
          <t>finalValue</t>
        </is>
      </c>
      <c r="I710" t="n">
        <v>0</v>
      </c>
    </row>
    <row r="711">
      <c r="A711" t="n">
        <v>4</v>
      </c>
      <c r="B711" t="inlineStr">
        <is>
          <t>Nuoc chanEpice 100ml</t>
        </is>
      </c>
      <c r="C711" t="inlineStr">
        <is>
          <t>Nuoc-Mâm</t>
        </is>
      </c>
      <c r="D711" t="inlineStr">
        <is>
          <t>PROD</t>
        </is>
      </c>
      <c r="E711" t="inlineStr">
        <is>
          <t>nuoc-mâm</t>
        </is>
      </c>
      <c r="F711" t="inlineStr">
        <is>
          <t>productionToAdd</t>
        </is>
      </c>
      <c r="G711" t="n">
        <v>0</v>
      </c>
      <c r="H711" t="inlineStr">
        <is>
          <t>currentCell</t>
        </is>
      </c>
      <c r="I711" t="n">
        <v>0</v>
      </c>
    </row>
    <row r="712">
      <c r="A712" t="n">
        <v>1</v>
      </c>
      <c r="B712" t="inlineStr">
        <is>
          <t>Panch phoronEpice 100ml</t>
        </is>
      </c>
      <c r="D712" t="inlineStr">
        <is>
          <t>annee</t>
        </is>
      </c>
      <c r="E712" t="n">
        <v>1</v>
      </c>
      <c r="F712" t="inlineStr">
        <is>
          <t>prod</t>
        </is>
      </c>
      <c r="G712" t="n">
        <v>0</v>
      </c>
    </row>
    <row r="713">
      <c r="A713" t="n">
        <v>2</v>
      </c>
      <c r="B713" t="inlineStr">
        <is>
          <t>Panch phoronEpice 100ml</t>
        </is>
      </c>
      <c r="C713" t="inlineStr">
        <is>
          <t>Graine De Cumin</t>
        </is>
      </c>
      <c r="D713" t="inlineStr">
        <is>
          <t>recetteProportion</t>
        </is>
      </c>
      <c r="E713" t="n">
        <v>0.25</v>
      </c>
    </row>
    <row r="714">
      <c r="A714" t="n">
        <v>3</v>
      </c>
      <c r="B714" t="inlineStr">
        <is>
          <t>Panch phoronEpice 100ml</t>
        </is>
      </c>
      <c r="C714" t="inlineStr">
        <is>
          <t>Graine De Cumin</t>
        </is>
      </c>
      <c r="D714" t="inlineStr">
        <is>
          <t>productionInKg</t>
        </is>
      </c>
      <c r="E714" t="n">
        <v>0</v>
      </c>
      <c r="F714" t="inlineStr">
        <is>
          <t>inversReductionIngredient</t>
        </is>
      </c>
      <c r="H714" t="inlineStr">
        <is>
          <t>finalValue</t>
        </is>
      </c>
      <c r="I714" t="n">
        <v>0</v>
      </c>
    </row>
    <row r="715">
      <c r="A715" t="n">
        <v>4</v>
      </c>
      <c r="B715" t="inlineStr">
        <is>
          <t>Panch phoronEpice 100ml</t>
        </is>
      </c>
      <c r="C715" t="inlineStr">
        <is>
          <t>Graine De Cumin</t>
        </is>
      </c>
      <c r="D715" t="inlineStr">
        <is>
          <t>PROD</t>
        </is>
      </c>
      <c r="E715" t="inlineStr">
        <is>
          <t>graine cumin</t>
        </is>
      </c>
      <c r="F715" t="inlineStr">
        <is>
          <t>productionToAdd</t>
        </is>
      </c>
      <c r="G715" t="n">
        <v>0</v>
      </c>
      <c r="H715" t="inlineStr">
        <is>
          <t>currentCell</t>
        </is>
      </c>
      <c r="I715" t="n">
        <v>57.47181617169969</v>
      </c>
    </row>
    <row r="716">
      <c r="A716" t="n">
        <v>2</v>
      </c>
      <c r="B716" t="inlineStr">
        <is>
          <t>Panch phoronEpice 100ml</t>
        </is>
      </c>
      <c r="C716" t="inlineStr">
        <is>
          <t>Graine De Moutarde</t>
        </is>
      </c>
      <c r="D716" t="inlineStr">
        <is>
          <t>recetteProportion</t>
        </is>
      </c>
      <c r="E716" t="n">
        <v>0.25</v>
      </c>
    </row>
    <row r="717">
      <c r="A717" t="n">
        <v>3</v>
      </c>
      <c r="B717" t="inlineStr">
        <is>
          <t>Panch phoronEpice 100ml</t>
        </is>
      </c>
      <c r="C717" t="inlineStr">
        <is>
          <t>Graine De Moutarde</t>
        </is>
      </c>
      <c r="D717" t="inlineStr">
        <is>
          <t>productionInKg</t>
        </is>
      </c>
      <c r="E717" t="n">
        <v>0</v>
      </c>
      <c r="F717" t="inlineStr">
        <is>
          <t>inversReductionIngredient</t>
        </is>
      </c>
      <c r="H717" t="inlineStr">
        <is>
          <t>finalValue</t>
        </is>
      </c>
      <c r="I717" t="n">
        <v>0</v>
      </c>
    </row>
    <row r="718">
      <c r="A718" t="n">
        <v>4</v>
      </c>
      <c r="B718" t="inlineStr">
        <is>
          <t>Panch phoronEpice 100ml</t>
        </is>
      </c>
      <c r="C718" t="inlineStr">
        <is>
          <t>Graine De Moutarde</t>
        </is>
      </c>
      <c r="D718" t="inlineStr">
        <is>
          <t>PROD</t>
        </is>
      </c>
      <c r="E718" t="inlineStr">
        <is>
          <t>graine de moutarde</t>
        </is>
      </c>
      <c r="F718" t="inlineStr">
        <is>
          <t>productionToAdd</t>
        </is>
      </c>
      <c r="G718" t="n">
        <v>0</v>
      </c>
      <c r="H718" t="inlineStr">
        <is>
          <t>currentCell</t>
        </is>
      </c>
      <c r="I718" t="n">
        <v>262.7270518258087</v>
      </c>
    </row>
    <row r="719">
      <c r="A719" t="n">
        <v>2</v>
      </c>
      <c r="B719" t="inlineStr">
        <is>
          <t>Panch phoronEpice 100ml</t>
        </is>
      </c>
      <c r="C719" t="inlineStr">
        <is>
          <t>Graine De Fenouil</t>
        </is>
      </c>
      <c r="D719" t="inlineStr">
        <is>
          <t>recetteProportion</t>
        </is>
      </c>
      <c r="E719" t="n">
        <v>0.25</v>
      </c>
    </row>
    <row r="720">
      <c r="A720" t="n">
        <v>3</v>
      </c>
      <c r="B720" t="inlineStr">
        <is>
          <t>Panch phoronEpice 100ml</t>
        </is>
      </c>
      <c r="C720" t="inlineStr">
        <is>
          <t>Graine De Fenouil</t>
        </is>
      </c>
      <c r="D720" t="inlineStr">
        <is>
          <t>productionInKg</t>
        </is>
      </c>
      <c r="E720" t="n">
        <v>0</v>
      </c>
      <c r="F720" t="inlineStr">
        <is>
          <t>inversReductionIngredient</t>
        </is>
      </c>
      <c r="H720" t="inlineStr">
        <is>
          <t>finalValue</t>
        </is>
      </c>
      <c r="I720" t="n">
        <v>0</v>
      </c>
    </row>
    <row r="721">
      <c r="A721" t="n">
        <v>4</v>
      </c>
      <c r="B721" t="inlineStr">
        <is>
          <t>Panch phoronEpice 100ml</t>
        </is>
      </c>
      <c r="C721" t="inlineStr">
        <is>
          <t>Graine De Fenouil</t>
        </is>
      </c>
      <c r="D721" t="inlineStr">
        <is>
          <t>PROD</t>
        </is>
      </c>
      <c r="E721" t="inlineStr">
        <is>
          <t>graine de fenouil</t>
        </is>
      </c>
      <c r="F721" t="inlineStr">
        <is>
          <t>productionToAdd</t>
        </is>
      </c>
      <c r="G721" t="n">
        <v>0</v>
      </c>
      <c r="H721" t="inlineStr">
        <is>
          <t>currentCell</t>
        </is>
      </c>
      <c r="I721" t="n">
        <v>0</v>
      </c>
    </row>
    <row r="722">
      <c r="A722" t="n">
        <v>2</v>
      </c>
      <c r="B722" t="inlineStr">
        <is>
          <t>Panch phoronEpice 100ml</t>
        </is>
      </c>
      <c r="C722" t="inlineStr">
        <is>
          <t>Graine De Nigelle</t>
        </is>
      </c>
      <c r="D722" t="inlineStr">
        <is>
          <t>recetteProportion</t>
        </is>
      </c>
      <c r="E722" t="n">
        <v>0.125</v>
      </c>
    </row>
    <row r="723">
      <c r="A723" t="n">
        <v>3</v>
      </c>
      <c r="B723" t="inlineStr">
        <is>
          <t>Panch phoronEpice 100ml</t>
        </is>
      </c>
      <c r="C723" t="inlineStr">
        <is>
          <t>Graine De Nigelle</t>
        </is>
      </c>
      <c r="D723" t="inlineStr">
        <is>
          <t>productionInKg</t>
        </is>
      </c>
      <c r="E723" t="n">
        <v>0</v>
      </c>
      <c r="F723" t="inlineStr">
        <is>
          <t>inversReductionIngredient</t>
        </is>
      </c>
      <c r="H723" t="inlineStr">
        <is>
          <t>finalValue</t>
        </is>
      </c>
      <c r="I723" t="n">
        <v>0</v>
      </c>
    </row>
    <row r="724">
      <c r="A724" t="n">
        <v>4</v>
      </c>
      <c r="B724" t="inlineStr">
        <is>
          <t>Panch phoronEpice 100ml</t>
        </is>
      </c>
      <c r="C724" t="inlineStr">
        <is>
          <t>Graine De Nigelle</t>
        </is>
      </c>
      <c r="D724" t="inlineStr">
        <is>
          <t>PROD</t>
        </is>
      </c>
      <c r="E724" t="inlineStr">
        <is>
          <t>graine de nigelle</t>
        </is>
      </c>
      <c r="F724" t="inlineStr">
        <is>
          <t>productionToAdd</t>
        </is>
      </c>
      <c r="G724" t="n">
        <v>0</v>
      </c>
      <c r="H724" t="inlineStr">
        <is>
          <t>currentCell</t>
        </is>
      </c>
      <c r="I724" t="n">
        <v>0</v>
      </c>
    </row>
    <row r="725">
      <c r="A725" t="n">
        <v>2</v>
      </c>
      <c r="B725" t="inlineStr">
        <is>
          <t>Panch phoronEpice 100ml</t>
        </is>
      </c>
      <c r="C725" t="inlineStr">
        <is>
          <t>Graine De Fenugrec</t>
        </is>
      </c>
      <c r="D725" t="inlineStr">
        <is>
          <t>recetteProportion</t>
        </is>
      </c>
      <c r="E725" t="n">
        <v>0.125</v>
      </c>
    </row>
    <row r="726">
      <c r="A726" t="n">
        <v>3</v>
      </c>
      <c r="B726" t="inlineStr">
        <is>
          <t>Panch phoronEpice 100ml</t>
        </is>
      </c>
      <c r="C726" t="inlineStr">
        <is>
          <t>Graine De Fenugrec</t>
        </is>
      </c>
      <c r="D726" t="inlineStr">
        <is>
          <t>productionInKg</t>
        </is>
      </c>
      <c r="E726" t="n">
        <v>0</v>
      </c>
      <c r="F726" t="inlineStr">
        <is>
          <t>inversReductionIngredient</t>
        </is>
      </c>
      <c r="H726" t="inlineStr">
        <is>
          <t>finalValue</t>
        </is>
      </c>
      <c r="I726" t="n">
        <v>0</v>
      </c>
    </row>
    <row r="728">
      <c r="A728" t="n">
        <v>1</v>
      </c>
      <c r="B728" t="inlineStr">
        <is>
          <t>PaprikaEpice 100ml</t>
        </is>
      </c>
      <c r="D728" t="inlineStr">
        <is>
          <t>annee</t>
        </is>
      </c>
      <c r="E728" t="n">
        <v>1</v>
      </c>
      <c r="F728" t="inlineStr">
        <is>
          <t>prod</t>
        </is>
      </c>
      <c r="G728" t="n">
        <v>15</v>
      </c>
    </row>
    <row r="729">
      <c r="A729" t="n">
        <v>2</v>
      </c>
      <c r="B729" t="inlineStr">
        <is>
          <t>PaprikaEpice 100ml</t>
        </is>
      </c>
      <c r="C729" t="inlineStr">
        <is>
          <t>Piment Doux Rouge En Poudre</t>
        </is>
      </c>
      <c r="D729" t="inlineStr">
        <is>
          <t>recetteProportion</t>
        </is>
      </c>
      <c r="E729" t="n">
        <v>1</v>
      </c>
    </row>
    <row r="730">
      <c r="A730" t="n">
        <v>3</v>
      </c>
      <c r="B730" t="inlineStr">
        <is>
          <t>PaprikaEpice 100ml</t>
        </is>
      </c>
      <c r="C730" t="inlineStr">
        <is>
          <t>Piment Doux Rouge En Poudre</t>
        </is>
      </c>
      <c r="D730" t="inlineStr">
        <is>
          <t>productionInKg</t>
        </is>
      </c>
      <c r="E730" t="n">
        <v>15</v>
      </c>
      <c r="F730" t="inlineStr">
        <is>
          <t>inversReductionIngredient</t>
        </is>
      </c>
      <c r="H730" t="inlineStr">
        <is>
          <t>finalValue</t>
        </is>
      </c>
      <c r="I730" t="n">
        <v>3</v>
      </c>
    </row>
    <row r="731">
      <c r="A731" t="n">
        <v>4</v>
      </c>
      <c r="B731" t="inlineStr">
        <is>
          <t>PaprikaEpice 100ml</t>
        </is>
      </c>
      <c r="C731" t="inlineStr">
        <is>
          <t>Piment Doux Rouge En Poudre</t>
        </is>
      </c>
      <c r="D731" t="inlineStr">
        <is>
          <t>PROD</t>
        </is>
      </c>
      <c r="E731" t="inlineStr">
        <is>
          <t>piment doux rouge</t>
        </is>
      </c>
      <c r="F731" t="inlineStr">
        <is>
          <t>productionToAdd</t>
        </is>
      </c>
      <c r="G731" t="n">
        <v>3</v>
      </c>
      <c r="H731" t="inlineStr">
        <is>
          <t>currentCell</t>
        </is>
      </c>
      <c r="I731" t="n">
        <v>5.399571600713326</v>
      </c>
    </row>
    <row r="732">
      <c r="A732" t="n">
        <v>1</v>
      </c>
      <c r="B732" t="inlineStr">
        <is>
          <t>Paprika fuméEpice 100ml</t>
        </is>
      </c>
      <c r="D732" t="inlineStr">
        <is>
          <t>annee</t>
        </is>
      </c>
      <c r="E732" t="n">
        <v>1</v>
      </c>
      <c r="F732" t="inlineStr">
        <is>
          <t>prod</t>
        </is>
      </c>
      <c r="G732" t="n">
        <v>32.5</v>
      </c>
    </row>
    <row r="733">
      <c r="A733" t="n">
        <v>2</v>
      </c>
      <c r="B733" t="inlineStr">
        <is>
          <t>Paprika fuméEpice 100ml</t>
        </is>
      </c>
      <c r="C733" t="inlineStr">
        <is>
          <t>Piment Doux Rouge En Poudre</t>
        </is>
      </c>
      <c r="D733" t="inlineStr">
        <is>
          <t>recetteProportion</t>
        </is>
      </c>
      <c r="E733" t="n">
        <v>1</v>
      </c>
    </row>
    <row r="734">
      <c r="A734" t="n">
        <v>3</v>
      </c>
      <c r="B734" t="inlineStr">
        <is>
          <t>Paprika fuméEpice 100ml</t>
        </is>
      </c>
      <c r="C734" t="inlineStr">
        <is>
          <t>Piment Doux Rouge En Poudre</t>
        </is>
      </c>
      <c r="D734" t="inlineStr">
        <is>
          <t>productionInKg</t>
        </is>
      </c>
      <c r="E734" t="n">
        <v>32.5</v>
      </c>
      <c r="F734" t="inlineStr">
        <is>
          <t>inversReductionIngredient</t>
        </is>
      </c>
      <c r="H734" t="inlineStr">
        <is>
          <t>finalValue</t>
        </is>
      </c>
      <c r="I734" t="n">
        <v>6.5</v>
      </c>
    </row>
    <row r="735">
      <c r="A735" t="n">
        <v>4</v>
      </c>
      <c r="B735" t="inlineStr">
        <is>
          <t>Paprika fuméEpice 100ml</t>
        </is>
      </c>
      <c r="C735" t="inlineStr">
        <is>
          <t>Piment Doux Rouge En Poudre</t>
        </is>
      </c>
      <c r="D735" t="inlineStr">
        <is>
          <t>PROD</t>
        </is>
      </c>
      <c r="E735" t="inlineStr">
        <is>
          <t>piment doux rouge</t>
        </is>
      </c>
      <c r="F735" t="inlineStr">
        <is>
          <t>productionToAdd</t>
        </is>
      </c>
      <c r="G735" t="n">
        <v>6.5</v>
      </c>
      <c r="H735" t="inlineStr">
        <is>
          <t>currentCell</t>
        </is>
      </c>
      <c r="I735" t="n">
        <v>11.89957160071333</v>
      </c>
    </row>
    <row r="736">
      <c r="A736" t="n">
        <v>1</v>
      </c>
      <c r="B736" t="inlineStr">
        <is>
          <t>Pâte vindalooEpice 100ml</t>
        </is>
      </c>
      <c r="D736" t="inlineStr">
        <is>
          <t>annee</t>
        </is>
      </c>
      <c r="E736" t="n">
        <v>1</v>
      </c>
      <c r="F736" t="inlineStr">
        <is>
          <t>prod</t>
        </is>
      </c>
      <c r="G736" t="n">
        <v>0</v>
      </c>
    </row>
    <row r="737">
      <c r="A737" t="n">
        <v>2</v>
      </c>
      <c r="B737" t="inlineStr">
        <is>
          <t>Pâte vindalooEpice 100ml</t>
        </is>
      </c>
      <c r="C737" t="inlineStr">
        <is>
          <t>Graine De Cumin</t>
        </is>
      </c>
      <c r="D737" t="inlineStr">
        <is>
          <t>recetteProportion</t>
        </is>
      </c>
      <c r="E737" t="n">
        <v>0.08333333333333333</v>
      </c>
    </row>
    <row r="738">
      <c r="A738" t="n">
        <v>3</v>
      </c>
      <c r="B738" t="inlineStr">
        <is>
          <t>Pâte vindalooEpice 100ml</t>
        </is>
      </c>
      <c r="C738" t="inlineStr">
        <is>
          <t>Graine De Cumin</t>
        </is>
      </c>
      <c r="D738" t="inlineStr">
        <is>
          <t>productionInKg</t>
        </is>
      </c>
      <c r="E738" t="n">
        <v>0</v>
      </c>
      <c r="F738" t="inlineStr">
        <is>
          <t>inversReductionIngredient</t>
        </is>
      </c>
      <c r="H738" t="inlineStr">
        <is>
          <t>finalValue</t>
        </is>
      </c>
      <c r="I738" t="n">
        <v>0</v>
      </c>
    </row>
    <row r="739">
      <c r="A739" t="n">
        <v>4</v>
      </c>
      <c r="B739" t="inlineStr">
        <is>
          <t>Pâte vindalooEpice 100ml</t>
        </is>
      </c>
      <c r="C739" t="inlineStr">
        <is>
          <t>Graine De Cumin</t>
        </is>
      </c>
      <c r="D739" t="inlineStr">
        <is>
          <t>PROD</t>
        </is>
      </c>
      <c r="E739" t="inlineStr">
        <is>
          <t>graine cumin</t>
        </is>
      </c>
      <c r="F739" t="inlineStr">
        <is>
          <t>productionToAdd</t>
        </is>
      </c>
      <c r="G739" t="n">
        <v>0</v>
      </c>
      <c r="H739" t="inlineStr">
        <is>
          <t>currentCell</t>
        </is>
      </c>
      <c r="I739" t="n">
        <v>57.47181617169969</v>
      </c>
    </row>
    <row r="740">
      <c r="A740" t="n">
        <v>2</v>
      </c>
      <c r="B740" t="inlineStr">
        <is>
          <t>Pâte vindalooEpice 100ml</t>
        </is>
      </c>
      <c r="C740" t="inlineStr">
        <is>
          <t>Piments Kashmiri Séchés Entier</t>
        </is>
      </c>
      <c r="D740" t="inlineStr">
        <is>
          <t>recetteProportion</t>
        </is>
      </c>
      <c r="E740" t="n">
        <v>0.08333333333333333</v>
      </c>
    </row>
    <row r="741">
      <c r="A741" t="n">
        <v>3</v>
      </c>
      <c r="B741" t="inlineStr">
        <is>
          <t>Pâte vindalooEpice 100ml</t>
        </is>
      </c>
      <c r="C741" t="inlineStr">
        <is>
          <t>Piments Kashmiri Séchés Entier</t>
        </is>
      </c>
      <c r="D741" t="inlineStr">
        <is>
          <t>productionInKg</t>
        </is>
      </c>
      <c r="E741" t="n">
        <v>0</v>
      </c>
      <c r="F741" t="inlineStr">
        <is>
          <t>inversReductionIngredient</t>
        </is>
      </c>
      <c r="H741" t="inlineStr">
        <is>
          <t>finalValue</t>
        </is>
      </c>
      <c r="I741" t="n">
        <v>0</v>
      </c>
    </row>
    <row r="742">
      <c r="A742" t="n">
        <v>4</v>
      </c>
      <c r="B742" t="inlineStr">
        <is>
          <t>Pâte vindalooEpice 100ml</t>
        </is>
      </c>
      <c r="C742" t="inlineStr">
        <is>
          <t>Piments Kashmiri Séchés Entier</t>
        </is>
      </c>
      <c r="D742" t="inlineStr">
        <is>
          <t>PROD</t>
        </is>
      </c>
      <c r="E742" t="inlineStr">
        <is>
          <t>piments kashmiri</t>
        </is>
      </c>
      <c r="F742" t="inlineStr">
        <is>
          <t>productionToAdd</t>
        </is>
      </c>
      <c r="G742" t="n">
        <v>0</v>
      </c>
      <c r="H742" t="inlineStr">
        <is>
          <t>currentCell</t>
        </is>
      </c>
      <c r="I742" t="n">
        <v>0</v>
      </c>
    </row>
    <row r="743">
      <c r="A743" t="n">
        <v>2</v>
      </c>
      <c r="B743" t="inlineStr">
        <is>
          <t>Pâte vindalooEpice 100ml</t>
        </is>
      </c>
      <c r="C743" t="inlineStr">
        <is>
          <t>Poivre Noir</t>
        </is>
      </c>
      <c r="D743" t="inlineStr">
        <is>
          <t>recetteProportion</t>
        </is>
      </c>
      <c r="E743" t="n">
        <v>0.08333333333333333</v>
      </c>
    </row>
    <row r="744">
      <c r="A744" t="n">
        <v>3</v>
      </c>
      <c r="B744" t="inlineStr">
        <is>
          <t>Pâte vindalooEpice 100ml</t>
        </is>
      </c>
      <c r="C744" t="inlineStr">
        <is>
          <t>Poivre Noir</t>
        </is>
      </c>
      <c r="D744" t="inlineStr">
        <is>
          <t>productionInKg</t>
        </is>
      </c>
      <c r="E744" t="n">
        <v>0</v>
      </c>
      <c r="F744" t="inlineStr">
        <is>
          <t>inversReductionIngredient</t>
        </is>
      </c>
      <c r="H744" t="inlineStr">
        <is>
          <t>finalValue</t>
        </is>
      </c>
      <c r="I744" t="n">
        <v>0</v>
      </c>
    </row>
    <row r="745">
      <c r="A745" t="n">
        <v>4</v>
      </c>
      <c r="B745" t="inlineStr">
        <is>
          <t>Pâte vindalooEpice 100ml</t>
        </is>
      </c>
      <c r="C745" t="inlineStr">
        <is>
          <t>Poivre Noir</t>
        </is>
      </c>
      <c r="D745" t="inlineStr">
        <is>
          <t>PROD</t>
        </is>
      </c>
      <c r="E745" t="inlineStr">
        <is>
          <t>poivre noir</t>
        </is>
      </c>
      <c r="F745" t="inlineStr">
        <is>
          <t>productionToAdd</t>
        </is>
      </c>
      <c r="G745" t="n">
        <v>0</v>
      </c>
      <c r="H745" t="inlineStr">
        <is>
          <t>currentCell</t>
        </is>
      </c>
      <c r="I745" t="n">
        <v>0.4895246920461513</v>
      </c>
    </row>
    <row r="746">
      <c r="A746" t="n">
        <v>2</v>
      </c>
      <c r="B746" t="inlineStr">
        <is>
          <t>Pâte vindalooEpice 100ml</t>
        </is>
      </c>
      <c r="C746" t="inlineStr">
        <is>
          <t>Graine De Moutarde Noire</t>
        </is>
      </c>
      <c r="D746" t="inlineStr">
        <is>
          <t>recetteProportion</t>
        </is>
      </c>
      <c r="E746" t="n">
        <v>0.08333333333333333</v>
      </c>
    </row>
    <row r="747">
      <c r="A747" t="n">
        <v>3</v>
      </c>
      <c r="B747" t="inlineStr">
        <is>
          <t>Pâte vindalooEpice 100ml</t>
        </is>
      </c>
      <c r="C747" t="inlineStr">
        <is>
          <t>Graine De Moutarde Noire</t>
        </is>
      </c>
      <c r="D747" t="inlineStr">
        <is>
          <t>productionInKg</t>
        </is>
      </c>
      <c r="E747" t="n">
        <v>0</v>
      </c>
      <c r="F747" t="inlineStr">
        <is>
          <t>inversReductionIngredient</t>
        </is>
      </c>
      <c r="H747" t="inlineStr">
        <is>
          <t>finalValue</t>
        </is>
      </c>
      <c r="I747" t="n">
        <v>0</v>
      </c>
    </row>
    <row r="748">
      <c r="A748" t="n">
        <v>4</v>
      </c>
      <c r="B748" t="inlineStr">
        <is>
          <t>Pâte vindalooEpice 100ml</t>
        </is>
      </c>
      <c r="C748" t="inlineStr">
        <is>
          <t>Graine De Moutarde Noire</t>
        </is>
      </c>
      <c r="D748" t="inlineStr">
        <is>
          <t>PROD</t>
        </is>
      </c>
      <c r="E748" t="inlineStr">
        <is>
          <t>graine de moutarde noire</t>
        </is>
      </c>
      <c r="F748" t="inlineStr">
        <is>
          <t>productionToAdd</t>
        </is>
      </c>
      <c r="G748" t="n">
        <v>0</v>
      </c>
      <c r="H748" t="inlineStr">
        <is>
          <t>currentCell</t>
        </is>
      </c>
      <c r="I748" t="n">
        <v>0</v>
      </c>
    </row>
    <row r="749">
      <c r="A749" t="n">
        <v>2</v>
      </c>
      <c r="B749" t="inlineStr">
        <is>
          <t>Pâte vindalooEpice 100ml</t>
        </is>
      </c>
      <c r="C749" t="inlineStr">
        <is>
          <t>Graine De Fenugrec</t>
        </is>
      </c>
      <c r="D749" t="inlineStr">
        <is>
          <t>recetteProportion</t>
        </is>
      </c>
      <c r="E749" t="n">
        <v>0.08333333333333333</v>
      </c>
    </row>
    <row r="750">
      <c r="A750" t="n">
        <v>3</v>
      </c>
      <c r="B750" t="inlineStr">
        <is>
          <t>Pâte vindalooEpice 100ml</t>
        </is>
      </c>
      <c r="C750" t="inlineStr">
        <is>
          <t>Graine De Fenugrec</t>
        </is>
      </c>
      <c r="D750" t="inlineStr">
        <is>
          <t>productionInKg</t>
        </is>
      </c>
      <c r="E750" t="n">
        <v>0</v>
      </c>
      <c r="F750" t="inlineStr">
        <is>
          <t>inversReductionIngredient</t>
        </is>
      </c>
      <c r="H750" t="inlineStr">
        <is>
          <t>finalValue</t>
        </is>
      </c>
      <c r="I750" t="n">
        <v>0</v>
      </c>
    </row>
    <row r="751">
      <c r="A751" t="n">
        <v>4</v>
      </c>
      <c r="B751" t="inlineStr">
        <is>
          <t>Pâte vindalooEpice 100ml</t>
        </is>
      </c>
      <c r="C751" t="inlineStr">
        <is>
          <t>Graine De Fenugrec</t>
        </is>
      </c>
      <c r="D751" t="inlineStr">
        <is>
          <t>PROD</t>
        </is>
      </c>
      <c r="E751" t="inlineStr">
        <is>
          <t>graine de fenugrec</t>
        </is>
      </c>
      <c r="F751" t="inlineStr">
        <is>
          <t>productionToAdd</t>
        </is>
      </c>
      <c r="G751" t="n">
        <v>0</v>
      </c>
      <c r="H751" t="inlineStr">
        <is>
          <t>currentCell</t>
        </is>
      </c>
      <c r="I751" t="n">
        <v>0.3214285714285714</v>
      </c>
    </row>
    <row r="752">
      <c r="A752" t="n">
        <v>2</v>
      </c>
      <c r="B752" t="inlineStr">
        <is>
          <t>Pâte vindalooEpice 100ml</t>
        </is>
      </c>
      <c r="C752" t="inlineStr">
        <is>
          <t>Clous De Girofle</t>
        </is>
      </c>
      <c r="D752" t="inlineStr">
        <is>
          <t>recetteProportion</t>
        </is>
      </c>
      <c r="E752" t="n">
        <v>0.08333333333333333</v>
      </c>
    </row>
    <row r="753">
      <c r="A753" t="n">
        <v>3</v>
      </c>
      <c r="B753" t="inlineStr">
        <is>
          <t>Pâte vindalooEpice 100ml</t>
        </is>
      </c>
      <c r="C753" t="inlineStr">
        <is>
          <t>Clous De Girofle</t>
        </is>
      </c>
      <c r="D753" t="inlineStr">
        <is>
          <t>productionInKg</t>
        </is>
      </c>
      <c r="E753" t="n">
        <v>0</v>
      </c>
      <c r="F753" t="inlineStr">
        <is>
          <t>inversReductionIngredient</t>
        </is>
      </c>
      <c r="H753" t="inlineStr">
        <is>
          <t>finalValue</t>
        </is>
      </c>
      <c r="I753" t="n">
        <v>0</v>
      </c>
    </row>
    <row r="754">
      <c r="A754" t="n">
        <v>4</v>
      </c>
      <c r="B754" t="inlineStr">
        <is>
          <t>Pâte vindalooEpice 100ml</t>
        </is>
      </c>
      <c r="C754" t="inlineStr">
        <is>
          <t>Clous De Girofle</t>
        </is>
      </c>
      <c r="D754" t="inlineStr">
        <is>
          <t>PROD</t>
        </is>
      </c>
      <c r="E754" t="inlineStr">
        <is>
          <t>clous de girofle</t>
        </is>
      </c>
      <c r="F754" t="inlineStr">
        <is>
          <t>productionToAdd</t>
        </is>
      </c>
      <c r="G754" t="n">
        <v>0</v>
      </c>
      <c r="H754" t="inlineStr">
        <is>
          <t>currentCell</t>
        </is>
      </c>
      <c r="I754" t="n">
        <v>0.02682403433476395</v>
      </c>
    </row>
    <row r="755">
      <c r="A755" t="n">
        <v>2</v>
      </c>
      <c r="B755" t="inlineStr">
        <is>
          <t>Pâte vindalooEpice 100ml</t>
        </is>
      </c>
      <c r="C755" t="inlineStr">
        <is>
          <t>Graine De Cardamone</t>
        </is>
      </c>
      <c r="D755" t="inlineStr">
        <is>
          <t>recetteProportion</t>
        </is>
      </c>
      <c r="E755" t="n">
        <v>0.08333333333333333</v>
      </c>
    </row>
    <row r="756">
      <c r="A756" t="n">
        <v>3</v>
      </c>
      <c r="B756" t="inlineStr">
        <is>
          <t>Pâte vindalooEpice 100ml</t>
        </is>
      </c>
      <c r="C756" t="inlineStr">
        <is>
          <t>Graine De Cardamone</t>
        </is>
      </c>
      <c r="D756" t="inlineStr">
        <is>
          <t>productionInKg</t>
        </is>
      </c>
      <c r="E756" t="n">
        <v>0</v>
      </c>
      <c r="F756" t="inlineStr">
        <is>
          <t>inversReductionIngredient</t>
        </is>
      </c>
      <c r="H756" t="inlineStr">
        <is>
          <t>finalValue</t>
        </is>
      </c>
      <c r="I756" t="n">
        <v>0</v>
      </c>
    </row>
    <row r="757">
      <c r="A757" t="n">
        <v>4</v>
      </c>
      <c r="B757" t="inlineStr">
        <is>
          <t>Pâte vindalooEpice 100ml</t>
        </is>
      </c>
      <c r="C757" t="inlineStr">
        <is>
          <t>Graine De Cardamone</t>
        </is>
      </c>
      <c r="D757" t="inlineStr">
        <is>
          <t>PROD</t>
        </is>
      </c>
      <c r="E757" t="inlineStr">
        <is>
          <t>graine de cardamone</t>
        </is>
      </c>
      <c r="F757" t="inlineStr">
        <is>
          <t>productionToAdd</t>
        </is>
      </c>
      <c r="G757" t="n">
        <v>0</v>
      </c>
      <c r="H757" t="inlineStr">
        <is>
          <t>currentCell</t>
        </is>
      </c>
      <c r="I757" t="n">
        <v>0.04291845493562233</v>
      </c>
    </row>
    <row r="758">
      <c r="A758" t="n">
        <v>2</v>
      </c>
      <c r="B758" t="inlineStr">
        <is>
          <t>Pâte vindalooEpice 100ml</t>
        </is>
      </c>
      <c r="C758" t="inlineStr">
        <is>
          <t>Casse Concassée</t>
        </is>
      </c>
      <c r="D758" t="inlineStr">
        <is>
          <t>recetteProportion</t>
        </is>
      </c>
      <c r="E758" t="n">
        <v>0.08333333333333333</v>
      </c>
    </row>
    <row r="759">
      <c r="A759" t="n">
        <v>3</v>
      </c>
      <c r="B759" t="inlineStr">
        <is>
          <t>Pâte vindalooEpice 100ml</t>
        </is>
      </c>
      <c r="C759" t="inlineStr">
        <is>
          <t>Casse Concassée</t>
        </is>
      </c>
      <c r="D759" t="inlineStr">
        <is>
          <t>productionInKg</t>
        </is>
      </c>
      <c r="E759" t="n">
        <v>0</v>
      </c>
      <c r="F759" t="inlineStr">
        <is>
          <t>inversReductionIngredient</t>
        </is>
      </c>
      <c r="H759" t="inlineStr">
        <is>
          <t>finalValue</t>
        </is>
      </c>
      <c r="I759" t="n">
        <v>0</v>
      </c>
    </row>
    <row r="760">
      <c r="A760" t="n">
        <v>4</v>
      </c>
      <c r="B760" t="inlineStr">
        <is>
          <t>Pâte vindalooEpice 100ml</t>
        </is>
      </c>
      <c r="C760" t="inlineStr">
        <is>
          <t>Casse Concassée</t>
        </is>
      </c>
      <c r="D760" t="inlineStr">
        <is>
          <t>PROD</t>
        </is>
      </c>
      <c r="E760" t="inlineStr">
        <is>
          <t>casse</t>
        </is>
      </c>
      <c r="F760" t="inlineStr">
        <is>
          <t>productionToAdd</t>
        </is>
      </c>
      <c r="G760" t="n">
        <v>0</v>
      </c>
      <c r="H760" t="inlineStr">
        <is>
          <t>currentCell</t>
        </is>
      </c>
      <c r="I760" t="n">
        <v>0</v>
      </c>
    </row>
    <row r="761">
      <c r="A761" t="n">
        <v>2</v>
      </c>
      <c r="B761" t="inlineStr">
        <is>
          <t>Pâte vindalooEpice 100ml</t>
        </is>
      </c>
      <c r="C761" t="inlineStr">
        <is>
          <t>Anis Étoilé</t>
        </is>
      </c>
      <c r="D761" t="inlineStr">
        <is>
          <t>recetteProportion</t>
        </is>
      </c>
      <c r="E761" t="n">
        <v>0.08333333333333333</v>
      </c>
    </row>
    <row r="762">
      <c r="A762" t="n">
        <v>3</v>
      </c>
      <c r="B762" t="inlineStr">
        <is>
          <t>Pâte vindalooEpice 100ml</t>
        </is>
      </c>
      <c r="C762" t="inlineStr">
        <is>
          <t>Anis Étoilé</t>
        </is>
      </c>
      <c r="D762" t="inlineStr">
        <is>
          <t>productionInKg</t>
        </is>
      </c>
      <c r="E762" t="n">
        <v>0</v>
      </c>
      <c r="F762" t="inlineStr">
        <is>
          <t>inversReductionIngredient</t>
        </is>
      </c>
      <c r="H762" t="inlineStr">
        <is>
          <t>finalValue</t>
        </is>
      </c>
      <c r="I762" t="n">
        <v>0</v>
      </c>
    </row>
    <row r="763">
      <c r="A763" t="n">
        <v>4</v>
      </c>
      <c r="B763" t="inlineStr">
        <is>
          <t>Pâte vindalooEpice 100ml</t>
        </is>
      </c>
      <c r="C763" t="inlineStr">
        <is>
          <t>Anis Étoilé</t>
        </is>
      </c>
      <c r="D763" t="inlineStr">
        <is>
          <t>PROD</t>
        </is>
      </c>
      <c r="E763" t="inlineStr">
        <is>
          <t>anis étoilé</t>
        </is>
      </c>
      <c r="F763" t="inlineStr">
        <is>
          <t>productionToAdd</t>
        </is>
      </c>
      <c r="G763" t="n">
        <v>0</v>
      </c>
      <c r="H763" t="inlineStr">
        <is>
          <t>currentCell</t>
        </is>
      </c>
      <c r="I763" t="n">
        <v>0</v>
      </c>
    </row>
    <row r="764">
      <c r="A764" t="n">
        <v>2</v>
      </c>
      <c r="B764" t="inlineStr">
        <is>
          <t>Pâte vindalooEpice 100ml</t>
        </is>
      </c>
      <c r="C764" t="inlineStr">
        <is>
          <t>Vinaigre De Cidre</t>
        </is>
      </c>
      <c r="D764" t="inlineStr">
        <is>
          <t>recetteProportion</t>
        </is>
      </c>
      <c r="E764" t="n">
        <v>0.08333333333333333</v>
      </c>
    </row>
    <row r="765">
      <c r="A765" t="n">
        <v>3</v>
      </c>
      <c r="B765" t="inlineStr">
        <is>
          <t>Pâte vindalooEpice 100ml</t>
        </is>
      </c>
      <c r="C765" t="inlineStr">
        <is>
          <t>Vinaigre De Cidre</t>
        </is>
      </c>
      <c r="D765" t="inlineStr">
        <is>
          <t>productionInKg</t>
        </is>
      </c>
      <c r="E765" t="n">
        <v>0</v>
      </c>
      <c r="F765" t="inlineStr">
        <is>
          <t>inversReductionIngredient</t>
        </is>
      </c>
      <c r="H765" t="inlineStr">
        <is>
          <t>finalValue</t>
        </is>
      </c>
      <c r="I765" t="n">
        <v>0</v>
      </c>
    </row>
    <row r="766">
      <c r="A766" t="n">
        <v>4</v>
      </c>
      <c r="B766" t="inlineStr">
        <is>
          <t>Pâte vindalooEpice 100ml</t>
        </is>
      </c>
      <c r="C766" t="inlineStr">
        <is>
          <t>Vinaigre De Cidre</t>
        </is>
      </c>
      <c r="D766" t="inlineStr">
        <is>
          <t>PROD</t>
        </is>
      </c>
      <c r="E766" t="inlineStr">
        <is>
          <t>vinaigre de cidre</t>
        </is>
      </c>
      <c r="F766" t="inlineStr">
        <is>
          <t>productionToAdd</t>
        </is>
      </c>
      <c r="G766" t="n">
        <v>0</v>
      </c>
      <c r="H766" t="inlineStr">
        <is>
          <t>currentCell</t>
        </is>
      </c>
      <c r="I766" t="n">
        <v>94.80696999952454</v>
      </c>
    </row>
    <row r="767">
      <c r="A767" t="n">
        <v>2</v>
      </c>
      <c r="B767" t="inlineStr">
        <is>
          <t>Pâte vindalooEpice 100ml</t>
        </is>
      </c>
      <c r="C767" t="inlineStr">
        <is>
          <t>Sel</t>
        </is>
      </c>
      <c r="D767" t="inlineStr">
        <is>
          <t>recetteProportion</t>
        </is>
      </c>
      <c r="E767" t="n">
        <v>0.08333333333333333</v>
      </c>
    </row>
    <row r="768">
      <c r="A768" t="n">
        <v>3</v>
      </c>
      <c r="B768" t="inlineStr">
        <is>
          <t>Pâte vindalooEpice 100ml</t>
        </is>
      </c>
      <c r="C768" t="inlineStr">
        <is>
          <t>Sel</t>
        </is>
      </c>
      <c r="D768" t="inlineStr">
        <is>
          <t>productionInKg</t>
        </is>
      </c>
      <c r="E768" t="n">
        <v>0</v>
      </c>
      <c r="F768" t="inlineStr">
        <is>
          <t>inversReductionIngredient</t>
        </is>
      </c>
      <c r="H768" t="inlineStr">
        <is>
          <t>finalValue</t>
        </is>
      </c>
      <c r="I768" t="n">
        <v>0</v>
      </c>
    </row>
    <row r="769">
      <c r="A769" t="n">
        <v>4</v>
      </c>
      <c r="B769" t="inlineStr">
        <is>
          <t>Pâte vindalooEpice 100ml</t>
        </is>
      </c>
      <c r="C769" t="inlineStr">
        <is>
          <t>Sel</t>
        </is>
      </c>
      <c r="D769" t="inlineStr">
        <is>
          <t>PROD</t>
        </is>
      </c>
      <c r="E769" t="inlineStr">
        <is>
          <t>sel</t>
        </is>
      </c>
      <c r="F769" t="inlineStr">
        <is>
          <t>productionToAdd</t>
        </is>
      </c>
      <c r="G769" t="n">
        <v>0</v>
      </c>
      <c r="H769" t="inlineStr">
        <is>
          <t>currentCell</t>
        </is>
      </c>
      <c r="I769" t="n">
        <v>73.50427990640902</v>
      </c>
    </row>
    <row r="770">
      <c r="A770" t="n">
        <v>2</v>
      </c>
      <c r="B770" t="inlineStr">
        <is>
          <t>Pâte vindalooEpice 100ml</t>
        </is>
      </c>
      <c r="C770" t="inlineStr">
        <is>
          <t>Jaggery</t>
        </is>
      </c>
      <c r="D770" t="inlineStr">
        <is>
          <t>recetteProportion</t>
        </is>
      </c>
      <c r="E770" t="n">
        <v>0.08333333333333333</v>
      </c>
    </row>
    <row r="771">
      <c r="A771" t="n">
        <v>3</v>
      </c>
      <c r="B771" t="inlineStr">
        <is>
          <t>Pâte vindalooEpice 100ml</t>
        </is>
      </c>
      <c r="C771" t="inlineStr">
        <is>
          <t>Jaggery</t>
        </is>
      </c>
      <c r="D771" t="inlineStr">
        <is>
          <t>productionInKg</t>
        </is>
      </c>
      <c r="E771" t="n">
        <v>0</v>
      </c>
      <c r="F771" t="inlineStr">
        <is>
          <t>inversReductionIngredient</t>
        </is>
      </c>
      <c r="H771" t="inlineStr">
        <is>
          <t>finalValue</t>
        </is>
      </c>
      <c r="I771" t="n">
        <v>0</v>
      </c>
    </row>
    <row r="772">
      <c r="A772" t="n">
        <v>4</v>
      </c>
      <c r="B772" t="inlineStr">
        <is>
          <t>Pâte vindalooEpice 100ml</t>
        </is>
      </c>
      <c r="C772" t="inlineStr">
        <is>
          <t>Jaggery</t>
        </is>
      </c>
      <c r="D772" t="inlineStr">
        <is>
          <t>PROD</t>
        </is>
      </c>
      <c r="E772" t="inlineStr">
        <is>
          <t>jaggery</t>
        </is>
      </c>
      <c r="F772" t="inlineStr">
        <is>
          <t>productionToAdd</t>
        </is>
      </c>
      <c r="G772" t="n">
        <v>0</v>
      </c>
      <c r="H772" t="inlineStr">
        <is>
          <t>currentCell</t>
        </is>
      </c>
      <c r="I772" t="n">
        <v>0</v>
      </c>
    </row>
    <row r="773">
      <c r="A773" t="n">
        <v>1</v>
      </c>
      <c r="B773" t="inlineStr">
        <is>
          <t>Quatre épicesEpice 100ml</t>
        </is>
      </c>
      <c r="D773" t="inlineStr">
        <is>
          <t>annee</t>
        </is>
      </c>
      <c r="E773" t="n">
        <v>1</v>
      </c>
      <c r="F773" t="inlineStr">
        <is>
          <t>prod</t>
        </is>
      </c>
      <c r="G773" t="n">
        <v>0</v>
      </c>
    </row>
    <row r="774">
      <c r="A774" t="n">
        <v>2</v>
      </c>
      <c r="B774" t="inlineStr">
        <is>
          <t>Quatre épicesEpice 100ml</t>
        </is>
      </c>
      <c r="C774" t="inlineStr">
        <is>
          <t>Poivre Noir</t>
        </is>
      </c>
      <c r="D774" t="inlineStr">
        <is>
          <t>recetteProportion</t>
        </is>
      </c>
      <c r="E774" t="n">
        <v>0.4545454545454545</v>
      </c>
    </row>
    <row r="775">
      <c r="A775" t="n">
        <v>3</v>
      </c>
      <c r="B775" t="inlineStr">
        <is>
          <t>Quatre épicesEpice 100ml</t>
        </is>
      </c>
      <c r="C775" t="inlineStr">
        <is>
          <t>Poivre Noir</t>
        </is>
      </c>
      <c r="D775" t="inlineStr">
        <is>
          <t>productionInKg</t>
        </is>
      </c>
      <c r="E775" t="n">
        <v>0</v>
      </c>
      <c r="F775" t="inlineStr">
        <is>
          <t>inversReductionIngredient</t>
        </is>
      </c>
      <c r="H775" t="inlineStr">
        <is>
          <t>finalValue</t>
        </is>
      </c>
      <c r="I775" t="n">
        <v>0</v>
      </c>
    </row>
    <row r="776">
      <c r="A776" t="n">
        <v>4</v>
      </c>
      <c r="B776" t="inlineStr">
        <is>
          <t>Quatre épicesEpice 100ml</t>
        </is>
      </c>
      <c r="C776" t="inlineStr">
        <is>
          <t>Poivre Noir</t>
        </is>
      </c>
      <c r="D776" t="inlineStr">
        <is>
          <t>PROD</t>
        </is>
      </c>
      <c r="E776" t="inlineStr">
        <is>
          <t>poivre noir</t>
        </is>
      </c>
      <c r="F776" t="inlineStr">
        <is>
          <t>productionToAdd</t>
        </is>
      </c>
      <c r="G776" t="n">
        <v>0</v>
      </c>
      <c r="H776" t="inlineStr">
        <is>
          <t>currentCell</t>
        </is>
      </c>
      <c r="I776" t="n">
        <v>0.4895246920461513</v>
      </c>
    </row>
    <row r="777">
      <c r="A777" t="n">
        <v>2</v>
      </c>
      <c r="B777" t="inlineStr">
        <is>
          <t>Quatre épicesEpice 100ml</t>
        </is>
      </c>
      <c r="C777" t="inlineStr">
        <is>
          <t>Muscade Moulue</t>
        </is>
      </c>
      <c r="D777" t="inlineStr">
        <is>
          <t>recetteProportion</t>
        </is>
      </c>
      <c r="E777" t="n">
        <v>0.1363636363636364</v>
      </c>
    </row>
    <row r="778">
      <c r="A778" t="n">
        <v>3</v>
      </c>
      <c r="B778" t="inlineStr">
        <is>
          <t>Quatre épicesEpice 100ml</t>
        </is>
      </c>
      <c r="C778" t="inlineStr">
        <is>
          <t>Muscade Moulue</t>
        </is>
      </c>
      <c r="D778" t="inlineStr">
        <is>
          <t>productionInKg</t>
        </is>
      </c>
      <c r="E778" t="n">
        <v>0</v>
      </c>
      <c r="F778" t="inlineStr">
        <is>
          <t>inversReductionIngredient</t>
        </is>
      </c>
      <c r="H778" t="inlineStr">
        <is>
          <t>finalValue</t>
        </is>
      </c>
      <c r="I778" t="n">
        <v>0</v>
      </c>
    </row>
    <row r="779">
      <c r="A779" t="n">
        <v>4</v>
      </c>
      <c r="B779" t="inlineStr">
        <is>
          <t>Quatre épicesEpice 100ml</t>
        </is>
      </c>
      <c r="C779" t="inlineStr">
        <is>
          <t>Muscade Moulue</t>
        </is>
      </c>
      <c r="D779" t="inlineStr">
        <is>
          <t>PROD</t>
        </is>
      </c>
      <c r="E779" t="inlineStr">
        <is>
          <t>muscade</t>
        </is>
      </c>
      <c r="F779" t="inlineStr">
        <is>
          <t>productionToAdd</t>
        </is>
      </c>
      <c r="G779" t="n">
        <v>0</v>
      </c>
      <c r="H779" t="inlineStr">
        <is>
          <t>currentCell</t>
        </is>
      </c>
      <c r="I779" t="n">
        <v>0</v>
      </c>
    </row>
    <row r="780">
      <c r="A780" t="n">
        <v>2</v>
      </c>
      <c r="B780" t="inlineStr">
        <is>
          <t>Quatre épicesEpice 100ml</t>
        </is>
      </c>
      <c r="C780" t="inlineStr">
        <is>
          <t>Clous De Girofle</t>
        </is>
      </c>
      <c r="D780" t="inlineStr">
        <is>
          <t>recetteProportion</t>
        </is>
      </c>
      <c r="E780" t="n">
        <v>0.1363636363636364</v>
      </c>
    </row>
    <row r="781">
      <c r="A781" t="n">
        <v>3</v>
      </c>
      <c r="B781" t="inlineStr">
        <is>
          <t>Quatre épicesEpice 100ml</t>
        </is>
      </c>
      <c r="C781" t="inlineStr">
        <is>
          <t>Clous De Girofle</t>
        </is>
      </c>
      <c r="D781" t="inlineStr">
        <is>
          <t>productionInKg</t>
        </is>
      </c>
      <c r="E781" t="n">
        <v>0</v>
      </c>
      <c r="F781" t="inlineStr">
        <is>
          <t>inversReductionIngredient</t>
        </is>
      </c>
      <c r="H781" t="inlineStr">
        <is>
          <t>finalValue</t>
        </is>
      </c>
      <c r="I781" t="n">
        <v>0</v>
      </c>
    </row>
    <row r="782">
      <c r="A782" t="n">
        <v>4</v>
      </c>
      <c r="B782" t="inlineStr">
        <is>
          <t>Quatre épicesEpice 100ml</t>
        </is>
      </c>
      <c r="C782" t="inlineStr">
        <is>
          <t>Clous De Girofle</t>
        </is>
      </c>
      <c r="D782" t="inlineStr">
        <is>
          <t>PROD</t>
        </is>
      </c>
      <c r="E782" t="inlineStr">
        <is>
          <t>clous de girofle</t>
        </is>
      </c>
      <c r="F782" t="inlineStr">
        <is>
          <t>productionToAdd</t>
        </is>
      </c>
      <c r="G782" t="n">
        <v>0</v>
      </c>
      <c r="H782" t="inlineStr">
        <is>
          <t>currentCell</t>
        </is>
      </c>
      <c r="I782" t="n">
        <v>0.02682403433476395</v>
      </c>
    </row>
    <row r="783">
      <c r="A783" t="n">
        <v>2</v>
      </c>
      <c r="B783" t="inlineStr">
        <is>
          <t>Quatre épicesEpice 100ml</t>
        </is>
      </c>
      <c r="C783" t="inlineStr">
        <is>
          <t>Cannelle Moulue</t>
        </is>
      </c>
      <c r="D783" t="inlineStr">
        <is>
          <t>recetteProportion</t>
        </is>
      </c>
      <c r="E783" t="n">
        <v>0.1363636363636364</v>
      </c>
    </row>
    <row r="784">
      <c r="A784" t="n">
        <v>3</v>
      </c>
      <c r="B784" t="inlineStr">
        <is>
          <t>Quatre épicesEpice 100ml</t>
        </is>
      </c>
      <c r="C784" t="inlineStr">
        <is>
          <t>Cannelle Moulue</t>
        </is>
      </c>
      <c r="D784" t="inlineStr">
        <is>
          <t>productionInKg</t>
        </is>
      </c>
      <c r="E784" t="n">
        <v>0</v>
      </c>
      <c r="F784" t="inlineStr">
        <is>
          <t>inversReductionIngredient</t>
        </is>
      </c>
      <c r="H784" t="inlineStr">
        <is>
          <t>finalValue</t>
        </is>
      </c>
      <c r="I784" t="n">
        <v>0</v>
      </c>
    </row>
    <row r="785">
      <c r="A785" t="n">
        <v>4</v>
      </c>
      <c r="B785" t="inlineStr">
        <is>
          <t>Quatre épicesEpice 100ml</t>
        </is>
      </c>
      <c r="C785" t="inlineStr">
        <is>
          <t>Cannelle Moulue</t>
        </is>
      </c>
      <c r="D785" t="inlineStr">
        <is>
          <t>PROD</t>
        </is>
      </c>
      <c r="E785" t="inlineStr">
        <is>
          <t>cannelle</t>
        </is>
      </c>
      <c r="F785" t="inlineStr">
        <is>
          <t>productionToAdd</t>
        </is>
      </c>
      <c r="G785" t="n">
        <v>0</v>
      </c>
      <c r="H785" t="inlineStr">
        <is>
          <t>currentCell</t>
        </is>
      </c>
      <c r="I785" t="n">
        <v>0.05364806866952791</v>
      </c>
    </row>
    <row r="786">
      <c r="A786" t="n">
        <v>2</v>
      </c>
      <c r="B786" t="inlineStr">
        <is>
          <t>Quatre épicesEpice 100ml</t>
        </is>
      </c>
      <c r="C786" t="inlineStr">
        <is>
          <t>Gingembre Sec</t>
        </is>
      </c>
      <c r="D786" t="inlineStr">
        <is>
          <t>recetteProportion</t>
        </is>
      </c>
      <c r="E786" t="n">
        <v>0.1363636363636364</v>
      </c>
    </row>
    <row r="787">
      <c r="A787" t="n">
        <v>3</v>
      </c>
      <c r="B787" t="inlineStr">
        <is>
          <t>Quatre épicesEpice 100ml</t>
        </is>
      </c>
      <c r="C787" t="inlineStr">
        <is>
          <t>Gingembre Sec</t>
        </is>
      </c>
      <c r="D787" t="inlineStr">
        <is>
          <t>productionInKg</t>
        </is>
      </c>
      <c r="E787" t="n">
        <v>0</v>
      </c>
      <c r="F787" t="inlineStr">
        <is>
          <t>inversReductionIngredient</t>
        </is>
      </c>
      <c r="H787" t="inlineStr">
        <is>
          <t>finalValue</t>
        </is>
      </c>
      <c r="I787" t="n">
        <v>0</v>
      </c>
    </row>
    <row r="788">
      <c r="A788" t="n">
        <v>4</v>
      </c>
      <c r="B788" t="inlineStr">
        <is>
          <t>Quatre épicesEpice 100ml</t>
        </is>
      </c>
      <c r="C788" t="inlineStr">
        <is>
          <t>Gingembre Sec</t>
        </is>
      </c>
      <c r="D788" t="inlineStr">
        <is>
          <t>PROD</t>
        </is>
      </c>
      <c r="E788" t="inlineStr">
        <is>
          <t>gingembre</t>
        </is>
      </c>
      <c r="F788" t="inlineStr">
        <is>
          <t>productionToAdd</t>
        </is>
      </c>
      <c r="G788" t="n">
        <v>0</v>
      </c>
      <c r="H788" t="inlineStr">
        <is>
          <t>currentCell</t>
        </is>
      </c>
      <c r="I788" t="n">
        <v>23.79683755086116</v>
      </c>
    </row>
    <row r="789">
      <c r="A789" t="n">
        <v>1</v>
      </c>
      <c r="B789" t="inlineStr">
        <is>
          <t>Ras el hanoutEpice 100ml</t>
        </is>
      </c>
      <c r="D789" t="inlineStr">
        <is>
          <t>annee</t>
        </is>
      </c>
      <c r="E789" t="n">
        <v>1</v>
      </c>
      <c r="F789" t="inlineStr">
        <is>
          <t>prod</t>
        </is>
      </c>
      <c r="G789" t="n">
        <v>0</v>
      </c>
    </row>
    <row r="791">
      <c r="A791" t="n">
        <v>3</v>
      </c>
      <c r="B791" t="inlineStr">
        <is>
          <t>Ras el hanoutEpice 100ml</t>
        </is>
      </c>
      <c r="C791" t="inlineStr">
        <is>
          <t>Sel</t>
        </is>
      </c>
      <c r="D791" t="inlineStr">
        <is>
          <t>productionInKg</t>
        </is>
      </c>
      <c r="E791" t="n">
        <v>0</v>
      </c>
      <c r="F791" t="inlineStr">
        <is>
          <t>inversReductionIngredient</t>
        </is>
      </c>
      <c r="H791" t="inlineStr">
        <is>
          <t>finalValue</t>
        </is>
      </c>
      <c r="I791" t="n">
        <v>0</v>
      </c>
    </row>
    <row r="792">
      <c r="A792" t="n">
        <v>4</v>
      </c>
      <c r="B792" t="inlineStr">
        <is>
          <t>Ras el hanoutEpice 100ml</t>
        </is>
      </c>
      <c r="C792" t="inlineStr">
        <is>
          <t>Sel</t>
        </is>
      </c>
      <c r="D792" t="inlineStr">
        <is>
          <t>PROD</t>
        </is>
      </c>
      <c r="E792" t="inlineStr">
        <is>
          <t>sel</t>
        </is>
      </c>
      <c r="F792" t="inlineStr">
        <is>
          <t>productionToAdd</t>
        </is>
      </c>
      <c r="G792" t="n">
        <v>0</v>
      </c>
      <c r="H792" t="inlineStr">
        <is>
          <t>currentCell</t>
        </is>
      </c>
      <c r="I792" t="n">
        <v>73.50427990640902</v>
      </c>
    </row>
    <row r="793">
      <c r="A793" t="n">
        <v>2</v>
      </c>
      <c r="B793" t="inlineStr">
        <is>
          <t>Ras el hanoutEpice 100ml</t>
        </is>
      </c>
      <c r="C793" t="inlineStr">
        <is>
          <t>Cumin Moulu</t>
        </is>
      </c>
      <c r="D793" t="inlineStr">
        <is>
          <t>recetteProportion</t>
        </is>
      </c>
      <c r="E793" t="n">
        <v>0.1212121212121212</v>
      </c>
    </row>
    <row r="794">
      <c r="A794" t="n">
        <v>3</v>
      </c>
      <c r="B794" t="inlineStr">
        <is>
          <t>Ras el hanoutEpice 100ml</t>
        </is>
      </c>
      <c r="C794" t="inlineStr">
        <is>
          <t>Cumin Moulu</t>
        </is>
      </c>
      <c r="D794" t="inlineStr">
        <is>
          <t>productionInKg</t>
        </is>
      </c>
      <c r="E794" t="n">
        <v>0</v>
      </c>
      <c r="F794" t="inlineStr">
        <is>
          <t>inversReductionIngredient</t>
        </is>
      </c>
      <c r="H794" t="inlineStr">
        <is>
          <t>finalValue</t>
        </is>
      </c>
      <c r="I794" t="n">
        <v>0</v>
      </c>
    </row>
    <row r="795">
      <c r="A795" t="n">
        <v>4</v>
      </c>
      <c r="B795" t="inlineStr">
        <is>
          <t>Ras el hanoutEpice 100ml</t>
        </is>
      </c>
      <c r="C795" t="inlineStr">
        <is>
          <t>Cumin Moulu</t>
        </is>
      </c>
      <c r="D795" t="inlineStr">
        <is>
          <t>PROD</t>
        </is>
      </c>
      <c r="E795" t="inlineStr">
        <is>
          <t>graine cumin</t>
        </is>
      </c>
      <c r="F795" t="inlineStr">
        <is>
          <t>productionToAdd</t>
        </is>
      </c>
      <c r="G795" t="n">
        <v>0</v>
      </c>
      <c r="H795" t="inlineStr">
        <is>
          <t>currentCell</t>
        </is>
      </c>
      <c r="I795" t="n">
        <v>57.47181617169969</v>
      </c>
    </row>
    <row r="796">
      <c r="A796" t="n">
        <v>2</v>
      </c>
      <c r="B796" t="inlineStr">
        <is>
          <t>Ras el hanoutEpice 100ml</t>
        </is>
      </c>
      <c r="C796" t="inlineStr">
        <is>
          <t>Gingembre Sec</t>
        </is>
      </c>
      <c r="D796" t="inlineStr">
        <is>
          <t>recetteProportion</t>
        </is>
      </c>
      <c r="E796" t="n">
        <v>0.1212121212121212</v>
      </c>
    </row>
    <row r="797">
      <c r="A797" t="n">
        <v>3</v>
      </c>
      <c r="B797" t="inlineStr">
        <is>
          <t>Ras el hanoutEpice 100ml</t>
        </is>
      </c>
      <c r="C797" t="inlineStr">
        <is>
          <t>Gingembre Sec</t>
        </is>
      </c>
      <c r="D797" t="inlineStr">
        <is>
          <t>productionInKg</t>
        </is>
      </c>
      <c r="E797" t="n">
        <v>0</v>
      </c>
      <c r="F797" t="inlineStr">
        <is>
          <t>inversReductionIngredient</t>
        </is>
      </c>
      <c r="H797" t="inlineStr">
        <is>
          <t>finalValue</t>
        </is>
      </c>
      <c r="I797" t="n">
        <v>0</v>
      </c>
    </row>
    <row r="798">
      <c r="A798" t="n">
        <v>4</v>
      </c>
      <c r="B798" t="inlineStr">
        <is>
          <t>Ras el hanoutEpice 100ml</t>
        </is>
      </c>
      <c r="C798" t="inlineStr">
        <is>
          <t>Gingembre Sec</t>
        </is>
      </c>
      <c r="D798" t="inlineStr">
        <is>
          <t>PROD</t>
        </is>
      </c>
      <c r="E798" t="inlineStr">
        <is>
          <t>gingembre</t>
        </is>
      </c>
      <c r="F798" t="inlineStr">
        <is>
          <t>productionToAdd</t>
        </is>
      </c>
      <c r="G798" t="n">
        <v>0</v>
      </c>
      <c r="H798" t="inlineStr">
        <is>
          <t>currentCell</t>
        </is>
      </c>
      <c r="I798" t="n">
        <v>23.79683755086116</v>
      </c>
    </row>
    <row r="799">
      <c r="A799" t="n">
        <v>2</v>
      </c>
      <c r="B799" t="inlineStr">
        <is>
          <t>Ras el hanoutEpice 100ml</t>
        </is>
      </c>
      <c r="C799" t="inlineStr">
        <is>
          <t>Curcuma Moulu</t>
        </is>
      </c>
      <c r="D799" t="inlineStr">
        <is>
          <t>recetteProportion</t>
        </is>
      </c>
      <c r="E799" t="n">
        <v>0.1212121212121212</v>
      </c>
    </row>
    <row r="800">
      <c r="A800" t="n">
        <v>3</v>
      </c>
      <c r="B800" t="inlineStr">
        <is>
          <t>Ras el hanoutEpice 100ml</t>
        </is>
      </c>
      <c r="C800" t="inlineStr">
        <is>
          <t>Curcuma Moulu</t>
        </is>
      </c>
      <c r="D800" t="inlineStr">
        <is>
          <t>productionInKg</t>
        </is>
      </c>
      <c r="E800" t="n">
        <v>0</v>
      </c>
      <c r="F800" t="inlineStr">
        <is>
          <t>inversReductionIngredient</t>
        </is>
      </c>
      <c r="H800" t="inlineStr">
        <is>
          <t>finalValue</t>
        </is>
      </c>
      <c r="I800" t="n">
        <v>0</v>
      </c>
    </row>
    <row r="801">
      <c r="A801" t="n">
        <v>4</v>
      </c>
      <c r="B801" t="inlineStr">
        <is>
          <t>Ras el hanoutEpice 100ml</t>
        </is>
      </c>
      <c r="C801" t="inlineStr">
        <is>
          <t>Curcuma Moulu</t>
        </is>
      </c>
      <c r="D801" t="inlineStr">
        <is>
          <t>PROD</t>
        </is>
      </c>
      <c r="E801" t="inlineStr">
        <is>
          <t>curcuma</t>
        </is>
      </c>
      <c r="F801" t="inlineStr">
        <is>
          <t>productionToAdd</t>
        </is>
      </c>
      <c r="G801" t="n">
        <v>0</v>
      </c>
      <c r="H801" t="inlineStr">
        <is>
          <t>currentCell</t>
        </is>
      </c>
      <c r="I801" t="n">
        <v>20.73352586254947</v>
      </c>
    </row>
    <row r="802">
      <c r="A802" t="n">
        <v>2</v>
      </c>
      <c r="B802" t="inlineStr">
        <is>
          <t>Ras el hanoutEpice 100ml</t>
        </is>
      </c>
      <c r="C802" t="inlineStr">
        <is>
          <t>Cannelle Moulue</t>
        </is>
      </c>
      <c r="D802" t="inlineStr">
        <is>
          <t>recetteProportion</t>
        </is>
      </c>
      <c r="E802" t="n">
        <v>0.09090909090909091</v>
      </c>
    </row>
    <row r="803">
      <c r="A803" t="n">
        <v>3</v>
      </c>
      <c r="B803" t="inlineStr">
        <is>
          <t>Ras el hanoutEpice 100ml</t>
        </is>
      </c>
      <c r="C803" t="inlineStr">
        <is>
          <t>Cannelle Moulue</t>
        </is>
      </c>
      <c r="D803" t="inlineStr">
        <is>
          <t>productionInKg</t>
        </is>
      </c>
      <c r="E803" t="n">
        <v>0</v>
      </c>
      <c r="F803" t="inlineStr">
        <is>
          <t>inversReductionIngredient</t>
        </is>
      </c>
      <c r="H803" t="inlineStr">
        <is>
          <t>finalValue</t>
        </is>
      </c>
      <c r="I803" t="n">
        <v>0</v>
      </c>
    </row>
    <row r="804">
      <c r="A804" t="n">
        <v>4</v>
      </c>
      <c r="B804" t="inlineStr">
        <is>
          <t>Ras el hanoutEpice 100ml</t>
        </is>
      </c>
      <c r="C804" t="inlineStr">
        <is>
          <t>Cannelle Moulue</t>
        </is>
      </c>
      <c r="D804" t="inlineStr">
        <is>
          <t>PROD</t>
        </is>
      </c>
      <c r="E804" t="inlineStr">
        <is>
          <t>cannelle</t>
        </is>
      </c>
      <c r="F804" t="inlineStr">
        <is>
          <t>productionToAdd</t>
        </is>
      </c>
      <c r="G804" t="n">
        <v>0</v>
      </c>
      <c r="H804" t="inlineStr">
        <is>
          <t>currentCell</t>
        </is>
      </c>
      <c r="I804" t="n">
        <v>0.05364806866952791</v>
      </c>
    </row>
    <row r="805">
      <c r="A805" t="n">
        <v>2</v>
      </c>
      <c r="B805" t="inlineStr">
        <is>
          <t>Ras el hanoutEpice 100ml</t>
        </is>
      </c>
      <c r="C805" t="inlineStr">
        <is>
          <t>Poivre Noir</t>
        </is>
      </c>
      <c r="D805" t="inlineStr">
        <is>
          <t>recetteProportion</t>
        </is>
      </c>
      <c r="E805" t="n">
        <v>0.09090909090909091</v>
      </c>
    </row>
    <row r="806">
      <c r="A806" t="n">
        <v>3</v>
      </c>
      <c r="B806" t="inlineStr">
        <is>
          <t>Ras el hanoutEpice 100ml</t>
        </is>
      </c>
      <c r="C806" t="inlineStr">
        <is>
          <t>Poivre Noir</t>
        </is>
      </c>
      <c r="D806" t="inlineStr">
        <is>
          <t>productionInKg</t>
        </is>
      </c>
      <c r="E806" t="n">
        <v>0</v>
      </c>
      <c r="F806" t="inlineStr">
        <is>
          <t>inversReductionIngredient</t>
        </is>
      </c>
      <c r="H806" t="inlineStr">
        <is>
          <t>finalValue</t>
        </is>
      </c>
      <c r="I806" t="n">
        <v>0</v>
      </c>
    </row>
    <row r="807">
      <c r="A807" t="n">
        <v>4</v>
      </c>
      <c r="B807" t="inlineStr">
        <is>
          <t>Ras el hanoutEpice 100ml</t>
        </is>
      </c>
      <c r="C807" t="inlineStr">
        <is>
          <t>Poivre Noir</t>
        </is>
      </c>
      <c r="D807" t="inlineStr">
        <is>
          <t>PROD</t>
        </is>
      </c>
      <c r="E807" t="inlineStr">
        <is>
          <t>poivre noir</t>
        </is>
      </c>
      <c r="F807" t="inlineStr">
        <is>
          <t>productionToAdd</t>
        </is>
      </c>
      <c r="G807" t="n">
        <v>0</v>
      </c>
      <c r="H807" t="inlineStr">
        <is>
          <t>currentCell</t>
        </is>
      </c>
      <c r="I807" t="n">
        <v>0.4895246920461513</v>
      </c>
    </row>
    <row r="808">
      <c r="A808" t="n">
        <v>2</v>
      </c>
      <c r="B808" t="inlineStr">
        <is>
          <t>Ras el hanoutEpice 100ml</t>
        </is>
      </c>
      <c r="C808" t="inlineStr">
        <is>
          <t>Poivre Blanc</t>
        </is>
      </c>
      <c r="D808" t="inlineStr">
        <is>
          <t>recetteProportion</t>
        </is>
      </c>
      <c r="E808" t="n">
        <v>0.06060606060606061</v>
      </c>
    </row>
    <row r="809">
      <c r="A809" t="n">
        <v>3</v>
      </c>
      <c r="B809" t="inlineStr">
        <is>
          <t>Ras el hanoutEpice 100ml</t>
        </is>
      </c>
      <c r="C809" t="inlineStr">
        <is>
          <t>Poivre Blanc</t>
        </is>
      </c>
      <c r="D809" t="inlineStr">
        <is>
          <t>productionInKg</t>
        </is>
      </c>
      <c r="E809" t="n">
        <v>0</v>
      </c>
      <c r="F809" t="inlineStr">
        <is>
          <t>inversReductionIngredient</t>
        </is>
      </c>
      <c r="H809" t="inlineStr">
        <is>
          <t>finalValue</t>
        </is>
      </c>
      <c r="I809" t="n">
        <v>0</v>
      </c>
    </row>
    <row r="810">
      <c r="A810" t="n">
        <v>4</v>
      </c>
      <c r="B810" t="inlineStr">
        <is>
          <t>Ras el hanoutEpice 100ml</t>
        </is>
      </c>
      <c r="C810" t="inlineStr">
        <is>
          <t>Poivre Blanc</t>
        </is>
      </c>
      <c r="D810" t="inlineStr">
        <is>
          <t>PROD</t>
        </is>
      </c>
      <c r="E810" t="inlineStr">
        <is>
          <t>poivre blanc</t>
        </is>
      </c>
      <c r="F810" t="inlineStr">
        <is>
          <t>productionToAdd</t>
        </is>
      </c>
      <c r="G810" t="n">
        <v>0</v>
      </c>
      <c r="H810" t="inlineStr">
        <is>
          <t>currentCell</t>
        </is>
      </c>
      <c r="I810" t="n">
        <v>0</v>
      </c>
    </row>
    <row r="811">
      <c r="A811" t="n">
        <v>2</v>
      </c>
      <c r="B811" t="inlineStr">
        <is>
          <t>Ras el hanoutEpice 100ml</t>
        </is>
      </c>
      <c r="C811" t="inlineStr">
        <is>
          <t>Coriandre Graine</t>
        </is>
      </c>
      <c r="D811" t="inlineStr">
        <is>
          <t>recetteProportion</t>
        </is>
      </c>
      <c r="E811" t="n">
        <v>0.06060606060606061</v>
      </c>
    </row>
    <row r="812">
      <c r="A812" t="n">
        <v>3</v>
      </c>
      <c r="B812" t="inlineStr">
        <is>
          <t>Ras el hanoutEpice 100ml</t>
        </is>
      </c>
      <c r="C812" t="inlineStr">
        <is>
          <t>Coriandre Graine</t>
        </is>
      </c>
      <c r="D812" t="inlineStr">
        <is>
          <t>productionInKg</t>
        </is>
      </c>
      <c r="E812" t="n">
        <v>0</v>
      </c>
      <c r="F812" t="inlineStr">
        <is>
          <t>inversReductionIngredient</t>
        </is>
      </c>
      <c r="H812" t="inlineStr">
        <is>
          <t>finalValue</t>
        </is>
      </c>
      <c r="I812" t="n">
        <v>0</v>
      </c>
    </row>
    <row r="813">
      <c r="A813" t="n">
        <v>4</v>
      </c>
      <c r="B813" t="inlineStr">
        <is>
          <t>Ras el hanoutEpice 100ml</t>
        </is>
      </c>
      <c r="C813" t="inlineStr">
        <is>
          <t>Coriandre Graine</t>
        </is>
      </c>
      <c r="D813" t="inlineStr">
        <is>
          <t>PROD</t>
        </is>
      </c>
      <c r="E813" t="inlineStr">
        <is>
          <t>coriandre graine</t>
        </is>
      </c>
      <c r="F813" t="inlineStr">
        <is>
          <t>productionToAdd</t>
        </is>
      </c>
      <c r="G813" t="n">
        <v>0</v>
      </c>
      <c r="H813" t="inlineStr">
        <is>
          <t>currentCell</t>
        </is>
      </c>
      <c r="I813" t="n">
        <v>13.20572815060476</v>
      </c>
    </row>
    <row r="814">
      <c r="A814" t="n">
        <v>2</v>
      </c>
      <c r="B814" t="inlineStr">
        <is>
          <t>Ras el hanoutEpice 100ml</t>
        </is>
      </c>
      <c r="C814" t="inlineStr">
        <is>
          <t>Piment De Cayenne Jaune SEC</t>
        </is>
      </c>
      <c r="D814" t="inlineStr">
        <is>
          <t>recetteProportion</t>
        </is>
      </c>
      <c r="E814" t="n">
        <v>0.06060606060606061</v>
      </c>
    </row>
    <row r="815">
      <c r="A815" t="n">
        <v>2</v>
      </c>
      <c r="B815" t="inlineStr">
        <is>
          <t>Ras el hanoutEpice 100ml</t>
        </is>
      </c>
      <c r="C815" t="inlineStr">
        <is>
          <t>Poivre De Jamaïque</t>
        </is>
      </c>
      <c r="D815" t="inlineStr">
        <is>
          <t>recetteProportion</t>
        </is>
      </c>
      <c r="E815" t="n">
        <v>0.06060606060606061</v>
      </c>
    </row>
    <row r="816">
      <c r="A816" t="n">
        <v>3</v>
      </c>
      <c r="B816" t="inlineStr">
        <is>
          <t>Ras el hanoutEpice 100ml</t>
        </is>
      </c>
      <c r="C816" t="inlineStr">
        <is>
          <t>Poivre De Jamaïque</t>
        </is>
      </c>
      <c r="D816" t="inlineStr">
        <is>
          <t>productionInKg</t>
        </is>
      </c>
      <c r="E816" t="n">
        <v>0</v>
      </c>
      <c r="F816" t="inlineStr">
        <is>
          <t>inversReductionIngredient</t>
        </is>
      </c>
      <c r="H816" t="inlineStr">
        <is>
          <t>finalValue</t>
        </is>
      </c>
      <c r="I816" t="n">
        <v>0</v>
      </c>
    </row>
    <row r="817">
      <c r="A817" t="n">
        <v>4</v>
      </c>
      <c r="B817" t="inlineStr">
        <is>
          <t>Ras el hanoutEpice 100ml</t>
        </is>
      </c>
      <c r="C817" t="inlineStr">
        <is>
          <t>Poivre De Jamaïque</t>
        </is>
      </c>
      <c r="D817" t="inlineStr">
        <is>
          <t>PROD</t>
        </is>
      </c>
      <c r="E817" t="inlineStr">
        <is>
          <t>poivre de Jamaïque</t>
        </is>
      </c>
      <c r="F817" t="inlineStr">
        <is>
          <t>productionToAdd</t>
        </is>
      </c>
      <c r="G817" t="n">
        <v>0</v>
      </c>
      <c r="H817" t="inlineStr">
        <is>
          <t>currentCell</t>
        </is>
      </c>
      <c r="I817" t="n">
        <v>0</v>
      </c>
    </row>
    <row r="818">
      <c r="A818" t="n">
        <v>2</v>
      </c>
      <c r="B818" t="inlineStr">
        <is>
          <t>Ras el hanoutEpice 100ml</t>
        </is>
      </c>
      <c r="C818" t="inlineStr">
        <is>
          <t>Muscade Moulue</t>
        </is>
      </c>
      <c r="D818" t="inlineStr">
        <is>
          <t>recetteProportion</t>
        </is>
      </c>
      <c r="E818" t="n">
        <v>0.06060606060606061</v>
      </c>
    </row>
    <row r="819">
      <c r="A819" t="n">
        <v>3</v>
      </c>
      <c r="B819" t="inlineStr">
        <is>
          <t>Ras el hanoutEpice 100ml</t>
        </is>
      </c>
      <c r="C819" t="inlineStr">
        <is>
          <t>Muscade Moulue</t>
        </is>
      </c>
      <c r="D819" t="inlineStr">
        <is>
          <t>productionInKg</t>
        </is>
      </c>
      <c r="E819" t="n">
        <v>0</v>
      </c>
      <c r="F819" t="inlineStr">
        <is>
          <t>inversReductionIngredient</t>
        </is>
      </c>
      <c r="H819" t="inlineStr">
        <is>
          <t>finalValue</t>
        </is>
      </c>
      <c r="I819" t="n">
        <v>0</v>
      </c>
    </row>
    <row r="820">
      <c r="A820" t="n">
        <v>4</v>
      </c>
      <c r="B820" t="inlineStr">
        <is>
          <t>Ras el hanoutEpice 100ml</t>
        </is>
      </c>
      <c r="C820" t="inlineStr">
        <is>
          <t>Muscade Moulue</t>
        </is>
      </c>
      <c r="D820" t="inlineStr">
        <is>
          <t>PROD</t>
        </is>
      </c>
      <c r="E820" t="inlineStr">
        <is>
          <t>muscade</t>
        </is>
      </c>
      <c r="F820" t="inlineStr">
        <is>
          <t>productionToAdd</t>
        </is>
      </c>
      <c r="G820" t="n">
        <v>0</v>
      </c>
      <c r="H820" t="inlineStr">
        <is>
          <t>currentCell</t>
        </is>
      </c>
      <c r="I820" t="n">
        <v>0</v>
      </c>
    </row>
    <row r="821">
      <c r="A821" t="n">
        <v>2</v>
      </c>
      <c r="B821" t="inlineStr">
        <is>
          <t>Ras el hanoutEpice 100ml</t>
        </is>
      </c>
      <c r="C821" t="inlineStr">
        <is>
          <t>Clous De Girofle</t>
        </is>
      </c>
      <c r="D821" t="inlineStr">
        <is>
          <t>recetteProportion</t>
        </is>
      </c>
      <c r="E821" t="n">
        <v>0.0303030303030303</v>
      </c>
    </row>
    <row r="822">
      <c r="A822" t="n">
        <v>3</v>
      </c>
      <c r="B822" t="inlineStr">
        <is>
          <t>Ras el hanoutEpice 100ml</t>
        </is>
      </c>
      <c r="C822" t="inlineStr">
        <is>
          <t>Clous De Girofle</t>
        </is>
      </c>
      <c r="D822" t="inlineStr">
        <is>
          <t>productionInKg</t>
        </is>
      </c>
      <c r="E822" t="n">
        <v>0</v>
      </c>
      <c r="F822" t="inlineStr">
        <is>
          <t>inversReductionIngredient</t>
        </is>
      </c>
      <c r="H822" t="inlineStr">
        <is>
          <t>finalValue</t>
        </is>
      </c>
      <c r="I822" t="n">
        <v>0</v>
      </c>
    </row>
    <row r="824">
      <c r="A824" t="n">
        <v>1</v>
      </c>
      <c r="B824" t="inlineStr">
        <is>
          <t>Sans selEpice 100ml</t>
        </is>
      </c>
      <c r="D824" t="inlineStr">
        <is>
          <t>annee</t>
        </is>
      </c>
      <c r="E824" t="n">
        <v>1</v>
      </c>
      <c r="F824" t="inlineStr">
        <is>
          <t>prod</t>
        </is>
      </c>
      <c r="G824" t="n">
        <v>0</v>
      </c>
    </row>
    <row r="825">
      <c r="A825" t="n">
        <v>2</v>
      </c>
      <c r="B825" t="inlineStr">
        <is>
          <t>Sans selEpice 100ml</t>
        </is>
      </c>
      <c r="C825" t="inlineStr">
        <is>
          <t>Paprika</t>
        </is>
      </c>
      <c r="D825" t="inlineStr">
        <is>
          <t>recetteProportion</t>
        </is>
      </c>
      <c r="E825" t="n">
        <v>0.09090909090909091</v>
      </c>
    </row>
    <row r="826">
      <c r="A826" t="n">
        <v>3</v>
      </c>
      <c r="B826" t="inlineStr">
        <is>
          <t>Sans selEpice 100ml</t>
        </is>
      </c>
      <c r="C826" t="inlineStr">
        <is>
          <t>Paprika</t>
        </is>
      </c>
      <c r="D826" t="inlineStr">
        <is>
          <t>productionInKg</t>
        </is>
      </c>
      <c r="E826" t="n">
        <v>0</v>
      </c>
      <c r="F826" t="inlineStr">
        <is>
          <t>inversReductionIngredient</t>
        </is>
      </c>
      <c r="H826" t="inlineStr">
        <is>
          <t>finalValue</t>
        </is>
      </c>
      <c r="I826" t="n">
        <v>0</v>
      </c>
    </row>
    <row r="827">
      <c r="A827" t="n">
        <v>4</v>
      </c>
      <c r="B827" t="inlineStr">
        <is>
          <t>Sans selEpice 100ml</t>
        </is>
      </c>
      <c r="C827" t="inlineStr">
        <is>
          <t>Paprika</t>
        </is>
      </c>
      <c r="D827" t="inlineStr">
        <is>
          <t>PROD</t>
        </is>
      </c>
      <c r="E827" t="inlineStr">
        <is>
          <t>piment doux rouge</t>
        </is>
      </c>
      <c r="F827" t="inlineStr">
        <is>
          <t>productionToAdd</t>
        </is>
      </c>
      <c r="G827" t="n">
        <v>0</v>
      </c>
      <c r="H827" t="inlineStr">
        <is>
          <t>currentCell</t>
        </is>
      </c>
      <c r="I827" t="n">
        <v>11.89957160071333</v>
      </c>
    </row>
    <row r="828">
      <c r="A828" t="n">
        <v>2</v>
      </c>
      <c r="B828" t="inlineStr">
        <is>
          <t>Sans selEpice 100ml</t>
        </is>
      </c>
      <c r="C828" t="inlineStr">
        <is>
          <t>Basilic SEC</t>
        </is>
      </c>
      <c r="D828" t="inlineStr">
        <is>
          <t>recetteProportion</t>
        </is>
      </c>
      <c r="E828" t="n">
        <v>0.1818181818181818</v>
      </c>
    </row>
    <row r="829">
      <c r="A829" t="n">
        <v>2</v>
      </c>
      <c r="B829" t="inlineStr">
        <is>
          <t>Sans selEpice 100ml</t>
        </is>
      </c>
      <c r="C829" t="inlineStr">
        <is>
          <t>Poivre Blanc</t>
        </is>
      </c>
      <c r="D829" t="inlineStr">
        <is>
          <t>recetteProportion</t>
        </is>
      </c>
      <c r="E829" t="n">
        <v>0.1818181818181818</v>
      </c>
    </row>
    <row r="830">
      <c r="A830" t="n">
        <v>3</v>
      </c>
      <c r="B830" t="inlineStr">
        <is>
          <t>Sans selEpice 100ml</t>
        </is>
      </c>
      <c r="C830" t="inlineStr">
        <is>
          <t>Poivre Blanc</t>
        </is>
      </c>
      <c r="D830" t="inlineStr">
        <is>
          <t>productionInKg</t>
        </is>
      </c>
      <c r="E830" t="n">
        <v>0</v>
      </c>
      <c r="F830" t="inlineStr">
        <is>
          <t>inversReductionIngredient</t>
        </is>
      </c>
      <c r="H830" t="inlineStr">
        <is>
          <t>finalValue</t>
        </is>
      </c>
      <c r="I830" t="n">
        <v>0</v>
      </c>
    </row>
    <row r="831">
      <c r="A831" t="n">
        <v>4</v>
      </c>
      <c r="B831" t="inlineStr">
        <is>
          <t>Sans selEpice 100ml</t>
        </is>
      </c>
      <c r="C831" t="inlineStr">
        <is>
          <t>Poivre Blanc</t>
        </is>
      </c>
      <c r="D831" t="inlineStr">
        <is>
          <t>PROD</t>
        </is>
      </c>
      <c r="E831" t="inlineStr">
        <is>
          <t>poivre blanc</t>
        </is>
      </c>
      <c r="F831" t="inlineStr">
        <is>
          <t>productionToAdd</t>
        </is>
      </c>
      <c r="G831" t="n">
        <v>0</v>
      </c>
      <c r="H831" t="inlineStr">
        <is>
          <t>currentCell</t>
        </is>
      </c>
      <c r="I831" t="n">
        <v>0</v>
      </c>
    </row>
    <row r="832">
      <c r="A832" t="n">
        <v>2</v>
      </c>
      <c r="B832" t="inlineStr">
        <is>
          <t>Sans selEpice 100ml</t>
        </is>
      </c>
      <c r="C832" t="inlineStr">
        <is>
          <t>Sumac</t>
        </is>
      </c>
      <c r="D832" t="inlineStr">
        <is>
          <t>recetteProportion</t>
        </is>
      </c>
      <c r="E832" t="n">
        <v>0.09090909090909091</v>
      </c>
    </row>
    <row r="833">
      <c r="A833" t="n">
        <v>3</v>
      </c>
      <c r="B833" t="inlineStr">
        <is>
          <t>Sans selEpice 100ml</t>
        </is>
      </c>
      <c r="C833" t="inlineStr">
        <is>
          <t>Sumac</t>
        </is>
      </c>
      <c r="D833" t="inlineStr">
        <is>
          <t>productionInKg</t>
        </is>
      </c>
      <c r="E833" t="n">
        <v>0</v>
      </c>
      <c r="F833" t="inlineStr">
        <is>
          <t>inversReductionIngredient</t>
        </is>
      </c>
      <c r="H833" t="inlineStr">
        <is>
          <t>finalValue</t>
        </is>
      </c>
      <c r="I833" t="n">
        <v>0</v>
      </c>
    </row>
    <row r="834">
      <c r="A834" t="n">
        <v>4</v>
      </c>
      <c r="B834" t="inlineStr">
        <is>
          <t>Sans selEpice 100ml</t>
        </is>
      </c>
      <c r="C834" t="inlineStr">
        <is>
          <t>Sumac</t>
        </is>
      </c>
      <c r="D834" t="inlineStr">
        <is>
          <t>PROD</t>
        </is>
      </c>
      <c r="E834" t="inlineStr">
        <is>
          <t>sumac</t>
        </is>
      </c>
      <c r="F834" t="inlineStr">
        <is>
          <t>productionToAdd</t>
        </is>
      </c>
      <c r="G834" t="n">
        <v>0</v>
      </c>
      <c r="H834" t="inlineStr">
        <is>
          <t>currentCell</t>
        </is>
      </c>
      <c r="I834" t="n">
        <v>0</v>
      </c>
    </row>
    <row r="835">
      <c r="A835" t="n">
        <v>2</v>
      </c>
      <c r="B835" t="inlineStr">
        <is>
          <t>Sans selEpice 100ml</t>
        </is>
      </c>
      <c r="C835" t="inlineStr">
        <is>
          <t>Oignon Séché</t>
        </is>
      </c>
      <c r="D835" t="inlineStr">
        <is>
          <t>recetteProportion</t>
        </is>
      </c>
      <c r="E835" t="n">
        <v>0.1818181818181818</v>
      </c>
    </row>
    <row r="836">
      <c r="A836" t="n">
        <v>3</v>
      </c>
      <c r="B836" t="inlineStr">
        <is>
          <t>Sans selEpice 100ml</t>
        </is>
      </c>
      <c r="C836" t="inlineStr">
        <is>
          <t>Oignon Séché</t>
        </is>
      </c>
      <c r="D836" t="inlineStr">
        <is>
          <t>productionInKg</t>
        </is>
      </c>
      <c r="E836" t="n">
        <v>0</v>
      </c>
      <c r="F836" t="inlineStr">
        <is>
          <t>inversReductionIngredient</t>
        </is>
      </c>
      <c r="H836" t="inlineStr">
        <is>
          <t>finalValue</t>
        </is>
      </c>
      <c r="I836" t="n">
        <v>0</v>
      </c>
    </row>
    <row r="837">
      <c r="A837" t="n">
        <v>4</v>
      </c>
      <c r="B837" t="inlineStr">
        <is>
          <t>Sans selEpice 100ml</t>
        </is>
      </c>
      <c r="C837" t="inlineStr">
        <is>
          <t>Oignon Séché</t>
        </is>
      </c>
      <c r="D837" t="inlineStr">
        <is>
          <t>PROD</t>
        </is>
      </c>
      <c r="E837" t="inlineStr">
        <is>
          <t>oignon</t>
        </is>
      </c>
      <c r="F837" t="inlineStr">
        <is>
          <t>productionToAdd</t>
        </is>
      </c>
      <c r="G837" t="n">
        <v>0</v>
      </c>
      <c r="H837" t="inlineStr">
        <is>
          <t>currentCell</t>
        </is>
      </c>
      <c r="I837" t="n">
        <v>20.7389510361269</v>
      </c>
    </row>
    <row r="838">
      <c r="A838" t="n">
        <v>2</v>
      </c>
      <c r="B838" t="inlineStr">
        <is>
          <t>Sans selEpice 100ml</t>
        </is>
      </c>
      <c r="C838" t="inlineStr">
        <is>
          <t>Persil</t>
        </is>
      </c>
      <c r="D838" t="inlineStr">
        <is>
          <t>recetteProportion</t>
        </is>
      </c>
      <c r="E838" t="n">
        <v>0.1818181818181818</v>
      </c>
    </row>
    <row r="839">
      <c r="A839" t="n">
        <v>3</v>
      </c>
      <c r="B839" t="inlineStr">
        <is>
          <t>Sans selEpice 100ml</t>
        </is>
      </c>
      <c r="C839" t="inlineStr">
        <is>
          <t>Persil</t>
        </is>
      </c>
      <c r="D839" t="inlineStr">
        <is>
          <t>productionInKg</t>
        </is>
      </c>
      <c r="E839" t="n">
        <v>0</v>
      </c>
      <c r="F839" t="inlineStr">
        <is>
          <t>inversReductionIngredient</t>
        </is>
      </c>
      <c r="H839" t="inlineStr">
        <is>
          <t>finalValue</t>
        </is>
      </c>
      <c r="I839" t="n">
        <v>0</v>
      </c>
    </row>
    <row r="840">
      <c r="A840" t="n">
        <v>4</v>
      </c>
      <c r="B840" t="inlineStr">
        <is>
          <t>Sans selEpice 100ml</t>
        </is>
      </c>
      <c r="C840" t="inlineStr">
        <is>
          <t>Persil</t>
        </is>
      </c>
      <c r="D840" t="inlineStr">
        <is>
          <t>PROD</t>
        </is>
      </c>
      <c r="E840" t="inlineStr">
        <is>
          <t>persil</t>
        </is>
      </c>
      <c r="F840" t="inlineStr">
        <is>
          <t>productionToAdd</t>
        </is>
      </c>
      <c r="G840" t="n">
        <v>0</v>
      </c>
      <c r="H840" t="inlineStr">
        <is>
          <t>currentCell</t>
        </is>
      </c>
      <c r="I840" t="n">
        <v>0</v>
      </c>
    </row>
    <row r="841">
      <c r="A841" t="n">
        <v>2</v>
      </c>
      <c r="B841" t="inlineStr">
        <is>
          <t>Sans selEpice 100ml</t>
        </is>
      </c>
      <c r="C841" t="inlineStr">
        <is>
          <t>Ail SEC</t>
        </is>
      </c>
      <c r="D841" t="inlineStr">
        <is>
          <t>recetteProportion</t>
        </is>
      </c>
      <c r="E841" t="n">
        <v>0.09090909090909091</v>
      </c>
    </row>
    <row r="842">
      <c r="A842" t="n">
        <v>1</v>
      </c>
      <c r="B842" t="inlineStr">
        <is>
          <t>Shichimi togarashiEpice 100ml</t>
        </is>
      </c>
      <c r="D842" t="inlineStr">
        <is>
          <t>annee</t>
        </is>
      </c>
      <c r="E842" t="n">
        <v>1</v>
      </c>
      <c r="F842" t="inlineStr">
        <is>
          <t>prod</t>
        </is>
      </c>
      <c r="G842" t="n">
        <v>0</v>
      </c>
    </row>
    <row r="843">
      <c r="A843" t="n">
        <v>2</v>
      </c>
      <c r="B843" t="inlineStr">
        <is>
          <t>Shichimi togarashiEpice 100ml</t>
        </is>
      </c>
      <c r="C843" t="inlineStr">
        <is>
          <t>½ Feuille D’Algue Nori Séchée</t>
        </is>
      </c>
      <c r="D843" t="inlineStr">
        <is>
          <t>recetteProportion</t>
        </is>
      </c>
      <c r="E843" t="n">
        <v>0</v>
      </c>
    </row>
    <row r="844">
      <c r="A844" t="n">
        <v>2</v>
      </c>
      <c r="B844" t="inlineStr">
        <is>
          <t>Shichimi togarashiEpice 100ml</t>
        </is>
      </c>
      <c r="C844" t="inlineStr">
        <is>
          <t>Piment De Cayenne Jaune</t>
        </is>
      </c>
      <c r="D844" t="inlineStr">
        <is>
          <t>recetteProportion</t>
        </is>
      </c>
      <c r="E844" t="n">
        <v>0.3</v>
      </c>
    </row>
    <row r="845">
      <c r="A845" t="n">
        <v>3</v>
      </c>
      <c r="B845" t="inlineStr">
        <is>
          <t>Shichimi togarashiEpice 100ml</t>
        </is>
      </c>
      <c r="C845" t="inlineStr">
        <is>
          <t>Piment De Cayenne Jaune</t>
        </is>
      </c>
      <c r="D845" t="inlineStr">
        <is>
          <t>productionInKg</t>
        </is>
      </c>
      <c r="E845" t="n">
        <v>0</v>
      </c>
      <c r="F845" t="inlineStr">
        <is>
          <t>inversReductionIngredient</t>
        </is>
      </c>
      <c r="H845" t="inlineStr">
        <is>
          <t>finalValue</t>
        </is>
      </c>
      <c r="I845" t="n">
        <v>0</v>
      </c>
    </row>
    <row r="846">
      <c r="A846" t="n">
        <v>4</v>
      </c>
      <c r="B846" t="inlineStr">
        <is>
          <t>Shichimi togarashiEpice 100ml</t>
        </is>
      </c>
      <c r="C846" t="inlineStr">
        <is>
          <t>Piment De Cayenne Jaune</t>
        </is>
      </c>
      <c r="D846" t="inlineStr">
        <is>
          <t>PROD</t>
        </is>
      </c>
      <c r="E846" t="inlineStr">
        <is>
          <t>piment de cayenne jaune</t>
        </is>
      </c>
      <c r="F846" t="inlineStr">
        <is>
          <t>productionToAdd</t>
        </is>
      </c>
      <c r="G846" t="n">
        <v>0</v>
      </c>
      <c r="H846" t="inlineStr">
        <is>
          <t>currentCell</t>
        </is>
      </c>
      <c r="I846" t="n">
        <v>0</v>
      </c>
    </row>
    <row r="847">
      <c r="A847" t="n">
        <v>2</v>
      </c>
      <c r="B847" t="inlineStr">
        <is>
          <t>Shichimi togarashiEpice 100ml</t>
        </is>
      </c>
      <c r="C847" t="inlineStr">
        <is>
          <t>Graines De Pavot</t>
        </is>
      </c>
      <c r="D847" t="inlineStr">
        <is>
          <t>recetteProportion</t>
        </is>
      </c>
      <c r="E847" t="n">
        <v>0.15</v>
      </c>
    </row>
    <row r="848">
      <c r="A848" t="n">
        <v>3</v>
      </c>
      <c r="B848" t="inlineStr">
        <is>
          <t>Shichimi togarashiEpice 100ml</t>
        </is>
      </c>
      <c r="C848" t="inlineStr">
        <is>
          <t>Graines De Pavot</t>
        </is>
      </c>
      <c r="D848" t="inlineStr">
        <is>
          <t>productionInKg</t>
        </is>
      </c>
      <c r="E848" t="n">
        <v>0</v>
      </c>
      <c r="F848" t="inlineStr">
        <is>
          <t>inversReductionIngredient</t>
        </is>
      </c>
      <c r="H848" t="inlineStr">
        <is>
          <t>finalValue</t>
        </is>
      </c>
      <c r="I848" t="n">
        <v>0</v>
      </c>
    </row>
    <row r="849">
      <c r="A849" t="n">
        <v>4</v>
      </c>
      <c r="B849" t="inlineStr">
        <is>
          <t>Shichimi togarashiEpice 100ml</t>
        </is>
      </c>
      <c r="C849" t="inlineStr">
        <is>
          <t>Graines De Pavot</t>
        </is>
      </c>
      <c r="D849" t="inlineStr">
        <is>
          <t>PROD</t>
        </is>
      </c>
      <c r="E849" t="inlineStr">
        <is>
          <t>graines de pavot</t>
        </is>
      </c>
      <c r="F849" t="inlineStr">
        <is>
          <t>productionToAdd</t>
        </is>
      </c>
      <c r="G849" t="n">
        <v>0</v>
      </c>
      <c r="H849" t="inlineStr">
        <is>
          <t>currentCell</t>
        </is>
      </c>
      <c r="I849" t="n">
        <v>0</v>
      </c>
    </row>
    <row r="850">
      <c r="A850" t="n">
        <v>2</v>
      </c>
      <c r="B850" t="inlineStr">
        <is>
          <t>Shichimi togarashiEpice 100ml</t>
        </is>
      </c>
      <c r="C850" t="inlineStr">
        <is>
          <t>Poivre De Sichuan</t>
        </is>
      </c>
      <c r="D850" t="inlineStr">
        <is>
          <t>recetteProportion</t>
        </is>
      </c>
      <c r="E850" t="n">
        <v>0.075</v>
      </c>
    </row>
    <row r="851">
      <c r="A851" t="n">
        <v>3</v>
      </c>
      <c r="B851" t="inlineStr">
        <is>
          <t>Shichimi togarashiEpice 100ml</t>
        </is>
      </c>
      <c r="C851" t="inlineStr">
        <is>
          <t>Poivre De Sichuan</t>
        </is>
      </c>
      <c r="D851" t="inlineStr">
        <is>
          <t>productionInKg</t>
        </is>
      </c>
      <c r="E851" t="n">
        <v>0</v>
      </c>
      <c r="F851" t="inlineStr">
        <is>
          <t>inversReductionIngredient</t>
        </is>
      </c>
      <c r="H851" t="inlineStr">
        <is>
          <t>finalValue</t>
        </is>
      </c>
      <c r="I851" t="n">
        <v>0</v>
      </c>
    </row>
    <row r="852">
      <c r="A852" t="n">
        <v>4</v>
      </c>
      <c r="B852" t="inlineStr">
        <is>
          <t>Shichimi togarashiEpice 100ml</t>
        </is>
      </c>
      <c r="C852" t="inlineStr">
        <is>
          <t>Poivre De Sichuan</t>
        </is>
      </c>
      <c r="D852" t="inlineStr">
        <is>
          <t>PROD</t>
        </is>
      </c>
      <c r="E852" t="inlineStr">
        <is>
          <t>poivre de sichuan</t>
        </is>
      </c>
      <c r="F852" t="inlineStr">
        <is>
          <t>productionToAdd</t>
        </is>
      </c>
      <c r="G852" t="n">
        <v>0</v>
      </c>
      <c r="H852" t="inlineStr">
        <is>
          <t>currentCell</t>
        </is>
      </c>
      <c r="I852" t="n">
        <v>0</v>
      </c>
    </row>
    <row r="853">
      <c r="A853" t="n">
        <v>2</v>
      </c>
      <c r="B853" t="inlineStr">
        <is>
          <t>Shichimi togarashiEpice 100ml</t>
        </is>
      </c>
      <c r="C853" t="inlineStr">
        <is>
          <t>Poivre De Timut</t>
        </is>
      </c>
      <c r="D853" t="inlineStr">
        <is>
          <t>recetteProportion</t>
        </is>
      </c>
      <c r="E853" t="n">
        <v>0.075</v>
      </c>
    </row>
    <row r="854">
      <c r="A854" t="n">
        <v>3</v>
      </c>
      <c r="B854" t="inlineStr">
        <is>
          <t>Shichimi togarashiEpice 100ml</t>
        </is>
      </c>
      <c r="C854" t="inlineStr">
        <is>
          <t>Poivre De Timut</t>
        </is>
      </c>
      <c r="D854" t="inlineStr">
        <is>
          <t>productionInKg</t>
        </is>
      </c>
      <c r="E854" t="n">
        <v>0</v>
      </c>
      <c r="F854" t="inlineStr">
        <is>
          <t>inversReductionIngredient</t>
        </is>
      </c>
      <c r="H854" t="inlineStr">
        <is>
          <t>finalValue</t>
        </is>
      </c>
      <c r="I854" t="n">
        <v>0</v>
      </c>
    </row>
    <row r="855">
      <c r="A855" t="n">
        <v>4</v>
      </c>
      <c r="B855" t="inlineStr">
        <is>
          <t>Shichimi togarashiEpice 100ml</t>
        </is>
      </c>
      <c r="C855" t="inlineStr">
        <is>
          <t>Poivre De Timut</t>
        </is>
      </c>
      <c r="D855" t="inlineStr">
        <is>
          <t>PROD</t>
        </is>
      </c>
      <c r="E855" t="inlineStr">
        <is>
          <t>poivre de timut</t>
        </is>
      </c>
      <c r="F855" t="inlineStr">
        <is>
          <t>productionToAdd</t>
        </is>
      </c>
      <c r="G855" t="n">
        <v>0</v>
      </c>
      <c r="H855" t="inlineStr">
        <is>
          <t>currentCell</t>
        </is>
      </c>
      <c r="I855" t="n">
        <v>0.3543003851091143</v>
      </c>
    </row>
    <row r="856">
      <c r="A856" t="n">
        <v>2</v>
      </c>
      <c r="B856" t="inlineStr">
        <is>
          <t>Shichimi togarashiEpice 100ml</t>
        </is>
      </c>
      <c r="C856" t="inlineStr">
        <is>
          <t>Zeste D’Orange Séché</t>
        </is>
      </c>
      <c r="D856" t="inlineStr">
        <is>
          <t>recetteProportion</t>
        </is>
      </c>
      <c r="E856" t="n">
        <v>0.15</v>
      </c>
    </row>
    <row r="857">
      <c r="A857" t="n">
        <v>3</v>
      </c>
      <c r="B857" t="inlineStr">
        <is>
          <t>Shichimi togarashiEpice 100ml</t>
        </is>
      </c>
      <c r="C857" t="inlineStr">
        <is>
          <t>Zeste D’Orange Séché</t>
        </is>
      </c>
      <c r="D857" t="inlineStr">
        <is>
          <t>productionInKg</t>
        </is>
      </c>
      <c r="E857" t="n">
        <v>0</v>
      </c>
      <c r="F857" t="inlineStr">
        <is>
          <t>inversReductionIngredient</t>
        </is>
      </c>
      <c r="H857" t="inlineStr">
        <is>
          <t>finalValue</t>
        </is>
      </c>
      <c r="I857" t="n">
        <v>0</v>
      </c>
    </row>
    <row r="858">
      <c r="A858" t="n">
        <v>4</v>
      </c>
      <c r="B858" t="inlineStr">
        <is>
          <t>Shichimi togarashiEpice 100ml</t>
        </is>
      </c>
      <c r="C858" t="inlineStr">
        <is>
          <t>Zeste D’Orange Séché</t>
        </is>
      </c>
      <c r="D858" t="inlineStr">
        <is>
          <t>PROD</t>
        </is>
      </c>
      <c r="E858" t="inlineStr">
        <is>
          <t>zeste d’orange séché</t>
        </is>
      </c>
      <c r="F858" t="inlineStr">
        <is>
          <t>productionToAdd</t>
        </is>
      </c>
      <c r="G858" t="n">
        <v>0</v>
      </c>
      <c r="H858" t="inlineStr">
        <is>
          <t>currentCell</t>
        </is>
      </c>
      <c r="I858" t="n">
        <v>0</v>
      </c>
    </row>
    <row r="859">
      <c r="A859" t="n">
        <v>2</v>
      </c>
      <c r="B859" t="inlineStr">
        <is>
          <t>Shichimi togarashiEpice 100ml</t>
        </is>
      </c>
      <c r="C859" t="inlineStr">
        <is>
          <t>Sésame</t>
        </is>
      </c>
      <c r="D859" t="inlineStr">
        <is>
          <t>recetteProportion</t>
        </is>
      </c>
      <c r="E859" t="n">
        <v>0.15</v>
      </c>
    </row>
    <row r="860">
      <c r="A860" t="n">
        <v>3</v>
      </c>
      <c r="B860" t="inlineStr">
        <is>
          <t>Shichimi togarashiEpice 100ml</t>
        </is>
      </c>
      <c r="C860" t="inlineStr">
        <is>
          <t>Sésame</t>
        </is>
      </c>
      <c r="D860" t="inlineStr">
        <is>
          <t>productionInKg</t>
        </is>
      </c>
      <c r="E860" t="n">
        <v>0</v>
      </c>
      <c r="F860" t="inlineStr">
        <is>
          <t>inversReductionIngredient</t>
        </is>
      </c>
      <c r="H860" t="inlineStr">
        <is>
          <t>finalValue</t>
        </is>
      </c>
      <c r="I860" t="n">
        <v>0</v>
      </c>
    </row>
    <row r="861">
      <c r="A861" t="n">
        <v>4</v>
      </c>
      <c r="B861" t="inlineStr">
        <is>
          <t>Shichimi togarashiEpice 100ml</t>
        </is>
      </c>
      <c r="C861" t="inlineStr">
        <is>
          <t>Sésame</t>
        </is>
      </c>
      <c r="D861" t="inlineStr">
        <is>
          <t>PROD</t>
        </is>
      </c>
      <c r="E861" t="inlineStr">
        <is>
          <t>graines de sésame</t>
        </is>
      </c>
      <c r="F861" t="inlineStr">
        <is>
          <t>productionToAdd</t>
        </is>
      </c>
      <c r="G861" t="n">
        <v>0</v>
      </c>
      <c r="H861" t="inlineStr">
        <is>
          <t>currentCell</t>
        </is>
      </c>
      <c r="I861" t="n">
        <v>0</v>
      </c>
    </row>
    <row r="862">
      <c r="A862" t="n">
        <v>2</v>
      </c>
      <c r="B862" t="inlineStr">
        <is>
          <t>Shichimi togarashiEpice 100ml</t>
        </is>
      </c>
      <c r="C862" t="inlineStr">
        <is>
          <t>Gingembre Sec</t>
        </is>
      </c>
      <c r="D862" t="inlineStr">
        <is>
          <t>recetteProportion</t>
        </is>
      </c>
      <c r="E862" t="n">
        <v>0.1</v>
      </c>
    </row>
    <row r="863">
      <c r="A863" t="n">
        <v>3</v>
      </c>
      <c r="B863" t="inlineStr">
        <is>
          <t>Shichimi togarashiEpice 100ml</t>
        </is>
      </c>
      <c r="C863" t="inlineStr">
        <is>
          <t>Gingembre Sec</t>
        </is>
      </c>
      <c r="D863" t="inlineStr">
        <is>
          <t>productionInKg</t>
        </is>
      </c>
      <c r="E863" t="n">
        <v>0</v>
      </c>
      <c r="F863" t="inlineStr">
        <is>
          <t>inversReductionIngredient</t>
        </is>
      </c>
      <c r="H863" t="inlineStr">
        <is>
          <t>finalValue</t>
        </is>
      </c>
      <c r="I863" t="n">
        <v>0</v>
      </c>
    </row>
    <row r="864">
      <c r="A864" t="n">
        <v>4</v>
      </c>
      <c r="B864" t="inlineStr">
        <is>
          <t>Shichimi togarashiEpice 100ml</t>
        </is>
      </c>
      <c r="C864" t="inlineStr">
        <is>
          <t>Gingembre Sec</t>
        </is>
      </c>
      <c r="D864" t="inlineStr">
        <is>
          <t>PROD</t>
        </is>
      </c>
      <c r="E864" t="inlineStr">
        <is>
          <t>gingembre</t>
        </is>
      </c>
      <c r="F864" t="inlineStr">
        <is>
          <t>productionToAdd</t>
        </is>
      </c>
      <c r="G864" t="n">
        <v>0</v>
      </c>
      <c r="H864" t="inlineStr">
        <is>
          <t>currentCell</t>
        </is>
      </c>
      <c r="I864" t="n">
        <v>23.79683755086116</v>
      </c>
    </row>
    <row r="865">
      <c r="A865" t="n">
        <v>1</v>
      </c>
      <c r="B865" t="inlineStr">
        <is>
          <t>SriratchaEpice 100ml</t>
        </is>
      </c>
      <c r="D865" t="inlineStr">
        <is>
          <t>annee</t>
        </is>
      </c>
      <c r="E865" t="n">
        <v>1</v>
      </c>
      <c r="F865" t="inlineStr">
        <is>
          <t>prod</t>
        </is>
      </c>
      <c r="G865" t="n">
        <v>0</v>
      </c>
    </row>
    <row r="866">
      <c r="A866" t="n">
        <v>2</v>
      </c>
      <c r="B866" t="inlineStr">
        <is>
          <t>SriratchaEpice 100ml</t>
        </is>
      </c>
      <c r="C866" t="inlineStr">
        <is>
          <t>Piments Rouge</t>
        </is>
      </c>
      <c r="D866" t="inlineStr">
        <is>
          <t>recetteProportion</t>
        </is>
      </c>
      <c r="E866" t="n">
        <v>0.1139240506329114</v>
      </c>
    </row>
    <row r="867">
      <c r="A867" t="n">
        <v>3</v>
      </c>
      <c r="B867" t="inlineStr">
        <is>
          <t>SriratchaEpice 100ml</t>
        </is>
      </c>
      <c r="C867" t="inlineStr">
        <is>
          <t>Piments Rouge</t>
        </is>
      </c>
      <c r="D867" t="inlineStr">
        <is>
          <t>productionInKg</t>
        </is>
      </c>
      <c r="E867" t="n">
        <v>0</v>
      </c>
      <c r="F867" t="inlineStr">
        <is>
          <t>inversReductionIngredient</t>
        </is>
      </c>
      <c r="H867" t="inlineStr">
        <is>
          <t>finalValue</t>
        </is>
      </c>
      <c r="I867" t="n">
        <v>0</v>
      </c>
    </row>
    <row r="868">
      <c r="A868" t="n">
        <v>4</v>
      </c>
      <c r="B868" t="inlineStr">
        <is>
          <t>SriratchaEpice 100ml</t>
        </is>
      </c>
      <c r="C868" t="inlineStr">
        <is>
          <t>Piments Rouge</t>
        </is>
      </c>
      <c r="D868" t="inlineStr">
        <is>
          <t>PROD</t>
        </is>
      </c>
      <c r="E868" t="inlineStr">
        <is>
          <t>piments rouge - THUNDER MOUNTAIN LONGHORN</t>
        </is>
      </c>
      <c r="F868" t="inlineStr">
        <is>
          <t>productionToAdd</t>
        </is>
      </c>
      <c r="G868" t="n">
        <v>0</v>
      </c>
      <c r="H868" t="inlineStr">
        <is>
          <t>currentCell</t>
        </is>
      </c>
      <c r="I868" t="n">
        <v>0.01609442060085837</v>
      </c>
    </row>
    <row r="869">
      <c r="A869" t="n">
        <v>2</v>
      </c>
      <c r="B869" t="inlineStr">
        <is>
          <t>SriratchaEpice 100ml</t>
        </is>
      </c>
      <c r="C869" t="inlineStr">
        <is>
          <t>Piment Ancho</t>
        </is>
      </c>
      <c r="D869" t="inlineStr">
        <is>
          <t>recetteProportion</t>
        </is>
      </c>
      <c r="E869" t="n">
        <v>0.0379746835443038</v>
      </c>
    </row>
    <row r="870">
      <c r="A870" t="n">
        <v>3</v>
      </c>
      <c r="B870" t="inlineStr">
        <is>
          <t>SriratchaEpice 100ml</t>
        </is>
      </c>
      <c r="C870" t="inlineStr">
        <is>
          <t>Piment Ancho</t>
        </is>
      </c>
      <c r="D870" t="inlineStr">
        <is>
          <t>productionInKg</t>
        </is>
      </c>
      <c r="E870" t="n">
        <v>0</v>
      </c>
      <c r="F870" t="inlineStr">
        <is>
          <t>inversReductionIngredient</t>
        </is>
      </c>
      <c r="H870" t="inlineStr">
        <is>
          <t>finalValue</t>
        </is>
      </c>
      <c r="I870" t="n">
        <v>0</v>
      </c>
    </row>
    <row r="871">
      <c r="A871" t="n">
        <v>4</v>
      </c>
      <c r="B871" t="inlineStr">
        <is>
          <t>SriratchaEpice 100ml</t>
        </is>
      </c>
      <c r="C871" t="inlineStr">
        <is>
          <t>Piment Ancho</t>
        </is>
      </c>
      <c r="D871" t="inlineStr">
        <is>
          <t>PROD</t>
        </is>
      </c>
      <c r="E871" t="inlineStr">
        <is>
          <t>piment ancho</t>
        </is>
      </c>
      <c r="F871" t="inlineStr">
        <is>
          <t>productionToAdd</t>
        </is>
      </c>
      <c r="G871" t="n">
        <v>0</v>
      </c>
      <c r="H871" t="inlineStr">
        <is>
          <t>currentCell</t>
        </is>
      </c>
      <c r="I871" t="n">
        <v>0</v>
      </c>
    </row>
    <row r="872">
      <c r="A872" t="n">
        <v>2</v>
      </c>
      <c r="B872" t="inlineStr">
        <is>
          <t>SriratchaEpice 100ml</t>
        </is>
      </c>
      <c r="C872" t="inlineStr">
        <is>
          <t>Figue</t>
        </is>
      </c>
      <c r="D872" t="inlineStr">
        <is>
          <t>recetteProportion</t>
        </is>
      </c>
      <c r="E872" t="n">
        <v>0.1012658227848101</v>
      </c>
    </row>
    <row r="873">
      <c r="A873" t="n">
        <v>3</v>
      </c>
      <c r="B873" t="inlineStr">
        <is>
          <t>SriratchaEpice 100ml</t>
        </is>
      </c>
      <c r="C873" t="inlineStr">
        <is>
          <t>Figue</t>
        </is>
      </c>
      <c r="D873" t="inlineStr">
        <is>
          <t>productionInKg</t>
        </is>
      </c>
      <c r="E873" t="n">
        <v>0</v>
      </c>
      <c r="F873" t="inlineStr">
        <is>
          <t>inversReductionIngredient</t>
        </is>
      </c>
      <c r="H873" t="inlineStr">
        <is>
          <t>finalValue</t>
        </is>
      </c>
      <c r="I873" t="n">
        <v>0</v>
      </c>
    </row>
    <row r="874">
      <c r="A874" t="n">
        <v>4</v>
      </c>
      <c r="B874" t="inlineStr">
        <is>
          <t>SriratchaEpice 100ml</t>
        </is>
      </c>
      <c r="C874" t="inlineStr">
        <is>
          <t>Figue</t>
        </is>
      </c>
      <c r="D874" t="inlineStr">
        <is>
          <t>PROD</t>
        </is>
      </c>
      <c r="E874" t="inlineStr">
        <is>
          <t>figue</t>
        </is>
      </c>
      <c r="F874" t="inlineStr">
        <is>
          <t>productionToAdd</t>
        </is>
      </c>
      <c r="G874" t="n">
        <v>0</v>
      </c>
      <c r="H874" t="inlineStr">
        <is>
          <t>currentCell</t>
        </is>
      </c>
      <c r="I874" t="n">
        <v>22.14377406931964</v>
      </c>
    </row>
    <row r="875">
      <c r="A875" t="n">
        <v>2</v>
      </c>
      <c r="B875" t="inlineStr">
        <is>
          <t>SriratchaEpice 100ml</t>
        </is>
      </c>
      <c r="C875" t="inlineStr">
        <is>
          <t>Concentré De Tomate</t>
        </is>
      </c>
      <c r="D875" t="inlineStr">
        <is>
          <t>recetteProportion</t>
        </is>
      </c>
      <c r="E875" t="n">
        <v>0.08860759493670886</v>
      </c>
    </row>
    <row r="876">
      <c r="A876" t="n">
        <v>3</v>
      </c>
      <c r="B876" t="inlineStr">
        <is>
          <t>SriratchaEpice 100ml</t>
        </is>
      </c>
      <c r="C876" t="inlineStr">
        <is>
          <t>Concentré De Tomate</t>
        </is>
      </c>
      <c r="D876" t="inlineStr">
        <is>
          <t>productionInKg</t>
        </is>
      </c>
      <c r="E876" t="n">
        <v>0</v>
      </c>
      <c r="F876" t="inlineStr">
        <is>
          <t>inversReductionIngredient</t>
        </is>
      </c>
      <c r="H876" t="inlineStr">
        <is>
          <t>finalValue</t>
        </is>
      </c>
      <c r="I876" t="n">
        <v>0</v>
      </c>
    </row>
    <row r="877">
      <c r="A877" t="n">
        <v>4</v>
      </c>
      <c r="B877" t="inlineStr">
        <is>
          <t>SriratchaEpice 100ml</t>
        </is>
      </c>
      <c r="C877" t="inlineStr">
        <is>
          <t>Concentré De Tomate</t>
        </is>
      </c>
      <c r="D877" t="inlineStr">
        <is>
          <t>PROD</t>
        </is>
      </c>
      <c r="E877" t="inlineStr">
        <is>
          <t>tomate rouge</t>
        </is>
      </c>
      <c r="F877" t="inlineStr">
        <is>
          <t>productionToAdd</t>
        </is>
      </c>
      <c r="G877" t="n">
        <v>0</v>
      </c>
      <c r="H877" t="inlineStr">
        <is>
          <t>currentCell</t>
        </is>
      </c>
      <c r="I877" t="n">
        <v>295.2503209242619</v>
      </c>
    </row>
    <row r="878">
      <c r="A878" t="n">
        <v>2</v>
      </c>
      <c r="B878" t="inlineStr">
        <is>
          <t>SriratchaEpice 100ml</t>
        </is>
      </c>
      <c r="C878" t="inlineStr">
        <is>
          <t>Huile De Sesame Grillé</t>
        </is>
      </c>
      <c r="D878" t="inlineStr">
        <is>
          <t>recetteProportion</t>
        </is>
      </c>
      <c r="E878" t="n">
        <v>0.189873417721519</v>
      </c>
    </row>
    <row r="879">
      <c r="A879" t="n">
        <v>3</v>
      </c>
      <c r="B879" t="inlineStr">
        <is>
          <t>SriratchaEpice 100ml</t>
        </is>
      </c>
      <c r="C879" t="inlineStr">
        <is>
          <t>Huile De Sesame Grillé</t>
        </is>
      </c>
      <c r="D879" t="inlineStr">
        <is>
          <t>productionInKg</t>
        </is>
      </c>
      <c r="E879" t="n">
        <v>0</v>
      </c>
      <c r="F879" t="inlineStr">
        <is>
          <t>inversReductionIngredient</t>
        </is>
      </c>
      <c r="H879" t="inlineStr">
        <is>
          <t>finalValue</t>
        </is>
      </c>
      <c r="I879" t="n">
        <v>0</v>
      </c>
    </row>
    <row r="880">
      <c r="A880" t="n">
        <v>4</v>
      </c>
      <c r="B880" t="inlineStr">
        <is>
          <t>SriratchaEpice 100ml</t>
        </is>
      </c>
      <c r="C880" t="inlineStr">
        <is>
          <t>Huile De Sesame Grillé</t>
        </is>
      </c>
      <c r="D880" t="inlineStr">
        <is>
          <t>PROD</t>
        </is>
      </c>
      <c r="E880" t="inlineStr">
        <is>
          <t>huile de sesame grillé</t>
        </is>
      </c>
      <c r="F880" t="inlineStr">
        <is>
          <t>productionToAdd</t>
        </is>
      </c>
      <c r="G880" t="n">
        <v>0</v>
      </c>
      <c r="H880" t="inlineStr">
        <is>
          <t>currentCell</t>
        </is>
      </c>
      <c r="I880" t="n">
        <v>0</v>
      </c>
    </row>
    <row r="881">
      <c r="A881" t="n">
        <v>2</v>
      </c>
      <c r="B881" t="inlineStr">
        <is>
          <t>SriratchaEpice 100ml</t>
        </is>
      </c>
      <c r="C881" t="inlineStr">
        <is>
          <t>Huile D'Olive</t>
        </is>
      </c>
      <c r="D881" t="inlineStr">
        <is>
          <t>recetteProportion</t>
        </is>
      </c>
      <c r="E881" t="n">
        <v>0.1265822784810127</v>
      </c>
    </row>
    <row r="882">
      <c r="A882" t="n">
        <v>3</v>
      </c>
      <c r="B882" t="inlineStr">
        <is>
          <t>SriratchaEpice 100ml</t>
        </is>
      </c>
      <c r="C882" t="inlineStr">
        <is>
          <t>Huile D'Olive</t>
        </is>
      </c>
      <c r="D882" t="inlineStr">
        <is>
          <t>productionInKg</t>
        </is>
      </c>
      <c r="E882" t="n">
        <v>0</v>
      </c>
      <c r="F882" t="inlineStr">
        <is>
          <t>inversReductionIngredient</t>
        </is>
      </c>
      <c r="H882" t="inlineStr">
        <is>
          <t>finalValue</t>
        </is>
      </c>
      <c r="I882" t="n">
        <v>0</v>
      </c>
    </row>
    <row r="883">
      <c r="A883" t="n">
        <v>4</v>
      </c>
      <c r="B883" t="inlineStr">
        <is>
          <t>SriratchaEpice 100ml</t>
        </is>
      </c>
      <c r="C883" t="inlineStr">
        <is>
          <t>Huile D'Olive</t>
        </is>
      </c>
      <c r="D883" t="inlineStr">
        <is>
          <t>PROD</t>
        </is>
      </c>
      <c r="E883" t="inlineStr">
        <is>
          <t>huile d'olive</t>
        </is>
      </c>
      <c r="F883" t="inlineStr">
        <is>
          <t>productionToAdd</t>
        </is>
      </c>
      <c r="G883" t="n">
        <v>0</v>
      </c>
      <c r="H883" t="inlineStr">
        <is>
          <t>currentCell</t>
        </is>
      </c>
      <c r="I883" t="n">
        <v>0</v>
      </c>
    </row>
    <row r="884">
      <c r="A884" t="n">
        <v>2</v>
      </c>
      <c r="B884" t="inlineStr">
        <is>
          <t>SriratchaEpice 100ml</t>
        </is>
      </c>
      <c r="C884" t="inlineStr">
        <is>
          <t>Vinaigre De Cidre</t>
        </is>
      </c>
      <c r="D884" t="inlineStr">
        <is>
          <t>recetteProportion</t>
        </is>
      </c>
      <c r="E884" t="n">
        <v>0.189873417721519</v>
      </c>
    </row>
    <row r="885">
      <c r="A885" t="n">
        <v>3</v>
      </c>
      <c r="B885" t="inlineStr">
        <is>
          <t>SriratchaEpice 100ml</t>
        </is>
      </c>
      <c r="C885" t="inlineStr">
        <is>
          <t>Vinaigre De Cidre</t>
        </is>
      </c>
      <c r="D885" t="inlineStr">
        <is>
          <t>productionInKg</t>
        </is>
      </c>
      <c r="E885" t="n">
        <v>0</v>
      </c>
      <c r="F885" t="inlineStr">
        <is>
          <t>inversReductionIngredient</t>
        </is>
      </c>
      <c r="H885" t="inlineStr">
        <is>
          <t>finalValue</t>
        </is>
      </c>
      <c r="I885" t="n">
        <v>0</v>
      </c>
    </row>
    <row r="886">
      <c r="A886" t="n">
        <v>4</v>
      </c>
      <c r="B886" t="inlineStr">
        <is>
          <t>SriratchaEpice 100ml</t>
        </is>
      </c>
      <c r="C886" t="inlineStr">
        <is>
          <t>Vinaigre De Cidre</t>
        </is>
      </c>
      <c r="D886" t="inlineStr">
        <is>
          <t>PROD</t>
        </is>
      </c>
      <c r="E886" t="inlineStr">
        <is>
          <t>vinaigre de cidre</t>
        </is>
      </c>
      <c r="F886" t="inlineStr">
        <is>
          <t>productionToAdd</t>
        </is>
      </c>
      <c r="G886" t="n">
        <v>0</v>
      </c>
      <c r="H886" t="inlineStr">
        <is>
          <t>currentCell</t>
        </is>
      </c>
      <c r="I886" t="n">
        <v>94.80696999952454</v>
      </c>
    </row>
    <row r="887">
      <c r="A887" t="n">
        <v>2</v>
      </c>
      <c r="B887" t="inlineStr">
        <is>
          <t>SriratchaEpice 100ml</t>
        </is>
      </c>
      <c r="C887" t="inlineStr">
        <is>
          <t>Sauce Soja</t>
        </is>
      </c>
      <c r="D887" t="inlineStr">
        <is>
          <t>recetteProportion</t>
        </is>
      </c>
      <c r="E887" t="n">
        <v>0.06329113924050633</v>
      </c>
    </row>
    <row r="888">
      <c r="A888" t="n">
        <v>3</v>
      </c>
      <c r="B888" t="inlineStr">
        <is>
          <t>SriratchaEpice 100ml</t>
        </is>
      </c>
      <c r="C888" t="inlineStr">
        <is>
          <t>Sauce Soja</t>
        </is>
      </c>
      <c r="D888" t="inlineStr">
        <is>
          <t>productionInKg</t>
        </is>
      </c>
      <c r="E888" t="n">
        <v>0</v>
      </c>
      <c r="F888" t="inlineStr">
        <is>
          <t>inversReductionIngredient</t>
        </is>
      </c>
      <c r="H888" t="inlineStr">
        <is>
          <t>finalValue</t>
        </is>
      </c>
      <c r="I888" t="n">
        <v>0</v>
      </c>
    </row>
    <row r="889">
      <c r="A889" t="n">
        <v>4</v>
      </c>
      <c r="B889" t="inlineStr">
        <is>
          <t>SriratchaEpice 100ml</t>
        </is>
      </c>
      <c r="C889" t="inlineStr">
        <is>
          <t>Sauce Soja</t>
        </is>
      </c>
      <c r="D889" t="inlineStr">
        <is>
          <t>PROD</t>
        </is>
      </c>
      <c r="E889" t="inlineStr">
        <is>
          <t>sauce soja</t>
        </is>
      </c>
      <c r="F889" t="inlineStr">
        <is>
          <t>productionToAdd</t>
        </is>
      </c>
      <c r="G889" t="n">
        <v>0</v>
      </c>
      <c r="H889" t="inlineStr">
        <is>
          <t>currentCell</t>
        </is>
      </c>
      <c r="I889" t="n">
        <v>0</v>
      </c>
    </row>
    <row r="890">
      <c r="A890" t="n">
        <v>2</v>
      </c>
      <c r="B890" t="inlineStr">
        <is>
          <t>SriratchaEpice 100ml</t>
        </is>
      </c>
      <c r="C890" t="inlineStr">
        <is>
          <t>Miel</t>
        </is>
      </c>
      <c r="D890" t="inlineStr">
        <is>
          <t>recetteProportion</t>
        </is>
      </c>
      <c r="E890" t="n">
        <v>0.08860759493670886</v>
      </c>
    </row>
    <row r="891">
      <c r="A891" t="n">
        <v>3</v>
      </c>
      <c r="B891" t="inlineStr">
        <is>
          <t>SriratchaEpice 100ml</t>
        </is>
      </c>
      <c r="C891" t="inlineStr">
        <is>
          <t>Miel</t>
        </is>
      </c>
      <c r="D891" t="inlineStr">
        <is>
          <t>productionInKg</t>
        </is>
      </c>
      <c r="E891" t="n">
        <v>0</v>
      </c>
      <c r="F891" t="inlineStr">
        <is>
          <t>inversReductionIngredient</t>
        </is>
      </c>
      <c r="H891" t="inlineStr">
        <is>
          <t>finalValue</t>
        </is>
      </c>
      <c r="I891" t="n">
        <v>0</v>
      </c>
    </row>
    <row r="892">
      <c r="A892" t="n">
        <v>4</v>
      </c>
      <c r="B892" t="inlineStr">
        <is>
          <t>SriratchaEpice 100ml</t>
        </is>
      </c>
      <c r="C892" t="inlineStr">
        <is>
          <t>Miel</t>
        </is>
      </c>
      <c r="D892" t="inlineStr">
        <is>
          <t>PROD</t>
        </is>
      </c>
      <c r="E892" t="inlineStr">
        <is>
          <t>miel</t>
        </is>
      </c>
      <c r="F892" t="inlineStr">
        <is>
          <t>productionToAdd</t>
        </is>
      </c>
      <c r="G892" t="n">
        <v>0</v>
      </c>
      <c r="H892" t="inlineStr">
        <is>
          <t>currentCell</t>
        </is>
      </c>
      <c r="I892" t="n">
        <v>0</v>
      </c>
    </row>
    <row r="893">
      <c r="A893" t="n">
        <v>1</v>
      </c>
      <c r="B893" t="inlineStr">
        <is>
          <t>Steak de MontréalEpice 100ml</t>
        </is>
      </c>
      <c r="D893" t="inlineStr">
        <is>
          <t>annee</t>
        </is>
      </c>
      <c r="E893" t="n">
        <v>1</v>
      </c>
      <c r="F893" t="inlineStr">
        <is>
          <t>prod</t>
        </is>
      </c>
      <c r="G893" t="n">
        <v>0</v>
      </c>
    </row>
    <row r="894">
      <c r="A894" t="n">
        <v>2</v>
      </c>
      <c r="B894" t="inlineStr">
        <is>
          <t>Steak de MontréalEpice 100ml</t>
        </is>
      </c>
      <c r="C894" t="inlineStr">
        <is>
          <t>Paprika</t>
        </is>
      </c>
      <c r="D894" t="inlineStr">
        <is>
          <t>recetteProportion</t>
        </is>
      </c>
      <c r="E894" t="n">
        <v>0.04918032786885247</v>
      </c>
    </row>
    <row r="895">
      <c r="A895" t="n">
        <v>3</v>
      </c>
      <c r="B895" t="inlineStr">
        <is>
          <t>Steak de MontréalEpice 100ml</t>
        </is>
      </c>
      <c r="C895" t="inlineStr">
        <is>
          <t>Paprika</t>
        </is>
      </c>
      <c r="D895" t="inlineStr">
        <is>
          <t>productionInKg</t>
        </is>
      </c>
      <c r="E895" t="n">
        <v>0</v>
      </c>
      <c r="F895" t="inlineStr">
        <is>
          <t>inversReductionIngredient</t>
        </is>
      </c>
      <c r="H895" t="inlineStr">
        <is>
          <t>finalValue</t>
        </is>
      </c>
      <c r="I895" t="n">
        <v>0</v>
      </c>
    </row>
    <row r="896">
      <c r="A896" t="n">
        <v>4</v>
      </c>
      <c r="B896" t="inlineStr">
        <is>
          <t>Steak de MontréalEpice 100ml</t>
        </is>
      </c>
      <c r="C896" t="inlineStr">
        <is>
          <t>Paprika</t>
        </is>
      </c>
      <c r="D896" t="inlineStr">
        <is>
          <t>PROD</t>
        </is>
      </c>
      <c r="E896" t="inlineStr">
        <is>
          <t>piment doux rouge</t>
        </is>
      </c>
      <c r="F896" t="inlineStr">
        <is>
          <t>productionToAdd</t>
        </is>
      </c>
      <c r="G896" t="n">
        <v>0</v>
      </c>
      <c r="H896" t="inlineStr">
        <is>
          <t>currentCell</t>
        </is>
      </c>
      <c r="I896" t="n">
        <v>11.89957160071333</v>
      </c>
    </row>
    <row r="897">
      <c r="A897" t="n">
        <v>2</v>
      </c>
      <c r="B897" t="inlineStr">
        <is>
          <t>Steak de MontréalEpice 100ml</t>
        </is>
      </c>
      <c r="C897" t="inlineStr">
        <is>
          <t>Poivre Noir</t>
        </is>
      </c>
      <c r="D897" t="inlineStr">
        <is>
          <t>recetteProportion</t>
        </is>
      </c>
      <c r="E897" t="n">
        <v>0.1967213114754099</v>
      </c>
    </row>
    <row r="898">
      <c r="A898" t="n">
        <v>3</v>
      </c>
      <c r="B898" t="inlineStr">
        <is>
          <t>Steak de MontréalEpice 100ml</t>
        </is>
      </c>
      <c r="C898" t="inlineStr">
        <is>
          <t>Poivre Noir</t>
        </is>
      </c>
      <c r="D898" t="inlineStr">
        <is>
          <t>productionInKg</t>
        </is>
      </c>
      <c r="E898" t="n">
        <v>0</v>
      </c>
      <c r="F898" t="inlineStr">
        <is>
          <t>inversReductionIngredient</t>
        </is>
      </c>
      <c r="H898" t="inlineStr">
        <is>
          <t>finalValue</t>
        </is>
      </c>
      <c r="I898" t="n">
        <v>0</v>
      </c>
    </row>
    <row r="899">
      <c r="A899" t="n">
        <v>4</v>
      </c>
      <c r="B899" t="inlineStr">
        <is>
          <t>Steak de MontréalEpice 100ml</t>
        </is>
      </c>
      <c r="C899" t="inlineStr">
        <is>
          <t>Poivre Noir</t>
        </is>
      </c>
      <c r="D899" t="inlineStr">
        <is>
          <t>PROD</t>
        </is>
      </c>
      <c r="E899" t="inlineStr">
        <is>
          <t>poivre noir</t>
        </is>
      </c>
      <c r="F899" t="inlineStr">
        <is>
          <t>productionToAdd</t>
        </is>
      </c>
      <c r="G899" t="n">
        <v>0</v>
      </c>
      <c r="H899" t="inlineStr">
        <is>
          <t>currentCell</t>
        </is>
      </c>
      <c r="I899" t="n">
        <v>0.4895246920461513</v>
      </c>
    </row>
    <row r="900">
      <c r="A900" t="n">
        <v>2</v>
      </c>
      <c r="B900" t="inlineStr">
        <is>
          <t>Steak de MontréalEpice 100ml</t>
        </is>
      </c>
      <c r="C900" t="inlineStr">
        <is>
          <t>Oignon Séché</t>
        </is>
      </c>
      <c r="D900" t="inlineStr">
        <is>
          <t>recetteProportion</t>
        </is>
      </c>
      <c r="E900" t="n">
        <v>0.09836065573770493</v>
      </c>
    </row>
    <row r="901">
      <c r="A901" t="n">
        <v>3</v>
      </c>
      <c r="B901" t="inlineStr">
        <is>
          <t>Steak de MontréalEpice 100ml</t>
        </is>
      </c>
      <c r="C901" t="inlineStr">
        <is>
          <t>Oignon Séché</t>
        </is>
      </c>
      <c r="D901" t="inlineStr">
        <is>
          <t>productionInKg</t>
        </is>
      </c>
      <c r="E901" t="n">
        <v>0</v>
      </c>
      <c r="F901" t="inlineStr">
        <is>
          <t>inversReductionIngredient</t>
        </is>
      </c>
      <c r="H901" t="inlineStr">
        <is>
          <t>finalValue</t>
        </is>
      </c>
      <c r="I901" t="n">
        <v>0</v>
      </c>
    </row>
    <row r="902">
      <c r="A902" t="n">
        <v>4</v>
      </c>
      <c r="B902" t="inlineStr">
        <is>
          <t>Steak de MontréalEpice 100ml</t>
        </is>
      </c>
      <c r="C902" t="inlineStr">
        <is>
          <t>Oignon Séché</t>
        </is>
      </c>
      <c r="D902" t="inlineStr">
        <is>
          <t>PROD</t>
        </is>
      </c>
      <c r="E902" t="inlineStr">
        <is>
          <t>oignon</t>
        </is>
      </c>
      <c r="F902" t="inlineStr">
        <is>
          <t>productionToAdd</t>
        </is>
      </c>
      <c r="G902" t="n">
        <v>0</v>
      </c>
      <c r="H902" t="inlineStr">
        <is>
          <t>currentCell</t>
        </is>
      </c>
      <c r="I902" t="n">
        <v>20.7389510361269</v>
      </c>
    </row>
    <row r="903">
      <c r="A903" t="n">
        <v>2</v>
      </c>
      <c r="B903" t="inlineStr">
        <is>
          <t>Steak de MontréalEpice 100ml</t>
        </is>
      </c>
      <c r="C903" t="inlineStr">
        <is>
          <t>Aneth SEC</t>
        </is>
      </c>
      <c r="D903" t="inlineStr">
        <is>
          <t>recetteProportion</t>
        </is>
      </c>
      <c r="E903" t="n">
        <v>0.09836065573770493</v>
      </c>
    </row>
    <row r="904">
      <c r="A904" t="n">
        <v>2</v>
      </c>
      <c r="B904" t="inlineStr">
        <is>
          <t>Steak de MontréalEpice 100ml</t>
        </is>
      </c>
      <c r="C904" t="inlineStr">
        <is>
          <t>Coriandre Graine</t>
        </is>
      </c>
      <c r="D904" t="inlineStr">
        <is>
          <t>recetteProportion</t>
        </is>
      </c>
      <c r="E904" t="n">
        <v>0.09836065573770493</v>
      </c>
    </row>
    <row r="905">
      <c r="A905" t="n">
        <v>3</v>
      </c>
      <c r="B905" t="inlineStr">
        <is>
          <t>Steak de MontréalEpice 100ml</t>
        </is>
      </c>
      <c r="C905" t="inlineStr">
        <is>
          <t>Coriandre Graine</t>
        </is>
      </c>
      <c r="D905" t="inlineStr">
        <is>
          <t>productionInKg</t>
        </is>
      </c>
      <c r="E905" t="n">
        <v>0</v>
      </c>
      <c r="F905" t="inlineStr">
        <is>
          <t>inversReductionIngredient</t>
        </is>
      </c>
      <c r="H905" t="inlineStr">
        <is>
          <t>finalValue</t>
        </is>
      </c>
      <c r="I905" t="n">
        <v>0</v>
      </c>
    </row>
    <row r="906">
      <c r="A906" t="n">
        <v>4</v>
      </c>
      <c r="B906" t="inlineStr">
        <is>
          <t>Steak de MontréalEpice 100ml</t>
        </is>
      </c>
      <c r="C906" t="inlineStr">
        <is>
          <t>Coriandre Graine</t>
        </is>
      </c>
      <c r="D906" t="inlineStr">
        <is>
          <t>PROD</t>
        </is>
      </c>
      <c r="E906" t="inlineStr">
        <is>
          <t>coriandre graine</t>
        </is>
      </c>
      <c r="F906" t="inlineStr">
        <is>
          <t>productionToAdd</t>
        </is>
      </c>
      <c r="G906" t="n">
        <v>0</v>
      </c>
      <c r="H906" t="inlineStr">
        <is>
          <t>currentCell</t>
        </is>
      </c>
      <c r="I906" t="n">
        <v>13.20572815060476</v>
      </c>
    </row>
    <row r="907">
      <c r="A907" t="n">
        <v>2</v>
      </c>
      <c r="B907" t="inlineStr">
        <is>
          <t>Steak de MontréalEpice 100ml</t>
        </is>
      </c>
      <c r="C907" t="inlineStr">
        <is>
          <t>Romarin</t>
        </is>
      </c>
      <c r="D907" t="inlineStr">
        <is>
          <t>recetteProportion</t>
        </is>
      </c>
      <c r="E907" t="n">
        <v>0.04918032786885247</v>
      </c>
    </row>
    <row r="908">
      <c r="A908" t="n">
        <v>3</v>
      </c>
      <c r="B908" t="inlineStr">
        <is>
          <t>Steak de MontréalEpice 100ml</t>
        </is>
      </c>
      <c r="C908" t="inlineStr">
        <is>
          <t>Romarin</t>
        </is>
      </c>
      <c r="D908" t="inlineStr">
        <is>
          <t>productionInKg</t>
        </is>
      </c>
      <c r="E908" t="n">
        <v>0</v>
      </c>
      <c r="F908" t="inlineStr">
        <is>
          <t>inversReductionIngredient</t>
        </is>
      </c>
      <c r="H908" t="inlineStr">
        <is>
          <t>finalValue</t>
        </is>
      </c>
      <c r="I908" t="n">
        <v>0</v>
      </c>
    </row>
    <row r="909">
      <c r="A909" t="n">
        <v>4</v>
      </c>
      <c r="B909" t="inlineStr">
        <is>
          <t>Steak de MontréalEpice 100ml</t>
        </is>
      </c>
      <c r="C909" t="inlineStr">
        <is>
          <t>Romarin</t>
        </is>
      </c>
      <c r="D909" t="inlineStr">
        <is>
          <t>PROD</t>
        </is>
      </c>
      <c r="E909" t="inlineStr">
        <is>
          <t>romarin</t>
        </is>
      </c>
      <c r="F909" t="inlineStr">
        <is>
          <t>productionToAdd</t>
        </is>
      </c>
      <c r="G909" t="n">
        <v>0</v>
      </c>
      <c r="H909" t="inlineStr">
        <is>
          <t>currentCell</t>
        </is>
      </c>
      <c r="I909" t="n">
        <v>0</v>
      </c>
    </row>
    <row r="910">
      <c r="A910" t="n">
        <v>2</v>
      </c>
      <c r="B910" t="inlineStr">
        <is>
          <t>Steak de MontréalEpice 100ml</t>
        </is>
      </c>
      <c r="C910" t="inlineStr">
        <is>
          <t>Graine De Moutarde</t>
        </is>
      </c>
      <c r="D910" t="inlineStr">
        <is>
          <t>recetteProportion</t>
        </is>
      </c>
      <c r="E910" t="n">
        <v>0.04918032786885247</v>
      </c>
    </row>
    <row r="911">
      <c r="A911" t="n">
        <v>3</v>
      </c>
      <c r="B911" t="inlineStr">
        <is>
          <t>Steak de MontréalEpice 100ml</t>
        </is>
      </c>
      <c r="C911" t="inlineStr">
        <is>
          <t>Graine De Moutarde</t>
        </is>
      </c>
      <c r="D911" t="inlineStr">
        <is>
          <t>productionInKg</t>
        </is>
      </c>
      <c r="E911" t="n">
        <v>0</v>
      </c>
      <c r="F911" t="inlineStr">
        <is>
          <t>inversReductionIngredient</t>
        </is>
      </c>
      <c r="H911" t="inlineStr">
        <is>
          <t>finalValue</t>
        </is>
      </c>
      <c r="I911" t="n">
        <v>0</v>
      </c>
    </row>
    <row r="912">
      <c r="A912" t="n">
        <v>4</v>
      </c>
      <c r="B912" t="inlineStr">
        <is>
          <t>Steak de MontréalEpice 100ml</t>
        </is>
      </c>
      <c r="C912" t="inlineStr">
        <is>
          <t>Graine De Moutarde</t>
        </is>
      </c>
      <c r="D912" t="inlineStr">
        <is>
          <t>PROD</t>
        </is>
      </c>
      <c r="E912" t="inlineStr">
        <is>
          <t>graine de moutarde</t>
        </is>
      </c>
      <c r="F912" t="inlineStr">
        <is>
          <t>productionToAdd</t>
        </is>
      </c>
      <c r="G912" t="n">
        <v>0</v>
      </c>
      <c r="H912" t="inlineStr">
        <is>
          <t>currentCell</t>
        </is>
      </c>
      <c r="I912" t="n">
        <v>262.7270518258087</v>
      </c>
    </row>
    <row r="913">
      <c r="A913" t="n">
        <v>2</v>
      </c>
      <c r="B913" t="inlineStr">
        <is>
          <t>Steak de MontréalEpice 100ml</t>
        </is>
      </c>
      <c r="C913" t="inlineStr">
        <is>
          <t>Graine De Cumin</t>
        </is>
      </c>
      <c r="D913" t="inlineStr">
        <is>
          <t>recetteProportion</t>
        </is>
      </c>
      <c r="E913" t="n">
        <v>0.04918032786885247</v>
      </c>
    </row>
    <row r="914">
      <c r="A914" t="n">
        <v>3</v>
      </c>
      <c r="B914" t="inlineStr">
        <is>
          <t>Steak de MontréalEpice 100ml</t>
        </is>
      </c>
      <c r="C914" t="inlineStr">
        <is>
          <t>Graine De Cumin</t>
        </is>
      </c>
      <c r="D914" t="inlineStr">
        <is>
          <t>productionInKg</t>
        </is>
      </c>
      <c r="E914" t="n">
        <v>0</v>
      </c>
      <c r="F914" t="inlineStr">
        <is>
          <t>inversReductionIngredient</t>
        </is>
      </c>
      <c r="H914" t="inlineStr">
        <is>
          <t>finalValue</t>
        </is>
      </c>
      <c r="I914" t="n">
        <v>0</v>
      </c>
    </row>
    <row r="915">
      <c r="A915" t="n">
        <v>4</v>
      </c>
      <c r="B915" t="inlineStr">
        <is>
          <t>Steak de MontréalEpice 100ml</t>
        </is>
      </c>
      <c r="C915" t="inlineStr">
        <is>
          <t>Graine De Cumin</t>
        </is>
      </c>
      <c r="D915" t="inlineStr">
        <is>
          <t>PROD</t>
        </is>
      </c>
      <c r="E915" t="inlineStr">
        <is>
          <t>graine cumin</t>
        </is>
      </c>
      <c r="F915" t="inlineStr">
        <is>
          <t>productionToAdd</t>
        </is>
      </c>
      <c r="G915" t="n">
        <v>0</v>
      </c>
      <c r="H915" t="inlineStr">
        <is>
          <t>currentCell</t>
        </is>
      </c>
      <c r="I915" t="n">
        <v>57.47181617169969</v>
      </c>
    </row>
    <row r="916">
      <c r="A916" t="n">
        <v>2</v>
      </c>
      <c r="B916" t="inlineStr">
        <is>
          <t>Steak de MontréalEpice 100ml</t>
        </is>
      </c>
      <c r="C916" t="inlineStr">
        <is>
          <t>Origan</t>
        </is>
      </c>
      <c r="D916" t="inlineStr">
        <is>
          <t>recetteProportion</t>
        </is>
      </c>
      <c r="E916" t="n">
        <v>0.04918032786885247</v>
      </c>
    </row>
    <row r="917">
      <c r="A917" t="n">
        <v>3</v>
      </c>
      <c r="B917" t="inlineStr">
        <is>
          <t>Steak de MontréalEpice 100ml</t>
        </is>
      </c>
      <c r="C917" t="inlineStr">
        <is>
          <t>Origan</t>
        </is>
      </c>
      <c r="D917" t="inlineStr">
        <is>
          <t>productionInKg</t>
        </is>
      </c>
      <c r="E917" t="n">
        <v>0</v>
      </c>
      <c r="F917" t="inlineStr">
        <is>
          <t>inversReductionIngredient</t>
        </is>
      </c>
      <c r="H917" t="inlineStr">
        <is>
          <t>finalValue</t>
        </is>
      </c>
      <c r="I917" t="n">
        <v>0</v>
      </c>
    </row>
    <row r="918">
      <c r="A918" t="n">
        <v>4</v>
      </c>
      <c r="B918" t="inlineStr">
        <is>
          <t>Steak de MontréalEpice 100ml</t>
        </is>
      </c>
      <c r="C918" t="inlineStr">
        <is>
          <t>Origan</t>
        </is>
      </c>
      <c r="D918" t="inlineStr">
        <is>
          <t>PROD</t>
        </is>
      </c>
      <c r="E918" t="inlineStr">
        <is>
          <t>origan</t>
        </is>
      </c>
      <c r="F918" t="inlineStr">
        <is>
          <t>productionToAdd</t>
        </is>
      </c>
      <c r="G918" t="n">
        <v>0</v>
      </c>
      <c r="H918" t="inlineStr">
        <is>
          <t>currentCell</t>
        </is>
      </c>
      <c r="I918" t="n">
        <v>0.5524861878453039</v>
      </c>
    </row>
    <row r="919">
      <c r="A919" t="n">
        <v>2</v>
      </c>
      <c r="B919" t="inlineStr">
        <is>
          <t>Steak de MontréalEpice 100ml</t>
        </is>
      </c>
      <c r="C919" t="inlineStr">
        <is>
          <t>Basilic SEC</t>
        </is>
      </c>
      <c r="D919" t="inlineStr">
        <is>
          <t>recetteProportion</t>
        </is>
      </c>
      <c r="E919" t="n">
        <v>0.04918032786885247</v>
      </c>
    </row>
    <row r="920">
      <c r="A920" t="n">
        <v>2</v>
      </c>
      <c r="B920" t="inlineStr">
        <is>
          <t>Steak de MontréalEpice 100ml</t>
        </is>
      </c>
      <c r="C920" t="inlineStr">
        <is>
          <t>Marjolaine</t>
        </is>
      </c>
      <c r="D920" t="inlineStr">
        <is>
          <t>recetteProportion</t>
        </is>
      </c>
      <c r="E920" t="n">
        <v>0.04918032786885247</v>
      </c>
    </row>
    <row r="921">
      <c r="A921" t="n">
        <v>3</v>
      </c>
      <c r="B921" t="inlineStr">
        <is>
          <t>Steak de MontréalEpice 100ml</t>
        </is>
      </c>
      <c r="C921" t="inlineStr">
        <is>
          <t>Marjolaine</t>
        </is>
      </c>
      <c r="D921" t="inlineStr">
        <is>
          <t>productionInKg</t>
        </is>
      </c>
      <c r="E921" t="n">
        <v>0</v>
      </c>
      <c r="F921" t="inlineStr">
        <is>
          <t>inversReductionIngredient</t>
        </is>
      </c>
      <c r="H921" t="inlineStr">
        <is>
          <t>finalValue</t>
        </is>
      </c>
      <c r="I921" t="n">
        <v>0</v>
      </c>
    </row>
    <row r="922">
      <c r="A922" t="n">
        <v>4</v>
      </c>
      <c r="B922" t="inlineStr">
        <is>
          <t>Steak de MontréalEpice 100ml</t>
        </is>
      </c>
      <c r="C922" t="inlineStr">
        <is>
          <t>Marjolaine</t>
        </is>
      </c>
      <c r="D922" t="inlineStr">
        <is>
          <t>PROD</t>
        </is>
      </c>
      <c r="E922" t="inlineStr">
        <is>
          <t>marjolaine</t>
        </is>
      </c>
      <c r="F922" t="inlineStr">
        <is>
          <t>productionToAdd</t>
        </is>
      </c>
      <c r="G922" t="n">
        <v>0</v>
      </c>
      <c r="H922" t="inlineStr">
        <is>
          <t>currentCell</t>
        </is>
      </c>
      <c r="I922" t="n">
        <v>0</v>
      </c>
    </row>
    <row r="923">
      <c r="A923" t="n">
        <v>2</v>
      </c>
      <c r="B923" t="inlineStr">
        <is>
          <t>Steak de MontréalEpice 100ml</t>
        </is>
      </c>
      <c r="C923" t="inlineStr">
        <is>
          <t>Thym</t>
        </is>
      </c>
      <c r="D923" t="inlineStr">
        <is>
          <t>recetteProportion</t>
        </is>
      </c>
      <c r="E923" t="n">
        <v>0.04918032786885247</v>
      </c>
    </row>
    <row r="924">
      <c r="A924" t="n">
        <v>3</v>
      </c>
      <c r="B924" t="inlineStr">
        <is>
          <t>Steak de MontréalEpice 100ml</t>
        </is>
      </c>
      <c r="C924" t="inlineStr">
        <is>
          <t>Thym</t>
        </is>
      </c>
      <c r="D924" t="inlineStr">
        <is>
          <t>productionInKg</t>
        </is>
      </c>
      <c r="E924" t="n">
        <v>0</v>
      </c>
      <c r="F924" t="inlineStr">
        <is>
          <t>inversReductionIngredient</t>
        </is>
      </c>
      <c r="H924" t="inlineStr">
        <is>
          <t>finalValue</t>
        </is>
      </c>
      <c r="I924" t="n">
        <v>0</v>
      </c>
    </row>
    <row r="925">
      <c r="A925" t="n">
        <v>4</v>
      </c>
      <c r="B925" t="inlineStr">
        <is>
          <t>Steak de MontréalEpice 100ml</t>
        </is>
      </c>
      <c r="C925" t="inlineStr">
        <is>
          <t>Thym</t>
        </is>
      </c>
      <c r="D925" t="inlineStr">
        <is>
          <t>PROD</t>
        </is>
      </c>
      <c r="E925" t="inlineStr">
        <is>
          <t>thym</t>
        </is>
      </c>
      <c r="F925" t="inlineStr">
        <is>
          <t>productionToAdd</t>
        </is>
      </c>
      <c r="G925" t="n">
        <v>0</v>
      </c>
      <c r="H925" t="inlineStr">
        <is>
          <t>currentCell</t>
        </is>
      </c>
      <c r="I925" t="n">
        <v>2.900552486187845</v>
      </c>
    </row>
    <row r="926">
      <c r="A926" t="n">
        <v>2</v>
      </c>
      <c r="B926" t="inlineStr">
        <is>
          <t>Steak de MontréalEpice 100ml</t>
        </is>
      </c>
      <c r="C926" t="inlineStr">
        <is>
          <t>Piment De Cayenne Jaune SEC</t>
        </is>
      </c>
      <c r="D926" t="inlineStr">
        <is>
          <t>recetteProportion</t>
        </is>
      </c>
      <c r="E926" t="n">
        <v>0.01639344262295082</v>
      </c>
    </row>
    <row r="927">
      <c r="A927" t="n">
        <v>2</v>
      </c>
      <c r="B927" t="inlineStr">
        <is>
          <t>Steak de MontréalEpice 100ml</t>
        </is>
      </c>
      <c r="C927" t="inlineStr">
        <is>
          <t>Ail SEC</t>
        </is>
      </c>
      <c r="D927" t="inlineStr">
        <is>
          <t>recetteProportion</t>
        </is>
      </c>
      <c r="E927" t="n">
        <v>0.09836065573770493</v>
      </c>
    </row>
    <row r="928">
      <c r="A928" t="n">
        <v>1</v>
      </c>
      <c r="B928" t="inlineStr">
        <is>
          <t>Sucre aux fleuresEpice 100ml</t>
        </is>
      </c>
      <c r="D928" t="inlineStr">
        <is>
          <t>annee</t>
        </is>
      </c>
      <c r="E928" t="n">
        <v>1</v>
      </c>
      <c r="F928" t="inlineStr">
        <is>
          <t>prod</t>
        </is>
      </c>
      <c r="G928" t="n">
        <v>25</v>
      </c>
    </row>
    <row r="929">
      <c r="A929" t="n">
        <v>2</v>
      </c>
      <c r="B929" t="inlineStr">
        <is>
          <t>Sucre aux fleuresEpice 100ml</t>
        </is>
      </c>
      <c r="C929" t="inlineStr">
        <is>
          <t xml:space="preserve">Sucre Blanc </t>
        </is>
      </c>
      <c r="D929" t="inlineStr">
        <is>
          <t>recetteProportion</t>
        </is>
      </c>
      <c r="E929" t="n">
        <v>0.95</v>
      </c>
    </row>
    <row r="930">
      <c r="A930" t="n">
        <v>3</v>
      </c>
      <c r="B930" t="inlineStr">
        <is>
          <t>Sucre aux fleuresEpice 100ml</t>
        </is>
      </c>
      <c r="C930" t="inlineStr">
        <is>
          <t xml:space="preserve">Sucre Blanc </t>
        </is>
      </c>
      <c r="D930" t="inlineStr">
        <is>
          <t>productionInKg</t>
        </is>
      </c>
      <c r="E930" t="n">
        <v>25</v>
      </c>
      <c r="F930" t="inlineStr">
        <is>
          <t>inversReductionIngredient</t>
        </is>
      </c>
      <c r="H930" t="inlineStr">
        <is>
          <t>finalValue</t>
        </is>
      </c>
      <c r="I930" t="n">
        <v>23.75</v>
      </c>
    </row>
    <row r="931">
      <c r="A931" t="n">
        <v>2</v>
      </c>
      <c r="B931" t="inlineStr">
        <is>
          <t>Sucre aux fleuresEpice 100ml</t>
        </is>
      </c>
      <c r="C931" t="inlineStr">
        <is>
          <t>Monarde SEC</t>
        </is>
      </c>
      <c r="D931" t="inlineStr">
        <is>
          <t>recetteProportion</t>
        </is>
      </c>
      <c r="E931" t="n">
        <v>0.003571428571428571</v>
      </c>
    </row>
    <row r="932">
      <c r="A932" t="n">
        <v>2</v>
      </c>
      <c r="B932" t="inlineStr">
        <is>
          <t>Sucre aux fleuresEpice 100ml</t>
        </is>
      </c>
      <c r="C932" t="inlineStr">
        <is>
          <t>Mauve SEC</t>
        </is>
      </c>
      <c r="D932" t="inlineStr">
        <is>
          <t>recetteProportion</t>
        </is>
      </c>
      <c r="E932" t="n">
        <v>0.003571428571428571</v>
      </c>
    </row>
    <row r="933">
      <c r="A933" t="n">
        <v>2</v>
      </c>
      <c r="B933" t="inlineStr">
        <is>
          <t>Sucre aux fleuresEpice 100ml</t>
        </is>
      </c>
      <c r="C933" t="inlineStr">
        <is>
          <t>Sureau SEC</t>
        </is>
      </c>
      <c r="D933" t="inlineStr">
        <is>
          <t>recetteProportion</t>
        </is>
      </c>
      <c r="E933" t="n">
        <v>0.003571428571428571</v>
      </c>
    </row>
    <row r="934">
      <c r="A934" t="n">
        <v>2</v>
      </c>
      <c r="B934" t="inlineStr">
        <is>
          <t>Sucre aux fleuresEpice 100ml</t>
        </is>
      </c>
      <c r="C934" t="inlineStr">
        <is>
          <t>Camomille Romaine SEC</t>
        </is>
      </c>
      <c r="D934" t="inlineStr">
        <is>
          <t>recetteProportion</t>
        </is>
      </c>
      <c r="E934" t="n">
        <v>0.003571428571428571</v>
      </c>
    </row>
    <row r="935">
      <c r="A935" t="n">
        <v>2</v>
      </c>
      <c r="B935" t="inlineStr">
        <is>
          <t>Sucre aux fleuresEpice 100ml</t>
        </is>
      </c>
      <c r="C935" t="inlineStr">
        <is>
          <t>Bleuet SEC</t>
        </is>
      </c>
      <c r="D935" t="inlineStr">
        <is>
          <t>recetteProportion</t>
        </is>
      </c>
      <c r="E935" t="n">
        <v>0.003571428571428571</v>
      </c>
    </row>
    <row r="936">
      <c r="A936" t="n">
        <v>2</v>
      </c>
      <c r="B936" t="inlineStr">
        <is>
          <t>Sucre aux fleuresEpice 100ml</t>
        </is>
      </c>
      <c r="C936" t="inlineStr">
        <is>
          <t>La Pensée SEC</t>
        </is>
      </c>
      <c r="D936" t="inlineStr">
        <is>
          <t>recetteProportion</t>
        </is>
      </c>
      <c r="E936" t="n">
        <v>0.003571428571428571</v>
      </c>
    </row>
    <row r="937">
      <c r="A937" t="n">
        <v>2</v>
      </c>
      <c r="B937" t="inlineStr">
        <is>
          <t>Sucre aux fleuresEpice 100ml</t>
        </is>
      </c>
      <c r="C937" t="inlineStr">
        <is>
          <t>Fleure Helichrysum SEC</t>
        </is>
      </c>
      <c r="D937" t="inlineStr">
        <is>
          <t>recetteProportion</t>
        </is>
      </c>
      <c r="E937" t="n">
        <v>0.003571428571428571</v>
      </c>
    </row>
    <row r="938">
      <c r="A938" t="n">
        <v>2</v>
      </c>
      <c r="B938" t="inlineStr">
        <is>
          <t>Sucre aux fleuresEpice 100ml</t>
        </is>
      </c>
      <c r="C938" t="inlineStr">
        <is>
          <t>Hémérocalle SEC</t>
        </is>
      </c>
      <c r="D938" t="inlineStr">
        <is>
          <t>recetteProportion</t>
        </is>
      </c>
      <c r="E938" t="n">
        <v>0.003571428571428571</v>
      </c>
    </row>
    <row r="939">
      <c r="A939" t="n">
        <v>2</v>
      </c>
      <c r="B939" t="inlineStr">
        <is>
          <t>Sucre aux fleuresEpice 100ml</t>
        </is>
      </c>
      <c r="C939" t="inlineStr">
        <is>
          <t>Souci SEC (Calendula Officinalis)</t>
        </is>
      </c>
      <c r="D939" t="inlineStr">
        <is>
          <t>recetteProportion</t>
        </is>
      </c>
      <c r="E939" t="n">
        <v>0.003571428571428571</v>
      </c>
    </row>
    <row r="940">
      <c r="A940" t="n">
        <v>2</v>
      </c>
      <c r="B940" t="inlineStr">
        <is>
          <t>Sucre aux fleuresEpice 100ml</t>
        </is>
      </c>
      <c r="C940" t="inlineStr">
        <is>
          <t>Rose SEC</t>
        </is>
      </c>
      <c r="D940" t="inlineStr">
        <is>
          <t>recetteProportion</t>
        </is>
      </c>
      <c r="E940" t="n">
        <v>0.003571428571428571</v>
      </c>
    </row>
    <row r="941">
      <c r="A941" t="n">
        <v>2</v>
      </c>
      <c r="B941" t="inlineStr">
        <is>
          <t>Sucre aux fleuresEpice 100ml</t>
        </is>
      </c>
      <c r="C941" t="inlineStr">
        <is>
          <t>Pelargonium SEC (Géranium)</t>
        </is>
      </c>
      <c r="D941" t="inlineStr">
        <is>
          <t>recetteProportion</t>
        </is>
      </c>
      <c r="E941" t="n">
        <v>0.003571428571428571</v>
      </c>
    </row>
    <row r="942">
      <c r="A942" t="n">
        <v>2</v>
      </c>
      <c r="B942" t="inlineStr">
        <is>
          <t>Sucre aux fleuresEpice 100ml</t>
        </is>
      </c>
      <c r="C942" t="inlineStr">
        <is>
          <t>Lavande SEC</t>
        </is>
      </c>
      <c r="D942" t="inlineStr">
        <is>
          <t>recetteProportion</t>
        </is>
      </c>
      <c r="E942" t="n">
        <v>0.003571428571428571</v>
      </c>
    </row>
    <row r="943">
      <c r="A943" t="n">
        <v>2</v>
      </c>
      <c r="B943" t="inlineStr">
        <is>
          <t>Sucre aux fleuresEpice 100ml</t>
        </is>
      </c>
      <c r="C943" t="inlineStr">
        <is>
          <t>Oeillet D’Inde SEC</t>
        </is>
      </c>
      <c r="D943" t="inlineStr">
        <is>
          <t>recetteProportion</t>
        </is>
      </c>
      <c r="E943" t="n">
        <v>0.003571428571428571</v>
      </c>
    </row>
    <row r="944">
      <c r="A944" t="n">
        <v>2</v>
      </c>
      <c r="B944" t="inlineStr">
        <is>
          <t>Sucre aux fleuresEpice 100ml</t>
        </is>
      </c>
      <c r="C944" t="inlineStr">
        <is>
          <t>L'Agastache SEC</t>
        </is>
      </c>
      <c r="D944" t="inlineStr">
        <is>
          <t>recetteProportion</t>
        </is>
      </c>
      <c r="E944" t="n">
        <v>0.003571428571428571</v>
      </c>
    </row>
    <row r="946">
      <c r="A946" t="n">
        <v>2</v>
      </c>
      <c r="B946" t="inlineStr">
        <is>
          <t>Suya ghanéenEpice 100ml</t>
        </is>
      </c>
      <c r="C946" t="inlineStr">
        <is>
          <t>Piment Doux Rouge En Poudre</t>
        </is>
      </c>
      <c r="D946" t="inlineStr">
        <is>
          <t>recetteProportion</t>
        </is>
      </c>
      <c r="E946" t="n">
        <v>0.0505050505050505</v>
      </c>
    </row>
    <row r="947">
      <c r="A947" t="n">
        <v>3</v>
      </c>
      <c r="B947" t="inlineStr">
        <is>
          <t>Suya ghanéenEpice 100ml</t>
        </is>
      </c>
      <c r="C947" t="inlineStr">
        <is>
          <t>Piment Doux Rouge En Poudre</t>
        </is>
      </c>
      <c r="D947" t="inlineStr">
        <is>
          <t>productionInKg</t>
        </is>
      </c>
      <c r="E947" t="n">
        <v>0</v>
      </c>
      <c r="F947" t="inlineStr">
        <is>
          <t>inversReductionIngredient</t>
        </is>
      </c>
      <c r="H947" t="inlineStr">
        <is>
          <t>finalValue</t>
        </is>
      </c>
      <c r="I947" t="n">
        <v>0</v>
      </c>
    </row>
    <row r="948">
      <c r="A948" t="n">
        <v>4</v>
      </c>
      <c r="B948" t="inlineStr">
        <is>
          <t>Suya ghanéenEpice 100ml</t>
        </is>
      </c>
      <c r="C948" t="inlineStr">
        <is>
          <t>Piment Doux Rouge En Poudre</t>
        </is>
      </c>
      <c r="D948" t="inlineStr">
        <is>
          <t>PROD</t>
        </is>
      </c>
      <c r="E948" t="inlineStr">
        <is>
          <t>piment doux rouge</t>
        </is>
      </c>
      <c r="F948" t="inlineStr">
        <is>
          <t>productionToAdd</t>
        </is>
      </c>
      <c r="G948" t="n">
        <v>0</v>
      </c>
      <c r="H948" t="inlineStr">
        <is>
          <t>currentCell</t>
        </is>
      </c>
      <c r="I948" t="n">
        <v>11.89957160071333</v>
      </c>
    </row>
    <row r="949">
      <c r="A949" t="n">
        <v>2</v>
      </c>
      <c r="B949" t="inlineStr">
        <is>
          <t>Suya ghanéenEpice 100ml</t>
        </is>
      </c>
      <c r="C949" t="inlineStr">
        <is>
          <t>Gingembre Sec</t>
        </is>
      </c>
      <c r="D949" t="inlineStr">
        <is>
          <t>recetteProportion</t>
        </is>
      </c>
      <c r="E949" t="n">
        <v>0.2525252525252525</v>
      </c>
    </row>
    <row r="950">
      <c r="A950" t="n">
        <v>3</v>
      </c>
      <c r="B950" t="inlineStr">
        <is>
          <t>Suya ghanéenEpice 100ml</t>
        </is>
      </c>
      <c r="C950" t="inlineStr">
        <is>
          <t>Gingembre Sec</t>
        </is>
      </c>
      <c r="D950" t="inlineStr">
        <is>
          <t>productionInKg</t>
        </is>
      </c>
      <c r="E950" t="n">
        <v>0</v>
      </c>
      <c r="F950" t="inlineStr">
        <is>
          <t>inversReductionIngredient</t>
        </is>
      </c>
      <c r="H950" t="inlineStr">
        <is>
          <t>finalValue</t>
        </is>
      </c>
      <c r="I950" t="n">
        <v>0</v>
      </c>
    </row>
    <row r="951">
      <c r="A951" t="n">
        <v>4</v>
      </c>
      <c r="B951" t="inlineStr">
        <is>
          <t>Suya ghanéenEpice 100ml</t>
        </is>
      </c>
      <c r="C951" t="inlineStr">
        <is>
          <t>Gingembre Sec</t>
        </is>
      </c>
      <c r="D951" t="inlineStr">
        <is>
          <t>PROD</t>
        </is>
      </c>
      <c r="E951" t="inlineStr">
        <is>
          <t>gingembre</t>
        </is>
      </c>
      <c r="F951" t="inlineStr">
        <is>
          <t>productionToAdd</t>
        </is>
      </c>
      <c r="G951" t="n">
        <v>0</v>
      </c>
      <c r="H951" t="inlineStr">
        <is>
          <t>currentCell</t>
        </is>
      </c>
      <c r="I951" t="n">
        <v>23.79683755086116</v>
      </c>
    </row>
    <row r="952">
      <c r="A952" t="n">
        <v>2</v>
      </c>
      <c r="B952" t="inlineStr">
        <is>
          <t>Suya ghanéenEpice 100ml</t>
        </is>
      </c>
      <c r="C952" t="inlineStr">
        <is>
          <t>Cacahuètes Grillées</t>
        </is>
      </c>
      <c r="D952" t="inlineStr">
        <is>
          <t>recetteProportion</t>
        </is>
      </c>
      <c r="E952" t="n">
        <v>0.303030303030303</v>
      </c>
    </row>
    <row r="953">
      <c r="A953" t="n">
        <v>3</v>
      </c>
      <c r="B953" t="inlineStr">
        <is>
          <t>Suya ghanéenEpice 100ml</t>
        </is>
      </c>
      <c r="C953" t="inlineStr">
        <is>
          <t>Cacahuètes Grillées</t>
        </is>
      </c>
      <c r="D953" t="inlineStr">
        <is>
          <t>productionInKg</t>
        </is>
      </c>
      <c r="E953" t="n">
        <v>0</v>
      </c>
      <c r="F953" t="inlineStr">
        <is>
          <t>inversReductionIngredient</t>
        </is>
      </c>
      <c r="H953" t="inlineStr">
        <is>
          <t>finalValue</t>
        </is>
      </c>
      <c r="I953" t="n">
        <v>0</v>
      </c>
    </row>
    <row r="954">
      <c r="A954" t="n">
        <v>4</v>
      </c>
      <c r="B954" t="inlineStr">
        <is>
          <t>Suya ghanéenEpice 100ml</t>
        </is>
      </c>
      <c r="C954" t="inlineStr">
        <is>
          <t>Cacahuètes Grillées</t>
        </is>
      </c>
      <c r="D954" t="inlineStr">
        <is>
          <t>PROD</t>
        </is>
      </c>
      <c r="E954" t="inlineStr">
        <is>
          <t>cacahuètes grillées</t>
        </is>
      </c>
      <c r="F954" t="inlineStr">
        <is>
          <t>productionToAdd</t>
        </is>
      </c>
      <c r="G954" t="n">
        <v>0</v>
      </c>
      <c r="H954" t="inlineStr">
        <is>
          <t>currentCell</t>
        </is>
      </c>
      <c r="I954" t="n">
        <v>0</v>
      </c>
    </row>
    <row r="955">
      <c r="A955" t="n">
        <v>2</v>
      </c>
      <c r="B955" t="inlineStr">
        <is>
          <t>Suya ghanéenEpice 100ml</t>
        </is>
      </c>
      <c r="C955" t="inlineStr">
        <is>
          <t>Bouillon Poulet</t>
        </is>
      </c>
      <c r="D955" t="inlineStr">
        <is>
          <t>recetteProportion</t>
        </is>
      </c>
      <c r="E955" t="n">
        <v>0.101010101010101</v>
      </c>
    </row>
    <row r="956">
      <c r="A956" t="n">
        <v>3</v>
      </c>
      <c r="B956" t="inlineStr">
        <is>
          <t>Suya ghanéenEpice 100ml</t>
        </is>
      </c>
      <c r="C956" t="inlineStr">
        <is>
          <t>Bouillon Poulet</t>
        </is>
      </c>
      <c r="D956" t="inlineStr">
        <is>
          <t>productionInKg</t>
        </is>
      </c>
      <c r="E956" t="n">
        <v>0</v>
      </c>
      <c r="F956" t="inlineStr">
        <is>
          <t>inversReductionIngredient</t>
        </is>
      </c>
      <c r="H956" t="inlineStr">
        <is>
          <t>finalValue</t>
        </is>
      </c>
      <c r="I956" t="n">
        <v>0</v>
      </c>
    </row>
    <row r="957">
      <c r="A957" t="n">
        <v>2</v>
      </c>
      <c r="B957" t="inlineStr">
        <is>
          <t>Suya ghanéenEpice 100ml</t>
        </is>
      </c>
      <c r="C957" t="inlineStr">
        <is>
          <t>Oignon Séché</t>
        </is>
      </c>
      <c r="D957" t="inlineStr">
        <is>
          <t>recetteProportion</t>
        </is>
      </c>
      <c r="E957" t="n">
        <v>0.0707070707070707</v>
      </c>
    </row>
    <row r="958">
      <c r="A958" t="n">
        <v>3</v>
      </c>
      <c r="B958" t="inlineStr">
        <is>
          <t>Suya ghanéenEpice 100ml</t>
        </is>
      </c>
      <c r="C958" t="inlineStr">
        <is>
          <t>Oignon Séché</t>
        </is>
      </c>
      <c r="D958" t="inlineStr">
        <is>
          <t>productionInKg</t>
        </is>
      </c>
      <c r="E958" t="n">
        <v>0</v>
      </c>
      <c r="F958" t="inlineStr">
        <is>
          <t>inversReductionIngredient</t>
        </is>
      </c>
      <c r="H958" t="inlineStr">
        <is>
          <t>finalValue</t>
        </is>
      </c>
      <c r="I958" t="n">
        <v>0</v>
      </c>
    </row>
    <row r="959">
      <c r="A959" t="n">
        <v>4</v>
      </c>
      <c r="B959" t="inlineStr">
        <is>
          <t>Suya ghanéenEpice 100ml</t>
        </is>
      </c>
      <c r="C959" t="inlineStr">
        <is>
          <t>Oignon Séché</t>
        </is>
      </c>
      <c r="D959" t="inlineStr">
        <is>
          <t>PROD</t>
        </is>
      </c>
      <c r="E959" t="inlineStr">
        <is>
          <t>oignon</t>
        </is>
      </c>
      <c r="F959" t="inlineStr">
        <is>
          <t>productionToAdd</t>
        </is>
      </c>
      <c r="G959" t="n">
        <v>0</v>
      </c>
      <c r="H959" t="inlineStr">
        <is>
          <t>currentCell</t>
        </is>
      </c>
      <c r="I959" t="n">
        <v>20.7389510361269</v>
      </c>
    </row>
    <row r="960">
      <c r="A960" t="n">
        <v>2</v>
      </c>
      <c r="B960" t="inlineStr">
        <is>
          <t>Suya ghanéenEpice 100ml</t>
        </is>
      </c>
      <c r="C960" t="inlineStr">
        <is>
          <t>Sel</t>
        </is>
      </c>
      <c r="D960" t="inlineStr">
        <is>
          <t>recetteProportion</t>
        </is>
      </c>
      <c r="E960" t="n">
        <v>0.0505050505050505</v>
      </c>
    </row>
    <row r="961">
      <c r="A961" t="n">
        <v>3</v>
      </c>
      <c r="B961" t="inlineStr">
        <is>
          <t>Suya ghanéenEpice 100ml</t>
        </is>
      </c>
      <c r="C961" t="inlineStr">
        <is>
          <t>Sel</t>
        </is>
      </c>
      <c r="D961" t="inlineStr">
        <is>
          <t>productionInKg</t>
        </is>
      </c>
      <c r="E961" t="n">
        <v>0</v>
      </c>
      <c r="F961" t="inlineStr">
        <is>
          <t>inversReductionIngredient</t>
        </is>
      </c>
      <c r="H961" t="inlineStr">
        <is>
          <t>finalValue</t>
        </is>
      </c>
      <c r="I961" t="n">
        <v>0</v>
      </c>
    </row>
    <row r="962">
      <c r="A962" t="n">
        <v>4</v>
      </c>
      <c r="B962" t="inlineStr">
        <is>
          <t>Suya ghanéenEpice 100ml</t>
        </is>
      </c>
      <c r="C962" t="inlineStr">
        <is>
          <t>Sel</t>
        </is>
      </c>
      <c r="D962" t="inlineStr">
        <is>
          <t>PROD</t>
        </is>
      </c>
      <c r="E962" t="inlineStr">
        <is>
          <t>sel</t>
        </is>
      </c>
      <c r="F962" t="inlineStr">
        <is>
          <t>productionToAdd</t>
        </is>
      </c>
      <c r="G962" t="n">
        <v>0</v>
      </c>
      <c r="H962" t="inlineStr">
        <is>
          <t>currentCell</t>
        </is>
      </c>
      <c r="I962" t="n">
        <v>73.50427990640902</v>
      </c>
    </row>
    <row r="963">
      <c r="A963" t="n">
        <v>2</v>
      </c>
      <c r="B963" t="inlineStr">
        <is>
          <t>Suya ghanéenEpice 100ml</t>
        </is>
      </c>
      <c r="C963" t="inlineStr">
        <is>
          <t>Poivre Noir</t>
        </is>
      </c>
      <c r="D963" t="inlineStr">
        <is>
          <t>recetteProportion</t>
        </is>
      </c>
      <c r="E963" t="n">
        <v>0.0303030303030303</v>
      </c>
    </row>
    <row r="964">
      <c r="A964" t="n">
        <v>3</v>
      </c>
      <c r="B964" t="inlineStr">
        <is>
          <t>Suya ghanéenEpice 100ml</t>
        </is>
      </c>
      <c r="C964" t="inlineStr">
        <is>
          <t>Poivre Noir</t>
        </is>
      </c>
      <c r="D964" t="inlineStr">
        <is>
          <t>productionInKg</t>
        </is>
      </c>
      <c r="E964" t="n">
        <v>0</v>
      </c>
      <c r="F964" t="inlineStr">
        <is>
          <t>inversReductionIngredient</t>
        </is>
      </c>
      <c r="H964" t="inlineStr">
        <is>
          <t>finalValue</t>
        </is>
      </c>
      <c r="I964" t="n">
        <v>0</v>
      </c>
    </row>
    <row r="965">
      <c r="A965" t="n">
        <v>4</v>
      </c>
      <c r="B965" t="inlineStr">
        <is>
          <t>Suya ghanéenEpice 100ml</t>
        </is>
      </c>
      <c r="C965" t="inlineStr">
        <is>
          <t>Poivre Noir</t>
        </is>
      </c>
      <c r="D965" t="inlineStr">
        <is>
          <t>PROD</t>
        </is>
      </c>
      <c r="E965" t="inlineStr">
        <is>
          <t>poivre noir</t>
        </is>
      </c>
      <c r="F965" t="inlineStr">
        <is>
          <t>productionToAdd</t>
        </is>
      </c>
      <c r="G965" t="n">
        <v>0</v>
      </c>
      <c r="H965" t="inlineStr">
        <is>
          <t>currentCell</t>
        </is>
      </c>
      <c r="I965" t="n">
        <v>0.4895246920461513</v>
      </c>
    </row>
    <row r="966">
      <c r="A966" t="n">
        <v>2</v>
      </c>
      <c r="B966" t="inlineStr">
        <is>
          <t>Suya ghanéenEpice 100ml</t>
        </is>
      </c>
      <c r="C966" t="inlineStr">
        <is>
          <t>Piment De Cayenne Jaune</t>
        </is>
      </c>
      <c r="D966" t="inlineStr">
        <is>
          <t>recetteProportion</t>
        </is>
      </c>
      <c r="E966" t="n">
        <v>0.04040404040404041</v>
      </c>
    </row>
    <row r="967">
      <c r="A967" t="n">
        <v>3</v>
      </c>
      <c r="B967" t="inlineStr">
        <is>
          <t>Suya ghanéenEpice 100ml</t>
        </is>
      </c>
      <c r="C967" t="inlineStr">
        <is>
          <t>Piment De Cayenne Jaune</t>
        </is>
      </c>
      <c r="D967" t="inlineStr">
        <is>
          <t>productionInKg</t>
        </is>
      </c>
      <c r="E967" t="n">
        <v>0</v>
      </c>
      <c r="F967" t="inlineStr">
        <is>
          <t>inversReductionIngredient</t>
        </is>
      </c>
      <c r="H967" t="inlineStr">
        <is>
          <t>finalValue</t>
        </is>
      </c>
      <c r="I967" t="n">
        <v>0</v>
      </c>
    </row>
    <row r="968">
      <c r="A968" t="n">
        <v>4</v>
      </c>
      <c r="B968" t="inlineStr">
        <is>
          <t>Suya ghanéenEpice 100ml</t>
        </is>
      </c>
      <c r="C968" t="inlineStr">
        <is>
          <t>Piment De Cayenne Jaune</t>
        </is>
      </c>
      <c r="D968" t="inlineStr">
        <is>
          <t>PROD</t>
        </is>
      </c>
      <c r="E968" t="inlineStr">
        <is>
          <t>piment de cayenne jaune</t>
        </is>
      </c>
      <c r="F968" t="inlineStr">
        <is>
          <t>productionToAdd</t>
        </is>
      </c>
      <c r="G968" t="n">
        <v>0</v>
      </c>
      <c r="H968" t="inlineStr">
        <is>
          <t>currentCell</t>
        </is>
      </c>
      <c r="I968" t="n">
        <v>0</v>
      </c>
    </row>
    <row r="969">
      <c r="A969" t="n">
        <v>2</v>
      </c>
      <c r="B969" t="inlineStr">
        <is>
          <t>Suya ghanéenEpice 100ml</t>
        </is>
      </c>
      <c r="C969" t="inlineStr">
        <is>
          <t>Ail SEC</t>
        </is>
      </c>
      <c r="D969" t="inlineStr">
        <is>
          <t>recetteProportion</t>
        </is>
      </c>
      <c r="E969" t="n">
        <v>0.101010101010101</v>
      </c>
    </row>
    <row r="970">
      <c r="A970" t="n">
        <v>1</v>
      </c>
      <c r="B970" t="inlineStr">
        <is>
          <t>Tabasco cayenne jauneEpice 100ml</t>
        </is>
      </c>
      <c r="D970" t="inlineStr">
        <is>
          <t>annee</t>
        </is>
      </c>
      <c r="E970" t="n">
        <v>1</v>
      </c>
      <c r="F970" t="inlineStr">
        <is>
          <t>prod</t>
        </is>
      </c>
      <c r="G970" t="n">
        <v>12.5</v>
      </c>
    </row>
    <row r="971">
      <c r="A971" t="n">
        <v>2</v>
      </c>
      <c r="B971" t="inlineStr">
        <is>
          <t>Tabasco cayenne jauneEpice 100ml</t>
        </is>
      </c>
      <c r="C971" t="inlineStr">
        <is>
          <t>Ail</t>
        </is>
      </c>
      <c r="D971" t="inlineStr">
        <is>
          <t>recetteProportion</t>
        </is>
      </c>
      <c r="E971" t="n">
        <v>0.04477611940298507</v>
      </c>
    </row>
    <row r="972">
      <c r="A972" t="n">
        <v>3</v>
      </c>
      <c r="B972" t="inlineStr">
        <is>
          <t>Tabasco cayenne jauneEpice 100ml</t>
        </is>
      </c>
      <c r="C972" t="inlineStr">
        <is>
          <t>Ail</t>
        </is>
      </c>
      <c r="D972" t="inlineStr">
        <is>
          <t>productionInKg</t>
        </is>
      </c>
      <c r="E972" t="n">
        <v>12.5</v>
      </c>
      <c r="F972" t="inlineStr">
        <is>
          <t>inversReductionIngredient</t>
        </is>
      </c>
      <c r="H972" t="inlineStr">
        <is>
          <t>finalValue</t>
        </is>
      </c>
      <c r="I972" t="n">
        <v>0.5597014925373134</v>
      </c>
    </row>
    <row r="973">
      <c r="A973" t="n">
        <v>4</v>
      </c>
      <c r="B973" t="inlineStr">
        <is>
          <t>Tabasco cayenne jauneEpice 100ml</t>
        </is>
      </c>
      <c r="C973" t="inlineStr">
        <is>
          <t>Ail</t>
        </is>
      </c>
      <c r="D973" t="inlineStr">
        <is>
          <t>PROD</t>
        </is>
      </c>
      <c r="E973" t="inlineStr">
        <is>
          <t>ail</t>
        </is>
      </c>
      <c r="F973" t="inlineStr">
        <is>
          <t>productionToAdd</t>
        </is>
      </c>
      <c r="G973" t="n">
        <v>0.5597014925373134</v>
      </c>
      <c r="H973" t="inlineStr">
        <is>
          <t>currentCell</t>
        </is>
      </c>
      <c r="I973" t="n">
        <v>3.512204701779932</v>
      </c>
    </row>
    <row r="974">
      <c r="A974" t="n">
        <v>2</v>
      </c>
      <c r="B974" t="inlineStr">
        <is>
          <t>Tabasco cayenne jauneEpice 100ml</t>
        </is>
      </c>
      <c r="C974" t="inlineStr">
        <is>
          <t>Piment De Cayenne Jaune</t>
        </is>
      </c>
      <c r="D974" t="inlineStr">
        <is>
          <t>recetteProportion</t>
        </is>
      </c>
      <c r="E974" t="n">
        <v>0.746268656716418</v>
      </c>
    </row>
    <row r="975">
      <c r="A975" t="n">
        <v>3</v>
      </c>
      <c r="B975" t="inlineStr">
        <is>
          <t>Tabasco cayenne jauneEpice 100ml</t>
        </is>
      </c>
      <c r="C975" t="inlineStr">
        <is>
          <t>Piment De Cayenne Jaune</t>
        </is>
      </c>
      <c r="D975" t="inlineStr">
        <is>
          <t>productionInKg</t>
        </is>
      </c>
      <c r="E975" t="n">
        <v>12.5</v>
      </c>
      <c r="F975" t="inlineStr">
        <is>
          <t>inversReductionIngredient</t>
        </is>
      </c>
      <c r="H975" t="inlineStr">
        <is>
          <t>finalValue</t>
        </is>
      </c>
      <c r="I975" t="n">
        <v>9.328358208955224</v>
      </c>
    </row>
    <row r="976">
      <c r="A976" t="n">
        <v>4</v>
      </c>
      <c r="B976" t="inlineStr">
        <is>
          <t>Tabasco cayenne jauneEpice 100ml</t>
        </is>
      </c>
      <c r="C976" t="inlineStr">
        <is>
          <t>Piment De Cayenne Jaune</t>
        </is>
      </c>
      <c r="D976" t="inlineStr">
        <is>
          <t>PROD</t>
        </is>
      </c>
      <c r="E976" t="inlineStr">
        <is>
          <t>piment de cayenne jaune</t>
        </is>
      </c>
      <c r="F976" t="inlineStr">
        <is>
          <t>productionToAdd</t>
        </is>
      </c>
      <c r="G976" t="n">
        <v>9.328358208955224</v>
      </c>
      <c r="H976" t="inlineStr">
        <is>
          <t>currentCell</t>
        </is>
      </c>
      <c r="I976" t="n">
        <v>9.328358208955224</v>
      </c>
    </row>
    <row r="977">
      <c r="A977" t="n">
        <v>2</v>
      </c>
      <c r="B977" t="inlineStr">
        <is>
          <t>Tabasco cayenne jauneEpice 100ml</t>
        </is>
      </c>
      <c r="C977" t="inlineStr">
        <is>
          <t>Sel</t>
        </is>
      </c>
      <c r="D977" t="inlineStr">
        <is>
          <t>recetteProportion</t>
        </is>
      </c>
      <c r="E977" t="n">
        <v>0.07462686567164178</v>
      </c>
    </row>
    <row r="978">
      <c r="A978" t="n">
        <v>3</v>
      </c>
      <c r="B978" t="inlineStr">
        <is>
          <t>Tabasco cayenne jauneEpice 100ml</t>
        </is>
      </c>
      <c r="C978" t="inlineStr">
        <is>
          <t>Sel</t>
        </is>
      </c>
      <c r="D978" t="inlineStr">
        <is>
          <t>productionInKg</t>
        </is>
      </c>
      <c r="E978" t="n">
        <v>12.5</v>
      </c>
      <c r="F978" t="inlineStr">
        <is>
          <t>inversReductionIngredient</t>
        </is>
      </c>
      <c r="H978" t="inlineStr">
        <is>
          <t>finalValue</t>
        </is>
      </c>
      <c r="I978" t="n">
        <v>0.9328358208955223</v>
      </c>
    </row>
    <row r="979">
      <c r="A979" t="n">
        <v>4</v>
      </c>
      <c r="B979" t="inlineStr">
        <is>
          <t>Tabasco cayenne jauneEpice 100ml</t>
        </is>
      </c>
      <c r="C979" t="inlineStr">
        <is>
          <t>Sel</t>
        </is>
      </c>
      <c r="D979" t="inlineStr">
        <is>
          <t>PROD</t>
        </is>
      </c>
      <c r="E979" t="inlineStr">
        <is>
          <t>sel</t>
        </is>
      </c>
      <c r="F979" t="inlineStr">
        <is>
          <t>productionToAdd</t>
        </is>
      </c>
      <c r="G979" t="n">
        <v>0.9328358208955223</v>
      </c>
      <c r="H979" t="inlineStr">
        <is>
          <t>currentCell</t>
        </is>
      </c>
      <c r="I979" t="n">
        <v>74.43711572730454</v>
      </c>
    </row>
    <row r="980">
      <c r="A980" t="n">
        <v>2</v>
      </c>
      <c r="B980" t="inlineStr">
        <is>
          <t>Tabasco cayenne jauneEpice 100ml</t>
        </is>
      </c>
      <c r="C980" t="inlineStr">
        <is>
          <t>Vinaigre De Cidre</t>
        </is>
      </c>
      <c r="D980" t="inlineStr">
        <is>
          <t>recetteProportion</t>
        </is>
      </c>
      <c r="E980" t="n">
        <v>0.04477611940298507</v>
      </c>
    </row>
    <row r="981">
      <c r="A981" t="n">
        <v>3</v>
      </c>
      <c r="B981" t="inlineStr">
        <is>
          <t>Tabasco cayenne jauneEpice 100ml</t>
        </is>
      </c>
      <c r="C981" t="inlineStr">
        <is>
          <t>Vinaigre De Cidre</t>
        </is>
      </c>
      <c r="D981" t="inlineStr">
        <is>
          <t>productionInKg</t>
        </is>
      </c>
      <c r="E981" t="n">
        <v>12.5</v>
      </c>
      <c r="F981" t="inlineStr">
        <is>
          <t>inversReductionIngredient</t>
        </is>
      </c>
      <c r="H981" t="inlineStr">
        <is>
          <t>finalValue</t>
        </is>
      </c>
      <c r="I981" t="n">
        <v>0.5597014925373134</v>
      </c>
    </row>
    <row r="982">
      <c r="A982" t="n">
        <v>4</v>
      </c>
      <c r="B982" t="inlineStr">
        <is>
          <t>Tabasco cayenne jauneEpice 100ml</t>
        </is>
      </c>
      <c r="C982" t="inlineStr">
        <is>
          <t>Vinaigre De Cidre</t>
        </is>
      </c>
      <c r="D982" t="inlineStr">
        <is>
          <t>PROD</t>
        </is>
      </c>
      <c r="E982" t="inlineStr">
        <is>
          <t>vinaigre de cidre</t>
        </is>
      </c>
      <c r="F982" t="inlineStr">
        <is>
          <t>productionToAdd</t>
        </is>
      </c>
      <c r="G982" t="n">
        <v>0.5597014925373134</v>
      </c>
      <c r="H982" t="inlineStr">
        <is>
          <t>currentCell</t>
        </is>
      </c>
      <c r="I982" t="n">
        <v>95.36667149206185</v>
      </c>
    </row>
    <row r="983">
      <c r="A983" t="n">
        <v>2</v>
      </c>
      <c r="B983" t="inlineStr">
        <is>
          <t>Tabasco cayenne jauneEpice 100ml</t>
        </is>
      </c>
      <c r="C983" t="inlineStr">
        <is>
          <t>Oignon</t>
        </is>
      </c>
      <c r="D983" t="inlineStr">
        <is>
          <t>recetteProportion</t>
        </is>
      </c>
      <c r="E983" t="n">
        <v>0.08955223880597014</v>
      </c>
    </row>
    <row r="984">
      <c r="A984" t="n">
        <v>3</v>
      </c>
      <c r="B984" t="inlineStr">
        <is>
          <t>Tabasco cayenne jauneEpice 100ml</t>
        </is>
      </c>
      <c r="C984" t="inlineStr">
        <is>
          <t>Oignon</t>
        </is>
      </c>
      <c r="D984" t="inlineStr">
        <is>
          <t>productionInKg</t>
        </is>
      </c>
      <c r="E984" t="n">
        <v>12.5</v>
      </c>
      <c r="F984" t="inlineStr">
        <is>
          <t>inversReductionIngredient</t>
        </is>
      </c>
      <c r="H984" t="inlineStr">
        <is>
          <t>finalValue</t>
        </is>
      </c>
      <c r="I984" t="n">
        <v>1.119402985074627</v>
      </c>
    </row>
    <row r="985">
      <c r="A985" t="n">
        <v>4</v>
      </c>
      <c r="B985" t="inlineStr">
        <is>
          <t>Tabasco cayenne jauneEpice 100ml</t>
        </is>
      </c>
      <c r="C985" t="inlineStr">
        <is>
          <t>Oignon</t>
        </is>
      </c>
      <c r="D985" t="inlineStr">
        <is>
          <t>PROD</t>
        </is>
      </c>
      <c r="E985" t="inlineStr">
        <is>
          <t>oignon</t>
        </is>
      </c>
      <c r="F985" t="inlineStr">
        <is>
          <t>productionToAdd</t>
        </is>
      </c>
      <c r="G985" t="n">
        <v>1.119402985074627</v>
      </c>
      <c r="H985" t="inlineStr">
        <is>
          <t>currentCell</t>
        </is>
      </c>
      <c r="I985" t="n">
        <v>21.85835402120153</v>
      </c>
    </row>
    <row r="986">
      <c r="A986" t="n">
        <v>1</v>
      </c>
      <c r="B986" t="inlineStr">
        <is>
          <t>Tabasco jalapenoEpice 100ml</t>
        </is>
      </c>
      <c r="D986" t="inlineStr">
        <is>
          <t>annee</t>
        </is>
      </c>
      <c r="E986" t="n">
        <v>1</v>
      </c>
      <c r="F986" t="inlineStr">
        <is>
          <t>prod</t>
        </is>
      </c>
      <c r="G986" t="n">
        <v>25</v>
      </c>
    </row>
    <row r="987">
      <c r="A987" t="n">
        <v>2</v>
      </c>
      <c r="B987" t="inlineStr">
        <is>
          <t>Tabasco jalapenoEpice 100ml</t>
        </is>
      </c>
      <c r="C987" t="inlineStr">
        <is>
          <t>Piment Jalapeno Vert</t>
        </is>
      </c>
      <c r="D987" t="inlineStr">
        <is>
          <t>recetteProportion</t>
        </is>
      </c>
      <c r="E987" t="n">
        <v>0.7092198581560284</v>
      </c>
    </row>
    <row r="988">
      <c r="A988" t="n">
        <v>3</v>
      </c>
      <c r="B988" t="inlineStr">
        <is>
          <t>Tabasco jalapenoEpice 100ml</t>
        </is>
      </c>
      <c r="C988" t="inlineStr">
        <is>
          <t>Piment Jalapeno Vert</t>
        </is>
      </c>
      <c r="D988" t="inlineStr">
        <is>
          <t>productionInKg</t>
        </is>
      </c>
      <c r="E988" t="n">
        <v>25</v>
      </c>
      <c r="F988" t="inlineStr">
        <is>
          <t>inversReductionIngredient</t>
        </is>
      </c>
      <c r="H988" t="inlineStr">
        <is>
          <t>finalValue</t>
        </is>
      </c>
      <c r="I988" t="n">
        <v>17.73049645390071</v>
      </c>
    </row>
    <row r="989">
      <c r="A989" t="n">
        <v>4</v>
      </c>
      <c r="B989" t="inlineStr">
        <is>
          <t>Tabasco jalapenoEpice 100ml</t>
        </is>
      </c>
      <c r="C989" t="inlineStr">
        <is>
          <t>Piment Jalapeno Vert</t>
        </is>
      </c>
      <c r="D989" t="inlineStr">
        <is>
          <t>PROD</t>
        </is>
      </c>
      <c r="E989" t="inlineStr">
        <is>
          <t>piment jalapeno vert</t>
        </is>
      </c>
      <c r="F989" t="inlineStr">
        <is>
          <t>productionToAdd</t>
        </is>
      </c>
      <c r="G989" t="n">
        <v>17.73049645390071</v>
      </c>
      <c r="H989" t="inlineStr">
        <is>
          <t>currentCell</t>
        </is>
      </c>
      <c r="I989" t="n">
        <v>17.73049645390071</v>
      </c>
    </row>
    <row r="990">
      <c r="A990" t="n">
        <v>2</v>
      </c>
      <c r="B990" t="inlineStr">
        <is>
          <t>Tabasco jalapenoEpice 100ml</t>
        </is>
      </c>
      <c r="C990" t="inlineStr">
        <is>
          <t>Sel</t>
        </is>
      </c>
      <c r="D990" t="inlineStr">
        <is>
          <t>recetteProportion</t>
        </is>
      </c>
      <c r="E990" t="n">
        <v>0.07092198581560284</v>
      </c>
    </row>
    <row r="991">
      <c r="A991" t="n">
        <v>3</v>
      </c>
      <c r="B991" t="inlineStr">
        <is>
          <t>Tabasco jalapenoEpice 100ml</t>
        </is>
      </c>
      <c r="C991" t="inlineStr">
        <is>
          <t>Sel</t>
        </is>
      </c>
      <c r="D991" t="inlineStr">
        <is>
          <t>productionInKg</t>
        </is>
      </c>
      <c r="E991" t="n">
        <v>25</v>
      </c>
      <c r="F991" t="inlineStr">
        <is>
          <t>inversReductionIngredient</t>
        </is>
      </c>
      <c r="H991" t="inlineStr">
        <is>
          <t>finalValue</t>
        </is>
      </c>
      <c r="I991" t="n">
        <v>1.773049645390071</v>
      </c>
    </row>
    <row r="992">
      <c r="A992" t="n">
        <v>4</v>
      </c>
      <c r="B992" t="inlineStr">
        <is>
          <t>Tabasco jalapenoEpice 100ml</t>
        </is>
      </c>
      <c r="C992" t="inlineStr">
        <is>
          <t>Sel</t>
        </is>
      </c>
      <c r="D992" t="inlineStr">
        <is>
          <t>PROD</t>
        </is>
      </c>
      <c r="E992" t="inlineStr">
        <is>
          <t>sel</t>
        </is>
      </c>
      <c r="F992" t="inlineStr">
        <is>
          <t>productionToAdd</t>
        </is>
      </c>
      <c r="G992" t="n">
        <v>1.773049645390071</v>
      </c>
      <c r="H992" t="inlineStr">
        <is>
          <t>currentCell</t>
        </is>
      </c>
      <c r="I992" t="n">
        <v>76.21016537269462</v>
      </c>
    </row>
    <row r="993">
      <c r="A993" t="n">
        <v>2</v>
      </c>
      <c r="B993" t="inlineStr">
        <is>
          <t>Tabasco jalapenoEpice 100ml</t>
        </is>
      </c>
      <c r="C993" t="inlineStr">
        <is>
          <t>Vinaigre De Cidre</t>
        </is>
      </c>
      <c r="D993" t="inlineStr">
        <is>
          <t>recetteProportion</t>
        </is>
      </c>
      <c r="E993" t="n">
        <v>0.0425531914893617</v>
      </c>
    </row>
    <row r="994">
      <c r="A994" t="n">
        <v>3</v>
      </c>
      <c r="B994" t="inlineStr">
        <is>
          <t>Tabasco jalapenoEpice 100ml</t>
        </is>
      </c>
      <c r="C994" t="inlineStr">
        <is>
          <t>Vinaigre De Cidre</t>
        </is>
      </c>
      <c r="D994" t="inlineStr">
        <is>
          <t>productionInKg</t>
        </is>
      </c>
      <c r="E994" t="n">
        <v>25</v>
      </c>
      <c r="F994" t="inlineStr">
        <is>
          <t>inversReductionIngredient</t>
        </is>
      </c>
      <c r="H994" t="inlineStr">
        <is>
          <t>finalValue</t>
        </is>
      </c>
      <c r="I994" t="n">
        <v>1.063829787234043</v>
      </c>
    </row>
    <row r="995">
      <c r="A995" t="n">
        <v>4</v>
      </c>
      <c r="B995" t="inlineStr">
        <is>
          <t>Tabasco jalapenoEpice 100ml</t>
        </is>
      </c>
      <c r="C995" t="inlineStr">
        <is>
          <t>Vinaigre De Cidre</t>
        </is>
      </c>
      <c r="D995" t="inlineStr">
        <is>
          <t>PROD</t>
        </is>
      </c>
      <c r="E995" t="inlineStr">
        <is>
          <t>vinaigre de cidre</t>
        </is>
      </c>
      <c r="F995" t="inlineStr">
        <is>
          <t>productionToAdd</t>
        </is>
      </c>
      <c r="G995" t="n">
        <v>1.063829787234043</v>
      </c>
      <c r="H995" t="inlineStr">
        <is>
          <t>currentCell</t>
        </is>
      </c>
      <c r="I995" t="n">
        <v>96.4305012792959</v>
      </c>
    </row>
    <row r="996">
      <c r="A996" t="n">
        <v>2</v>
      </c>
      <c r="B996" t="inlineStr">
        <is>
          <t>Tabasco jalapenoEpice 100ml</t>
        </is>
      </c>
      <c r="C996" t="inlineStr">
        <is>
          <t>Basilic Thaï</t>
        </is>
      </c>
      <c r="D996" t="inlineStr">
        <is>
          <t>recetteProportion</t>
        </is>
      </c>
      <c r="E996" t="n">
        <v>0.09219858156028368</v>
      </c>
    </row>
    <row r="997">
      <c r="A997" t="n">
        <v>3</v>
      </c>
      <c r="B997" t="inlineStr">
        <is>
          <t>Tabasco jalapenoEpice 100ml</t>
        </is>
      </c>
      <c r="C997" t="inlineStr">
        <is>
          <t>Basilic Thaï</t>
        </is>
      </c>
      <c r="D997" t="inlineStr">
        <is>
          <t>productionInKg</t>
        </is>
      </c>
      <c r="E997" t="n">
        <v>25</v>
      </c>
      <c r="F997" t="inlineStr">
        <is>
          <t>inversReductionIngredient</t>
        </is>
      </c>
      <c r="H997" t="inlineStr">
        <is>
          <t>finalValue</t>
        </is>
      </c>
      <c r="I997" t="n">
        <v>2.304964539007092</v>
      </c>
    </row>
    <row r="998">
      <c r="A998" t="n">
        <v>4</v>
      </c>
      <c r="B998" t="inlineStr">
        <is>
          <t>Tabasco jalapenoEpice 100ml</t>
        </is>
      </c>
      <c r="C998" t="inlineStr">
        <is>
          <t>Basilic Thaï</t>
        </is>
      </c>
      <c r="D998" t="inlineStr">
        <is>
          <t>PROD</t>
        </is>
      </c>
      <c r="E998" t="inlineStr">
        <is>
          <t>basilic thaï</t>
        </is>
      </c>
      <c r="F998" t="inlineStr">
        <is>
          <t>productionToAdd</t>
        </is>
      </c>
      <c r="G998" t="n">
        <v>2.304964539007092</v>
      </c>
      <c r="H998" t="inlineStr">
        <is>
          <t>currentCell</t>
        </is>
      </c>
      <c r="I998" t="n">
        <v>2.304964539007092</v>
      </c>
    </row>
    <row r="999">
      <c r="A999" t="n">
        <v>2</v>
      </c>
      <c r="B999" t="inlineStr">
        <is>
          <t>Tabasco jalapenoEpice 100ml</t>
        </is>
      </c>
      <c r="C999" t="inlineStr">
        <is>
          <t>Oignon</t>
        </is>
      </c>
      <c r="D999" t="inlineStr">
        <is>
          <t>recetteProportion</t>
        </is>
      </c>
      <c r="E999" t="n">
        <v>0.0851063829787234</v>
      </c>
    </row>
    <row r="1000">
      <c r="A1000" t="n">
        <v>3</v>
      </c>
      <c r="B1000" t="inlineStr">
        <is>
          <t>Tabasco jalapenoEpice 100ml</t>
        </is>
      </c>
      <c r="C1000" t="inlineStr">
        <is>
          <t>Oignon</t>
        </is>
      </c>
      <c r="D1000" t="inlineStr">
        <is>
          <t>productionInKg</t>
        </is>
      </c>
      <c r="E1000" t="n">
        <v>25</v>
      </c>
      <c r="F1000" t="inlineStr">
        <is>
          <t>inversReductionIngredient</t>
        </is>
      </c>
      <c r="H1000" t="inlineStr">
        <is>
          <t>finalValue</t>
        </is>
      </c>
      <c r="I1000" t="n">
        <v>2.127659574468085</v>
      </c>
    </row>
    <row r="1001">
      <c r="A1001" t="n">
        <v>4</v>
      </c>
      <c r="B1001" t="inlineStr">
        <is>
          <t>Tabasco jalapenoEpice 100ml</t>
        </is>
      </c>
      <c r="C1001" t="inlineStr">
        <is>
          <t>Oignon</t>
        </is>
      </c>
      <c r="D1001" t="inlineStr">
        <is>
          <t>PROD</t>
        </is>
      </c>
      <c r="E1001" t="inlineStr">
        <is>
          <t>oignon</t>
        </is>
      </c>
      <c r="F1001" t="inlineStr">
        <is>
          <t>productionToAdd</t>
        </is>
      </c>
      <c r="G1001" t="n">
        <v>2.127659574468085</v>
      </c>
      <c r="H1001" t="inlineStr">
        <is>
          <t>currentCell</t>
        </is>
      </c>
      <c r="I1001" t="n">
        <v>23.98601359566961</v>
      </c>
    </row>
    <row r="1002">
      <c r="A1002" t="n">
        <v>2</v>
      </c>
      <c r="B1002" t="inlineStr">
        <is>
          <t>Tabasco jalapenoEpice 100ml</t>
        </is>
      </c>
      <c r="C1002" t="inlineStr">
        <is>
          <t>Figue</t>
        </is>
      </c>
      <c r="D1002" t="inlineStr">
        <is>
          <t>recetteProportion</t>
        </is>
      </c>
      <c r="E1002" t="n">
        <v>0</v>
      </c>
    </row>
    <row r="1003">
      <c r="A1003" t="n">
        <v>3</v>
      </c>
      <c r="B1003" t="inlineStr">
        <is>
          <t>Tabasco jalapenoEpice 100ml</t>
        </is>
      </c>
      <c r="C1003" t="inlineStr">
        <is>
          <t>Figue</t>
        </is>
      </c>
      <c r="D1003" t="inlineStr">
        <is>
          <t>productionInKg</t>
        </is>
      </c>
      <c r="E1003" t="n">
        <v>25</v>
      </c>
      <c r="F1003" t="inlineStr">
        <is>
          <t>inversReductionIngredient</t>
        </is>
      </c>
      <c r="H1003" t="inlineStr">
        <is>
          <t>finalValue</t>
        </is>
      </c>
      <c r="I1003" t="n">
        <v>0</v>
      </c>
    </row>
    <row r="1004">
      <c r="A1004" t="n">
        <v>4</v>
      </c>
      <c r="B1004" t="inlineStr">
        <is>
          <t>Tabasco jalapenoEpice 100ml</t>
        </is>
      </c>
      <c r="C1004" t="inlineStr">
        <is>
          <t>Figue</t>
        </is>
      </c>
      <c r="D1004" t="inlineStr">
        <is>
          <t>PROD</t>
        </is>
      </c>
      <c r="E1004" t="inlineStr">
        <is>
          <t>figue</t>
        </is>
      </c>
      <c r="F1004" t="inlineStr">
        <is>
          <t>productionToAdd</t>
        </is>
      </c>
      <c r="G1004" t="n">
        <v>0</v>
      </c>
      <c r="H1004" t="inlineStr">
        <is>
          <t>currentCell</t>
        </is>
      </c>
      <c r="I1004" t="n">
        <v>22.14377406931964</v>
      </c>
    </row>
    <row r="1005">
      <c r="A1005" t="n">
        <v>1</v>
      </c>
      <c r="B1005" t="inlineStr">
        <is>
          <t>Tabasco Rouge moyenEpice 100ml</t>
        </is>
      </c>
      <c r="D1005" t="inlineStr">
        <is>
          <t>annee</t>
        </is>
      </c>
      <c r="E1005" t="n">
        <v>1</v>
      </c>
      <c r="F1005" t="inlineStr">
        <is>
          <t>prod</t>
        </is>
      </c>
      <c r="G1005" t="n">
        <v>5</v>
      </c>
    </row>
    <row r="1006">
      <c r="A1006" t="n">
        <v>2</v>
      </c>
      <c r="B1006" t="inlineStr">
        <is>
          <t>Tabasco Rouge moyenEpice 100ml</t>
        </is>
      </c>
      <c r="C1006" t="inlineStr">
        <is>
          <t>Ail</t>
        </is>
      </c>
      <c r="D1006" t="inlineStr">
        <is>
          <t>recetteProportion</t>
        </is>
      </c>
      <c r="E1006" t="n">
        <v>0.04225352112676056</v>
      </c>
    </row>
    <row r="1007">
      <c r="A1007" t="n">
        <v>3</v>
      </c>
      <c r="B1007" t="inlineStr">
        <is>
          <t>Tabasco Rouge moyenEpice 100ml</t>
        </is>
      </c>
      <c r="C1007" t="inlineStr">
        <is>
          <t>Ail</t>
        </is>
      </c>
      <c r="D1007" t="inlineStr">
        <is>
          <t>productionInKg</t>
        </is>
      </c>
      <c r="E1007" t="n">
        <v>5</v>
      </c>
      <c r="F1007" t="inlineStr">
        <is>
          <t>inversReductionIngredient</t>
        </is>
      </c>
      <c r="H1007" t="inlineStr">
        <is>
          <t>finalValue</t>
        </is>
      </c>
      <c r="I1007" t="n">
        <v>0.2112676056338028</v>
      </c>
    </row>
    <row r="1008">
      <c r="A1008" t="n">
        <v>4</v>
      </c>
      <c r="B1008" t="inlineStr">
        <is>
          <t>Tabasco Rouge moyenEpice 100ml</t>
        </is>
      </c>
      <c r="C1008" t="inlineStr">
        <is>
          <t>Ail</t>
        </is>
      </c>
      <c r="D1008" t="inlineStr">
        <is>
          <t>PROD</t>
        </is>
      </c>
      <c r="E1008" t="inlineStr">
        <is>
          <t>ail</t>
        </is>
      </c>
      <c r="F1008" t="inlineStr">
        <is>
          <t>productionToAdd</t>
        </is>
      </c>
      <c r="G1008" t="n">
        <v>0.2112676056338028</v>
      </c>
      <c r="H1008" t="inlineStr">
        <is>
          <t>currentCell</t>
        </is>
      </c>
      <c r="I1008" t="n">
        <v>3.723472307413735</v>
      </c>
    </row>
    <row r="1009">
      <c r="A1009" t="n">
        <v>2</v>
      </c>
      <c r="B1009" t="inlineStr">
        <is>
          <t>Tabasco Rouge moyenEpice 100ml</t>
        </is>
      </c>
      <c r="C1009" t="inlineStr">
        <is>
          <t>Piments Rouge</t>
        </is>
      </c>
      <c r="D1009" t="inlineStr">
        <is>
          <t>recetteProportion</t>
        </is>
      </c>
      <c r="E1009" t="n">
        <v>0.704225352112676</v>
      </c>
    </row>
    <row r="1010">
      <c r="A1010" t="n">
        <v>3</v>
      </c>
      <c r="B1010" t="inlineStr">
        <is>
          <t>Tabasco Rouge moyenEpice 100ml</t>
        </is>
      </c>
      <c r="C1010" t="inlineStr">
        <is>
          <t>Piments Rouge</t>
        </is>
      </c>
      <c r="D1010" t="inlineStr">
        <is>
          <t>productionInKg</t>
        </is>
      </c>
      <c r="E1010" t="n">
        <v>5</v>
      </c>
      <c r="F1010" t="inlineStr">
        <is>
          <t>inversReductionIngredient</t>
        </is>
      </c>
      <c r="H1010" t="inlineStr">
        <is>
          <t>finalValue</t>
        </is>
      </c>
      <c r="I1010" t="n">
        <v>3.52112676056338</v>
      </c>
    </row>
    <row r="1011">
      <c r="A1011" t="n">
        <v>4</v>
      </c>
      <c r="B1011" t="inlineStr">
        <is>
          <t>Tabasco Rouge moyenEpice 100ml</t>
        </is>
      </c>
      <c r="C1011" t="inlineStr">
        <is>
          <t>Piments Rouge</t>
        </is>
      </c>
      <c r="D1011" t="inlineStr">
        <is>
          <t>PROD</t>
        </is>
      </c>
      <c r="E1011" t="inlineStr">
        <is>
          <t>piments rouge - THUNDER MOUNTAIN LONGHORN</t>
        </is>
      </c>
      <c r="F1011" t="inlineStr">
        <is>
          <t>productionToAdd</t>
        </is>
      </c>
      <c r="G1011" t="n">
        <v>3.52112676056338</v>
      </c>
      <c r="H1011" t="inlineStr">
        <is>
          <t>currentCell</t>
        </is>
      </c>
      <c r="I1011" t="n">
        <v>3.537221181164238</v>
      </c>
    </row>
    <row r="1012">
      <c r="A1012" t="n">
        <v>2</v>
      </c>
      <c r="B1012" t="inlineStr">
        <is>
          <t>Tabasco Rouge moyenEpice 100ml</t>
        </is>
      </c>
      <c r="C1012" t="inlineStr">
        <is>
          <t>Oignon</t>
        </is>
      </c>
      <c r="D1012" t="inlineStr">
        <is>
          <t>recetteProportion</t>
        </is>
      </c>
      <c r="E1012" t="n">
        <v>0.07042253521126761</v>
      </c>
    </row>
    <row r="1013">
      <c r="A1013" t="n">
        <v>3</v>
      </c>
      <c r="B1013" t="inlineStr">
        <is>
          <t>Tabasco Rouge moyenEpice 100ml</t>
        </is>
      </c>
      <c r="C1013" t="inlineStr">
        <is>
          <t>Oignon</t>
        </is>
      </c>
      <c r="D1013" t="inlineStr">
        <is>
          <t>productionInKg</t>
        </is>
      </c>
      <c r="E1013" t="n">
        <v>5</v>
      </c>
      <c r="F1013" t="inlineStr">
        <is>
          <t>inversReductionIngredient</t>
        </is>
      </c>
      <c r="H1013" t="inlineStr">
        <is>
          <t>finalValue</t>
        </is>
      </c>
      <c r="I1013" t="n">
        <v>0.3521126760563381</v>
      </c>
    </row>
    <row r="1014">
      <c r="A1014" t="n">
        <v>4</v>
      </c>
      <c r="B1014" t="inlineStr">
        <is>
          <t>Tabasco Rouge moyenEpice 100ml</t>
        </is>
      </c>
      <c r="C1014" t="inlineStr">
        <is>
          <t>Oignon</t>
        </is>
      </c>
      <c r="D1014" t="inlineStr">
        <is>
          <t>PROD</t>
        </is>
      </c>
      <c r="E1014" t="inlineStr">
        <is>
          <t>oignon</t>
        </is>
      </c>
      <c r="F1014" t="inlineStr">
        <is>
          <t>productionToAdd</t>
        </is>
      </c>
      <c r="G1014" t="n">
        <v>0.3521126760563381</v>
      </c>
      <c r="H1014" t="inlineStr">
        <is>
          <t>currentCell</t>
        </is>
      </c>
      <c r="I1014" t="n">
        <v>24.33812627172595</v>
      </c>
    </row>
    <row r="1015">
      <c r="A1015" t="n">
        <v>2</v>
      </c>
      <c r="B1015" t="inlineStr">
        <is>
          <t>Tabasco Rouge moyenEpice 100ml</t>
        </is>
      </c>
      <c r="C1015" t="inlineStr">
        <is>
          <t>Sel</t>
        </is>
      </c>
      <c r="D1015" t="inlineStr">
        <is>
          <t>recetteProportion</t>
        </is>
      </c>
      <c r="E1015" t="n">
        <v>0.07042253521126761</v>
      </c>
    </row>
    <row r="1016">
      <c r="A1016" t="n">
        <v>3</v>
      </c>
      <c r="B1016" t="inlineStr">
        <is>
          <t>Tabasco Rouge moyenEpice 100ml</t>
        </is>
      </c>
      <c r="C1016" t="inlineStr">
        <is>
          <t>Sel</t>
        </is>
      </c>
      <c r="D1016" t="inlineStr">
        <is>
          <t>productionInKg</t>
        </is>
      </c>
      <c r="E1016" t="n">
        <v>5</v>
      </c>
      <c r="F1016" t="inlineStr">
        <is>
          <t>inversReductionIngredient</t>
        </is>
      </c>
      <c r="H1016" t="inlineStr">
        <is>
          <t>finalValue</t>
        </is>
      </c>
      <c r="I1016" t="n">
        <v>0.3521126760563381</v>
      </c>
    </row>
    <row r="1017">
      <c r="A1017" t="n">
        <v>4</v>
      </c>
      <c r="B1017" t="inlineStr">
        <is>
          <t>Tabasco Rouge moyenEpice 100ml</t>
        </is>
      </c>
      <c r="C1017" t="inlineStr">
        <is>
          <t>Sel</t>
        </is>
      </c>
      <c r="D1017" t="inlineStr">
        <is>
          <t>PROD</t>
        </is>
      </c>
      <c r="E1017" t="inlineStr">
        <is>
          <t>sel</t>
        </is>
      </c>
      <c r="F1017" t="inlineStr">
        <is>
          <t>productionToAdd</t>
        </is>
      </c>
      <c r="G1017" t="n">
        <v>0.3521126760563381</v>
      </c>
      <c r="H1017" t="inlineStr">
        <is>
          <t>currentCell</t>
        </is>
      </c>
      <c r="I1017" t="n">
        <v>76.56227804875095</v>
      </c>
    </row>
    <row r="1018">
      <c r="A1018" t="n">
        <v>2</v>
      </c>
      <c r="B1018" t="inlineStr">
        <is>
          <t>Tabasco Rouge moyenEpice 100ml</t>
        </is>
      </c>
      <c r="C1018" t="inlineStr">
        <is>
          <t>Vinaigre De Cidre</t>
        </is>
      </c>
      <c r="D1018" t="inlineStr">
        <is>
          <t>recetteProportion</t>
        </is>
      </c>
      <c r="E1018" t="n">
        <v>0.04225352112676056</v>
      </c>
    </row>
    <row r="1019">
      <c r="A1019" t="n">
        <v>3</v>
      </c>
      <c r="B1019" t="inlineStr">
        <is>
          <t>Tabasco Rouge moyenEpice 100ml</t>
        </is>
      </c>
      <c r="C1019" t="inlineStr">
        <is>
          <t>Vinaigre De Cidre</t>
        </is>
      </c>
      <c r="D1019" t="inlineStr">
        <is>
          <t>productionInKg</t>
        </is>
      </c>
      <c r="E1019" t="n">
        <v>5</v>
      </c>
      <c r="F1019" t="inlineStr">
        <is>
          <t>inversReductionIngredient</t>
        </is>
      </c>
      <c r="H1019" t="inlineStr">
        <is>
          <t>finalValue</t>
        </is>
      </c>
      <c r="I1019" t="n">
        <v>0.2112676056338028</v>
      </c>
    </row>
    <row r="1020">
      <c r="A1020" t="n">
        <v>4</v>
      </c>
      <c r="B1020" t="inlineStr">
        <is>
          <t>Tabasco Rouge moyenEpice 100ml</t>
        </is>
      </c>
      <c r="C1020" t="inlineStr">
        <is>
          <t>Vinaigre De Cidre</t>
        </is>
      </c>
      <c r="D1020" t="inlineStr">
        <is>
          <t>PROD</t>
        </is>
      </c>
      <c r="E1020" t="inlineStr">
        <is>
          <t>vinaigre de cidre</t>
        </is>
      </c>
      <c r="F1020" t="inlineStr">
        <is>
          <t>productionToAdd</t>
        </is>
      </c>
      <c r="G1020" t="n">
        <v>0.2112676056338028</v>
      </c>
      <c r="H1020" t="inlineStr">
        <is>
          <t>currentCell</t>
        </is>
      </c>
      <c r="I1020" t="n">
        <v>96.6417688849297</v>
      </c>
    </row>
    <row r="1022">
      <c r="A1022" t="n">
        <v>3</v>
      </c>
      <c r="B1022" t="inlineStr">
        <is>
          <t>Tabasco Rouge moyenEpice 100ml</t>
        </is>
      </c>
      <c r="C1022" t="inlineStr">
        <is>
          <t>Figue</t>
        </is>
      </c>
      <c r="D1022" t="inlineStr">
        <is>
          <t>productionInKg</t>
        </is>
      </c>
      <c r="E1022" t="n">
        <v>5</v>
      </c>
      <c r="F1022" t="inlineStr">
        <is>
          <t>inversReductionIngredient</t>
        </is>
      </c>
      <c r="H1022" t="inlineStr">
        <is>
          <t>finalValue</t>
        </is>
      </c>
      <c r="I1022" t="n">
        <v>0.3521126760563381</v>
      </c>
    </row>
    <row r="1023">
      <c r="A1023" t="n">
        <v>4</v>
      </c>
      <c r="B1023" t="inlineStr">
        <is>
          <t>Tabasco Rouge moyenEpice 100ml</t>
        </is>
      </c>
      <c r="C1023" t="inlineStr">
        <is>
          <t>Figue</t>
        </is>
      </c>
      <c r="D1023" t="inlineStr">
        <is>
          <t>PROD</t>
        </is>
      </c>
      <c r="E1023" t="inlineStr">
        <is>
          <t>figue</t>
        </is>
      </c>
      <c r="F1023" t="inlineStr">
        <is>
          <t>productionToAdd</t>
        </is>
      </c>
      <c r="G1023" t="n">
        <v>0.3521126760563381</v>
      </c>
      <c r="H1023" t="inlineStr">
        <is>
          <t>currentCell</t>
        </is>
      </c>
      <c r="I1023" t="n">
        <v>22.49588674537598</v>
      </c>
    </row>
    <row r="1024">
      <c r="A1024" t="n">
        <v>1</v>
      </c>
      <c r="B1024" t="inlineStr">
        <is>
          <t>Tabasco violet fortEpice 100ml</t>
        </is>
      </c>
      <c r="D1024" t="inlineStr">
        <is>
          <t>annee</t>
        </is>
      </c>
      <c r="E1024" t="n">
        <v>1</v>
      </c>
      <c r="F1024" t="inlineStr">
        <is>
          <t>prod</t>
        </is>
      </c>
      <c r="G1024" t="n">
        <v>2</v>
      </c>
    </row>
    <row r="1025">
      <c r="A1025" t="n">
        <v>2</v>
      </c>
      <c r="B1025" t="inlineStr">
        <is>
          <t>Tabasco violet fortEpice 100ml</t>
        </is>
      </c>
      <c r="C1025" t="inlineStr">
        <is>
          <t>Ail</t>
        </is>
      </c>
      <c r="D1025" t="inlineStr">
        <is>
          <t>recetteProportion</t>
        </is>
      </c>
      <c r="E1025" t="n">
        <v>0.04225352112676056</v>
      </c>
    </row>
    <row r="1026">
      <c r="A1026" t="n">
        <v>3</v>
      </c>
      <c r="B1026" t="inlineStr">
        <is>
          <t>Tabasco violet fortEpice 100ml</t>
        </is>
      </c>
      <c r="C1026" t="inlineStr">
        <is>
          <t>Ail</t>
        </is>
      </c>
      <c r="D1026" t="inlineStr">
        <is>
          <t>productionInKg</t>
        </is>
      </c>
      <c r="E1026" t="n">
        <v>2</v>
      </c>
      <c r="F1026" t="inlineStr">
        <is>
          <t>inversReductionIngredient</t>
        </is>
      </c>
      <c r="H1026" t="inlineStr">
        <is>
          <t>finalValue</t>
        </is>
      </c>
      <c r="I1026" t="n">
        <v>0.08450704225352113</v>
      </c>
    </row>
    <row r="1027">
      <c r="A1027" t="n">
        <v>4</v>
      </c>
      <c r="B1027" t="inlineStr">
        <is>
          <t>Tabasco violet fortEpice 100ml</t>
        </is>
      </c>
      <c r="C1027" t="inlineStr">
        <is>
          <t>Ail</t>
        </is>
      </c>
      <c r="D1027" t="inlineStr">
        <is>
          <t>PROD</t>
        </is>
      </c>
      <c r="E1027" t="inlineStr">
        <is>
          <t>ail</t>
        </is>
      </c>
      <c r="F1027" t="inlineStr">
        <is>
          <t>productionToAdd</t>
        </is>
      </c>
      <c r="G1027" t="n">
        <v>0.08450704225352113</v>
      </c>
      <c r="H1027" t="inlineStr">
        <is>
          <t>currentCell</t>
        </is>
      </c>
      <c r="I1027" t="n">
        <v>3.807979349667256</v>
      </c>
    </row>
    <row r="1028">
      <c r="A1028" t="n">
        <v>2</v>
      </c>
      <c r="B1028" t="inlineStr">
        <is>
          <t>Tabasco violet fortEpice 100ml</t>
        </is>
      </c>
      <c r="C1028" t="inlineStr">
        <is>
          <t>Piment Habanero Violet</t>
        </is>
      </c>
      <c r="D1028" t="inlineStr">
        <is>
          <t>recetteProportion</t>
        </is>
      </c>
      <c r="E1028" t="n">
        <v>0.6338028169014085</v>
      </c>
    </row>
    <row r="1029">
      <c r="A1029" t="n">
        <v>3</v>
      </c>
      <c r="B1029" t="inlineStr">
        <is>
          <t>Tabasco violet fortEpice 100ml</t>
        </is>
      </c>
      <c r="C1029" t="inlineStr">
        <is>
          <t>Piment Habanero Violet</t>
        </is>
      </c>
      <c r="D1029" t="inlineStr">
        <is>
          <t>productionInKg</t>
        </is>
      </c>
      <c r="E1029" t="n">
        <v>2</v>
      </c>
      <c r="F1029" t="inlineStr">
        <is>
          <t>inversReductionIngredient</t>
        </is>
      </c>
      <c r="H1029" t="inlineStr">
        <is>
          <t>finalValue</t>
        </is>
      </c>
      <c r="I1029" t="n">
        <v>1.267605633802817</v>
      </c>
    </row>
    <row r="1030">
      <c r="A1030" t="n">
        <v>4</v>
      </c>
      <c r="B1030" t="inlineStr">
        <is>
          <t>Tabasco violet fortEpice 100ml</t>
        </is>
      </c>
      <c r="C1030" t="inlineStr">
        <is>
          <t>Piment Habanero Violet</t>
        </is>
      </c>
      <c r="D1030" t="inlineStr">
        <is>
          <t>PROD</t>
        </is>
      </c>
      <c r="E1030" t="inlineStr">
        <is>
          <t>piment habanero violet</t>
        </is>
      </c>
      <c r="F1030" t="inlineStr">
        <is>
          <t>productionToAdd</t>
        </is>
      </c>
      <c r="G1030" t="n">
        <v>1.267605633802817</v>
      </c>
      <c r="H1030" t="inlineStr">
        <is>
          <t>currentCell</t>
        </is>
      </c>
      <c r="I1030" t="n">
        <v>1.267605633802817</v>
      </c>
    </row>
    <row r="1031">
      <c r="A1031" t="n">
        <v>2</v>
      </c>
      <c r="B1031" t="inlineStr">
        <is>
          <t>Tabasco violet fortEpice 100ml</t>
        </is>
      </c>
      <c r="C1031" t="inlineStr">
        <is>
          <t>Piment Violet Fort - Purple Delight</t>
        </is>
      </c>
      <c r="D1031" t="inlineStr">
        <is>
          <t>recetteProportion</t>
        </is>
      </c>
      <c r="E1031" t="n">
        <v>0.07042253521126761</v>
      </c>
    </row>
    <row r="1032">
      <c r="A1032" t="n">
        <v>3</v>
      </c>
      <c r="B1032" t="inlineStr">
        <is>
          <t>Tabasco violet fortEpice 100ml</t>
        </is>
      </c>
      <c r="C1032" t="inlineStr">
        <is>
          <t>Piment Violet Fort - Purple Delight</t>
        </is>
      </c>
      <c r="D1032" t="inlineStr">
        <is>
          <t>productionInKg</t>
        </is>
      </c>
      <c r="E1032" t="n">
        <v>2</v>
      </c>
      <c r="F1032" t="inlineStr">
        <is>
          <t>inversReductionIngredient</t>
        </is>
      </c>
      <c r="H1032" t="inlineStr">
        <is>
          <t>finalValue</t>
        </is>
      </c>
      <c r="I1032" t="n">
        <v>0.1408450704225352</v>
      </c>
    </row>
    <row r="1033">
      <c r="A1033" t="n">
        <v>4</v>
      </c>
      <c r="B1033" t="inlineStr">
        <is>
          <t>Tabasco violet fortEpice 100ml</t>
        </is>
      </c>
      <c r="C1033" t="inlineStr">
        <is>
          <t>Piment Violet Fort - Purple Delight</t>
        </is>
      </c>
      <c r="D1033" t="inlineStr">
        <is>
          <t>PROD</t>
        </is>
      </c>
      <c r="E1033" t="inlineStr">
        <is>
          <t>piment violet fort - Purple Delight</t>
        </is>
      </c>
      <c r="F1033" t="inlineStr">
        <is>
          <t>productionToAdd</t>
        </is>
      </c>
      <c r="G1033" t="n">
        <v>0.1408450704225352</v>
      </c>
      <c r="H1033" t="inlineStr">
        <is>
          <t>currentCell</t>
        </is>
      </c>
      <c r="I1033" t="n">
        <v>0.1408450704225352</v>
      </c>
    </row>
    <row r="1034">
      <c r="A1034" t="n">
        <v>2</v>
      </c>
      <c r="B1034" t="inlineStr">
        <is>
          <t>Tabasco violet fortEpice 100ml</t>
        </is>
      </c>
      <c r="C1034" t="inlineStr">
        <is>
          <t>Oignon</t>
        </is>
      </c>
      <c r="D1034" t="inlineStr">
        <is>
          <t>recetteProportion</t>
        </is>
      </c>
      <c r="E1034" t="n">
        <v>0.07042253521126761</v>
      </c>
    </row>
    <row r="1035">
      <c r="A1035" t="n">
        <v>3</v>
      </c>
      <c r="B1035" t="inlineStr">
        <is>
          <t>Tabasco violet fortEpice 100ml</t>
        </is>
      </c>
      <c r="C1035" t="inlineStr">
        <is>
          <t>Oignon</t>
        </is>
      </c>
      <c r="D1035" t="inlineStr">
        <is>
          <t>productionInKg</t>
        </is>
      </c>
      <c r="E1035" t="n">
        <v>2</v>
      </c>
      <c r="F1035" t="inlineStr">
        <is>
          <t>inversReductionIngredient</t>
        </is>
      </c>
      <c r="H1035" t="inlineStr">
        <is>
          <t>finalValue</t>
        </is>
      </c>
      <c r="I1035" t="n">
        <v>0.1408450704225352</v>
      </c>
    </row>
    <row r="1036">
      <c r="A1036" t="n">
        <v>4</v>
      </c>
      <c r="B1036" t="inlineStr">
        <is>
          <t>Tabasco violet fortEpice 100ml</t>
        </is>
      </c>
      <c r="C1036" t="inlineStr">
        <is>
          <t>Oignon</t>
        </is>
      </c>
      <c r="D1036" t="inlineStr">
        <is>
          <t>PROD</t>
        </is>
      </c>
      <c r="E1036" t="inlineStr">
        <is>
          <t>oignon</t>
        </is>
      </c>
      <c r="F1036" t="inlineStr">
        <is>
          <t>productionToAdd</t>
        </is>
      </c>
      <c r="G1036" t="n">
        <v>0.1408450704225352</v>
      </c>
      <c r="H1036" t="inlineStr">
        <is>
          <t>currentCell</t>
        </is>
      </c>
      <c r="I1036" t="n">
        <v>24.47897134214849</v>
      </c>
    </row>
    <row r="1037">
      <c r="A1037" t="n">
        <v>2</v>
      </c>
      <c r="B1037" t="inlineStr">
        <is>
          <t>Tabasco violet fortEpice 100ml</t>
        </is>
      </c>
      <c r="C1037" t="inlineStr">
        <is>
          <t>Sel</t>
        </is>
      </c>
      <c r="D1037" t="inlineStr">
        <is>
          <t>recetteProportion</t>
        </is>
      </c>
      <c r="E1037" t="n">
        <v>0.07042253521126761</v>
      </c>
    </row>
    <row r="1038">
      <c r="A1038" t="n">
        <v>3</v>
      </c>
      <c r="B1038" t="inlineStr">
        <is>
          <t>Tabasco violet fortEpice 100ml</t>
        </is>
      </c>
      <c r="C1038" t="inlineStr">
        <is>
          <t>Sel</t>
        </is>
      </c>
      <c r="D1038" t="inlineStr">
        <is>
          <t>productionInKg</t>
        </is>
      </c>
      <c r="E1038" t="n">
        <v>2</v>
      </c>
      <c r="F1038" t="inlineStr">
        <is>
          <t>inversReductionIngredient</t>
        </is>
      </c>
      <c r="H1038" t="inlineStr">
        <is>
          <t>finalValue</t>
        </is>
      </c>
      <c r="I1038" t="n">
        <v>0.1408450704225352</v>
      </c>
    </row>
    <row r="1039">
      <c r="A1039" t="n">
        <v>4</v>
      </c>
      <c r="B1039" t="inlineStr">
        <is>
          <t>Tabasco violet fortEpice 100ml</t>
        </is>
      </c>
      <c r="C1039" t="inlineStr">
        <is>
          <t>Sel</t>
        </is>
      </c>
      <c r="D1039" t="inlineStr">
        <is>
          <t>PROD</t>
        </is>
      </c>
      <c r="E1039" t="inlineStr">
        <is>
          <t>sel</t>
        </is>
      </c>
      <c r="F1039" t="inlineStr">
        <is>
          <t>productionToAdd</t>
        </is>
      </c>
      <c r="G1039" t="n">
        <v>0.1408450704225352</v>
      </c>
      <c r="H1039" t="inlineStr">
        <is>
          <t>currentCell</t>
        </is>
      </c>
      <c r="I1039" t="n">
        <v>76.70312311917348</v>
      </c>
    </row>
    <row r="1040">
      <c r="A1040" t="n">
        <v>2</v>
      </c>
      <c r="B1040" t="inlineStr">
        <is>
          <t>Tabasco violet fortEpice 100ml</t>
        </is>
      </c>
      <c r="C1040" t="inlineStr">
        <is>
          <t>Figue</t>
        </is>
      </c>
      <c r="D1040" t="inlineStr">
        <is>
          <t>recetteProportion</t>
        </is>
      </c>
      <c r="E1040" t="n">
        <v>0.07042253521126761</v>
      </c>
    </row>
    <row r="1041">
      <c r="A1041" t="n">
        <v>3</v>
      </c>
      <c r="B1041" t="inlineStr">
        <is>
          <t>Tabasco violet fortEpice 100ml</t>
        </is>
      </c>
      <c r="C1041" t="inlineStr">
        <is>
          <t>Figue</t>
        </is>
      </c>
      <c r="D1041" t="inlineStr">
        <is>
          <t>productionInKg</t>
        </is>
      </c>
      <c r="E1041" t="n">
        <v>2</v>
      </c>
      <c r="F1041" t="inlineStr">
        <is>
          <t>inversReductionIngredient</t>
        </is>
      </c>
      <c r="H1041" t="inlineStr">
        <is>
          <t>finalValue</t>
        </is>
      </c>
      <c r="I1041" t="n">
        <v>0.1408450704225352</v>
      </c>
    </row>
    <row r="1042">
      <c r="A1042" t="n">
        <v>4</v>
      </c>
      <c r="B1042" t="inlineStr">
        <is>
          <t>Tabasco violet fortEpice 100ml</t>
        </is>
      </c>
      <c r="C1042" t="inlineStr">
        <is>
          <t>Figue</t>
        </is>
      </c>
      <c r="D1042" t="inlineStr">
        <is>
          <t>PROD</t>
        </is>
      </c>
      <c r="E1042" t="inlineStr">
        <is>
          <t>figue</t>
        </is>
      </c>
      <c r="F1042" t="inlineStr">
        <is>
          <t>productionToAdd</t>
        </is>
      </c>
      <c r="G1042" t="n">
        <v>0.1408450704225352</v>
      </c>
      <c r="H1042" t="inlineStr">
        <is>
          <t>currentCell</t>
        </is>
      </c>
      <c r="I1042" t="n">
        <v>22.63673181579852</v>
      </c>
    </row>
    <row r="1043">
      <c r="A1043" t="n">
        <v>2</v>
      </c>
      <c r="B1043" t="inlineStr">
        <is>
          <t>Tabasco violet fortEpice 100ml</t>
        </is>
      </c>
      <c r="C1043" t="inlineStr">
        <is>
          <t>Vinaigre De Cidre</t>
        </is>
      </c>
      <c r="D1043" t="inlineStr">
        <is>
          <t>recetteProportion</t>
        </is>
      </c>
      <c r="E1043" t="n">
        <v>0.04225352112676056</v>
      </c>
    </row>
    <row r="1044">
      <c r="A1044" t="n">
        <v>3</v>
      </c>
      <c r="B1044" t="inlineStr">
        <is>
          <t>Tabasco violet fortEpice 100ml</t>
        </is>
      </c>
      <c r="C1044" t="inlineStr">
        <is>
          <t>Vinaigre De Cidre</t>
        </is>
      </c>
      <c r="D1044" t="inlineStr">
        <is>
          <t>productionInKg</t>
        </is>
      </c>
      <c r="E1044" t="n">
        <v>2</v>
      </c>
      <c r="F1044" t="inlineStr">
        <is>
          <t>inversReductionIngredient</t>
        </is>
      </c>
      <c r="H1044" t="inlineStr">
        <is>
          <t>finalValue</t>
        </is>
      </c>
      <c r="I1044" t="n">
        <v>0.08450704225352113</v>
      </c>
    </row>
    <row r="1045">
      <c r="A1045" t="n">
        <v>4</v>
      </c>
      <c r="B1045" t="inlineStr">
        <is>
          <t>Tabasco violet fortEpice 100ml</t>
        </is>
      </c>
      <c r="C1045" t="inlineStr">
        <is>
          <t>Vinaigre De Cidre</t>
        </is>
      </c>
      <c r="D1045" t="inlineStr">
        <is>
          <t>PROD</t>
        </is>
      </c>
      <c r="E1045" t="inlineStr">
        <is>
          <t>vinaigre de cidre</t>
        </is>
      </c>
      <c r="F1045" t="inlineStr">
        <is>
          <t>productionToAdd</t>
        </is>
      </c>
      <c r="G1045" t="n">
        <v>0.08450704225352113</v>
      </c>
      <c r="H1045" t="inlineStr">
        <is>
          <t>currentCell</t>
        </is>
      </c>
      <c r="I1045" t="n">
        <v>96.72627592718322</v>
      </c>
    </row>
    <row r="1046">
      <c r="A1046" t="n">
        <v>1</v>
      </c>
      <c r="B1046" t="inlineStr">
        <is>
          <t>Tabel ou Tabil tunisienEpice 100ml</t>
        </is>
      </c>
      <c r="D1046" t="inlineStr">
        <is>
          <t>annee</t>
        </is>
      </c>
      <c r="E1046" t="n">
        <v>1</v>
      </c>
      <c r="F1046" t="inlineStr">
        <is>
          <t>prod</t>
        </is>
      </c>
      <c r="G1046" t="n">
        <v>0</v>
      </c>
    </row>
    <row r="1047">
      <c r="A1047" t="n">
        <v>2</v>
      </c>
      <c r="B1047" t="inlineStr">
        <is>
          <t>Tabel ou Tabil tunisienEpice 100ml</t>
        </is>
      </c>
      <c r="C1047" t="inlineStr">
        <is>
          <t>Coriandre Graine</t>
        </is>
      </c>
      <c r="D1047" t="inlineStr">
        <is>
          <t>recetteProportion</t>
        </is>
      </c>
      <c r="E1047" t="n">
        <v>0.5865102639296187</v>
      </c>
    </row>
    <row r="1048">
      <c r="A1048" t="n">
        <v>3</v>
      </c>
      <c r="B1048" t="inlineStr">
        <is>
          <t>Tabel ou Tabil tunisienEpice 100ml</t>
        </is>
      </c>
      <c r="C1048" t="inlineStr">
        <is>
          <t>Coriandre Graine</t>
        </is>
      </c>
      <c r="D1048" t="inlineStr">
        <is>
          <t>productionInKg</t>
        </is>
      </c>
      <c r="E1048" t="n">
        <v>0</v>
      </c>
      <c r="F1048" t="inlineStr">
        <is>
          <t>inversReductionIngredient</t>
        </is>
      </c>
      <c r="H1048" t="inlineStr">
        <is>
          <t>finalValue</t>
        </is>
      </c>
      <c r="I1048" t="n">
        <v>0</v>
      </c>
    </row>
    <row r="1049">
      <c r="A1049" t="n">
        <v>4</v>
      </c>
      <c r="B1049" t="inlineStr">
        <is>
          <t>Tabel ou Tabil tunisienEpice 100ml</t>
        </is>
      </c>
      <c r="C1049" t="inlineStr">
        <is>
          <t>Coriandre Graine</t>
        </is>
      </c>
      <c r="D1049" t="inlineStr">
        <is>
          <t>PROD</t>
        </is>
      </c>
      <c r="E1049" t="inlineStr">
        <is>
          <t>coriandre graine</t>
        </is>
      </c>
      <c r="F1049" t="inlineStr">
        <is>
          <t>productionToAdd</t>
        </is>
      </c>
      <c r="G1049" t="n">
        <v>0</v>
      </c>
      <c r="H1049" t="inlineStr">
        <is>
          <t>currentCell</t>
        </is>
      </c>
      <c r="I1049" t="n">
        <v>13.20572815060476</v>
      </c>
    </row>
    <row r="1050">
      <c r="A1050" t="n">
        <v>2</v>
      </c>
      <c r="B1050" t="inlineStr">
        <is>
          <t>Tabel ou Tabil tunisienEpice 100ml</t>
        </is>
      </c>
      <c r="C1050" t="inlineStr">
        <is>
          <t>Carvi Moule</t>
        </is>
      </c>
      <c r="D1050" t="inlineStr">
        <is>
          <t>recetteProportion</t>
        </is>
      </c>
      <c r="E1050" t="n">
        <v>0.1466275659824047</v>
      </c>
    </row>
    <row r="1051">
      <c r="A1051" t="n">
        <v>3</v>
      </c>
      <c r="B1051" t="inlineStr">
        <is>
          <t>Tabel ou Tabil tunisienEpice 100ml</t>
        </is>
      </c>
      <c r="C1051" t="inlineStr">
        <is>
          <t>Carvi Moule</t>
        </is>
      </c>
      <c r="D1051" t="inlineStr">
        <is>
          <t>productionInKg</t>
        </is>
      </c>
      <c r="E1051" t="n">
        <v>0</v>
      </c>
      <c r="F1051" t="inlineStr">
        <is>
          <t>inversReductionIngredient</t>
        </is>
      </c>
      <c r="H1051" t="inlineStr">
        <is>
          <t>finalValue</t>
        </is>
      </c>
      <c r="I1051" t="n">
        <v>0</v>
      </c>
    </row>
    <row r="1052">
      <c r="A1052" t="n">
        <v>4</v>
      </c>
      <c r="B1052" t="inlineStr">
        <is>
          <t>Tabel ou Tabil tunisienEpice 100ml</t>
        </is>
      </c>
      <c r="C1052" t="inlineStr">
        <is>
          <t>Carvi Moule</t>
        </is>
      </c>
      <c r="D1052" t="inlineStr">
        <is>
          <t>PROD</t>
        </is>
      </c>
      <c r="E1052" t="inlineStr">
        <is>
          <t>graine de carvi</t>
        </is>
      </c>
      <c r="F1052" t="inlineStr">
        <is>
          <t>productionToAdd</t>
        </is>
      </c>
      <c r="G1052" t="n">
        <v>0</v>
      </c>
      <c r="H1052" t="inlineStr">
        <is>
          <t>currentCell</t>
        </is>
      </c>
      <c r="I1052" t="n">
        <v>0</v>
      </c>
    </row>
    <row r="1053">
      <c r="A1053" t="n">
        <v>2</v>
      </c>
      <c r="B1053" t="inlineStr">
        <is>
          <t>Tabel ou Tabil tunisienEpice 100ml</t>
        </is>
      </c>
      <c r="C1053" t="inlineStr">
        <is>
          <t>Piment Œil D'Oiseau</t>
        </is>
      </c>
      <c r="D1053" t="inlineStr">
        <is>
          <t>recetteProportion</t>
        </is>
      </c>
      <c r="E1053" t="n">
        <v>0.02932551319648094</v>
      </c>
    </row>
    <row r="1054">
      <c r="A1054" t="n">
        <v>3</v>
      </c>
      <c r="B1054" t="inlineStr">
        <is>
          <t>Tabel ou Tabil tunisienEpice 100ml</t>
        </is>
      </c>
      <c r="C1054" t="inlineStr">
        <is>
          <t>Piment Œil D'Oiseau</t>
        </is>
      </c>
      <c r="D1054" t="inlineStr">
        <is>
          <t>productionInKg</t>
        </is>
      </c>
      <c r="E1054" t="n">
        <v>0</v>
      </c>
      <c r="F1054" t="inlineStr">
        <is>
          <t>inversReductionIngredient</t>
        </is>
      </c>
      <c r="H1054" t="inlineStr">
        <is>
          <t>finalValue</t>
        </is>
      </c>
      <c r="I1054" t="n">
        <v>0</v>
      </c>
    </row>
    <row r="1055">
      <c r="A1055" t="n">
        <v>4</v>
      </c>
      <c r="B1055" t="inlineStr">
        <is>
          <t>Tabel ou Tabil tunisienEpice 100ml</t>
        </is>
      </c>
      <c r="C1055" t="inlineStr">
        <is>
          <t>Piment Œil D'Oiseau</t>
        </is>
      </c>
      <c r="D1055" t="inlineStr">
        <is>
          <t>PROD</t>
        </is>
      </c>
      <c r="E1055" t="inlineStr">
        <is>
          <t>piment œil d'oiseau</t>
        </is>
      </c>
      <c r="F1055" t="inlineStr">
        <is>
          <t>productionToAdd</t>
        </is>
      </c>
      <c r="G1055" t="n">
        <v>0</v>
      </c>
      <c r="H1055" t="inlineStr">
        <is>
          <t>currentCell</t>
        </is>
      </c>
      <c r="I1055" t="n">
        <v>0.3571428571428571</v>
      </c>
    </row>
    <row r="1056">
      <c r="A1056" t="n">
        <v>2</v>
      </c>
      <c r="B1056" t="inlineStr">
        <is>
          <t>Tabel ou Tabil tunisienEpice 100ml</t>
        </is>
      </c>
      <c r="C1056" t="inlineStr">
        <is>
          <t>Poivre Noir</t>
        </is>
      </c>
      <c r="D1056" t="inlineStr">
        <is>
          <t>recetteProportion</t>
        </is>
      </c>
      <c r="E1056" t="n">
        <v>0.01466275659824047</v>
      </c>
    </row>
    <row r="1057">
      <c r="A1057" t="n">
        <v>3</v>
      </c>
      <c r="B1057" t="inlineStr">
        <is>
          <t>Tabel ou Tabil tunisienEpice 100ml</t>
        </is>
      </c>
      <c r="C1057" t="inlineStr">
        <is>
          <t>Poivre Noir</t>
        </is>
      </c>
      <c r="D1057" t="inlineStr">
        <is>
          <t>productionInKg</t>
        </is>
      </c>
      <c r="E1057" t="n">
        <v>0</v>
      </c>
      <c r="F1057" t="inlineStr">
        <is>
          <t>inversReductionIngredient</t>
        </is>
      </c>
      <c r="H1057" t="inlineStr">
        <is>
          <t>finalValue</t>
        </is>
      </c>
      <c r="I1057" t="n">
        <v>0</v>
      </c>
    </row>
    <row r="1058">
      <c r="A1058" t="n">
        <v>4</v>
      </c>
      <c r="B1058" t="inlineStr">
        <is>
          <t>Tabel ou Tabil tunisienEpice 100ml</t>
        </is>
      </c>
      <c r="C1058" t="inlineStr">
        <is>
          <t>Poivre Noir</t>
        </is>
      </c>
      <c r="D1058" t="inlineStr">
        <is>
          <t>PROD</t>
        </is>
      </c>
      <c r="E1058" t="inlineStr">
        <is>
          <t>poivre noir</t>
        </is>
      </c>
      <c r="F1058" t="inlineStr">
        <is>
          <t>productionToAdd</t>
        </is>
      </c>
      <c r="G1058" t="n">
        <v>0</v>
      </c>
      <c r="H1058" t="inlineStr">
        <is>
          <t>currentCell</t>
        </is>
      </c>
      <c r="I1058" t="n">
        <v>0.4895246920461513</v>
      </c>
    </row>
    <row r="1059">
      <c r="A1059" t="n">
        <v>2</v>
      </c>
      <c r="B1059" t="inlineStr">
        <is>
          <t>Tabel ou Tabil tunisienEpice 100ml</t>
        </is>
      </c>
      <c r="C1059" t="inlineStr">
        <is>
          <t>Feuilles De Laurier</t>
        </is>
      </c>
      <c r="D1059" t="inlineStr">
        <is>
          <t>recetteProportion</t>
        </is>
      </c>
      <c r="E1059" t="n">
        <v>0.01466275659824047</v>
      </c>
    </row>
    <row r="1060">
      <c r="A1060" t="n">
        <v>3</v>
      </c>
      <c r="B1060" t="inlineStr">
        <is>
          <t>Tabel ou Tabil tunisienEpice 100ml</t>
        </is>
      </c>
      <c r="C1060" t="inlineStr">
        <is>
          <t>Feuilles De Laurier</t>
        </is>
      </c>
      <c r="D1060" t="inlineStr">
        <is>
          <t>productionInKg</t>
        </is>
      </c>
      <c r="E1060" t="n">
        <v>0</v>
      </c>
      <c r="F1060" t="inlineStr">
        <is>
          <t>inversReductionIngredient</t>
        </is>
      </c>
      <c r="H1060" t="inlineStr">
        <is>
          <t>finalValue</t>
        </is>
      </c>
      <c r="I1060" t="n">
        <v>0</v>
      </c>
    </row>
    <row r="1061">
      <c r="A1061" t="n">
        <v>4</v>
      </c>
      <c r="B1061" t="inlineStr">
        <is>
          <t>Tabel ou Tabil tunisienEpice 100ml</t>
        </is>
      </c>
      <c r="C1061" t="inlineStr">
        <is>
          <t>Feuilles De Laurier</t>
        </is>
      </c>
      <c r="D1061" t="inlineStr">
        <is>
          <t>PROD</t>
        </is>
      </c>
      <c r="E1061" t="inlineStr">
        <is>
          <t>feuilles de laurier</t>
        </is>
      </c>
      <c r="F1061" t="inlineStr">
        <is>
          <t>productionToAdd</t>
        </is>
      </c>
      <c r="G1061" t="n">
        <v>0</v>
      </c>
      <c r="H1061" t="inlineStr">
        <is>
          <t>currentCell</t>
        </is>
      </c>
      <c r="I1061" t="n">
        <v>0</v>
      </c>
    </row>
    <row r="1062">
      <c r="A1062" t="n">
        <v>2</v>
      </c>
      <c r="B1062" t="inlineStr">
        <is>
          <t>Tabel ou Tabil tunisienEpice 100ml</t>
        </is>
      </c>
      <c r="C1062" t="inlineStr">
        <is>
          <t>Pétale De Rose</t>
        </is>
      </c>
      <c r="D1062" t="inlineStr">
        <is>
          <t>recetteProportion</t>
        </is>
      </c>
      <c r="E1062" t="n">
        <v>0.01466275659824047</v>
      </c>
    </row>
    <row r="1063">
      <c r="A1063" t="n">
        <v>3</v>
      </c>
      <c r="B1063" t="inlineStr">
        <is>
          <t>Tabel ou Tabil tunisienEpice 100ml</t>
        </is>
      </c>
      <c r="C1063" t="inlineStr">
        <is>
          <t>Pétale De Rose</t>
        </is>
      </c>
      <c r="D1063" t="inlineStr">
        <is>
          <t>productionInKg</t>
        </is>
      </c>
      <c r="E1063" t="n">
        <v>0</v>
      </c>
      <c r="F1063" t="inlineStr">
        <is>
          <t>inversReductionIngredient</t>
        </is>
      </c>
      <c r="H1063" t="inlineStr">
        <is>
          <t>finalValue</t>
        </is>
      </c>
      <c r="I1063" t="n">
        <v>0</v>
      </c>
    </row>
    <row r="1064">
      <c r="A1064" t="n">
        <v>4</v>
      </c>
      <c r="B1064" t="inlineStr">
        <is>
          <t>Tabel ou Tabil tunisienEpice 100ml</t>
        </is>
      </c>
      <c r="C1064" t="inlineStr">
        <is>
          <t>Pétale De Rose</t>
        </is>
      </c>
      <c r="D1064" t="inlineStr">
        <is>
          <t>PROD</t>
        </is>
      </c>
      <c r="E1064" t="inlineStr">
        <is>
          <t>pétale de rose</t>
        </is>
      </c>
      <c r="F1064" t="inlineStr">
        <is>
          <t>productionToAdd</t>
        </is>
      </c>
      <c r="G1064" t="n">
        <v>0</v>
      </c>
      <c r="H1064" t="inlineStr">
        <is>
          <t>currentCell</t>
        </is>
      </c>
      <c r="I1064" t="n">
        <v>0</v>
      </c>
    </row>
    <row r="1065">
      <c r="A1065" t="n">
        <v>2</v>
      </c>
      <c r="B1065" t="inlineStr">
        <is>
          <t>Tabel ou Tabil tunisienEpice 100ml</t>
        </is>
      </c>
      <c r="C1065" t="inlineStr">
        <is>
          <t>Gingembre Sec</t>
        </is>
      </c>
      <c r="D1065" t="inlineStr">
        <is>
          <t>recetteProportion</t>
        </is>
      </c>
      <c r="E1065" t="n">
        <v>0.01466275659824047</v>
      </c>
    </row>
    <row r="1066">
      <c r="A1066" t="n">
        <v>3</v>
      </c>
      <c r="B1066" t="inlineStr">
        <is>
          <t>Tabel ou Tabil tunisienEpice 100ml</t>
        </is>
      </c>
      <c r="C1066" t="inlineStr">
        <is>
          <t>Gingembre Sec</t>
        </is>
      </c>
      <c r="D1066" t="inlineStr">
        <is>
          <t>productionInKg</t>
        </is>
      </c>
      <c r="E1066" t="n">
        <v>0</v>
      </c>
      <c r="F1066" t="inlineStr">
        <is>
          <t>inversReductionIngredient</t>
        </is>
      </c>
      <c r="H1066" t="inlineStr">
        <is>
          <t>finalValue</t>
        </is>
      </c>
      <c r="I1066" t="n">
        <v>0</v>
      </c>
    </row>
    <row r="1067">
      <c r="A1067" t="n">
        <v>4</v>
      </c>
      <c r="B1067" t="inlineStr">
        <is>
          <t>Tabel ou Tabil tunisienEpice 100ml</t>
        </is>
      </c>
      <c r="C1067" t="inlineStr">
        <is>
          <t>Gingembre Sec</t>
        </is>
      </c>
      <c r="D1067" t="inlineStr">
        <is>
          <t>PROD</t>
        </is>
      </c>
      <c r="E1067" t="inlineStr">
        <is>
          <t>gingembre</t>
        </is>
      </c>
      <c r="F1067" t="inlineStr">
        <is>
          <t>productionToAdd</t>
        </is>
      </c>
      <c r="G1067" t="n">
        <v>0</v>
      </c>
      <c r="H1067" t="inlineStr">
        <is>
          <t>currentCell</t>
        </is>
      </c>
      <c r="I1067" t="n">
        <v>23.79683755086116</v>
      </c>
    </row>
    <row r="1068">
      <c r="A1068" t="n">
        <v>2</v>
      </c>
      <c r="B1068" t="inlineStr">
        <is>
          <t>Tabel ou Tabil tunisienEpice 100ml</t>
        </is>
      </c>
      <c r="C1068" t="inlineStr">
        <is>
          <t>Menthe Verte Séchée</t>
        </is>
      </c>
      <c r="D1068" t="inlineStr">
        <is>
          <t>recetteProportion</t>
        </is>
      </c>
      <c r="E1068" t="n">
        <v>0.01466275659824047</v>
      </c>
    </row>
    <row r="1069">
      <c r="A1069" t="n">
        <v>3</v>
      </c>
      <c r="B1069" t="inlineStr">
        <is>
          <t>Tabel ou Tabil tunisienEpice 100ml</t>
        </is>
      </c>
      <c r="C1069" t="inlineStr">
        <is>
          <t>Menthe Verte Séchée</t>
        </is>
      </c>
      <c r="D1069" t="inlineStr">
        <is>
          <t>productionInKg</t>
        </is>
      </c>
      <c r="E1069" t="n">
        <v>0</v>
      </c>
      <c r="F1069" t="inlineStr">
        <is>
          <t>inversReductionIngredient</t>
        </is>
      </c>
      <c r="H1069" t="inlineStr">
        <is>
          <t>finalValue</t>
        </is>
      </c>
      <c r="I1069" t="n">
        <v>0</v>
      </c>
    </row>
    <row r="1070">
      <c r="A1070" t="n">
        <v>4</v>
      </c>
      <c r="B1070" t="inlineStr">
        <is>
          <t>Tabel ou Tabil tunisienEpice 100ml</t>
        </is>
      </c>
      <c r="C1070" t="inlineStr">
        <is>
          <t>Menthe Verte Séchée</t>
        </is>
      </c>
      <c r="D1070" t="inlineStr">
        <is>
          <t>PROD</t>
        </is>
      </c>
      <c r="E1070" t="inlineStr">
        <is>
          <t>menthe verte</t>
        </is>
      </c>
      <c r="F1070" t="inlineStr">
        <is>
          <t>productionToAdd</t>
        </is>
      </c>
      <c r="G1070" t="n">
        <v>0</v>
      </c>
      <c r="H1070" t="inlineStr">
        <is>
          <t>currentCell</t>
        </is>
      </c>
      <c r="I1070" t="n">
        <v>0</v>
      </c>
    </row>
    <row r="1071">
      <c r="A1071" t="n">
        <v>2</v>
      </c>
      <c r="B1071" t="inlineStr">
        <is>
          <t>Tabel ou Tabil tunisienEpice 100ml</t>
        </is>
      </c>
      <c r="C1071" t="inlineStr">
        <is>
          <t>Sel</t>
        </is>
      </c>
      <c r="D1071" t="inlineStr">
        <is>
          <t>recetteProportion</t>
        </is>
      </c>
      <c r="E1071" t="n">
        <v>0.07331378299120234</v>
      </c>
    </row>
    <row r="1072">
      <c r="A1072" t="n">
        <v>3</v>
      </c>
      <c r="B1072" t="inlineStr">
        <is>
          <t>Tabel ou Tabil tunisienEpice 100ml</t>
        </is>
      </c>
      <c r="C1072" t="inlineStr">
        <is>
          <t>Sel</t>
        </is>
      </c>
      <c r="D1072" t="inlineStr">
        <is>
          <t>productionInKg</t>
        </is>
      </c>
      <c r="E1072" t="n">
        <v>0</v>
      </c>
      <c r="F1072" t="inlineStr">
        <is>
          <t>inversReductionIngredient</t>
        </is>
      </c>
      <c r="H1072" t="inlineStr">
        <is>
          <t>finalValue</t>
        </is>
      </c>
      <c r="I1072" t="n">
        <v>0</v>
      </c>
    </row>
    <row r="1073">
      <c r="A1073" t="n">
        <v>4</v>
      </c>
      <c r="B1073" t="inlineStr">
        <is>
          <t>Tabel ou Tabil tunisienEpice 100ml</t>
        </is>
      </c>
      <c r="C1073" t="inlineStr">
        <is>
          <t>Sel</t>
        </is>
      </c>
      <c r="D1073" t="inlineStr">
        <is>
          <t>PROD</t>
        </is>
      </c>
      <c r="E1073" t="inlineStr">
        <is>
          <t>sel</t>
        </is>
      </c>
      <c r="F1073" t="inlineStr">
        <is>
          <t>productionToAdd</t>
        </is>
      </c>
      <c r="G1073" t="n">
        <v>0</v>
      </c>
      <c r="H1073" t="inlineStr">
        <is>
          <t>currentCell</t>
        </is>
      </c>
      <c r="I1073" t="n">
        <v>76.70312311917348</v>
      </c>
    </row>
    <row r="1074">
      <c r="A1074" t="n">
        <v>2</v>
      </c>
      <c r="B1074" t="inlineStr">
        <is>
          <t>Tabel ou Tabil tunisienEpice 100ml</t>
        </is>
      </c>
      <c r="C1074" t="inlineStr">
        <is>
          <t>Safran</t>
        </is>
      </c>
      <c r="D1074" t="inlineStr">
        <is>
          <t>recetteProportion</t>
        </is>
      </c>
      <c r="E1074" t="n">
        <v>0.002932551319648094</v>
      </c>
    </row>
    <row r="1075">
      <c r="A1075" t="n">
        <v>3</v>
      </c>
      <c r="B1075" t="inlineStr">
        <is>
          <t>Tabel ou Tabil tunisienEpice 100ml</t>
        </is>
      </c>
      <c r="C1075" t="inlineStr">
        <is>
          <t>Safran</t>
        </is>
      </c>
      <c r="D1075" t="inlineStr">
        <is>
          <t>productionInKg</t>
        </is>
      </c>
      <c r="E1075" t="n">
        <v>0</v>
      </c>
      <c r="F1075" t="inlineStr">
        <is>
          <t>inversReductionIngredient</t>
        </is>
      </c>
      <c r="H1075" t="inlineStr">
        <is>
          <t>finalValue</t>
        </is>
      </c>
      <c r="I1075" t="n">
        <v>0</v>
      </c>
    </row>
    <row r="1076">
      <c r="A1076" t="n">
        <v>4</v>
      </c>
      <c r="B1076" t="inlineStr">
        <is>
          <t>Tabel ou Tabil tunisienEpice 100ml</t>
        </is>
      </c>
      <c r="C1076" t="inlineStr">
        <is>
          <t>Safran</t>
        </is>
      </c>
      <c r="D1076" t="inlineStr">
        <is>
          <t>PROD</t>
        </is>
      </c>
      <c r="E1076" t="inlineStr">
        <is>
          <t>safran</t>
        </is>
      </c>
      <c r="F1076" t="inlineStr">
        <is>
          <t>productionToAdd</t>
        </is>
      </c>
      <c r="G1076" t="n">
        <v>0</v>
      </c>
      <c r="H1076" t="inlineStr">
        <is>
          <t>currentCell</t>
        </is>
      </c>
      <c r="I1076" t="n">
        <v>0</v>
      </c>
    </row>
    <row r="1077">
      <c r="A1077" t="n">
        <v>2</v>
      </c>
      <c r="B1077" t="inlineStr">
        <is>
          <t>Tabel ou Tabil tunisienEpice 100ml</t>
        </is>
      </c>
      <c r="C1077" t="inlineStr">
        <is>
          <t>Ail SEC</t>
        </is>
      </c>
      <c r="D1077" t="inlineStr">
        <is>
          <t>recetteProportion</t>
        </is>
      </c>
      <c r="E1077" t="n">
        <v>0.08797653958944281</v>
      </c>
    </row>
    <row r="1078">
      <c r="A1078" t="n">
        <v>1</v>
      </c>
      <c r="B1078" t="inlineStr">
        <is>
          <t>TakliaEpice 100ml</t>
        </is>
      </c>
      <c r="D1078" t="inlineStr">
        <is>
          <t>annee</t>
        </is>
      </c>
      <c r="E1078" t="n">
        <v>1</v>
      </c>
      <c r="F1078" t="inlineStr">
        <is>
          <t>prod</t>
        </is>
      </c>
      <c r="G1078" t="n">
        <v>0</v>
      </c>
    </row>
    <row r="1079">
      <c r="A1079" t="n">
        <v>2</v>
      </c>
      <c r="B1079" t="inlineStr">
        <is>
          <t>TakliaEpice 100ml</t>
        </is>
      </c>
      <c r="C1079" t="inlineStr">
        <is>
          <t>Ail</t>
        </is>
      </c>
      <c r="D1079" t="inlineStr">
        <is>
          <t>recetteProportion</t>
        </is>
      </c>
      <c r="E1079" t="n">
        <v>0.4756511891279728</v>
      </c>
    </row>
    <row r="1080">
      <c r="A1080" t="n">
        <v>3</v>
      </c>
      <c r="B1080" t="inlineStr">
        <is>
          <t>TakliaEpice 100ml</t>
        </is>
      </c>
      <c r="C1080" t="inlineStr">
        <is>
          <t>Ail</t>
        </is>
      </c>
      <c r="D1080" t="inlineStr">
        <is>
          <t>productionInKg</t>
        </is>
      </c>
      <c r="E1080" t="n">
        <v>0</v>
      </c>
      <c r="F1080" t="inlineStr">
        <is>
          <t>inversReductionIngredient</t>
        </is>
      </c>
      <c r="H1080" t="inlineStr">
        <is>
          <t>finalValue</t>
        </is>
      </c>
      <c r="I1080" t="n">
        <v>0</v>
      </c>
    </row>
    <row r="1081">
      <c r="A1081" t="n">
        <v>4</v>
      </c>
      <c r="B1081" t="inlineStr">
        <is>
          <t>TakliaEpice 100ml</t>
        </is>
      </c>
      <c r="C1081" t="inlineStr">
        <is>
          <t>Ail</t>
        </is>
      </c>
      <c r="D1081" t="inlineStr">
        <is>
          <t>PROD</t>
        </is>
      </c>
      <c r="E1081" t="inlineStr">
        <is>
          <t>ail</t>
        </is>
      </c>
      <c r="F1081" t="inlineStr">
        <is>
          <t>productionToAdd</t>
        </is>
      </c>
      <c r="G1081" t="n">
        <v>0</v>
      </c>
      <c r="H1081" t="inlineStr">
        <is>
          <t>currentCell</t>
        </is>
      </c>
      <c r="I1081" t="n">
        <v>3.807979349667256</v>
      </c>
    </row>
    <row r="1082">
      <c r="A1082" t="n">
        <v>2</v>
      </c>
      <c r="B1082" t="inlineStr">
        <is>
          <t>TakliaEpice 100ml</t>
        </is>
      </c>
      <c r="C1082" t="inlineStr">
        <is>
          <t>Huile D'Olive</t>
        </is>
      </c>
      <c r="D1082" t="inlineStr">
        <is>
          <t>recetteProportion</t>
        </is>
      </c>
      <c r="E1082" t="n">
        <v>0.362400906002265</v>
      </c>
    </row>
    <row r="1083">
      <c r="A1083" t="n">
        <v>3</v>
      </c>
      <c r="B1083" t="inlineStr">
        <is>
          <t>TakliaEpice 100ml</t>
        </is>
      </c>
      <c r="C1083" t="inlineStr">
        <is>
          <t>Huile D'Olive</t>
        </is>
      </c>
      <c r="D1083" t="inlineStr">
        <is>
          <t>productionInKg</t>
        </is>
      </c>
      <c r="E1083" t="n">
        <v>0</v>
      </c>
      <c r="F1083" t="inlineStr">
        <is>
          <t>inversReductionIngredient</t>
        </is>
      </c>
      <c r="H1083" t="inlineStr">
        <is>
          <t>finalValue</t>
        </is>
      </c>
      <c r="I1083" t="n">
        <v>0</v>
      </c>
    </row>
    <row r="1084">
      <c r="A1084" t="n">
        <v>4</v>
      </c>
      <c r="B1084" t="inlineStr">
        <is>
          <t>TakliaEpice 100ml</t>
        </is>
      </c>
      <c r="C1084" t="inlineStr">
        <is>
          <t>Huile D'Olive</t>
        </is>
      </c>
      <c r="D1084" t="inlineStr">
        <is>
          <t>PROD</t>
        </is>
      </c>
      <c r="E1084" t="inlineStr">
        <is>
          <t>huile d'olive</t>
        </is>
      </c>
      <c r="F1084" t="inlineStr">
        <is>
          <t>productionToAdd</t>
        </is>
      </c>
      <c r="G1084" t="n">
        <v>0</v>
      </c>
      <c r="H1084" t="inlineStr">
        <is>
          <t>currentCell</t>
        </is>
      </c>
      <c r="I1084" t="n">
        <v>0</v>
      </c>
    </row>
    <row r="1085">
      <c r="A1085" t="n">
        <v>2</v>
      </c>
      <c r="B1085" t="inlineStr">
        <is>
          <t>TakliaEpice 100ml</t>
        </is>
      </c>
      <c r="C1085" t="inlineStr">
        <is>
          <t>Coriandre Graine</t>
        </is>
      </c>
      <c r="D1085" t="inlineStr">
        <is>
          <t>recetteProportion</t>
        </is>
      </c>
      <c r="E1085" t="n">
        <v>0.05436013590033975</v>
      </c>
    </row>
    <row r="1086">
      <c r="A1086" t="n">
        <v>3</v>
      </c>
      <c r="B1086" t="inlineStr">
        <is>
          <t>TakliaEpice 100ml</t>
        </is>
      </c>
      <c r="C1086" t="inlineStr">
        <is>
          <t>Coriandre Graine</t>
        </is>
      </c>
      <c r="D1086" t="inlineStr">
        <is>
          <t>productionInKg</t>
        </is>
      </c>
      <c r="E1086" t="n">
        <v>0</v>
      </c>
      <c r="F1086" t="inlineStr">
        <is>
          <t>inversReductionIngredient</t>
        </is>
      </c>
      <c r="H1086" t="inlineStr">
        <is>
          <t>finalValue</t>
        </is>
      </c>
      <c r="I1086" t="n">
        <v>0</v>
      </c>
    </row>
    <row r="1087">
      <c r="A1087" t="n">
        <v>4</v>
      </c>
      <c r="B1087" t="inlineStr">
        <is>
          <t>TakliaEpice 100ml</t>
        </is>
      </c>
      <c r="C1087" t="inlineStr">
        <is>
          <t>Coriandre Graine</t>
        </is>
      </c>
      <c r="D1087" t="inlineStr">
        <is>
          <t>PROD</t>
        </is>
      </c>
      <c r="E1087" t="inlineStr">
        <is>
          <t>coriandre graine</t>
        </is>
      </c>
      <c r="F1087" t="inlineStr">
        <is>
          <t>productionToAdd</t>
        </is>
      </c>
      <c r="G1087" t="n">
        <v>0</v>
      </c>
      <c r="H1087" t="inlineStr">
        <is>
          <t>currentCell</t>
        </is>
      </c>
      <c r="I1087" t="n">
        <v>13.20572815060476</v>
      </c>
    </row>
    <row r="1088">
      <c r="A1088" t="n">
        <v>2</v>
      </c>
      <c r="B1088" t="inlineStr">
        <is>
          <t>TakliaEpice 100ml</t>
        </is>
      </c>
      <c r="C1088" t="inlineStr">
        <is>
          <t>Piment De Cayenne Rouge SEC</t>
        </is>
      </c>
      <c r="D1088" t="inlineStr">
        <is>
          <t>recetteProportion</t>
        </is>
      </c>
      <c r="E1088" t="n">
        <v>0.02265005662514157</v>
      </c>
    </row>
    <row r="1089">
      <c r="A1089" t="n">
        <v>2</v>
      </c>
      <c r="B1089" t="inlineStr">
        <is>
          <t>TakliaEpice 100ml</t>
        </is>
      </c>
      <c r="C1089" t="inlineStr">
        <is>
          <t>Sel</t>
        </is>
      </c>
      <c r="D1089" t="inlineStr">
        <is>
          <t>recetteProportion</t>
        </is>
      </c>
      <c r="E1089" t="n">
        <v>0.08493771234428087</v>
      </c>
    </row>
    <row r="1090">
      <c r="A1090" t="n">
        <v>3</v>
      </c>
      <c r="B1090" t="inlineStr">
        <is>
          <t>TakliaEpice 100ml</t>
        </is>
      </c>
      <c r="C1090" t="inlineStr">
        <is>
          <t>Sel</t>
        </is>
      </c>
      <c r="D1090" t="inlineStr">
        <is>
          <t>productionInKg</t>
        </is>
      </c>
      <c r="E1090" t="n">
        <v>0</v>
      </c>
      <c r="F1090" t="inlineStr">
        <is>
          <t>inversReductionIngredient</t>
        </is>
      </c>
      <c r="H1090" t="inlineStr">
        <is>
          <t>finalValue</t>
        </is>
      </c>
      <c r="I1090" t="n">
        <v>0</v>
      </c>
    </row>
    <row r="1091">
      <c r="A1091" t="n">
        <v>4</v>
      </c>
      <c r="B1091" t="inlineStr">
        <is>
          <t>TakliaEpice 100ml</t>
        </is>
      </c>
      <c r="C1091" t="inlineStr">
        <is>
          <t>Sel</t>
        </is>
      </c>
      <c r="D1091" t="inlineStr">
        <is>
          <t>PROD</t>
        </is>
      </c>
      <c r="E1091" t="inlineStr">
        <is>
          <t>sel</t>
        </is>
      </c>
      <c r="F1091" t="inlineStr">
        <is>
          <t>productionToAdd</t>
        </is>
      </c>
      <c r="G1091" t="n">
        <v>0</v>
      </c>
      <c r="H1091" t="inlineStr">
        <is>
          <t>currentCell</t>
        </is>
      </c>
      <c r="I1091" t="n">
        <v>76.70312311917348</v>
      </c>
    </row>
    <row r="1092">
      <c r="A1092" t="n">
        <v>1</v>
      </c>
      <c r="B1092" t="inlineStr">
        <is>
          <t>Timur ko chhopEpice 100ml</t>
        </is>
      </c>
      <c r="D1092" t="inlineStr">
        <is>
          <t>annee</t>
        </is>
      </c>
      <c r="E1092" t="n">
        <v>1</v>
      </c>
      <c r="F1092" t="inlineStr">
        <is>
          <t>prod</t>
        </is>
      </c>
      <c r="G1092" t="n">
        <v>0</v>
      </c>
    </row>
    <row r="1093">
      <c r="A1093" t="n">
        <v>2</v>
      </c>
      <c r="B1093" t="inlineStr">
        <is>
          <t>Timur ko chhopEpice 100ml</t>
        </is>
      </c>
      <c r="C1093" t="inlineStr">
        <is>
          <t>Poivre De Timut</t>
        </is>
      </c>
      <c r="D1093" t="inlineStr">
        <is>
          <t>recetteProportion</t>
        </is>
      </c>
      <c r="E1093" t="n">
        <v>0.125</v>
      </c>
    </row>
    <row r="1094">
      <c r="A1094" t="n">
        <v>3</v>
      </c>
      <c r="B1094" t="inlineStr">
        <is>
          <t>Timur ko chhopEpice 100ml</t>
        </is>
      </c>
      <c r="C1094" t="inlineStr">
        <is>
          <t>Poivre De Timut</t>
        </is>
      </c>
      <c r="D1094" t="inlineStr">
        <is>
          <t>productionInKg</t>
        </is>
      </c>
      <c r="E1094" t="n">
        <v>0</v>
      </c>
      <c r="F1094" t="inlineStr">
        <is>
          <t>inversReductionIngredient</t>
        </is>
      </c>
      <c r="H1094" t="inlineStr">
        <is>
          <t>finalValue</t>
        </is>
      </c>
      <c r="I1094" t="n">
        <v>0</v>
      </c>
    </row>
    <row r="1095">
      <c r="A1095" t="n">
        <v>4</v>
      </c>
      <c r="B1095" t="inlineStr">
        <is>
          <t>Timur ko chhopEpice 100ml</t>
        </is>
      </c>
      <c r="C1095" t="inlineStr">
        <is>
          <t>Poivre De Timut</t>
        </is>
      </c>
      <c r="D1095" t="inlineStr">
        <is>
          <t>PROD</t>
        </is>
      </c>
      <c r="E1095" t="inlineStr">
        <is>
          <t>poivre de timut</t>
        </is>
      </c>
      <c r="F1095" t="inlineStr">
        <is>
          <t>productionToAdd</t>
        </is>
      </c>
      <c r="G1095" t="n">
        <v>0</v>
      </c>
      <c r="H1095" t="inlineStr">
        <is>
          <t>currentCell</t>
        </is>
      </c>
      <c r="I1095" t="n">
        <v>0.3543003851091143</v>
      </c>
    </row>
    <row r="1096">
      <c r="A1096" t="n">
        <v>2</v>
      </c>
      <c r="B1096" t="inlineStr">
        <is>
          <t>Timur ko chhopEpice 100ml</t>
        </is>
      </c>
      <c r="C1096" t="inlineStr">
        <is>
          <t>Poivre De Sichuan</t>
        </is>
      </c>
      <c r="D1096" t="inlineStr">
        <is>
          <t>recetteProportion</t>
        </is>
      </c>
      <c r="E1096" t="n">
        <v>0.125</v>
      </c>
    </row>
    <row r="1097">
      <c r="A1097" t="n">
        <v>3</v>
      </c>
      <c r="B1097" t="inlineStr">
        <is>
          <t>Timur ko chhopEpice 100ml</t>
        </is>
      </c>
      <c r="C1097" t="inlineStr">
        <is>
          <t>Poivre De Sichuan</t>
        </is>
      </c>
      <c r="D1097" t="inlineStr">
        <is>
          <t>productionInKg</t>
        </is>
      </c>
      <c r="E1097" t="n">
        <v>0</v>
      </c>
      <c r="F1097" t="inlineStr">
        <is>
          <t>inversReductionIngredient</t>
        </is>
      </c>
      <c r="H1097" t="inlineStr">
        <is>
          <t>finalValue</t>
        </is>
      </c>
      <c r="I1097" t="n">
        <v>0</v>
      </c>
    </row>
    <row r="1098">
      <c r="A1098" t="n">
        <v>4</v>
      </c>
      <c r="B1098" t="inlineStr">
        <is>
          <t>Timur ko chhopEpice 100ml</t>
        </is>
      </c>
      <c r="C1098" t="inlineStr">
        <is>
          <t>Poivre De Sichuan</t>
        </is>
      </c>
      <c r="D1098" t="inlineStr">
        <is>
          <t>PROD</t>
        </is>
      </c>
      <c r="E1098" t="inlineStr">
        <is>
          <t>poivre de sichuan</t>
        </is>
      </c>
      <c r="F1098" t="inlineStr">
        <is>
          <t>productionToAdd</t>
        </is>
      </c>
      <c r="G1098" t="n">
        <v>0</v>
      </c>
      <c r="H1098" t="inlineStr">
        <is>
          <t>currentCell</t>
        </is>
      </c>
      <c r="I1098" t="n">
        <v>0</v>
      </c>
    </row>
    <row r="1099">
      <c r="A1099" t="n">
        <v>2</v>
      </c>
      <c r="B1099" t="inlineStr">
        <is>
          <t>Timur ko chhopEpice 100ml</t>
        </is>
      </c>
      <c r="C1099" t="inlineStr">
        <is>
          <t>Piments Rouge Séchés</t>
        </is>
      </c>
      <c r="D1099" t="inlineStr">
        <is>
          <t>recetteProportion</t>
        </is>
      </c>
      <c r="E1099" t="n">
        <v>0.5</v>
      </c>
    </row>
    <row r="1100">
      <c r="A1100" t="n">
        <v>3</v>
      </c>
      <c r="B1100" t="inlineStr">
        <is>
          <t>Timur ko chhopEpice 100ml</t>
        </is>
      </c>
      <c r="C1100" t="inlineStr">
        <is>
          <t>Piments Rouge Séchés</t>
        </is>
      </c>
      <c r="D1100" t="inlineStr">
        <is>
          <t>productionInKg</t>
        </is>
      </c>
      <c r="E1100" t="n">
        <v>0</v>
      </c>
      <c r="F1100" t="inlineStr">
        <is>
          <t>inversReductionIngredient</t>
        </is>
      </c>
      <c r="H1100" t="inlineStr">
        <is>
          <t>finalValue</t>
        </is>
      </c>
      <c r="I1100" t="n">
        <v>0</v>
      </c>
    </row>
    <row r="1101">
      <c r="A1101" t="n">
        <v>4</v>
      </c>
      <c r="B1101" t="inlineStr">
        <is>
          <t>Timur ko chhopEpice 100ml</t>
        </is>
      </c>
      <c r="C1101" t="inlineStr">
        <is>
          <t>Piments Rouge Séchés</t>
        </is>
      </c>
      <c r="D1101" t="inlineStr">
        <is>
          <t>PROD</t>
        </is>
      </c>
      <c r="E1101" t="inlineStr">
        <is>
          <t>piments rouge - THUNDER MOUNTAIN LONGHORN</t>
        </is>
      </c>
      <c r="F1101" t="inlineStr">
        <is>
          <t>productionToAdd</t>
        </is>
      </c>
      <c r="G1101" t="n">
        <v>0</v>
      </c>
      <c r="H1101" t="inlineStr">
        <is>
          <t>currentCell</t>
        </is>
      </c>
      <c r="I1101" t="n">
        <v>3.537221181164238</v>
      </c>
    </row>
    <row r="1102">
      <c r="A1102" t="n">
        <v>2</v>
      </c>
      <c r="B1102" t="inlineStr">
        <is>
          <t>Timur ko chhopEpice 100ml</t>
        </is>
      </c>
      <c r="C1102" t="inlineStr">
        <is>
          <t>Sel</t>
        </is>
      </c>
      <c r="D1102" t="inlineStr">
        <is>
          <t>recetteProportion</t>
        </is>
      </c>
      <c r="E1102" t="n">
        <v>0.25</v>
      </c>
    </row>
    <row r="1103">
      <c r="A1103" t="n">
        <v>3</v>
      </c>
      <c r="B1103" t="inlineStr">
        <is>
          <t>Timur ko chhopEpice 100ml</t>
        </is>
      </c>
      <c r="C1103" t="inlineStr">
        <is>
          <t>Sel</t>
        </is>
      </c>
      <c r="D1103" t="inlineStr">
        <is>
          <t>productionInKg</t>
        </is>
      </c>
      <c r="E1103" t="n">
        <v>0</v>
      </c>
      <c r="F1103" t="inlineStr">
        <is>
          <t>inversReductionIngredient</t>
        </is>
      </c>
      <c r="H1103" t="inlineStr">
        <is>
          <t>finalValue</t>
        </is>
      </c>
      <c r="I1103" t="n">
        <v>0</v>
      </c>
    </row>
    <row r="1104">
      <c r="A1104" t="n">
        <v>4</v>
      </c>
      <c r="B1104" t="inlineStr">
        <is>
          <t>Timur ko chhopEpice 100ml</t>
        </is>
      </c>
      <c r="C1104" t="inlineStr">
        <is>
          <t>Sel</t>
        </is>
      </c>
      <c r="D1104" t="inlineStr">
        <is>
          <t>PROD</t>
        </is>
      </c>
      <c r="E1104" t="inlineStr">
        <is>
          <t>sel</t>
        </is>
      </c>
      <c r="F1104" t="inlineStr">
        <is>
          <t>productionToAdd</t>
        </is>
      </c>
      <c r="G1104" t="n">
        <v>0</v>
      </c>
      <c r="H1104" t="inlineStr">
        <is>
          <t>currentCell</t>
        </is>
      </c>
      <c r="I1104" t="n">
        <v>76.70312311917348</v>
      </c>
    </row>
    <row r="1105">
      <c r="A1105" t="n">
        <v>1</v>
      </c>
      <c r="B1105" t="inlineStr">
        <is>
          <t>Vindaloo masalaEpice 100ml</t>
        </is>
      </c>
      <c r="D1105" t="inlineStr">
        <is>
          <t>annee</t>
        </is>
      </c>
      <c r="E1105" t="n">
        <v>1</v>
      </c>
      <c r="F1105" t="inlineStr">
        <is>
          <t>prod</t>
        </is>
      </c>
      <c r="G1105" t="n">
        <v>0</v>
      </c>
    </row>
    <row r="1106">
      <c r="A1106" t="n">
        <v>2</v>
      </c>
      <c r="B1106" t="inlineStr">
        <is>
          <t>Vindaloo masalaEpice 100ml</t>
        </is>
      </c>
      <c r="C1106" t="inlineStr">
        <is>
          <t>Cumin Moulu</t>
        </is>
      </c>
      <c r="D1106" t="inlineStr">
        <is>
          <t>recetteProportion</t>
        </is>
      </c>
      <c r="E1106" t="n">
        <v>0.2564102564102564</v>
      </c>
    </row>
    <row r="1107">
      <c r="A1107" t="n">
        <v>3</v>
      </c>
      <c r="B1107" t="inlineStr">
        <is>
          <t>Vindaloo masalaEpice 100ml</t>
        </is>
      </c>
      <c r="C1107" t="inlineStr">
        <is>
          <t>Cumin Moulu</t>
        </is>
      </c>
      <c r="D1107" t="inlineStr">
        <is>
          <t>productionInKg</t>
        </is>
      </c>
      <c r="E1107" t="n">
        <v>0</v>
      </c>
      <c r="F1107" t="inlineStr">
        <is>
          <t>inversReductionIngredient</t>
        </is>
      </c>
      <c r="H1107" t="inlineStr">
        <is>
          <t>finalValue</t>
        </is>
      </c>
      <c r="I1107" t="n">
        <v>0</v>
      </c>
    </row>
    <row r="1108">
      <c r="A1108" t="n">
        <v>4</v>
      </c>
      <c r="B1108" t="inlineStr">
        <is>
          <t>Vindaloo masalaEpice 100ml</t>
        </is>
      </c>
      <c r="C1108" t="inlineStr">
        <is>
          <t>Cumin Moulu</t>
        </is>
      </c>
      <c r="D1108" t="inlineStr">
        <is>
          <t>PROD</t>
        </is>
      </c>
      <c r="E1108" t="inlineStr">
        <is>
          <t>graine cumin</t>
        </is>
      </c>
      <c r="F1108" t="inlineStr">
        <is>
          <t>productionToAdd</t>
        </is>
      </c>
      <c r="G1108" t="n">
        <v>0</v>
      </c>
      <c r="H1108" t="inlineStr">
        <is>
          <t>currentCell</t>
        </is>
      </c>
      <c r="I1108" t="n">
        <v>57.47181617169969</v>
      </c>
    </row>
    <row r="1109">
      <c r="A1109" t="n">
        <v>2</v>
      </c>
      <c r="B1109" t="inlineStr">
        <is>
          <t>Vindaloo masalaEpice 100ml</t>
        </is>
      </c>
      <c r="C1109" t="inlineStr">
        <is>
          <t>Coriandre Feuille</t>
        </is>
      </c>
      <c r="D1109" t="inlineStr">
        <is>
          <t>recetteProportion</t>
        </is>
      </c>
      <c r="E1109" t="n">
        <v>0.2051282051282051</v>
      </c>
    </row>
    <row r="1110">
      <c r="A1110" t="n">
        <v>3</v>
      </c>
      <c r="B1110" t="inlineStr">
        <is>
          <t>Vindaloo masalaEpice 100ml</t>
        </is>
      </c>
      <c r="C1110" t="inlineStr">
        <is>
          <t>Coriandre Feuille</t>
        </is>
      </c>
      <c r="D1110" t="inlineStr">
        <is>
          <t>productionInKg</t>
        </is>
      </c>
      <c r="E1110" t="n">
        <v>0</v>
      </c>
      <c r="F1110" t="inlineStr">
        <is>
          <t>inversReductionIngredient</t>
        </is>
      </c>
      <c r="H1110" t="inlineStr">
        <is>
          <t>finalValue</t>
        </is>
      </c>
      <c r="I1110" t="n">
        <v>0</v>
      </c>
    </row>
    <row r="1111">
      <c r="A1111" t="n">
        <v>4</v>
      </c>
      <c r="B1111" t="inlineStr">
        <is>
          <t>Vindaloo masalaEpice 100ml</t>
        </is>
      </c>
      <c r="C1111" t="inlineStr">
        <is>
          <t>Coriandre Feuille</t>
        </is>
      </c>
      <c r="D1111" t="inlineStr">
        <is>
          <t>PROD</t>
        </is>
      </c>
      <c r="E1111" t="inlineStr">
        <is>
          <t>coriandre feuille</t>
        </is>
      </c>
      <c r="F1111" t="inlineStr">
        <is>
          <t>productionToAdd</t>
        </is>
      </c>
      <c r="G1111" t="n">
        <v>0</v>
      </c>
      <c r="H1111" t="inlineStr">
        <is>
          <t>currentCell</t>
        </is>
      </c>
      <c r="I1111" t="n">
        <v>0</v>
      </c>
    </row>
    <row r="1112">
      <c r="A1112" t="n">
        <v>2</v>
      </c>
      <c r="B1112" t="inlineStr">
        <is>
          <t>Vindaloo masalaEpice 100ml</t>
        </is>
      </c>
      <c r="C1112" t="inlineStr">
        <is>
          <t>Curcuma Moulu</t>
        </is>
      </c>
      <c r="D1112" t="inlineStr">
        <is>
          <t>recetteProportion</t>
        </is>
      </c>
      <c r="E1112" t="n">
        <v>0.05128205128205128</v>
      </c>
    </row>
    <row r="1113">
      <c r="A1113" t="n">
        <v>3</v>
      </c>
      <c r="B1113" t="inlineStr">
        <is>
          <t>Vindaloo masalaEpice 100ml</t>
        </is>
      </c>
      <c r="C1113" t="inlineStr">
        <is>
          <t>Curcuma Moulu</t>
        </is>
      </c>
      <c r="D1113" t="inlineStr">
        <is>
          <t>productionInKg</t>
        </is>
      </c>
      <c r="E1113" t="n">
        <v>0</v>
      </c>
      <c r="F1113" t="inlineStr">
        <is>
          <t>inversReductionIngredient</t>
        </is>
      </c>
      <c r="H1113" t="inlineStr">
        <is>
          <t>finalValue</t>
        </is>
      </c>
      <c r="I1113" t="n">
        <v>0</v>
      </c>
    </row>
    <row r="1114">
      <c r="A1114" t="n">
        <v>4</v>
      </c>
      <c r="B1114" t="inlineStr">
        <is>
          <t>Vindaloo masalaEpice 100ml</t>
        </is>
      </c>
      <c r="C1114" t="inlineStr">
        <is>
          <t>Curcuma Moulu</t>
        </is>
      </c>
      <c r="D1114" t="inlineStr">
        <is>
          <t>PROD</t>
        </is>
      </c>
      <c r="E1114" t="inlineStr">
        <is>
          <t>curcuma</t>
        </is>
      </c>
      <c r="F1114" t="inlineStr">
        <is>
          <t>productionToAdd</t>
        </is>
      </c>
      <c r="G1114" t="n">
        <v>0</v>
      </c>
      <c r="H1114" t="inlineStr">
        <is>
          <t>currentCell</t>
        </is>
      </c>
      <c r="I1114" t="n">
        <v>20.73352586254947</v>
      </c>
    </row>
    <row r="1115">
      <c r="A1115" t="n">
        <v>2</v>
      </c>
      <c r="B1115" t="inlineStr">
        <is>
          <t>Vindaloo masalaEpice 100ml</t>
        </is>
      </c>
      <c r="C1115" t="inlineStr">
        <is>
          <t>Fenugrec</t>
        </is>
      </c>
      <c r="D1115" t="inlineStr">
        <is>
          <t>recetteProportion</t>
        </is>
      </c>
      <c r="E1115" t="n">
        <v>0.05128205128205128</v>
      </c>
    </row>
    <row r="1116">
      <c r="A1116" t="n">
        <v>3</v>
      </c>
      <c r="B1116" t="inlineStr">
        <is>
          <t>Vindaloo masalaEpice 100ml</t>
        </is>
      </c>
      <c r="C1116" t="inlineStr">
        <is>
          <t>Fenugrec</t>
        </is>
      </c>
      <c r="D1116" t="inlineStr">
        <is>
          <t>productionInKg</t>
        </is>
      </c>
      <c r="E1116" t="n">
        <v>0</v>
      </c>
      <c r="F1116" t="inlineStr">
        <is>
          <t>inversReductionIngredient</t>
        </is>
      </c>
      <c r="H1116" t="inlineStr">
        <is>
          <t>finalValue</t>
        </is>
      </c>
      <c r="I1116" t="n">
        <v>0</v>
      </c>
    </row>
    <row r="1117">
      <c r="A1117" t="n">
        <v>4</v>
      </c>
      <c r="B1117" t="inlineStr">
        <is>
          <t>Vindaloo masalaEpice 100ml</t>
        </is>
      </c>
      <c r="C1117" t="inlineStr">
        <is>
          <t>Fenugrec</t>
        </is>
      </c>
      <c r="D1117" t="inlineStr">
        <is>
          <t>PROD</t>
        </is>
      </c>
      <c r="E1117" t="inlineStr">
        <is>
          <t>graine de fenugrec</t>
        </is>
      </c>
      <c r="F1117" t="inlineStr">
        <is>
          <t>productionToAdd</t>
        </is>
      </c>
      <c r="G1117" t="n">
        <v>0</v>
      </c>
      <c r="H1117" t="inlineStr">
        <is>
          <t>currentCell</t>
        </is>
      </c>
      <c r="I1117" t="n">
        <v>0.3214285714285714</v>
      </c>
    </row>
    <row r="1118">
      <c r="A1118" t="n">
        <v>2</v>
      </c>
      <c r="B1118" t="inlineStr">
        <is>
          <t>Vindaloo masalaEpice 100ml</t>
        </is>
      </c>
      <c r="C1118" t="inlineStr">
        <is>
          <t>Gingembre Sec</t>
        </is>
      </c>
      <c r="D1118" t="inlineStr">
        <is>
          <t>recetteProportion</t>
        </is>
      </c>
      <c r="E1118" t="n">
        <v>0.05128205128205128</v>
      </c>
    </row>
    <row r="1119">
      <c r="A1119" t="n">
        <v>3</v>
      </c>
      <c r="B1119" t="inlineStr">
        <is>
          <t>Vindaloo masalaEpice 100ml</t>
        </is>
      </c>
      <c r="C1119" t="inlineStr">
        <is>
          <t>Gingembre Sec</t>
        </is>
      </c>
      <c r="D1119" t="inlineStr">
        <is>
          <t>productionInKg</t>
        </is>
      </c>
      <c r="E1119" t="n">
        <v>0</v>
      </c>
      <c r="F1119" t="inlineStr">
        <is>
          <t>inversReductionIngredient</t>
        </is>
      </c>
      <c r="H1119" t="inlineStr">
        <is>
          <t>finalValue</t>
        </is>
      </c>
      <c r="I1119" t="n">
        <v>0</v>
      </c>
    </row>
    <row r="1120">
      <c r="A1120" t="n">
        <v>4</v>
      </c>
      <c r="B1120" t="inlineStr">
        <is>
          <t>Vindaloo masalaEpice 100ml</t>
        </is>
      </c>
      <c r="C1120" t="inlineStr">
        <is>
          <t>Gingembre Sec</t>
        </is>
      </c>
      <c r="D1120" t="inlineStr">
        <is>
          <t>PROD</t>
        </is>
      </c>
      <c r="E1120" t="inlineStr">
        <is>
          <t>gingembre</t>
        </is>
      </c>
      <c r="F1120" t="inlineStr">
        <is>
          <t>productionToAdd</t>
        </is>
      </c>
      <c r="G1120" t="n">
        <v>0</v>
      </c>
      <c r="H1120" t="inlineStr">
        <is>
          <t>currentCell</t>
        </is>
      </c>
      <c r="I1120" t="n">
        <v>23.79683755086116</v>
      </c>
    </row>
    <row r="1121">
      <c r="A1121" t="n">
        <v>2</v>
      </c>
      <c r="B1121" t="inlineStr">
        <is>
          <t>Vindaloo masalaEpice 100ml</t>
        </is>
      </c>
      <c r="C1121" t="inlineStr">
        <is>
          <t>Cannelle Moulue</t>
        </is>
      </c>
      <c r="D1121" t="inlineStr">
        <is>
          <t>recetteProportion</t>
        </is>
      </c>
      <c r="E1121" t="n">
        <v>0.02564102564102564</v>
      </c>
    </row>
    <row r="1122">
      <c r="A1122" t="n">
        <v>3</v>
      </c>
      <c r="B1122" t="inlineStr">
        <is>
          <t>Vindaloo masalaEpice 100ml</t>
        </is>
      </c>
      <c r="C1122" t="inlineStr">
        <is>
          <t>Cannelle Moulue</t>
        </is>
      </c>
      <c r="D1122" t="inlineStr">
        <is>
          <t>productionInKg</t>
        </is>
      </c>
      <c r="E1122" t="n">
        <v>0</v>
      </c>
      <c r="F1122" t="inlineStr">
        <is>
          <t>inversReductionIngredient</t>
        </is>
      </c>
      <c r="H1122" t="inlineStr">
        <is>
          <t>finalValue</t>
        </is>
      </c>
      <c r="I1122" t="n">
        <v>0</v>
      </c>
    </row>
    <row r="1123">
      <c r="A1123" t="n">
        <v>4</v>
      </c>
      <c r="B1123" t="inlineStr">
        <is>
          <t>Vindaloo masalaEpice 100ml</t>
        </is>
      </c>
      <c r="C1123" t="inlineStr">
        <is>
          <t>Cannelle Moulue</t>
        </is>
      </c>
      <c r="D1123" t="inlineStr">
        <is>
          <t>PROD</t>
        </is>
      </c>
      <c r="E1123" t="inlineStr">
        <is>
          <t>cannelle</t>
        </is>
      </c>
      <c r="F1123" t="inlineStr">
        <is>
          <t>productionToAdd</t>
        </is>
      </c>
      <c r="G1123" t="n">
        <v>0</v>
      </c>
      <c r="H1123" t="inlineStr">
        <is>
          <t>currentCell</t>
        </is>
      </c>
      <c r="I1123" t="n">
        <v>0.05364806866952791</v>
      </c>
    </row>
    <row r="1124">
      <c r="A1124" t="n">
        <v>2</v>
      </c>
      <c r="B1124" t="inlineStr">
        <is>
          <t>Vindaloo masalaEpice 100ml</t>
        </is>
      </c>
      <c r="C1124" t="inlineStr">
        <is>
          <t>Clous De Girofle</t>
        </is>
      </c>
      <c r="D1124" t="inlineStr">
        <is>
          <t>recetteProportion</t>
        </is>
      </c>
      <c r="E1124" t="n">
        <v>0.02564102564102564</v>
      </c>
    </row>
    <row r="1125">
      <c r="A1125" t="n">
        <v>3</v>
      </c>
      <c r="B1125" t="inlineStr">
        <is>
          <t>Vindaloo masalaEpice 100ml</t>
        </is>
      </c>
      <c r="C1125" t="inlineStr">
        <is>
          <t>Clous De Girofle</t>
        </is>
      </c>
      <c r="D1125" t="inlineStr">
        <is>
          <t>productionInKg</t>
        </is>
      </c>
      <c r="E1125" t="n">
        <v>0</v>
      </c>
      <c r="F1125" t="inlineStr">
        <is>
          <t>inversReductionIngredient</t>
        </is>
      </c>
      <c r="H1125" t="inlineStr">
        <is>
          <t>finalValue</t>
        </is>
      </c>
      <c r="I1125" t="n">
        <v>0</v>
      </c>
    </row>
    <row r="1126">
      <c r="A1126" t="n">
        <v>4</v>
      </c>
      <c r="B1126" t="inlineStr">
        <is>
          <t>Vindaloo masalaEpice 100ml</t>
        </is>
      </c>
      <c r="C1126" t="inlineStr">
        <is>
          <t>Clous De Girofle</t>
        </is>
      </c>
      <c r="D1126" t="inlineStr">
        <is>
          <t>PROD</t>
        </is>
      </c>
      <c r="E1126" t="inlineStr">
        <is>
          <t>clous de girofle</t>
        </is>
      </c>
      <c r="F1126" t="inlineStr">
        <is>
          <t>productionToAdd</t>
        </is>
      </c>
      <c r="G1126" t="n">
        <v>0</v>
      </c>
      <c r="H1126" t="inlineStr">
        <is>
          <t>currentCell</t>
        </is>
      </c>
      <c r="I1126" t="n">
        <v>0.02682403433476395</v>
      </c>
    </row>
    <row r="1127">
      <c r="A1127" t="n">
        <v>2</v>
      </c>
      <c r="B1127" t="inlineStr">
        <is>
          <t>Vindaloo masalaEpice 100ml</t>
        </is>
      </c>
      <c r="C1127" t="inlineStr">
        <is>
          <t>Poivre Noir</t>
        </is>
      </c>
      <c r="D1127" t="inlineStr">
        <is>
          <t>recetteProportion</t>
        </is>
      </c>
      <c r="E1127" t="n">
        <v>0.02564102564102564</v>
      </c>
    </row>
    <row r="1128">
      <c r="A1128" t="n">
        <v>3</v>
      </c>
      <c r="B1128" t="inlineStr">
        <is>
          <t>Vindaloo masalaEpice 100ml</t>
        </is>
      </c>
      <c r="C1128" t="inlineStr">
        <is>
          <t>Poivre Noir</t>
        </is>
      </c>
      <c r="D1128" t="inlineStr">
        <is>
          <t>productionInKg</t>
        </is>
      </c>
      <c r="E1128" t="n">
        <v>0</v>
      </c>
      <c r="F1128" t="inlineStr">
        <is>
          <t>inversReductionIngredient</t>
        </is>
      </c>
      <c r="H1128" t="inlineStr">
        <is>
          <t>finalValue</t>
        </is>
      </c>
      <c r="I1128" t="n">
        <v>0</v>
      </c>
    </row>
    <row r="1129">
      <c r="A1129" t="n">
        <v>4</v>
      </c>
      <c r="B1129" t="inlineStr">
        <is>
          <t>Vindaloo masalaEpice 100ml</t>
        </is>
      </c>
      <c r="C1129" t="inlineStr">
        <is>
          <t>Poivre Noir</t>
        </is>
      </c>
      <c r="D1129" t="inlineStr">
        <is>
          <t>PROD</t>
        </is>
      </c>
      <c r="E1129" t="inlineStr">
        <is>
          <t>poivre noir</t>
        </is>
      </c>
      <c r="F1129" t="inlineStr">
        <is>
          <t>productionToAdd</t>
        </is>
      </c>
      <c r="G1129" t="n">
        <v>0</v>
      </c>
      <c r="H1129" t="inlineStr">
        <is>
          <t>currentCell</t>
        </is>
      </c>
      <c r="I1129" t="n">
        <v>0.4895246920461513</v>
      </c>
    </row>
    <row r="1130">
      <c r="A1130" t="n">
        <v>2</v>
      </c>
      <c r="B1130" t="inlineStr">
        <is>
          <t>Vindaloo masalaEpice 100ml</t>
        </is>
      </c>
      <c r="C1130" t="inlineStr">
        <is>
          <t>Graine De Cardamone</t>
        </is>
      </c>
      <c r="D1130" t="inlineStr">
        <is>
          <t>recetteProportion</t>
        </is>
      </c>
      <c r="E1130" t="n">
        <v>0.05128205128205128</v>
      </c>
    </row>
    <row r="1131">
      <c r="A1131" t="n">
        <v>3</v>
      </c>
      <c r="B1131" t="inlineStr">
        <is>
          <t>Vindaloo masalaEpice 100ml</t>
        </is>
      </c>
      <c r="C1131" t="inlineStr">
        <is>
          <t>Graine De Cardamone</t>
        </is>
      </c>
      <c r="D1131" t="inlineStr">
        <is>
          <t>productionInKg</t>
        </is>
      </c>
      <c r="E1131" t="n">
        <v>0</v>
      </c>
      <c r="F1131" t="inlineStr">
        <is>
          <t>inversReductionIngredient</t>
        </is>
      </c>
      <c r="H1131" t="inlineStr">
        <is>
          <t>finalValue</t>
        </is>
      </c>
      <c r="I1131" t="n">
        <v>0</v>
      </c>
    </row>
    <row r="1132">
      <c r="A1132" t="n">
        <v>4</v>
      </c>
      <c r="B1132" t="inlineStr">
        <is>
          <t>Vindaloo masalaEpice 100ml</t>
        </is>
      </c>
      <c r="C1132" t="inlineStr">
        <is>
          <t>Graine De Cardamone</t>
        </is>
      </c>
      <c r="D1132" t="inlineStr">
        <is>
          <t>PROD</t>
        </is>
      </c>
      <c r="E1132" t="inlineStr">
        <is>
          <t>graine de cardamone</t>
        </is>
      </c>
      <c r="F1132" t="inlineStr">
        <is>
          <t>productionToAdd</t>
        </is>
      </c>
      <c r="G1132" t="n">
        <v>0</v>
      </c>
      <c r="H1132" t="inlineStr">
        <is>
          <t>currentCell</t>
        </is>
      </c>
      <c r="I1132" t="n">
        <v>0.04291845493562233</v>
      </c>
    </row>
    <row r="1133">
      <c r="A1133" t="n">
        <v>2</v>
      </c>
      <c r="B1133" t="inlineStr">
        <is>
          <t>Vindaloo masalaEpice 100ml</t>
        </is>
      </c>
      <c r="C1133" t="inlineStr">
        <is>
          <t>Piment De Cayenne Jaune</t>
        </is>
      </c>
      <c r="D1133" t="inlineStr">
        <is>
          <t>recetteProportion</t>
        </is>
      </c>
      <c r="E1133" t="n">
        <v>0.05128205128205128</v>
      </c>
    </row>
    <row r="1134">
      <c r="A1134" t="n">
        <v>3</v>
      </c>
      <c r="B1134" t="inlineStr">
        <is>
          <t>Vindaloo masalaEpice 100ml</t>
        </is>
      </c>
      <c r="C1134" t="inlineStr">
        <is>
          <t>Piment De Cayenne Jaune</t>
        </is>
      </c>
      <c r="D1134" t="inlineStr">
        <is>
          <t>productionInKg</t>
        </is>
      </c>
      <c r="E1134" t="n">
        <v>0</v>
      </c>
      <c r="F1134" t="inlineStr">
        <is>
          <t>inversReductionIngredient</t>
        </is>
      </c>
      <c r="H1134" t="inlineStr">
        <is>
          <t>finalValue</t>
        </is>
      </c>
      <c r="I1134" t="n">
        <v>0</v>
      </c>
    </row>
    <row r="1135">
      <c r="A1135" t="n">
        <v>4</v>
      </c>
      <c r="B1135" t="inlineStr">
        <is>
          <t>Vindaloo masalaEpice 100ml</t>
        </is>
      </c>
      <c r="C1135" t="inlineStr">
        <is>
          <t>Piment De Cayenne Jaune</t>
        </is>
      </c>
      <c r="D1135" t="inlineStr">
        <is>
          <t>PROD</t>
        </is>
      </c>
      <c r="E1135" t="inlineStr">
        <is>
          <t>piment de cayenne jaune</t>
        </is>
      </c>
      <c r="F1135" t="inlineStr">
        <is>
          <t>productionToAdd</t>
        </is>
      </c>
      <c r="G1135" t="n">
        <v>0</v>
      </c>
      <c r="H1135" t="inlineStr">
        <is>
          <t>currentCell</t>
        </is>
      </c>
      <c r="I1135" t="n">
        <v>9.328358208955224</v>
      </c>
    </row>
    <row r="1136">
      <c r="A1136" t="n">
        <v>2</v>
      </c>
      <c r="B1136" t="inlineStr">
        <is>
          <t>Vindaloo masalaEpice 100ml</t>
        </is>
      </c>
      <c r="C1136" t="inlineStr">
        <is>
          <t>Graine De Moutarde</t>
        </is>
      </c>
      <c r="D1136" t="inlineStr">
        <is>
          <t>recetteProportion</t>
        </is>
      </c>
      <c r="E1136" t="n">
        <v>0.1025641025641026</v>
      </c>
    </row>
    <row r="1137">
      <c r="A1137" t="n">
        <v>3</v>
      </c>
      <c r="B1137" t="inlineStr">
        <is>
          <t>Vindaloo masalaEpice 100ml</t>
        </is>
      </c>
      <c r="C1137" t="inlineStr">
        <is>
          <t>Graine De Moutarde</t>
        </is>
      </c>
      <c r="D1137" t="inlineStr">
        <is>
          <t>productionInKg</t>
        </is>
      </c>
      <c r="E1137" t="n">
        <v>0</v>
      </c>
      <c r="F1137" t="inlineStr">
        <is>
          <t>inversReductionIngredient</t>
        </is>
      </c>
      <c r="H1137" t="inlineStr">
        <is>
          <t>finalValue</t>
        </is>
      </c>
      <c r="I1137" t="n">
        <v>0</v>
      </c>
    </row>
    <row r="1138">
      <c r="A1138" t="n">
        <v>4</v>
      </c>
      <c r="B1138" t="inlineStr">
        <is>
          <t>Vindaloo masalaEpice 100ml</t>
        </is>
      </c>
      <c r="C1138" t="inlineStr">
        <is>
          <t>Graine De Moutarde</t>
        </is>
      </c>
      <c r="D1138" t="inlineStr">
        <is>
          <t>PROD</t>
        </is>
      </c>
      <c r="E1138" t="inlineStr">
        <is>
          <t>graine de moutarde</t>
        </is>
      </c>
      <c r="F1138" t="inlineStr">
        <is>
          <t>productionToAdd</t>
        </is>
      </c>
      <c r="G1138" t="n">
        <v>0</v>
      </c>
      <c r="H1138" t="inlineStr">
        <is>
          <t>currentCell</t>
        </is>
      </c>
      <c r="I1138" t="n">
        <v>262.7270518258087</v>
      </c>
    </row>
    <row r="1139">
      <c r="A1139" t="n">
        <v>2</v>
      </c>
      <c r="B1139" t="inlineStr">
        <is>
          <t>Vindaloo masalaEpice 100ml</t>
        </is>
      </c>
      <c r="C1139" t="inlineStr">
        <is>
          <t>Feuilles De Curry</t>
        </is>
      </c>
      <c r="D1139" t="inlineStr">
        <is>
          <t>recetteProportion</t>
        </is>
      </c>
      <c r="E1139" t="n">
        <v>0.1025641025641026</v>
      </c>
    </row>
    <row r="1140">
      <c r="A1140" t="n">
        <v>3</v>
      </c>
      <c r="B1140" t="inlineStr">
        <is>
          <t>Vindaloo masalaEpice 100ml</t>
        </is>
      </c>
      <c r="C1140" t="inlineStr">
        <is>
          <t>Feuilles De Curry</t>
        </is>
      </c>
      <c r="D1140" t="inlineStr">
        <is>
          <t>productionInKg</t>
        </is>
      </c>
      <c r="E1140" t="n">
        <v>0</v>
      </c>
      <c r="F1140" t="inlineStr">
        <is>
          <t>inversReductionIngredient</t>
        </is>
      </c>
      <c r="H1140" t="inlineStr">
        <is>
          <t>finalValue</t>
        </is>
      </c>
      <c r="I1140" t="n">
        <v>0</v>
      </c>
    </row>
    <row r="1141">
      <c r="A1141" t="n">
        <v>4</v>
      </c>
      <c r="B1141" t="inlineStr">
        <is>
          <t>Vindaloo masalaEpice 100ml</t>
        </is>
      </c>
      <c r="C1141" t="inlineStr">
        <is>
          <t>Feuilles De Curry</t>
        </is>
      </c>
      <c r="D1141" t="inlineStr">
        <is>
          <t>PROD</t>
        </is>
      </c>
      <c r="E1141" t="inlineStr">
        <is>
          <t>feuilles de curry</t>
        </is>
      </c>
      <c r="F1141" t="inlineStr">
        <is>
          <t>productionToAdd</t>
        </is>
      </c>
      <c r="G1141" t="n">
        <v>0</v>
      </c>
      <c r="H1141" t="inlineStr">
        <is>
          <t>currentCell</t>
        </is>
      </c>
      <c r="I1141" t="n">
        <v>0</v>
      </c>
    </row>
    <row r="1142">
      <c r="A1142" t="n">
        <v>1</v>
      </c>
      <c r="B1142" t="inlineStr">
        <is>
          <t>ZaatarEpice 100ml</t>
        </is>
      </c>
      <c r="D1142" t="inlineStr">
        <is>
          <t>annee</t>
        </is>
      </c>
      <c r="E1142" t="n">
        <v>1</v>
      </c>
      <c r="F1142" t="inlineStr">
        <is>
          <t>prod</t>
        </is>
      </c>
      <c r="G1142" t="n">
        <v>0</v>
      </c>
    </row>
    <row r="1143">
      <c r="A1143" t="n">
        <v>2</v>
      </c>
      <c r="B1143" t="inlineStr">
        <is>
          <t>ZaatarEpice 100ml</t>
        </is>
      </c>
      <c r="C1143" t="inlineStr">
        <is>
          <t>Cumin Moulu</t>
        </is>
      </c>
      <c r="D1143" t="inlineStr">
        <is>
          <t>recetteProportion</t>
        </is>
      </c>
      <c r="E1143" t="n">
        <v>0.2222222222222222</v>
      </c>
    </row>
    <row r="1144">
      <c r="A1144" t="n">
        <v>3</v>
      </c>
      <c r="B1144" t="inlineStr">
        <is>
          <t>ZaatarEpice 100ml</t>
        </is>
      </c>
      <c r="C1144" t="inlineStr">
        <is>
          <t>Cumin Moulu</t>
        </is>
      </c>
      <c r="D1144" t="inlineStr">
        <is>
          <t>productionInKg</t>
        </is>
      </c>
      <c r="E1144" t="n">
        <v>0</v>
      </c>
      <c r="F1144" t="inlineStr">
        <is>
          <t>inversReductionIngredient</t>
        </is>
      </c>
      <c r="H1144" t="inlineStr">
        <is>
          <t>finalValue</t>
        </is>
      </c>
      <c r="I1144" t="n">
        <v>0</v>
      </c>
    </row>
    <row r="1145">
      <c r="A1145" t="n">
        <v>4</v>
      </c>
      <c r="B1145" t="inlineStr">
        <is>
          <t>ZaatarEpice 100ml</t>
        </is>
      </c>
      <c r="C1145" t="inlineStr">
        <is>
          <t>Cumin Moulu</t>
        </is>
      </c>
      <c r="D1145" t="inlineStr">
        <is>
          <t>PROD</t>
        </is>
      </c>
      <c r="E1145" t="inlineStr">
        <is>
          <t>graine cumin</t>
        </is>
      </c>
      <c r="F1145" t="inlineStr">
        <is>
          <t>productionToAdd</t>
        </is>
      </c>
      <c r="G1145" t="n">
        <v>0</v>
      </c>
      <c r="H1145" t="inlineStr">
        <is>
          <t>currentCell</t>
        </is>
      </c>
      <c r="I1145" t="n">
        <v>57.47181617169969</v>
      </c>
    </row>
    <row r="1146">
      <c r="A1146" t="n">
        <v>2</v>
      </c>
      <c r="B1146" t="inlineStr">
        <is>
          <t>ZaatarEpice 100ml</t>
        </is>
      </c>
      <c r="C1146" t="inlineStr">
        <is>
          <t>Sel</t>
        </is>
      </c>
      <c r="D1146" t="inlineStr">
        <is>
          <t>recetteProportion</t>
        </is>
      </c>
      <c r="E1146" t="n">
        <v>0.1111111111111111</v>
      </c>
    </row>
    <row r="1147">
      <c r="A1147" t="n">
        <v>3</v>
      </c>
      <c r="B1147" t="inlineStr">
        <is>
          <t>ZaatarEpice 100ml</t>
        </is>
      </c>
      <c r="C1147" t="inlineStr">
        <is>
          <t>Sel</t>
        </is>
      </c>
      <c r="D1147" t="inlineStr">
        <is>
          <t>productionInKg</t>
        </is>
      </c>
      <c r="E1147" t="n">
        <v>0</v>
      </c>
      <c r="F1147" t="inlineStr">
        <is>
          <t>inversReductionIngredient</t>
        </is>
      </c>
      <c r="H1147" t="inlineStr">
        <is>
          <t>finalValue</t>
        </is>
      </c>
      <c r="I1147" t="n">
        <v>0</v>
      </c>
    </row>
    <row r="1148">
      <c r="A1148" t="n">
        <v>4</v>
      </c>
      <c r="B1148" t="inlineStr">
        <is>
          <t>ZaatarEpice 100ml</t>
        </is>
      </c>
      <c r="C1148" t="inlineStr">
        <is>
          <t>Sel</t>
        </is>
      </c>
      <c r="D1148" t="inlineStr">
        <is>
          <t>PROD</t>
        </is>
      </c>
      <c r="E1148" t="inlineStr">
        <is>
          <t>sel</t>
        </is>
      </c>
      <c r="F1148" t="inlineStr">
        <is>
          <t>productionToAdd</t>
        </is>
      </c>
      <c r="G1148" t="n">
        <v>0</v>
      </c>
      <c r="H1148" t="inlineStr">
        <is>
          <t>currentCell</t>
        </is>
      </c>
      <c r="I1148" t="n">
        <v>76.70312311917348</v>
      </c>
    </row>
    <row r="1149">
      <c r="A1149" t="n">
        <v>2</v>
      </c>
      <c r="B1149" t="inlineStr">
        <is>
          <t>ZaatarEpice 100ml</t>
        </is>
      </c>
      <c r="C1149" t="inlineStr">
        <is>
          <t>Sésame</t>
        </is>
      </c>
      <c r="D1149" t="inlineStr">
        <is>
          <t>recetteProportion</t>
        </is>
      </c>
      <c r="E1149" t="n">
        <v>0.2222222222222222</v>
      </c>
    </row>
    <row r="1150">
      <c r="A1150" t="n">
        <v>3</v>
      </c>
      <c r="B1150" t="inlineStr">
        <is>
          <t>ZaatarEpice 100ml</t>
        </is>
      </c>
      <c r="C1150" t="inlineStr">
        <is>
          <t>Sésame</t>
        </is>
      </c>
      <c r="D1150" t="inlineStr">
        <is>
          <t>productionInKg</t>
        </is>
      </c>
      <c r="E1150" t="n">
        <v>0</v>
      </c>
      <c r="F1150" t="inlineStr">
        <is>
          <t>inversReductionIngredient</t>
        </is>
      </c>
      <c r="H1150" t="inlineStr">
        <is>
          <t>finalValue</t>
        </is>
      </c>
      <c r="I1150" t="n">
        <v>0</v>
      </c>
    </row>
    <row r="1151">
      <c r="A1151" t="n">
        <v>4</v>
      </c>
      <c r="B1151" t="inlineStr">
        <is>
          <t>ZaatarEpice 100ml</t>
        </is>
      </c>
      <c r="C1151" t="inlineStr">
        <is>
          <t>Sésame</t>
        </is>
      </c>
      <c r="D1151" t="inlineStr">
        <is>
          <t>PROD</t>
        </is>
      </c>
      <c r="E1151" t="inlineStr">
        <is>
          <t>graines de sésame</t>
        </is>
      </c>
      <c r="F1151" t="inlineStr">
        <is>
          <t>productionToAdd</t>
        </is>
      </c>
      <c r="G1151" t="n">
        <v>0</v>
      </c>
      <c r="H1151" t="inlineStr">
        <is>
          <t>currentCell</t>
        </is>
      </c>
      <c r="I1151" t="n">
        <v>0</v>
      </c>
    </row>
    <row r="1152">
      <c r="A1152" t="n">
        <v>2</v>
      </c>
      <c r="B1152" t="inlineStr">
        <is>
          <t>ZaatarEpice 100ml</t>
        </is>
      </c>
      <c r="C1152" t="inlineStr">
        <is>
          <t>Origan</t>
        </is>
      </c>
      <c r="D1152" t="inlineStr">
        <is>
          <t>recetteProportion</t>
        </is>
      </c>
      <c r="E1152" t="n">
        <v>0.2222222222222222</v>
      </c>
    </row>
    <row r="1153">
      <c r="A1153" t="n">
        <v>3</v>
      </c>
      <c r="B1153" t="inlineStr">
        <is>
          <t>ZaatarEpice 100ml</t>
        </is>
      </c>
      <c r="C1153" t="inlineStr">
        <is>
          <t>Origan</t>
        </is>
      </c>
      <c r="D1153" t="inlineStr">
        <is>
          <t>productionInKg</t>
        </is>
      </c>
      <c r="E1153" t="n">
        <v>0</v>
      </c>
      <c r="F1153" t="inlineStr">
        <is>
          <t>inversReductionIngredient</t>
        </is>
      </c>
      <c r="H1153" t="inlineStr">
        <is>
          <t>finalValue</t>
        </is>
      </c>
      <c r="I1153" t="n">
        <v>0</v>
      </c>
    </row>
    <row r="1154">
      <c r="A1154" t="n">
        <v>4</v>
      </c>
      <c r="B1154" t="inlineStr">
        <is>
          <t>ZaatarEpice 100ml</t>
        </is>
      </c>
      <c r="C1154" t="inlineStr">
        <is>
          <t>Origan</t>
        </is>
      </c>
      <c r="D1154" t="inlineStr">
        <is>
          <t>PROD</t>
        </is>
      </c>
      <c r="E1154" t="inlineStr">
        <is>
          <t>origan</t>
        </is>
      </c>
      <c r="F1154" t="inlineStr">
        <is>
          <t>productionToAdd</t>
        </is>
      </c>
      <c r="G1154" t="n">
        <v>0</v>
      </c>
      <c r="H1154" t="inlineStr">
        <is>
          <t>currentCell</t>
        </is>
      </c>
      <c r="I1154" t="n">
        <v>0.5524861878453039</v>
      </c>
    </row>
    <row r="1155">
      <c r="A1155" t="n">
        <v>2</v>
      </c>
      <c r="B1155" t="inlineStr">
        <is>
          <t>ZaatarEpice 100ml</t>
        </is>
      </c>
      <c r="C1155" t="inlineStr">
        <is>
          <t>Sumac</t>
        </is>
      </c>
      <c r="D1155" t="inlineStr">
        <is>
          <t>recetteProportion</t>
        </is>
      </c>
      <c r="E1155" t="n">
        <v>0.2222222222222222</v>
      </c>
    </row>
    <row r="1156">
      <c r="A1156" t="n">
        <v>3</v>
      </c>
      <c r="B1156" t="inlineStr">
        <is>
          <t>ZaatarEpice 100ml</t>
        </is>
      </c>
      <c r="C1156" t="inlineStr">
        <is>
          <t>Sumac</t>
        </is>
      </c>
      <c r="D1156" t="inlineStr">
        <is>
          <t>productionInKg</t>
        </is>
      </c>
      <c r="E1156" t="n">
        <v>0</v>
      </c>
      <c r="F1156" t="inlineStr">
        <is>
          <t>inversReductionIngredient</t>
        </is>
      </c>
      <c r="H1156" t="inlineStr">
        <is>
          <t>finalValue</t>
        </is>
      </c>
      <c r="I1156" t="n">
        <v>0</v>
      </c>
    </row>
    <row r="1157">
      <c r="A1157" t="n">
        <v>4</v>
      </c>
      <c r="B1157" t="inlineStr">
        <is>
          <t>ZaatarEpice 100ml</t>
        </is>
      </c>
      <c r="C1157" t="inlineStr">
        <is>
          <t>Sumac</t>
        </is>
      </c>
      <c r="D1157" t="inlineStr">
        <is>
          <t>PROD</t>
        </is>
      </c>
      <c r="E1157" t="inlineStr">
        <is>
          <t>sumac</t>
        </is>
      </c>
      <c r="F1157" t="inlineStr">
        <is>
          <t>productionToAdd</t>
        </is>
      </c>
      <c r="G1157" t="n">
        <v>0</v>
      </c>
      <c r="H1157" t="inlineStr">
        <is>
          <t>currentCell</t>
        </is>
      </c>
      <c r="I1157" t="n">
        <v>0</v>
      </c>
    </row>
    <row r="1158">
      <c r="A1158" t="n">
        <v>1</v>
      </c>
      <c r="B1158" t="inlineStr">
        <is>
          <t>ZhugEpice 100ml</t>
        </is>
      </c>
      <c r="D1158" t="inlineStr">
        <is>
          <t>annee</t>
        </is>
      </c>
      <c r="E1158" t="n">
        <v>1</v>
      </c>
      <c r="F1158" t="inlineStr">
        <is>
          <t>prod</t>
        </is>
      </c>
      <c r="G1158" t="n">
        <v>0</v>
      </c>
    </row>
    <row r="1159">
      <c r="A1159" t="n">
        <v>2</v>
      </c>
      <c r="B1159" t="inlineStr">
        <is>
          <t>ZhugEpice 100ml</t>
        </is>
      </c>
      <c r="C1159" t="inlineStr">
        <is>
          <t>Ail</t>
        </is>
      </c>
      <c r="D1159" t="inlineStr">
        <is>
          <t>recetteProportion</t>
        </is>
      </c>
      <c r="E1159" t="n">
        <v>0.05755395683453238</v>
      </c>
    </row>
    <row r="1160">
      <c r="A1160" t="n">
        <v>3</v>
      </c>
      <c r="B1160" t="inlineStr">
        <is>
          <t>ZhugEpice 100ml</t>
        </is>
      </c>
      <c r="C1160" t="inlineStr">
        <is>
          <t>Ail</t>
        </is>
      </c>
      <c r="D1160" t="inlineStr">
        <is>
          <t>productionInKg</t>
        </is>
      </c>
      <c r="E1160" t="n">
        <v>0</v>
      </c>
      <c r="F1160" t="inlineStr">
        <is>
          <t>inversReductionIngredient</t>
        </is>
      </c>
      <c r="H1160" t="inlineStr">
        <is>
          <t>finalValue</t>
        </is>
      </c>
      <c r="I1160" t="n">
        <v>0</v>
      </c>
    </row>
    <row r="1161">
      <c r="A1161" t="n">
        <v>4</v>
      </c>
      <c r="B1161" t="inlineStr">
        <is>
          <t>ZhugEpice 100ml</t>
        </is>
      </c>
      <c r="C1161" t="inlineStr">
        <is>
          <t>Ail</t>
        </is>
      </c>
      <c r="D1161" t="inlineStr">
        <is>
          <t>PROD</t>
        </is>
      </c>
      <c r="E1161" t="inlineStr">
        <is>
          <t>ail</t>
        </is>
      </c>
      <c r="F1161" t="inlineStr">
        <is>
          <t>productionToAdd</t>
        </is>
      </c>
      <c r="G1161" t="n">
        <v>0</v>
      </c>
      <c r="H1161" t="inlineStr">
        <is>
          <t>currentCell</t>
        </is>
      </c>
      <c r="I1161" t="n">
        <v>3.807979349667256</v>
      </c>
    </row>
    <row r="1162">
      <c r="A1162" t="n">
        <v>2</v>
      </c>
      <c r="B1162" t="inlineStr">
        <is>
          <t>ZhugEpice 100ml</t>
        </is>
      </c>
      <c r="C1162" t="inlineStr">
        <is>
          <t>Graine De Cardamone</t>
        </is>
      </c>
      <c r="D1162" t="inlineStr">
        <is>
          <t>recetteProportion</t>
        </is>
      </c>
      <c r="E1162" t="n">
        <v>0.01007194244604317</v>
      </c>
    </row>
    <row r="1163">
      <c r="A1163" t="n">
        <v>3</v>
      </c>
      <c r="B1163" t="inlineStr">
        <is>
          <t>ZhugEpice 100ml</t>
        </is>
      </c>
      <c r="C1163" t="inlineStr">
        <is>
          <t>Graine De Cardamone</t>
        </is>
      </c>
      <c r="D1163" t="inlineStr">
        <is>
          <t>productionInKg</t>
        </is>
      </c>
      <c r="E1163" t="n">
        <v>0</v>
      </c>
      <c r="F1163" t="inlineStr">
        <is>
          <t>inversReductionIngredient</t>
        </is>
      </c>
      <c r="H1163" t="inlineStr">
        <is>
          <t>finalValue</t>
        </is>
      </c>
      <c r="I1163" t="n">
        <v>0</v>
      </c>
    </row>
    <row r="1164">
      <c r="A1164" t="n">
        <v>4</v>
      </c>
      <c r="B1164" t="inlineStr">
        <is>
          <t>ZhugEpice 100ml</t>
        </is>
      </c>
      <c r="C1164" t="inlineStr">
        <is>
          <t>Graine De Cardamone</t>
        </is>
      </c>
      <c r="D1164" t="inlineStr">
        <is>
          <t>PROD</t>
        </is>
      </c>
      <c r="E1164" t="inlineStr">
        <is>
          <t>graine de cardamone</t>
        </is>
      </c>
      <c r="F1164" t="inlineStr">
        <is>
          <t>productionToAdd</t>
        </is>
      </c>
      <c r="G1164" t="n">
        <v>0</v>
      </c>
      <c r="H1164" t="inlineStr">
        <is>
          <t>currentCell</t>
        </is>
      </c>
      <c r="I1164" t="n">
        <v>0.04291845493562233</v>
      </c>
    </row>
    <row r="1165">
      <c r="A1165" t="n">
        <v>2</v>
      </c>
      <c r="B1165" t="inlineStr">
        <is>
          <t>ZhugEpice 100ml</t>
        </is>
      </c>
      <c r="C1165" t="inlineStr">
        <is>
          <t>Coriandre Graine</t>
        </is>
      </c>
      <c r="D1165" t="inlineStr">
        <is>
          <t>recetteProportion</t>
        </is>
      </c>
      <c r="E1165" t="n">
        <v>0.01151079136690648</v>
      </c>
    </row>
    <row r="1166">
      <c r="A1166" t="n">
        <v>3</v>
      </c>
      <c r="B1166" t="inlineStr">
        <is>
          <t>ZhugEpice 100ml</t>
        </is>
      </c>
      <c r="C1166" t="inlineStr">
        <is>
          <t>Coriandre Graine</t>
        </is>
      </c>
      <c r="D1166" t="inlineStr">
        <is>
          <t>productionInKg</t>
        </is>
      </c>
      <c r="E1166" t="n">
        <v>0</v>
      </c>
      <c r="F1166" t="inlineStr">
        <is>
          <t>inversReductionIngredient</t>
        </is>
      </c>
      <c r="H1166" t="inlineStr">
        <is>
          <t>finalValue</t>
        </is>
      </c>
      <c r="I1166" t="n">
        <v>0</v>
      </c>
    </row>
    <row r="1167">
      <c r="A1167" t="n">
        <v>4</v>
      </c>
      <c r="B1167" t="inlineStr">
        <is>
          <t>ZhugEpice 100ml</t>
        </is>
      </c>
      <c r="C1167" t="inlineStr">
        <is>
          <t>Coriandre Graine</t>
        </is>
      </c>
      <c r="D1167" t="inlineStr">
        <is>
          <t>PROD</t>
        </is>
      </c>
      <c r="E1167" t="inlineStr">
        <is>
          <t>coriandre graine</t>
        </is>
      </c>
      <c r="F1167" t="inlineStr">
        <is>
          <t>productionToAdd</t>
        </is>
      </c>
      <c r="G1167" t="n">
        <v>0</v>
      </c>
      <c r="H1167" t="inlineStr">
        <is>
          <t>currentCell</t>
        </is>
      </c>
      <c r="I1167" t="n">
        <v>13.20572815060476</v>
      </c>
    </row>
    <row r="1168">
      <c r="A1168" t="n">
        <v>2</v>
      </c>
      <c r="B1168" t="inlineStr">
        <is>
          <t>ZhugEpice 100ml</t>
        </is>
      </c>
      <c r="C1168" t="inlineStr">
        <is>
          <t>Cumin Moulu</t>
        </is>
      </c>
      <c r="D1168" t="inlineStr">
        <is>
          <t>recetteProportion</t>
        </is>
      </c>
      <c r="E1168" t="n">
        <v>0.004796163069544364</v>
      </c>
    </row>
    <row r="1169">
      <c r="A1169" t="n">
        <v>3</v>
      </c>
      <c r="B1169" t="inlineStr">
        <is>
          <t>ZhugEpice 100ml</t>
        </is>
      </c>
      <c r="C1169" t="inlineStr">
        <is>
          <t>Cumin Moulu</t>
        </is>
      </c>
      <c r="D1169" t="inlineStr">
        <is>
          <t>productionInKg</t>
        </is>
      </c>
      <c r="E1169" t="n">
        <v>0</v>
      </c>
      <c r="F1169" t="inlineStr">
        <is>
          <t>inversReductionIngredient</t>
        </is>
      </c>
      <c r="H1169" t="inlineStr">
        <is>
          <t>finalValue</t>
        </is>
      </c>
      <c r="I1169" t="n">
        <v>0</v>
      </c>
    </row>
    <row r="1170">
      <c r="A1170" t="n">
        <v>4</v>
      </c>
      <c r="B1170" t="inlineStr">
        <is>
          <t>ZhugEpice 100ml</t>
        </is>
      </c>
      <c r="C1170" t="inlineStr">
        <is>
          <t>Cumin Moulu</t>
        </is>
      </c>
      <c r="D1170" t="inlineStr">
        <is>
          <t>PROD</t>
        </is>
      </c>
      <c r="E1170" t="inlineStr">
        <is>
          <t>graine cumin</t>
        </is>
      </c>
      <c r="F1170" t="inlineStr">
        <is>
          <t>productionToAdd</t>
        </is>
      </c>
      <c r="G1170" t="n">
        <v>0</v>
      </c>
      <c r="H1170" t="inlineStr">
        <is>
          <t>currentCell</t>
        </is>
      </c>
      <c r="I1170" t="n">
        <v>57.47181617169969</v>
      </c>
    </row>
    <row r="1171">
      <c r="A1171" t="n">
        <v>2</v>
      </c>
      <c r="B1171" t="inlineStr">
        <is>
          <t>ZhugEpice 100ml</t>
        </is>
      </c>
      <c r="C1171" t="inlineStr">
        <is>
          <t>Piments Verts</t>
        </is>
      </c>
      <c r="D1171" t="inlineStr">
        <is>
          <t>recetteProportion</t>
        </is>
      </c>
      <c r="E1171" t="n">
        <v>0.1438848920863309</v>
      </c>
    </row>
    <row r="1172">
      <c r="A1172" t="n">
        <v>3</v>
      </c>
      <c r="B1172" t="inlineStr">
        <is>
          <t>ZhugEpice 100ml</t>
        </is>
      </c>
      <c r="C1172" t="inlineStr">
        <is>
          <t>Piments Verts</t>
        </is>
      </c>
      <c r="D1172" t="inlineStr">
        <is>
          <t>productionInKg</t>
        </is>
      </c>
      <c r="E1172" t="n">
        <v>0</v>
      </c>
      <c r="F1172" t="inlineStr">
        <is>
          <t>inversReductionIngredient</t>
        </is>
      </c>
      <c r="H1172" t="inlineStr">
        <is>
          <t>finalValue</t>
        </is>
      </c>
      <c r="I1172" t="n">
        <v>0</v>
      </c>
    </row>
    <row r="1173">
      <c r="A1173" t="n">
        <v>4</v>
      </c>
      <c r="B1173" t="inlineStr">
        <is>
          <t>ZhugEpice 100ml</t>
        </is>
      </c>
      <c r="C1173" t="inlineStr">
        <is>
          <t>Piments Verts</t>
        </is>
      </c>
      <c r="D1173" t="inlineStr">
        <is>
          <t>PROD</t>
        </is>
      </c>
      <c r="E1173" t="inlineStr">
        <is>
          <t>piments verts</t>
        </is>
      </c>
      <c r="F1173" t="inlineStr">
        <is>
          <t>productionToAdd</t>
        </is>
      </c>
      <c r="G1173" t="n">
        <v>0</v>
      </c>
      <c r="H1173" t="inlineStr">
        <is>
          <t>currentCell</t>
        </is>
      </c>
      <c r="I1173" t="n">
        <v>0</v>
      </c>
    </row>
    <row r="1174">
      <c r="A1174" t="n">
        <v>2</v>
      </c>
      <c r="B1174" t="inlineStr">
        <is>
          <t>ZhugEpice 100ml</t>
        </is>
      </c>
      <c r="C1174" t="inlineStr">
        <is>
          <t>Coriandre Feuille</t>
        </is>
      </c>
      <c r="D1174" t="inlineStr">
        <is>
          <t>recetteProportion</t>
        </is>
      </c>
      <c r="E1174" t="n">
        <v>0.2398081534772182</v>
      </c>
    </row>
    <row r="1175">
      <c r="A1175" t="n">
        <v>3</v>
      </c>
      <c r="B1175" t="inlineStr">
        <is>
          <t>ZhugEpice 100ml</t>
        </is>
      </c>
      <c r="C1175" t="inlineStr">
        <is>
          <t>Coriandre Feuille</t>
        </is>
      </c>
      <c r="D1175" t="inlineStr">
        <is>
          <t>productionInKg</t>
        </is>
      </c>
      <c r="E1175" t="n">
        <v>0</v>
      </c>
      <c r="F1175" t="inlineStr">
        <is>
          <t>inversReductionIngredient</t>
        </is>
      </c>
      <c r="H1175" t="inlineStr">
        <is>
          <t>finalValue</t>
        </is>
      </c>
      <c r="I1175" t="n">
        <v>0</v>
      </c>
    </row>
    <row r="1176">
      <c r="A1176" t="n">
        <v>4</v>
      </c>
      <c r="B1176" t="inlineStr">
        <is>
          <t>ZhugEpice 100ml</t>
        </is>
      </c>
      <c r="C1176" t="inlineStr">
        <is>
          <t>Coriandre Feuille</t>
        </is>
      </c>
      <c r="D1176" t="inlineStr">
        <is>
          <t>PROD</t>
        </is>
      </c>
      <c r="E1176" t="inlineStr">
        <is>
          <t>coriandre feuille</t>
        </is>
      </c>
      <c r="F1176" t="inlineStr">
        <is>
          <t>productionToAdd</t>
        </is>
      </c>
      <c r="G1176" t="n">
        <v>0</v>
      </c>
      <c r="H1176" t="inlineStr">
        <is>
          <t>currentCell</t>
        </is>
      </c>
      <c r="I1176" t="n">
        <v>0</v>
      </c>
    </row>
    <row r="1177">
      <c r="A1177" t="n">
        <v>2</v>
      </c>
      <c r="B1177" t="inlineStr">
        <is>
          <t>ZhugEpice 100ml</t>
        </is>
      </c>
      <c r="C1177" t="inlineStr">
        <is>
          <t>Persil</t>
        </is>
      </c>
      <c r="D1177" t="inlineStr">
        <is>
          <t>recetteProportion</t>
        </is>
      </c>
      <c r="E1177" t="n">
        <v>0.2398081534772182</v>
      </c>
    </row>
    <row r="1178">
      <c r="A1178" t="n">
        <v>3</v>
      </c>
      <c r="B1178" t="inlineStr">
        <is>
          <t>ZhugEpice 100ml</t>
        </is>
      </c>
      <c r="C1178" t="inlineStr">
        <is>
          <t>Persil</t>
        </is>
      </c>
      <c r="D1178" t="inlineStr">
        <is>
          <t>productionInKg</t>
        </is>
      </c>
      <c r="E1178" t="n">
        <v>0</v>
      </c>
      <c r="F1178" t="inlineStr">
        <is>
          <t>inversReductionIngredient</t>
        </is>
      </c>
      <c r="H1178" t="inlineStr">
        <is>
          <t>finalValue</t>
        </is>
      </c>
      <c r="I1178" t="n">
        <v>0</v>
      </c>
    </row>
    <row r="1179">
      <c r="A1179" t="n">
        <v>4</v>
      </c>
      <c r="B1179" t="inlineStr">
        <is>
          <t>ZhugEpice 100ml</t>
        </is>
      </c>
      <c r="C1179" t="inlineStr">
        <is>
          <t>Persil</t>
        </is>
      </c>
      <c r="D1179" t="inlineStr">
        <is>
          <t>PROD</t>
        </is>
      </c>
      <c r="E1179" t="inlineStr">
        <is>
          <t>persil</t>
        </is>
      </c>
      <c r="F1179" t="inlineStr">
        <is>
          <t>productionToAdd</t>
        </is>
      </c>
      <c r="G1179" t="n">
        <v>0</v>
      </c>
      <c r="H1179" t="inlineStr">
        <is>
          <t>currentCell</t>
        </is>
      </c>
      <c r="I1179" t="n">
        <v>0</v>
      </c>
    </row>
    <row r="1180">
      <c r="A1180" t="n">
        <v>2</v>
      </c>
      <c r="B1180" t="inlineStr">
        <is>
          <t>ZhugEpice 100ml</t>
        </is>
      </c>
      <c r="C1180" t="inlineStr">
        <is>
          <t>Huile D'Olive</t>
        </is>
      </c>
      <c r="D1180" t="inlineStr">
        <is>
          <t>recetteProportion</t>
        </is>
      </c>
      <c r="E1180" t="n">
        <v>0.07673860911270983</v>
      </c>
    </row>
    <row r="1181">
      <c r="A1181" t="n">
        <v>3</v>
      </c>
      <c r="B1181" t="inlineStr">
        <is>
          <t>ZhugEpice 100ml</t>
        </is>
      </c>
      <c r="C1181" t="inlineStr">
        <is>
          <t>Huile D'Olive</t>
        </is>
      </c>
      <c r="D1181" t="inlineStr">
        <is>
          <t>productionInKg</t>
        </is>
      </c>
      <c r="E1181" t="n">
        <v>0</v>
      </c>
      <c r="F1181" t="inlineStr">
        <is>
          <t>inversReductionIngredient</t>
        </is>
      </c>
      <c r="H1181" t="inlineStr">
        <is>
          <t>finalValue</t>
        </is>
      </c>
      <c r="I1181" t="n">
        <v>0</v>
      </c>
    </row>
    <row r="1182">
      <c r="A1182" t="n">
        <v>4</v>
      </c>
      <c r="B1182" t="inlineStr">
        <is>
          <t>ZhugEpice 100ml</t>
        </is>
      </c>
      <c r="C1182" t="inlineStr">
        <is>
          <t>Huile D'Olive</t>
        </is>
      </c>
      <c r="D1182" t="inlineStr">
        <is>
          <t>PROD</t>
        </is>
      </c>
      <c r="E1182" t="inlineStr">
        <is>
          <t>huile d'olive</t>
        </is>
      </c>
      <c r="F1182" t="inlineStr">
        <is>
          <t>productionToAdd</t>
        </is>
      </c>
      <c r="G1182" t="n">
        <v>0</v>
      </c>
      <c r="H1182" t="inlineStr">
        <is>
          <t>currentCell</t>
        </is>
      </c>
      <c r="I1182" t="n">
        <v>0</v>
      </c>
    </row>
    <row r="1183">
      <c r="A1183" t="n">
        <v>2</v>
      </c>
      <c r="B1183" t="inlineStr">
        <is>
          <t>ZhugEpice 100ml</t>
        </is>
      </c>
      <c r="C1183" t="inlineStr">
        <is>
          <t>Citron Jaune</t>
        </is>
      </c>
      <c r="D1183" t="inlineStr">
        <is>
          <t>recetteProportion</t>
        </is>
      </c>
      <c r="E1183" t="n">
        <v>0.2158273381294964</v>
      </c>
    </row>
    <row r="1184">
      <c r="A1184" t="n">
        <v>3</v>
      </c>
      <c r="B1184" t="inlineStr">
        <is>
          <t>ZhugEpice 100ml</t>
        </is>
      </c>
      <c r="C1184" t="inlineStr">
        <is>
          <t>Citron Jaune</t>
        </is>
      </c>
      <c r="D1184" t="inlineStr">
        <is>
          <t>productionInKg</t>
        </is>
      </c>
      <c r="E1184" t="n">
        <v>0</v>
      </c>
      <c r="F1184" t="inlineStr">
        <is>
          <t>inversReductionIngredient</t>
        </is>
      </c>
      <c r="H1184" t="inlineStr">
        <is>
          <t>finalValue</t>
        </is>
      </c>
      <c r="I1184" t="n">
        <v>0</v>
      </c>
    </row>
    <row r="1185">
      <c r="A1185" t="n">
        <v>4</v>
      </c>
      <c r="B1185" t="inlineStr">
        <is>
          <t>ZhugEpice 100ml</t>
        </is>
      </c>
      <c r="C1185" t="inlineStr">
        <is>
          <t>Citron Jaune</t>
        </is>
      </c>
      <c r="D1185" t="inlineStr">
        <is>
          <t>PROD</t>
        </is>
      </c>
      <c r="E1185" t="inlineStr">
        <is>
          <t>citron jaune</t>
        </is>
      </c>
      <c r="F1185" t="inlineStr">
        <is>
          <t>productionToAdd</t>
        </is>
      </c>
      <c r="G1185" t="n">
        <v>0</v>
      </c>
      <c r="H1185" t="inlineStr">
        <is>
          <t>currentCell</t>
        </is>
      </c>
      <c r="I1185" t="n">
        <v>0</v>
      </c>
    </row>
    <row r="1186">
      <c r="A1186" t="n">
        <v>3</v>
      </c>
      <c r="B1186" t="inlineStr">
        <is>
          <t>Garam maslaEpice 100ml</t>
        </is>
      </c>
      <c r="C1186" t="inlineStr">
        <is>
          <t>cumin noir</t>
        </is>
      </c>
      <c r="D1186" t="inlineStr">
        <is>
          <t>productionInKg</t>
        </is>
      </c>
      <c r="E1186" t="n">
        <v>0</v>
      </c>
      <c r="F1186" t="inlineStr">
        <is>
          <t>inversReductionIngredient</t>
        </is>
      </c>
      <c r="G1186" t="n">
        <v>90</v>
      </c>
      <c r="H1186" t="inlineStr">
        <is>
          <t>finalValue</t>
        </is>
      </c>
      <c r="I1186" t="n">
        <v>0</v>
      </c>
    </row>
    <row r="1187">
      <c r="A1187" t="n">
        <v>4</v>
      </c>
      <c r="B1187" t="inlineStr">
        <is>
          <t>Garam maslaEpice 100ml</t>
        </is>
      </c>
      <c r="C1187" t="inlineStr">
        <is>
          <t>cumin noir</t>
        </is>
      </c>
      <c r="D1187" t="inlineStr">
        <is>
          <t>PROD</t>
        </is>
      </c>
      <c r="E1187" t="inlineStr">
        <is>
          <t>graine cumin noir</t>
        </is>
      </c>
      <c r="F1187" t="inlineStr">
        <is>
          <t>productionToAdd</t>
        </is>
      </c>
      <c r="G1187" t="n">
        <v>0</v>
      </c>
      <c r="H1187" t="inlineStr">
        <is>
          <t>currentCell</t>
        </is>
      </c>
      <c r="I1187" t="n">
        <v>0</v>
      </c>
    </row>
    <row r="1188">
      <c r="A1188" t="n">
        <v>2</v>
      </c>
      <c r="B1188" t="inlineStr">
        <is>
          <t>Garam maslaEpice 100ml</t>
        </is>
      </c>
      <c r="C1188" t="inlineStr">
        <is>
          <t>poivre noir</t>
        </is>
      </c>
      <c r="D1188" t="inlineStr">
        <is>
          <t>recetteProportion</t>
        </is>
      </c>
      <c r="E1188" t="n">
        <v>0.2380952380952381</v>
      </c>
    </row>
    <row r="1189">
      <c r="A1189" t="n">
        <v>3</v>
      </c>
      <c r="B1189" t="inlineStr">
        <is>
          <t>Garam maslaEpice 100ml</t>
        </is>
      </c>
      <c r="C1189" t="inlineStr">
        <is>
          <t>poivre noir</t>
        </is>
      </c>
      <c r="D1189" t="inlineStr">
        <is>
          <t>productionInKg</t>
        </is>
      </c>
      <c r="E1189" t="n">
        <v>0</v>
      </c>
      <c r="F1189" t="inlineStr">
        <is>
          <t>inversReductionIngredient</t>
        </is>
      </c>
      <c r="G1189" t="n">
        <v>100</v>
      </c>
      <c r="H1189" t="inlineStr">
        <is>
          <t>finalValue</t>
        </is>
      </c>
      <c r="I1189" t="n">
        <v>0</v>
      </c>
    </row>
    <row r="1190">
      <c r="A1190" t="n">
        <v>4</v>
      </c>
      <c r="B1190" t="inlineStr">
        <is>
          <t>Garam maslaEpice 100ml</t>
        </is>
      </c>
      <c r="C1190" t="inlineStr">
        <is>
          <t>poivre noir</t>
        </is>
      </c>
      <c r="D1190" t="inlineStr">
        <is>
          <t>PROD</t>
        </is>
      </c>
      <c r="E1190" t="inlineStr">
        <is>
          <t>poivre noir</t>
        </is>
      </c>
      <c r="F1190" t="inlineStr">
        <is>
          <t>productionToAdd</t>
        </is>
      </c>
      <c r="G1190" t="n">
        <v>0</v>
      </c>
      <c r="H1190" t="inlineStr">
        <is>
          <t>currentCell</t>
        </is>
      </c>
      <c r="I1190" t="n">
        <v>55</v>
      </c>
    </row>
    <row r="1191">
      <c r="A1191" t="n">
        <v>2</v>
      </c>
      <c r="B1191" t="inlineStr">
        <is>
          <t>Garam maslaEpice 100ml</t>
        </is>
      </c>
      <c r="C1191" t="inlineStr">
        <is>
          <t>macie</t>
        </is>
      </c>
      <c r="D1191" t="inlineStr">
        <is>
          <t>recetteProportion</t>
        </is>
      </c>
      <c r="E1191" t="n">
        <v>0.06666666666666667</v>
      </c>
    </row>
    <row r="1192">
      <c r="A1192" t="n">
        <v>3</v>
      </c>
      <c r="B1192" t="inlineStr">
        <is>
          <t>Garam maslaEpice 100ml</t>
        </is>
      </c>
      <c r="C1192" t="inlineStr">
        <is>
          <t>macie</t>
        </is>
      </c>
      <c r="D1192" t="inlineStr">
        <is>
          <t>productionInKg</t>
        </is>
      </c>
      <c r="E1192" t="n">
        <v>0</v>
      </c>
      <c r="F1192" t="inlineStr">
        <is>
          <t>inversReductionIngredient</t>
        </is>
      </c>
      <c r="G1192" t="n">
        <v>10</v>
      </c>
      <c r="H1192" t="inlineStr">
        <is>
          <t>finalValue</t>
        </is>
      </c>
      <c r="I1192" t="n">
        <v>0</v>
      </c>
    </row>
    <row r="1193">
      <c r="A1193" t="n">
        <v>4</v>
      </c>
      <c r="B1193" t="inlineStr">
        <is>
          <t>Garam maslaEpice 100ml</t>
        </is>
      </c>
      <c r="C1193" t="inlineStr">
        <is>
          <t>macie</t>
        </is>
      </c>
      <c r="D1193" t="inlineStr">
        <is>
          <t>PROD</t>
        </is>
      </c>
      <c r="E1193" t="inlineStr">
        <is>
          <t>macie</t>
        </is>
      </c>
      <c r="F1193" t="inlineStr">
        <is>
          <t>productionToAdd</t>
        </is>
      </c>
      <c r="G1193" t="n">
        <v>0</v>
      </c>
      <c r="H1193" t="inlineStr">
        <is>
          <t>currentCell</t>
        </is>
      </c>
      <c r="I1193" t="n">
        <v>0</v>
      </c>
    </row>
    <row r="1194">
      <c r="A1194" t="n">
        <v>2</v>
      </c>
      <c r="B1194" t="inlineStr">
        <is>
          <t>Garam maslaEpice 100ml</t>
        </is>
      </c>
      <c r="C1194" t="inlineStr">
        <is>
          <t>clous de girofle</t>
        </is>
      </c>
      <c r="D1194" t="inlineStr">
        <is>
          <t>recetteProportion</t>
        </is>
      </c>
      <c r="E1194" t="n">
        <v>0.09523809523809523</v>
      </c>
    </row>
    <row r="1195">
      <c r="A1195" t="n">
        <v>3</v>
      </c>
      <c r="B1195" t="inlineStr">
        <is>
          <t>Garam maslaEpice 100ml</t>
        </is>
      </c>
      <c r="C1195" t="inlineStr">
        <is>
          <t>clous de girofle</t>
        </is>
      </c>
      <c r="D1195" t="inlineStr">
        <is>
          <t>productionInKg</t>
        </is>
      </c>
      <c r="E1195" t="n">
        <v>0</v>
      </c>
      <c r="F1195" t="inlineStr">
        <is>
          <t>inversReductionIngredient</t>
        </is>
      </c>
      <c r="G1195" t="n">
        <v>100</v>
      </c>
      <c r="H1195" t="inlineStr">
        <is>
          <t>finalValue</t>
        </is>
      </c>
      <c r="I1195" t="n">
        <v>0</v>
      </c>
    </row>
    <row r="1196">
      <c r="A1196" t="n">
        <v>4</v>
      </c>
      <c r="B1196" t="inlineStr">
        <is>
          <t>Garam maslaEpice 100ml</t>
        </is>
      </c>
      <c r="C1196" t="inlineStr">
        <is>
          <t>clous de girofle</t>
        </is>
      </c>
      <c r="D1196" t="inlineStr">
        <is>
          <t>PROD</t>
        </is>
      </c>
      <c r="E1196" t="inlineStr">
        <is>
          <t>clous de girofle</t>
        </is>
      </c>
      <c r="F1196" t="inlineStr">
        <is>
          <t>productionToAdd</t>
        </is>
      </c>
      <c r="G1196" t="n">
        <v>0</v>
      </c>
      <c r="H1196" t="inlineStr">
        <is>
          <t>currentCell</t>
        </is>
      </c>
      <c r="I1196" t="n">
        <v>12.5</v>
      </c>
    </row>
    <row r="1197">
      <c r="A1197" t="n">
        <v>2</v>
      </c>
      <c r="B1197" t="inlineStr">
        <is>
          <t>Garam maslaEpice 100ml</t>
        </is>
      </c>
      <c r="C1197" t="inlineStr">
        <is>
          <t>muscade</t>
        </is>
      </c>
      <c r="D1197" t="inlineStr">
        <is>
          <t>recetteProportion</t>
        </is>
      </c>
      <c r="E1197" t="n">
        <v>0.02857142857142857</v>
      </c>
    </row>
    <row r="1198">
      <c r="A1198" t="n">
        <v>3</v>
      </c>
      <c r="B1198" t="inlineStr">
        <is>
          <t>Garam maslaEpice 100ml</t>
        </is>
      </c>
      <c r="C1198" t="inlineStr">
        <is>
          <t>muscade</t>
        </is>
      </c>
      <c r="D1198" t="inlineStr">
        <is>
          <t>productionInKg</t>
        </is>
      </c>
      <c r="E1198" t="n">
        <v>0</v>
      </c>
      <c r="F1198" t="inlineStr">
        <is>
          <t>inversReductionIngredient</t>
        </is>
      </c>
      <c r="G1198" t="n">
        <v>85</v>
      </c>
      <c r="H1198" t="inlineStr">
        <is>
          <t>finalValue</t>
        </is>
      </c>
      <c r="I1198" t="n">
        <v>0</v>
      </c>
    </row>
    <row r="1199">
      <c r="A1199" t="n">
        <v>4</v>
      </c>
      <c r="B1199" t="inlineStr">
        <is>
          <t>Garam maslaEpice 100ml</t>
        </is>
      </c>
      <c r="C1199" t="inlineStr">
        <is>
          <t>muscade</t>
        </is>
      </c>
      <c r="D1199" t="inlineStr">
        <is>
          <t>PROD</t>
        </is>
      </c>
      <c r="E1199" t="inlineStr">
        <is>
          <t>muscade</t>
        </is>
      </c>
      <c r="F1199" t="inlineStr">
        <is>
          <t>productionToAdd</t>
        </is>
      </c>
      <c r="G1199" t="n">
        <v>0</v>
      </c>
      <c r="H1199" t="inlineStr">
        <is>
          <t>currentCell</t>
        </is>
      </c>
      <c r="I1199" t="n">
        <v>0</v>
      </c>
    </row>
    <row r="1200">
      <c r="A1200" t="n">
        <v>1</v>
      </c>
      <c r="B1200" t="inlineStr">
        <is>
          <t>Sucre aux fleuresEpice 100ml</t>
        </is>
      </c>
      <c r="D1200" t="inlineStr">
        <is>
          <t>annee</t>
        </is>
      </c>
      <c r="E1200" t="n">
        <v>1</v>
      </c>
      <c r="F1200" t="inlineStr">
        <is>
          <t>prod</t>
        </is>
      </c>
      <c r="G1200" t="n">
        <v>25</v>
      </c>
    </row>
    <row r="1201">
      <c r="A1201" t="n">
        <v>2</v>
      </c>
      <c r="B1201" t="inlineStr">
        <is>
          <t>Sucre aux fleuresEpice 100ml</t>
        </is>
      </c>
      <c r="C1201" t="inlineStr">
        <is>
          <t xml:space="preserve">Sucre blanc </t>
        </is>
      </c>
      <c r="D1201" t="inlineStr">
        <is>
          <t>recetteProportion</t>
        </is>
      </c>
      <c r="E1201" t="n">
        <v>0.95</v>
      </c>
    </row>
    <row r="1202">
      <c r="A1202" t="n">
        <v>3</v>
      </c>
      <c r="B1202" t="inlineStr">
        <is>
          <t>Sucre aux fleuresEpice 100ml</t>
        </is>
      </c>
      <c r="C1202" t="inlineStr">
        <is>
          <t xml:space="preserve">Sucre blanc </t>
        </is>
      </c>
      <c r="D1202" t="inlineStr">
        <is>
          <t>productionInKg</t>
        </is>
      </c>
      <c r="E1202" t="n">
        <v>25</v>
      </c>
      <c r="F1202" t="inlineStr">
        <is>
          <t>inversReductionIngredient</t>
        </is>
      </c>
      <c r="G1202" t="n">
        <v>100</v>
      </c>
      <c r="H1202" t="inlineStr">
        <is>
          <t>finalValue</t>
        </is>
      </c>
      <c r="I1202" t="n">
        <v>25</v>
      </c>
    </row>
    <row r="1203">
      <c r="A1203" t="n">
        <v>2</v>
      </c>
      <c r="B1203" t="inlineStr">
        <is>
          <t>Sucre aux fleuresEpice 100ml</t>
        </is>
      </c>
      <c r="C1203" t="inlineStr">
        <is>
          <t>Monarde SEC</t>
        </is>
      </c>
      <c r="D1203" t="inlineStr">
        <is>
          <t>recetteProportion</t>
        </is>
      </c>
      <c r="E1203" t="n">
        <v>0.003333333333333334</v>
      </c>
    </row>
    <row r="1204">
      <c r="A1204" t="n">
        <v>3</v>
      </c>
      <c r="B1204" t="inlineStr">
        <is>
          <t>Sucre aux fleuresEpice 100ml</t>
        </is>
      </c>
      <c r="C1204" t="inlineStr">
        <is>
          <t>Monarde SEC</t>
        </is>
      </c>
      <c r="D1204" t="inlineStr">
        <is>
          <t>productionInKg</t>
        </is>
      </c>
      <c r="E1204" t="n">
        <v>25</v>
      </c>
      <c r="F1204" t="inlineStr">
        <is>
          <t>inversReductionIngredient</t>
        </is>
      </c>
      <c r="G1204" t="n">
        <v>3</v>
      </c>
      <c r="H1204" t="inlineStr">
        <is>
          <t>finalValue</t>
        </is>
      </c>
      <c r="I1204" t="n">
        <v>833.3333333333334</v>
      </c>
    </row>
    <row r="1205">
      <c r="A1205" t="n">
        <v>4</v>
      </c>
      <c r="B1205" t="inlineStr">
        <is>
          <t>Sucre aux fleuresEpice 100ml</t>
        </is>
      </c>
      <c r="C1205" t="inlineStr">
        <is>
          <t>Monarde SEC</t>
        </is>
      </c>
      <c r="D1205" t="inlineStr">
        <is>
          <t>PROD</t>
        </is>
      </c>
      <c r="E1205" t="inlineStr">
        <is>
          <t>monarde</t>
        </is>
      </c>
      <c r="F1205" t="inlineStr">
        <is>
          <t>productionToAdd</t>
        </is>
      </c>
      <c r="G1205" t="n">
        <v>833.3333333333334</v>
      </c>
      <c r="H1205" t="inlineStr">
        <is>
          <t>currentCell</t>
        </is>
      </c>
      <c r="I1205" t="n">
        <v>833.3333333333334</v>
      </c>
    </row>
    <row r="1206">
      <c r="A1206" t="n">
        <v>2</v>
      </c>
      <c r="B1206" t="inlineStr">
        <is>
          <t>Sucre aux fleuresEpice 100ml</t>
        </is>
      </c>
      <c r="C1206" t="inlineStr">
        <is>
          <t>Mauve SEC</t>
        </is>
      </c>
      <c r="D1206" t="inlineStr">
        <is>
          <t>recetteProportion</t>
        </is>
      </c>
      <c r="E1206" t="n">
        <v>0.003333333333333334</v>
      </c>
    </row>
    <row r="1207">
      <c r="A1207" t="n">
        <v>3</v>
      </c>
      <c r="B1207" t="inlineStr">
        <is>
          <t>Sucre aux fleuresEpice 100ml</t>
        </is>
      </c>
      <c r="C1207" t="inlineStr">
        <is>
          <t>Mauve SEC</t>
        </is>
      </c>
      <c r="D1207" t="inlineStr">
        <is>
          <t>productionInKg</t>
        </is>
      </c>
      <c r="E1207" t="n">
        <v>25</v>
      </c>
      <c r="F1207" t="inlineStr">
        <is>
          <t>inversReductionIngredient</t>
        </is>
      </c>
      <c r="G1207" t="n">
        <v>3</v>
      </c>
      <c r="H1207" t="inlineStr">
        <is>
          <t>finalValue</t>
        </is>
      </c>
      <c r="I1207" t="n">
        <v>833.3333333333334</v>
      </c>
    </row>
    <row r="1208">
      <c r="A1208" t="n">
        <v>4</v>
      </c>
      <c r="B1208" t="inlineStr">
        <is>
          <t>Sucre aux fleuresEpice 100ml</t>
        </is>
      </c>
      <c r="C1208" t="inlineStr">
        <is>
          <t>Mauve SEC</t>
        </is>
      </c>
      <c r="D1208" t="inlineStr">
        <is>
          <t>PROD</t>
        </is>
      </c>
      <c r="E1208" t="inlineStr">
        <is>
          <t>mauve</t>
        </is>
      </c>
      <c r="F1208" t="inlineStr">
        <is>
          <t>productionToAdd</t>
        </is>
      </c>
      <c r="G1208" t="n">
        <v>833.3333333333334</v>
      </c>
      <c r="H1208" t="inlineStr">
        <is>
          <t>currentCell</t>
        </is>
      </c>
      <c r="I1208" t="n">
        <v>833.3333333333334</v>
      </c>
    </row>
    <row r="1209">
      <c r="A1209" t="n">
        <v>2</v>
      </c>
      <c r="B1209" t="inlineStr">
        <is>
          <t>Sucre aux fleuresEpice 100ml</t>
        </is>
      </c>
      <c r="C1209" t="inlineStr">
        <is>
          <t>Sureau SEC</t>
        </is>
      </c>
      <c r="D1209" t="inlineStr">
        <is>
          <t>recetteProportion</t>
        </is>
      </c>
      <c r="E1209" t="n">
        <v>0.003333333333333334</v>
      </c>
    </row>
    <row r="1210">
      <c r="A1210" t="n">
        <v>3</v>
      </c>
      <c r="B1210" t="inlineStr">
        <is>
          <t>Sucre aux fleuresEpice 100ml</t>
        </is>
      </c>
      <c r="C1210" t="inlineStr">
        <is>
          <t>Sureau SEC</t>
        </is>
      </c>
      <c r="D1210" t="inlineStr">
        <is>
          <t>productionInKg</t>
        </is>
      </c>
      <c r="E1210" t="n">
        <v>25</v>
      </c>
      <c r="F1210" t="inlineStr">
        <is>
          <t>inversReductionIngredient</t>
        </is>
      </c>
      <c r="G1210" t="n">
        <v>3</v>
      </c>
      <c r="H1210" t="inlineStr">
        <is>
          <t>finalValue</t>
        </is>
      </c>
      <c r="I1210" t="n">
        <v>833.3333333333334</v>
      </c>
    </row>
    <row r="1211">
      <c r="A1211" t="n">
        <v>4</v>
      </c>
      <c r="B1211" t="inlineStr">
        <is>
          <t>Sucre aux fleuresEpice 100ml</t>
        </is>
      </c>
      <c r="C1211" t="inlineStr">
        <is>
          <t>Sureau SEC</t>
        </is>
      </c>
      <c r="D1211" t="inlineStr">
        <is>
          <t>PROD</t>
        </is>
      </c>
      <c r="E1211" t="inlineStr">
        <is>
          <t>sureau</t>
        </is>
      </c>
      <c r="F1211" t="inlineStr">
        <is>
          <t>productionToAdd</t>
        </is>
      </c>
      <c r="G1211" t="n">
        <v>833.3333333333334</v>
      </c>
      <c r="H1211" t="inlineStr">
        <is>
          <t>currentCell</t>
        </is>
      </c>
      <c r="I1211" t="n">
        <v>833.3333333333334</v>
      </c>
    </row>
    <row r="1212">
      <c r="A1212" t="n">
        <v>2</v>
      </c>
      <c r="B1212" t="inlineStr">
        <is>
          <t>Sucre aux fleuresEpice 100ml</t>
        </is>
      </c>
      <c r="C1212" t="inlineStr">
        <is>
          <t>Camomille romaine SEC</t>
        </is>
      </c>
      <c r="D1212" t="inlineStr">
        <is>
          <t>recetteProportion</t>
        </is>
      </c>
      <c r="E1212" t="n">
        <v>0.003333333333333334</v>
      </c>
    </row>
    <row r="1213">
      <c r="A1213" t="n">
        <v>3</v>
      </c>
      <c r="B1213" t="inlineStr">
        <is>
          <t>Sucre aux fleuresEpice 100ml</t>
        </is>
      </c>
      <c r="C1213" t="inlineStr">
        <is>
          <t>Camomille romaine SEC</t>
        </is>
      </c>
      <c r="D1213" t="inlineStr">
        <is>
          <t>productionInKg</t>
        </is>
      </c>
      <c r="E1213" t="n">
        <v>25</v>
      </c>
      <c r="F1213" t="inlineStr">
        <is>
          <t>inversReductionIngredient</t>
        </is>
      </c>
      <c r="G1213" t="n">
        <v>3</v>
      </c>
      <c r="H1213" t="inlineStr">
        <is>
          <t>finalValue</t>
        </is>
      </c>
      <c r="I1213" t="n">
        <v>833.3333333333334</v>
      </c>
    </row>
    <row r="1214">
      <c r="A1214" t="n">
        <v>4</v>
      </c>
      <c r="B1214" t="inlineStr">
        <is>
          <t>Sucre aux fleuresEpice 100ml</t>
        </is>
      </c>
      <c r="C1214" t="inlineStr">
        <is>
          <t>Camomille romaine SEC</t>
        </is>
      </c>
      <c r="D1214" t="inlineStr">
        <is>
          <t>PROD</t>
        </is>
      </c>
      <c r="E1214" t="inlineStr">
        <is>
          <t>camomille romaine</t>
        </is>
      </c>
      <c r="F1214" t="inlineStr">
        <is>
          <t>productionToAdd</t>
        </is>
      </c>
      <c r="G1214" t="n">
        <v>833.3333333333334</v>
      </c>
      <c r="H1214" t="inlineStr">
        <is>
          <t>currentCell</t>
        </is>
      </c>
      <c r="I1214" t="n">
        <v>833.3333333333334</v>
      </c>
    </row>
    <row r="1215">
      <c r="A1215" t="n">
        <v>2</v>
      </c>
      <c r="B1215" t="inlineStr">
        <is>
          <t>Sucre aux fleuresEpice 100ml</t>
        </is>
      </c>
      <c r="C1215" t="inlineStr">
        <is>
          <t>Bleuet SEC</t>
        </is>
      </c>
      <c r="D1215" t="inlineStr">
        <is>
          <t>recetteProportion</t>
        </is>
      </c>
      <c r="E1215" t="n">
        <v>0.003333333333333334</v>
      </c>
    </row>
    <row r="1216">
      <c r="A1216" t="n">
        <v>3</v>
      </c>
      <c r="B1216" t="inlineStr">
        <is>
          <t>Sucre aux fleuresEpice 100ml</t>
        </is>
      </c>
      <c r="C1216" t="inlineStr">
        <is>
          <t>Bleuet SEC</t>
        </is>
      </c>
      <c r="D1216" t="inlineStr">
        <is>
          <t>productionInKg</t>
        </is>
      </c>
      <c r="E1216" t="n">
        <v>25</v>
      </c>
      <c r="F1216" t="inlineStr">
        <is>
          <t>inversReductionIngredient</t>
        </is>
      </c>
      <c r="G1216" t="n">
        <v>3</v>
      </c>
      <c r="H1216" t="inlineStr">
        <is>
          <t>finalValue</t>
        </is>
      </c>
      <c r="I1216" t="n">
        <v>833.3333333333334</v>
      </c>
    </row>
    <row r="1217">
      <c r="A1217" t="n">
        <v>4</v>
      </c>
      <c r="B1217" t="inlineStr">
        <is>
          <t>Sucre aux fleuresEpice 100ml</t>
        </is>
      </c>
      <c r="C1217" t="inlineStr">
        <is>
          <t>Bleuet SEC</t>
        </is>
      </c>
      <c r="D1217" t="inlineStr">
        <is>
          <t>PROD</t>
        </is>
      </c>
      <c r="E1217" t="inlineStr">
        <is>
          <t>bleuet</t>
        </is>
      </c>
      <c r="F1217" t="inlineStr">
        <is>
          <t>productionToAdd</t>
        </is>
      </c>
      <c r="G1217" t="n">
        <v>833.3333333333334</v>
      </c>
      <c r="H1217" t="inlineStr">
        <is>
          <t>currentCell</t>
        </is>
      </c>
      <c r="I1217" t="n">
        <v>833.3333333333334</v>
      </c>
    </row>
    <row r="1218">
      <c r="A1218" t="n">
        <v>2</v>
      </c>
      <c r="B1218" t="inlineStr">
        <is>
          <t>Sucre aux fleuresEpice 100ml</t>
        </is>
      </c>
      <c r="C1218" t="inlineStr">
        <is>
          <t>La pensée SEC</t>
        </is>
      </c>
      <c r="D1218" t="inlineStr">
        <is>
          <t>recetteProportion</t>
        </is>
      </c>
      <c r="E1218" t="n">
        <v>0.003333333333333334</v>
      </c>
    </row>
  </sheetData>
  <autoFilter ref="A1:I121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Merlin PERROT</dc:creator>
  <dcterms:created xmlns:dcterms="http://purl.org/dc/terms/" xmlns:xsi="http://www.w3.org/2001/XMLSchema-instance" xsi:type="dcterms:W3CDTF">2024-02-18T18:19:11Z</dcterms:created>
  <dcterms:modified xmlns:dcterms="http://purl.org/dc/terms/" xmlns:xsi="http://www.w3.org/2001/XMLSchema-instance" xsi:type="dcterms:W3CDTF">2026-07-21T21:29:18Z</dcterms:modified>
  <cp:lastModifiedBy>Merlin Perrot-Legler</cp:lastModifiedBy>
</cp:coreProperties>
</file>