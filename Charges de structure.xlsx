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 de structure" sheetId="1" state="visible" r:id="rId1"/>
    <sheet xmlns:r="http://schemas.openxmlformats.org/officeDocument/2006/relationships" name="Récap T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0" fillId="2" borderId="1" pivotButton="0" quotePrefix="0" xfId="0"/>
    <xf numFmtId="164" fontId="2" fillId="2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CHARGES DE STRUCTURE</t>
        </is>
      </c>
    </row>
    <row r="3">
      <c r="A3" s="2" t="inlineStr"/>
      <c r="B3" s="2" t="inlineStr">
        <is>
          <t>TVA</t>
        </is>
      </c>
      <c r="C3" s="2" t="inlineStr">
        <is>
          <t>A1</t>
        </is>
      </c>
      <c r="D3" s="2" t="inlineStr">
        <is>
          <t>A2</t>
        </is>
      </c>
      <c r="E3" s="2" t="inlineStr">
        <is>
          <t>A3</t>
        </is>
      </c>
      <c r="F3" s="2" t="inlineStr">
        <is>
          <t>A4</t>
        </is>
      </c>
    </row>
    <row r="4">
      <c r="A4" s="3" t="inlineStr">
        <is>
          <t>Total</t>
        </is>
      </c>
      <c r="B4" s="4" t="n"/>
      <c r="C4" s="5">
        <f>SUM(C5:C20)</f>
        <v/>
      </c>
      <c r="D4" s="5">
        <f>SUM(D5:D20)</f>
        <v/>
      </c>
      <c r="E4" s="5">
        <f>SUM(E5:E20)</f>
        <v/>
      </c>
      <c r="F4" s="5">
        <f>SUM(F5:F20)</f>
        <v/>
      </c>
    </row>
    <row r="5">
      <c r="A5" s="6" t="inlineStr">
        <is>
          <t>Carburants et lubrifiants</t>
        </is>
      </c>
      <c r="B5" s="7" t="n">
        <v>0.2</v>
      </c>
      <c r="C5" s="8" t="n">
        <v>700</v>
      </c>
      <c r="D5" s="8" t="n">
        <v>850</v>
      </c>
      <c r="E5" s="8" t="n">
        <v>1000</v>
      </c>
      <c r="F5" s="8" t="n">
        <v>1150</v>
      </c>
    </row>
    <row r="6">
      <c r="A6" s="6" t="inlineStr">
        <is>
          <t>Travaux / tiers autre</t>
        </is>
      </c>
      <c r="B6" s="7" t="n">
        <v>0.2</v>
      </c>
      <c r="C6" s="8" t="n">
        <v>400</v>
      </c>
      <c r="D6" s="8" t="n">
        <v>500</v>
      </c>
      <c r="E6" s="8" t="n">
        <v>600</v>
      </c>
      <c r="F6" s="8" t="n">
        <v>700</v>
      </c>
    </row>
    <row r="7">
      <c r="A7" s="6" t="inlineStr">
        <is>
          <t>Eau</t>
        </is>
      </c>
      <c r="B7" s="7" t="n">
        <v>0.055</v>
      </c>
      <c r="C7" s="8" t="n">
        <v>200</v>
      </c>
      <c r="D7" s="8" t="n">
        <v>250</v>
      </c>
      <c r="E7" s="8" t="n">
        <v>300</v>
      </c>
      <c r="F7" s="8" t="n">
        <v>350</v>
      </c>
    </row>
    <row r="8">
      <c r="A8" s="6" t="inlineStr">
        <is>
          <t>Electricité</t>
        </is>
      </c>
      <c r="B8" s="7" t="n">
        <v>0.2</v>
      </c>
      <c r="C8" s="8" t="n">
        <v>1100</v>
      </c>
      <c r="D8" s="8" t="n">
        <v>1350</v>
      </c>
      <c r="E8" s="8" t="n">
        <v>1700</v>
      </c>
      <c r="F8" s="8" t="n">
        <v>2000</v>
      </c>
    </row>
    <row r="9">
      <c r="A9" s="6" t="inlineStr">
        <is>
          <t>Fermages et loyers</t>
        </is>
      </c>
      <c r="B9" s="7" t="n">
        <v>0</v>
      </c>
      <c r="C9" s="8" t="n">
        <v>1290</v>
      </c>
      <c r="D9" s="8" t="n">
        <v>1296</v>
      </c>
      <c r="E9" s="8" t="n">
        <v>1302</v>
      </c>
      <c r="F9" s="8" t="n">
        <v>1309</v>
      </c>
    </row>
    <row r="10">
      <c r="A10" s="6" t="inlineStr">
        <is>
          <t>Entretien fonciers et constructions</t>
        </is>
      </c>
      <c r="B10" s="7" t="n">
        <v>0.2</v>
      </c>
      <c r="C10" s="8" t="n">
        <v>300</v>
      </c>
      <c r="D10" s="8" t="n">
        <v>350</v>
      </c>
      <c r="E10" s="8" t="n">
        <v>400</v>
      </c>
      <c r="F10" s="8" t="n">
        <v>450</v>
      </c>
    </row>
    <row r="11">
      <c r="A11" s="6" t="inlineStr">
        <is>
          <t>Entretien installations et matériels</t>
        </is>
      </c>
      <c r="B11" s="7" t="n">
        <v>0.2</v>
      </c>
      <c r="C11" s="8" t="n">
        <v>500</v>
      </c>
      <c r="D11" s="8" t="n">
        <v>600</v>
      </c>
      <c r="E11" s="8" t="n">
        <v>750</v>
      </c>
      <c r="F11" s="8" t="n">
        <v>900</v>
      </c>
    </row>
    <row r="12">
      <c r="A12" s="6" t="inlineStr">
        <is>
          <t>Assurances exploitation</t>
        </is>
      </c>
      <c r="B12" s="7" t="n">
        <v>0</v>
      </c>
      <c r="C12" s="8" t="n">
        <v>1200</v>
      </c>
      <c r="D12" s="8" t="n">
        <v>1250</v>
      </c>
      <c r="E12" s="8" t="n">
        <v>1300</v>
      </c>
      <c r="F12" s="8" t="n">
        <v>1350</v>
      </c>
    </row>
    <row r="13">
      <c r="A13" s="6" t="inlineStr">
        <is>
          <t>ADI</t>
        </is>
      </c>
      <c r="B13" s="7" t="n">
        <v>0</v>
      </c>
      <c r="C13" s="8" t="n">
        <v>400</v>
      </c>
      <c r="D13" s="8" t="n">
        <v>420</v>
      </c>
      <c r="E13" s="8" t="n">
        <v>440</v>
      </c>
      <c r="F13" s="8" t="n">
        <v>460</v>
      </c>
    </row>
    <row r="14">
      <c r="A14" s="6" t="inlineStr">
        <is>
          <t>Frais de gestion et services (dont compta, commission/vente...)</t>
        </is>
      </c>
      <c r="B14" s="7" t="n">
        <v>0.2</v>
      </c>
      <c r="C14" s="8" t="n">
        <v>1300</v>
      </c>
      <c r="D14" s="8" t="n">
        <v>1350</v>
      </c>
      <c r="E14" s="8" t="n">
        <v>1400</v>
      </c>
      <c r="F14" s="8" t="n">
        <v>1450</v>
      </c>
    </row>
    <row r="15">
      <c r="A15" s="6" t="inlineStr">
        <is>
          <t>Déplacements, missions et réceptions</t>
        </is>
      </c>
      <c r="B15" s="7" t="n">
        <v>0.2</v>
      </c>
      <c r="C15" s="8" t="n">
        <v>800</v>
      </c>
      <c r="D15" s="8" t="n">
        <v>1000</v>
      </c>
      <c r="E15" s="8" t="n">
        <v>1200</v>
      </c>
      <c r="F15" s="8" t="n">
        <v>1400</v>
      </c>
    </row>
    <row r="16">
      <c r="A16" s="6" t="inlineStr">
        <is>
          <t>Frais téléphone, poste</t>
        </is>
      </c>
      <c r="B16" s="7" t="n">
        <v>0.2</v>
      </c>
      <c r="C16" s="8" t="n">
        <v>480</v>
      </c>
      <c r="D16" s="8" t="n">
        <v>500</v>
      </c>
      <c r="E16" s="8" t="n">
        <v>520</v>
      </c>
      <c r="F16" s="8" t="n">
        <v>540</v>
      </c>
    </row>
    <row r="17">
      <c r="A17" s="6" t="inlineStr">
        <is>
          <t>Autres services extérieurs + divers</t>
        </is>
      </c>
      <c r="B17" s="7" t="n">
        <v>0.2</v>
      </c>
      <c r="C17" s="8" t="n">
        <v>700</v>
      </c>
      <c r="D17" s="8" t="n">
        <v>900</v>
      </c>
      <c r="E17" s="8" t="n">
        <v>1100</v>
      </c>
      <c r="F17" s="8" t="n">
        <v>1300</v>
      </c>
    </row>
    <row r="18">
      <c r="A18" s="6" t="inlineStr">
        <is>
          <t>Impôts et taxes</t>
        </is>
      </c>
      <c r="B18" s="7" t="n">
        <v>0</v>
      </c>
      <c r="C18" s="8" t="n">
        <v>350</v>
      </c>
      <c r="D18" s="8" t="n">
        <v>380</v>
      </c>
      <c r="E18" s="8" t="n">
        <v>410</v>
      </c>
      <c r="F18" s="8" t="n">
        <v>440</v>
      </c>
    </row>
    <row r="19">
      <c r="A19" s="6" t="inlineStr">
        <is>
          <t>Charges sociales exploitant</t>
        </is>
      </c>
      <c r="B19" s="7" t="n">
        <v>0</v>
      </c>
      <c r="C19" s="8" t="n">
        <v>5000</v>
      </c>
      <c r="D19" s="8" t="n">
        <v>6500</v>
      </c>
      <c r="E19" s="8" t="n">
        <v>8000</v>
      </c>
      <c r="F19" s="8" t="n">
        <v>9000</v>
      </c>
    </row>
    <row r="20">
      <c r="A20" s="6" t="inlineStr">
        <is>
          <t>Autres charges de gestion courante</t>
        </is>
      </c>
      <c r="B20" s="7" t="n">
        <v>0</v>
      </c>
      <c r="C20" s="8" t="n">
        <v>200</v>
      </c>
      <c r="D20" s="8" t="n">
        <v>250</v>
      </c>
      <c r="E20" s="8" t="n">
        <v>300</v>
      </c>
      <c r="F20" s="8" t="n">
        <v>350</v>
      </c>
    </row>
    <row r="23" ht="36" customHeight="1">
      <c r="A23" s="9" t="inlineStr">
        <is>
          <t>Hypothèses : fermage La Cavalerie de Combret (1 290 €/an, +0,5 %/an) ; MSA alignée sur le prévisionnel (5 000 → 9 000 €) ; eau/énergie/carburant = 2 000 → 3 500 €/an. Source : Plan Entreprise Le Chaudron qui sent bon.</t>
        </is>
      </c>
    </row>
  </sheetData>
  <mergeCells count="2"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0" t="inlineStr">
        <is>
          <t>Récapitulatif charges de structure</t>
        </is>
      </c>
    </row>
    <row r="3">
      <c r="A3" s="11" t="inlineStr">
        <is>
          <t>Année</t>
        </is>
      </c>
      <c r="B3" s="11" t="inlineStr">
        <is>
          <t>Total HT</t>
        </is>
      </c>
      <c r="C3" s="11" t="inlineStr">
        <is>
          <t>TVA déductible estimée</t>
        </is>
      </c>
      <c r="D3" s="11" t="inlineStr">
        <is>
          <t>Total TTC estimé</t>
        </is>
      </c>
    </row>
    <row r="4">
      <c r="A4" t="inlineStr">
        <is>
          <t>A1</t>
        </is>
      </c>
      <c r="B4" s="12">
        <f>'Charges de structure'!C4</f>
        <v/>
      </c>
      <c r="C4" s="12">
        <f>'Charges de structure'!C5*0.2+'Charges de structure'!C6*0.2+'Charges de structure'!C7*0.055+'Charges de structure'!C8*0.2+'Charges de structure'!C10*0.2+'Charges de structure'!C11*0.2+'Charges de structure'!C14*0.2+'Charges de structure'!C15*0.2+'Charges de structure'!C16*0.2+'Charges de structure'!C17*0.2</f>
        <v/>
      </c>
      <c r="D4" s="12">
        <f>B4+C4</f>
        <v/>
      </c>
    </row>
    <row r="5">
      <c r="A5" t="inlineStr">
        <is>
          <t>A2</t>
        </is>
      </c>
      <c r="B5" s="12">
        <f>'Charges de structure'!D4</f>
        <v/>
      </c>
      <c r="C5" s="12">
        <f>'Charges de structure'!D5*0.2+'Charges de structure'!D6*0.2+'Charges de structure'!D7*0.055+'Charges de structure'!D8*0.2+'Charges de structure'!D10*0.2+'Charges de structure'!D11*0.2+'Charges de structure'!D14*0.2+'Charges de structure'!D15*0.2+'Charges de structure'!D16*0.2+'Charges de structure'!D17*0.2</f>
        <v/>
      </c>
      <c r="D5" s="12">
        <f>B5+C5</f>
        <v/>
      </c>
    </row>
    <row r="6">
      <c r="A6" t="inlineStr">
        <is>
          <t>A3</t>
        </is>
      </c>
      <c r="B6" s="12">
        <f>'Charges de structure'!E4</f>
        <v/>
      </c>
      <c r="C6" s="12">
        <f>'Charges de structure'!E5*0.2+'Charges de structure'!E6*0.2+'Charges de structure'!E7*0.055+'Charges de structure'!E8*0.2+'Charges de structure'!E10*0.2+'Charges de structure'!E11*0.2+'Charges de structure'!E14*0.2+'Charges de structure'!E15*0.2+'Charges de structure'!E16*0.2+'Charges de structure'!E17*0.2</f>
        <v/>
      </c>
      <c r="D6" s="12">
        <f>B6+C6</f>
        <v/>
      </c>
    </row>
    <row r="7">
      <c r="A7" t="inlineStr">
        <is>
          <t>A4</t>
        </is>
      </c>
      <c r="B7" s="12">
        <f>'Charges de structure'!F4</f>
        <v/>
      </c>
      <c r="C7" s="12">
        <f>'Charges de structure'!F5*0.2+'Charges de structure'!F6*0.2+'Charges de structure'!F7*0.055+'Charges de structure'!F8*0.2+'Charges de structure'!F10*0.2+'Charges de structure'!F11*0.2+'Charges de structure'!F14*0.2+'Charges de structure'!F15*0.2+'Charges de structure'!F16*0.2+'Charges de structure'!F17*0.2</f>
        <v/>
      </c>
      <c r="D7" s="12">
        <f>B7+C7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2026-07-22T08:07:27Z</dcterms:created>
  <dcterms:modified xmlns:dcterms="http://purl.org/dc/terms/" xmlns:xsi="http://www.w3.org/2001/XMLSchema-instance" xsi:type="dcterms:W3CDTF">2026-07-22T08:07:27Z</dcterms:modified>
</cp:coreProperties>
</file>