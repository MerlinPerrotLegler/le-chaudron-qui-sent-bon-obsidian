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trlProps/ctrlProp1.xml" ContentType="application/vnd.ms-excel.controlproperties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ctrlProps/ctrlProp2.xml" ContentType="application/vnd.ms-excel.controlproperties+xml"/>
  <Override PartName="/xl/ctrlProps/ctrlProp3.xml" ContentType="application/vnd.ms-excel.controlpropertie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merlinperrot/Documents/BPREA/"/>
    </mc:Choice>
  </mc:AlternateContent>
  <xr:revisionPtr revIDLastSave="0" documentId="13_ncr:1_{19828A53-C610-ED49-AC2F-0A4F65327428}" xr6:coauthVersionLast="47" xr6:coauthVersionMax="47" xr10:uidLastSave="{00000000-0000-0000-0000-000000000000}"/>
  <bookViews>
    <workbookView xWindow="0" yWindow="860" windowWidth="41120" windowHeight="25720" activeTab="5" xr2:uid="{235CE7E9-3000-9447-82DE-C95AB5BD1033}"/>
  </bookViews>
  <sheets>
    <sheet name="Produit" sheetId="2" r:id="rId1"/>
    <sheet name="Ingredients" sheetId="3" r:id="rId2"/>
    <sheet name="Recette Epice" sheetId="4" r:id="rId3"/>
    <sheet name="Production" sheetId="12" r:id="rId4"/>
    <sheet name="Conditionnement" sheetId="6" r:id="rId5"/>
    <sheet name="Concurence" sheetId="18" r:id="rId6"/>
    <sheet name="Temporaire" sheetId="14" r:id="rId7"/>
    <sheet name="Log" sheetId="17" r:id="rId8"/>
  </sheets>
  <definedNames>
    <definedName name="_xlnm._FilterDatabase" localSheetId="4" hidden="1">Conditionnement!$A$1:$G$1</definedName>
    <definedName name="_xlnm._FilterDatabase" localSheetId="1" hidden="1">Ingredients!$A$1:$D$1</definedName>
    <definedName name="_xlnm._FilterDatabase" localSheetId="7" hidden="1">Log!$A$1:$I$1218</definedName>
    <definedName name="_xlnm._FilterDatabase" localSheetId="0" hidden="1">Produit!$A$1:$R$71</definedName>
    <definedName name="_xlnm._FilterDatabase" localSheetId="2" hidden="1">'Recette Epice'!$A$1:$K$1</definedName>
    <definedName name="Couleur" localSheetId="2">'Recette Epice'!#REF!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4" l="1"/>
  <c r="I2" i="2"/>
  <c r="G23" i="2"/>
  <c r="G2" i="2"/>
  <c r="AG15" i="2"/>
  <c r="B15" i="2"/>
  <c r="N15" i="2"/>
  <c r="J15" i="2"/>
  <c r="K15" i="2"/>
  <c r="L15" i="2"/>
  <c r="O39" i="14"/>
  <c r="AM15" i="2" l="1"/>
  <c r="AY15" i="2"/>
  <c r="AS15" i="2"/>
  <c r="U15" i="2"/>
  <c r="AA15" i="2"/>
  <c r="Z15" i="2"/>
  <c r="AX15" i="2"/>
  <c r="T15" i="2"/>
  <c r="AF15" i="2"/>
  <c r="AR15" i="2"/>
  <c r="BD15" i="2"/>
  <c r="BE15" i="2"/>
  <c r="AL15" i="2"/>
  <c r="I15" i="2"/>
  <c r="BK15" i="2"/>
  <c r="O15" i="2"/>
  <c r="BJ15" i="2"/>
  <c r="D21" i="6"/>
  <c r="X272" i="4"/>
  <c r="B4" i="2"/>
  <c r="N4" i="2"/>
  <c r="R4" i="2" s="1"/>
  <c r="F4" i="2"/>
  <c r="U4" i="2" s="1"/>
  <c r="J4" i="2"/>
  <c r="K4" i="2"/>
  <c r="L4" i="2"/>
  <c r="B34" i="4"/>
  <c r="B35" i="4"/>
  <c r="B36" i="4"/>
  <c r="F34" i="4"/>
  <c r="F35" i="4"/>
  <c r="F36" i="4"/>
  <c r="H34" i="4"/>
  <c r="H35" i="4"/>
  <c r="H36" i="4"/>
  <c r="W15" i="2" l="1"/>
  <c r="BA15" i="2"/>
  <c r="AI15" i="2"/>
  <c r="BM15" i="2"/>
  <c r="AU15" i="2"/>
  <c r="AC15" i="2"/>
  <c r="BG15" i="2"/>
  <c r="AO15" i="2"/>
  <c r="O4" i="2"/>
  <c r="AY4" i="2"/>
  <c r="BK4" i="2"/>
  <c r="BE4" i="2"/>
  <c r="AS4" i="2"/>
  <c r="AM4" i="2"/>
  <c r="AG4" i="2"/>
  <c r="AA4" i="2"/>
  <c r="BJ4" i="2"/>
  <c r="BD4" i="2"/>
  <c r="AF4" i="2"/>
  <c r="I4" i="2"/>
  <c r="W4" i="2" s="1"/>
  <c r="AX4" i="2"/>
  <c r="Z4" i="2"/>
  <c r="AL4" i="2"/>
  <c r="AR4" i="2"/>
  <c r="T4" i="2"/>
  <c r="B33" i="4"/>
  <c r="F33" i="4"/>
  <c r="H33" i="4"/>
  <c r="B71" i="2"/>
  <c r="D71" i="2"/>
  <c r="N71" i="2" s="1"/>
  <c r="R71" i="2" s="1"/>
  <c r="J71" i="2"/>
  <c r="K71" i="2"/>
  <c r="L71" i="2"/>
  <c r="P2" i="2"/>
  <c r="AY5" i="2"/>
  <c r="AG32" i="2"/>
  <c r="B5" i="2"/>
  <c r="B32" i="2"/>
  <c r="I5" i="2"/>
  <c r="AR32" i="2"/>
  <c r="AS5" i="2"/>
  <c r="J5" i="2"/>
  <c r="J32" i="2"/>
  <c r="K5" i="2"/>
  <c r="K32" i="2"/>
  <c r="L5" i="2"/>
  <c r="L32" i="2"/>
  <c r="O5" i="2"/>
  <c r="T5" i="2"/>
  <c r="T32" i="2"/>
  <c r="Z5" i="2"/>
  <c r="Z32" i="2"/>
  <c r="AF5" i="2"/>
  <c r="AF32" i="2"/>
  <c r="AM5" i="2"/>
  <c r="AR5" i="2"/>
  <c r="AX5" i="2"/>
  <c r="BD5" i="2"/>
  <c r="BD32" i="2"/>
  <c r="BJ5" i="2"/>
  <c r="BJ32" i="2"/>
  <c r="B66" i="4"/>
  <c r="F66" i="4"/>
  <c r="H66" i="4"/>
  <c r="B50" i="4"/>
  <c r="B51" i="4"/>
  <c r="B52" i="4"/>
  <c r="B53" i="4"/>
  <c r="B54" i="4"/>
  <c r="B55" i="4"/>
  <c r="B56" i="4"/>
  <c r="B57" i="4"/>
  <c r="B58" i="4"/>
  <c r="F50" i="4"/>
  <c r="F51" i="4"/>
  <c r="F52" i="4"/>
  <c r="F53" i="4"/>
  <c r="F54" i="4"/>
  <c r="F55" i="4"/>
  <c r="F56" i="4"/>
  <c r="F57" i="4"/>
  <c r="F58" i="4"/>
  <c r="H50" i="4"/>
  <c r="H51" i="4"/>
  <c r="H52" i="4"/>
  <c r="H53" i="4"/>
  <c r="H54" i="4"/>
  <c r="H55" i="4"/>
  <c r="H56" i="4"/>
  <c r="H57" i="4"/>
  <c r="H58" i="4"/>
  <c r="B49" i="4"/>
  <c r="F49" i="4"/>
  <c r="H49" i="4"/>
  <c r="B67" i="4"/>
  <c r="F67" i="4"/>
  <c r="H67" i="4"/>
  <c r="B65" i="4"/>
  <c r="F65" i="4"/>
  <c r="H65" i="4"/>
  <c r="B64" i="4"/>
  <c r="F64" i="4"/>
  <c r="H64" i="4"/>
  <c r="B165" i="3"/>
  <c r="B63" i="4"/>
  <c r="F63" i="4"/>
  <c r="H63" i="4"/>
  <c r="B62" i="4"/>
  <c r="F62" i="4"/>
  <c r="H62" i="4"/>
  <c r="B61" i="4"/>
  <c r="F61" i="4"/>
  <c r="H61" i="4"/>
  <c r="B60" i="4"/>
  <c r="F60" i="4"/>
  <c r="H60" i="4"/>
  <c r="G5" i="18"/>
  <c r="G61" i="18"/>
  <c r="L19" i="2" s="1"/>
  <c r="G55" i="18"/>
  <c r="L3" i="2" s="1"/>
  <c r="I11" i="2"/>
  <c r="I10" i="2"/>
  <c r="L37" i="2"/>
  <c r="L6" i="2"/>
  <c r="L7" i="2"/>
  <c r="L14" i="2"/>
  <c r="L8" i="2"/>
  <c r="L9" i="2"/>
  <c r="L10" i="2"/>
  <c r="L11" i="2"/>
  <c r="L12" i="2"/>
  <c r="L13" i="2"/>
  <c r="L16" i="2"/>
  <c r="L17" i="2"/>
  <c r="L18" i="2"/>
  <c r="L31" i="2"/>
  <c r="L30" i="2"/>
  <c r="L20" i="2"/>
  <c r="L21" i="2"/>
  <c r="L22" i="2"/>
  <c r="L23" i="2"/>
  <c r="L29" i="2"/>
  <c r="L28" i="2"/>
  <c r="L27" i="2"/>
  <c r="L24" i="2"/>
  <c r="L25" i="2"/>
  <c r="L26" i="2"/>
  <c r="L33" i="2"/>
  <c r="L66" i="2"/>
  <c r="L63" i="2"/>
  <c r="L65" i="2"/>
  <c r="L62" i="2"/>
  <c r="L60" i="2"/>
  <c r="L50" i="2"/>
  <c r="L59" i="2"/>
  <c r="L43" i="2"/>
  <c r="L58" i="2"/>
  <c r="L41" i="2"/>
  <c r="L53" i="2"/>
  <c r="L47" i="2"/>
  <c r="L46" i="2"/>
  <c r="L69" i="2"/>
  <c r="L70" i="2"/>
  <c r="L67" i="2"/>
  <c r="L38" i="2"/>
  <c r="L40" i="2"/>
  <c r="L61" i="2"/>
  <c r="L54" i="2"/>
  <c r="L57" i="2"/>
  <c r="L52" i="2"/>
  <c r="L34" i="2"/>
  <c r="L64" i="2"/>
  <c r="L68" i="2"/>
  <c r="L56" i="2"/>
  <c r="L35" i="2"/>
  <c r="L36" i="2"/>
  <c r="L55" i="2"/>
  <c r="L49" i="2"/>
  <c r="L48" i="2"/>
  <c r="L44" i="2"/>
  <c r="L42" i="2"/>
  <c r="L39" i="2"/>
  <c r="L51" i="2"/>
  <c r="L45" i="2"/>
  <c r="L2" i="2"/>
  <c r="K3" i="2"/>
  <c r="K37" i="2"/>
  <c r="K6" i="2"/>
  <c r="K7" i="2"/>
  <c r="K14" i="2"/>
  <c r="K8" i="2"/>
  <c r="K9" i="2"/>
  <c r="K10" i="2"/>
  <c r="K11" i="2"/>
  <c r="K12" i="2"/>
  <c r="K13" i="2"/>
  <c r="K16" i="2"/>
  <c r="K17" i="2"/>
  <c r="K18" i="2"/>
  <c r="K31" i="2"/>
  <c r="K30" i="2"/>
  <c r="K19" i="2"/>
  <c r="K20" i="2"/>
  <c r="K21" i="2"/>
  <c r="K22" i="2"/>
  <c r="K23" i="2"/>
  <c r="K29" i="2"/>
  <c r="K28" i="2"/>
  <c r="K27" i="2"/>
  <c r="K24" i="2"/>
  <c r="K25" i="2"/>
  <c r="K26" i="2"/>
  <c r="K33" i="2"/>
  <c r="K66" i="2"/>
  <c r="K63" i="2"/>
  <c r="K65" i="2"/>
  <c r="K62" i="2"/>
  <c r="K60" i="2"/>
  <c r="K50" i="2"/>
  <c r="K59" i="2"/>
  <c r="K43" i="2"/>
  <c r="K58" i="2"/>
  <c r="K41" i="2"/>
  <c r="K53" i="2"/>
  <c r="K47" i="2"/>
  <c r="K46" i="2"/>
  <c r="K69" i="2"/>
  <c r="K70" i="2"/>
  <c r="K67" i="2"/>
  <c r="K38" i="2"/>
  <c r="K40" i="2"/>
  <c r="K61" i="2"/>
  <c r="K54" i="2"/>
  <c r="K57" i="2"/>
  <c r="K52" i="2"/>
  <c r="K34" i="2"/>
  <c r="K64" i="2"/>
  <c r="K68" i="2"/>
  <c r="K56" i="2"/>
  <c r="K35" i="2"/>
  <c r="K36" i="2"/>
  <c r="K55" i="2"/>
  <c r="K49" i="2"/>
  <c r="K48" i="2"/>
  <c r="K44" i="2"/>
  <c r="K42" i="2"/>
  <c r="K39" i="2"/>
  <c r="K51" i="2"/>
  <c r="K45" i="2"/>
  <c r="K2" i="2"/>
  <c r="J3" i="2"/>
  <c r="J37" i="2"/>
  <c r="J6" i="2"/>
  <c r="J7" i="2"/>
  <c r="J14" i="2"/>
  <c r="J8" i="2"/>
  <c r="J9" i="2"/>
  <c r="J10" i="2"/>
  <c r="J11" i="2"/>
  <c r="J12" i="2"/>
  <c r="J13" i="2"/>
  <c r="J16" i="2"/>
  <c r="J17" i="2"/>
  <c r="J18" i="2"/>
  <c r="J31" i="2"/>
  <c r="J30" i="2"/>
  <c r="J19" i="2"/>
  <c r="J20" i="2"/>
  <c r="J21" i="2"/>
  <c r="J22" i="2"/>
  <c r="J23" i="2"/>
  <c r="J29" i="2"/>
  <c r="J28" i="2"/>
  <c r="J27" i="2"/>
  <c r="J24" i="2"/>
  <c r="J25" i="2"/>
  <c r="J26" i="2"/>
  <c r="J33" i="2"/>
  <c r="J66" i="2"/>
  <c r="J63" i="2"/>
  <c r="J65" i="2"/>
  <c r="J62" i="2"/>
  <c r="J60" i="2"/>
  <c r="J50" i="2"/>
  <c r="J59" i="2"/>
  <c r="J43" i="2"/>
  <c r="J58" i="2"/>
  <c r="J41" i="2"/>
  <c r="J53" i="2"/>
  <c r="J47" i="2"/>
  <c r="J46" i="2"/>
  <c r="J69" i="2"/>
  <c r="J70" i="2"/>
  <c r="J67" i="2"/>
  <c r="J38" i="2"/>
  <c r="J40" i="2"/>
  <c r="J61" i="2"/>
  <c r="J54" i="2"/>
  <c r="J57" i="2"/>
  <c r="J52" i="2"/>
  <c r="J34" i="2"/>
  <c r="J64" i="2"/>
  <c r="J68" i="2"/>
  <c r="J56" i="2"/>
  <c r="J35" i="2"/>
  <c r="J36" i="2"/>
  <c r="J55" i="2"/>
  <c r="J49" i="2"/>
  <c r="J48" i="2"/>
  <c r="J44" i="2"/>
  <c r="J42" i="2"/>
  <c r="J39" i="2"/>
  <c r="J51" i="2"/>
  <c r="J45" i="2"/>
  <c r="J2" i="2"/>
  <c r="I13" i="2"/>
  <c r="B59" i="4"/>
  <c r="F59" i="4"/>
  <c r="H59" i="4"/>
  <c r="F20" i="2"/>
  <c r="F3" i="2"/>
  <c r="O3" i="2" s="1"/>
  <c r="F10" i="2"/>
  <c r="O10" i="2" s="1"/>
  <c r="F21" i="2"/>
  <c r="F12" i="2"/>
  <c r="F22" i="2"/>
  <c r="F24" i="2"/>
  <c r="F25" i="2"/>
  <c r="B12" i="2"/>
  <c r="B21" i="2"/>
  <c r="N12" i="2"/>
  <c r="T12" i="2"/>
  <c r="T21" i="2"/>
  <c r="Z12" i="2"/>
  <c r="Z21" i="2"/>
  <c r="AF12" i="2"/>
  <c r="AL12" i="2"/>
  <c r="AR12" i="2"/>
  <c r="AR21" i="2"/>
  <c r="AX12" i="2"/>
  <c r="AX21" i="2"/>
  <c r="BD12" i="2"/>
  <c r="BJ12" i="2"/>
  <c r="B24" i="2"/>
  <c r="N24" i="2"/>
  <c r="T24" i="2"/>
  <c r="Z24" i="2"/>
  <c r="AF24" i="2"/>
  <c r="AL24" i="2"/>
  <c r="AR24" i="2"/>
  <c r="AX24" i="2"/>
  <c r="BJ24" i="2"/>
  <c r="F324" i="4"/>
  <c r="B327" i="4"/>
  <c r="F327" i="4"/>
  <c r="H327" i="4"/>
  <c r="B100" i="3"/>
  <c r="B323" i="4"/>
  <c r="B328" i="4"/>
  <c r="F328" i="4"/>
  <c r="H328" i="4"/>
  <c r="B334" i="4"/>
  <c r="F334" i="4"/>
  <c r="H334" i="4"/>
  <c r="F325" i="4"/>
  <c r="F326" i="4"/>
  <c r="H324" i="4"/>
  <c r="H325" i="4"/>
  <c r="H326" i="4"/>
  <c r="B326" i="4"/>
  <c r="B325" i="4"/>
  <c r="B324" i="4"/>
  <c r="F330" i="4"/>
  <c r="F331" i="4"/>
  <c r="H330" i="4"/>
  <c r="H331" i="4"/>
  <c r="B331" i="4"/>
  <c r="B330" i="4"/>
  <c r="B329" i="4"/>
  <c r="F329" i="4"/>
  <c r="H329" i="4"/>
  <c r="B20" i="2"/>
  <c r="N20" i="2"/>
  <c r="B22" i="2"/>
  <c r="N22" i="2"/>
  <c r="B25" i="2"/>
  <c r="AL25" i="2"/>
  <c r="B23" i="2"/>
  <c r="N23" i="2"/>
  <c r="P23" i="2"/>
  <c r="B162" i="3"/>
  <c r="B10" i="2"/>
  <c r="AL10" i="2"/>
  <c r="N10" i="2"/>
  <c r="Z10" i="2"/>
  <c r="AF10" i="2"/>
  <c r="AR10" i="2"/>
  <c r="AX10" i="2"/>
  <c r="BD10" i="2"/>
  <c r="H261" i="4"/>
  <c r="F261" i="4"/>
  <c r="B261" i="4"/>
  <c r="H260" i="4"/>
  <c r="F260" i="4"/>
  <c r="B260" i="4"/>
  <c r="H259" i="4"/>
  <c r="F259" i="4"/>
  <c r="B259" i="4"/>
  <c r="H258" i="4"/>
  <c r="F258" i="4"/>
  <c r="B258" i="4"/>
  <c r="B262" i="4"/>
  <c r="F262" i="4"/>
  <c r="H262" i="4"/>
  <c r="B73" i="3"/>
  <c r="B12" i="3"/>
  <c r="B104" i="3"/>
  <c r="B97" i="3"/>
  <c r="B155" i="3"/>
  <c r="B19" i="3"/>
  <c r="B15" i="3"/>
  <c r="B87" i="3"/>
  <c r="B150" i="3"/>
  <c r="B69" i="3"/>
  <c r="B65" i="3"/>
  <c r="B101" i="3"/>
  <c r="B112" i="3"/>
  <c r="B113" i="3"/>
  <c r="B75" i="3"/>
  <c r="B142" i="3"/>
  <c r="B117" i="3"/>
  <c r="B110" i="3"/>
  <c r="B77" i="3"/>
  <c r="B85" i="3"/>
  <c r="B67" i="3"/>
  <c r="B10" i="3"/>
  <c r="B33" i="3"/>
  <c r="B88" i="3"/>
  <c r="B114" i="3"/>
  <c r="B115" i="3"/>
  <c r="B118" i="3"/>
  <c r="B124" i="3"/>
  <c r="B90" i="3"/>
  <c r="B92" i="3"/>
  <c r="B99" i="3"/>
  <c r="B6" i="3"/>
  <c r="B28" i="3"/>
  <c r="B29" i="3"/>
  <c r="B31" i="3"/>
  <c r="B93" i="3"/>
  <c r="B94" i="3"/>
  <c r="B119" i="3"/>
  <c r="B122" i="3"/>
  <c r="B123" i="3"/>
  <c r="B120" i="3"/>
  <c r="B129" i="3"/>
  <c r="B131" i="3"/>
  <c r="B49" i="3"/>
  <c r="B140" i="3"/>
  <c r="B47" i="3"/>
  <c r="B54" i="3"/>
  <c r="B26" i="3"/>
  <c r="B45" i="3"/>
  <c r="B82" i="3"/>
  <c r="B144" i="3"/>
  <c r="B156" i="3"/>
  <c r="B71" i="3"/>
  <c r="B3" i="3"/>
  <c r="B135" i="3"/>
  <c r="B152" i="3"/>
  <c r="B157" i="3"/>
  <c r="B160" i="3"/>
  <c r="B63" i="3"/>
  <c r="B34" i="3"/>
  <c r="B36" i="3"/>
  <c r="B56" i="3"/>
  <c r="B57" i="3"/>
  <c r="B58" i="3"/>
  <c r="B59" i="3"/>
  <c r="B60" i="3"/>
  <c r="B61" i="3"/>
  <c r="B62" i="3"/>
  <c r="B64" i="3"/>
  <c r="B81" i="3"/>
  <c r="B4" i="3"/>
  <c r="B83" i="3"/>
  <c r="B136" i="3"/>
  <c r="B137" i="3"/>
  <c r="B38" i="3"/>
  <c r="B52" i="3"/>
  <c r="B105" i="3"/>
  <c r="B106" i="3"/>
  <c r="B107" i="3"/>
  <c r="B7" i="3"/>
  <c r="B22" i="3"/>
  <c r="B37" i="3"/>
  <c r="B40" i="3"/>
  <c r="B148" i="3"/>
  <c r="B153" i="3"/>
  <c r="B2" i="3"/>
  <c r="B5" i="3"/>
  <c r="B8" i="3"/>
  <c r="B9" i="3"/>
  <c r="B11" i="3"/>
  <c r="B13" i="3"/>
  <c r="B16" i="3"/>
  <c r="B17" i="3"/>
  <c r="B20" i="3"/>
  <c r="B21" i="3"/>
  <c r="B23" i="3"/>
  <c r="B24" i="3"/>
  <c r="B25" i="3"/>
  <c r="B27" i="3"/>
  <c r="B30" i="3"/>
  <c r="B32" i="3"/>
  <c r="B35" i="3"/>
  <c r="B41" i="3"/>
  <c r="B42" i="3"/>
  <c r="B43" i="3"/>
  <c r="B44" i="3"/>
  <c r="B46" i="3"/>
  <c r="B51" i="3"/>
  <c r="B53" i="3"/>
  <c r="B55" i="3"/>
  <c r="B72" i="3"/>
  <c r="B78" i="3"/>
  <c r="B79" i="3"/>
  <c r="B80" i="3"/>
  <c r="B95" i="3"/>
  <c r="B102" i="3"/>
  <c r="B108" i="3"/>
  <c r="B111" i="3"/>
  <c r="B121" i="3"/>
  <c r="B125" i="3"/>
  <c r="B126" i="3"/>
  <c r="B127" i="3"/>
  <c r="B128" i="3"/>
  <c r="B130" i="3"/>
  <c r="B132" i="3"/>
  <c r="B133" i="3"/>
  <c r="B134" i="3"/>
  <c r="B138" i="3"/>
  <c r="B139" i="3"/>
  <c r="B143" i="3"/>
  <c r="B145" i="3"/>
  <c r="B146" i="3"/>
  <c r="B147" i="3"/>
  <c r="B158" i="3"/>
  <c r="B159" i="3"/>
  <c r="B151" i="3"/>
  <c r="B103" i="3"/>
  <c r="B96" i="3"/>
  <c r="B154" i="3"/>
  <c r="B18" i="3"/>
  <c r="B14" i="3"/>
  <c r="B86" i="3"/>
  <c r="B48" i="3"/>
  <c r="B74" i="3"/>
  <c r="B149" i="3"/>
  <c r="B141" i="3"/>
  <c r="B116" i="3"/>
  <c r="B89" i="3"/>
  <c r="B109" i="3"/>
  <c r="B76" i="3"/>
  <c r="B84" i="3"/>
  <c r="B91" i="3"/>
  <c r="B98" i="3"/>
  <c r="B66" i="3"/>
  <c r="B68" i="3"/>
  <c r="B70" i="3"/>
  <c r="B50" i="3"/>
  <c r="B322" i="4"/>
  <c r="F322" i="4"/>
  <c r="F323" i="4"/>
  <c r="H322" i="4"/>
  <c r="H323" i="4"/>
  <c r="B321" i="4"/>
  <c r="F321" i="4"/>
  <c r="H321" i="4"/>
  <c r="B320" i="4"/>
  <c r="F320" i="4"/>
  <c r="H320" i="4"/>
  <c r="B319" i="4"/>
  <c r="F319" i="4"/>
  <c r="H319" i="4"/>
  <c r="B335" i="4"/>
  <c r="B333" i="4"/>
  <c r="B332" i="4"/>
  <c r="B433" i="4"/>
  <c r="F433" i="4"/>
  <c r="H433" i="4"/>
  <c r="B432" i="4"/>
  <c r="F432" i="4"/>
  <c r="H432" i="4"/>
  <c r="B431" i="4"/>
  <c r="F431" i="4"/>
  <c r="H431" i="4"/>
  <c r="B436" i="4"/>
  <c r="F436" i="4"/>
  <c r="H436" i="4"/>
  <c r="B435" i="4"/>
  <c r="F435" i="4"/>
  <c r="H435" i="4"/>
  <c r="B434" i="4"/>
  <c r="F434" i="4"/>
  <c r="H434" i="4"/>
  <c r="B377" i="4"/>
  <c r="F377" i="4"/>
  <c r="H377" i="4"/>
  <c r="B376" i="4"/>
  <c r="F376" i="4"/>
  <c r="H376" i="4"/>
  <c r="B360" i="4"/>
  <c r="F360" i="4"/>
  <c r="H360" i="4"/>
  <c r="B359" i="4"/>
  <c r="F359" i="4"/>
  <c r="H359" i="4"/>
  <c r="B18" i="6"/>
  <c r="F151" i="3"/>
  <c r="B13" i="2"/>
  <c r="Z13" i="2"/>
  <c r="B361" i="4"/>
  <c r="F361" i="4"/>
  <c r="H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F362" i="4"/>
  <c r="H362" i="4"/>
  <c r="AX71" i="2" l="1"/>
  <c r="AI4" i="2"/>
  <c r="BM4" i="2"/>
  <c r="AU4" i="2"/>
  <c r="BA4" i="2"/>
  <c r="BG4" i="2"/>
  <c r="AR71" i="2"/>
  <c r="AO4" i="2"/>
  <c r="AC4" i="2"/>
  <c r="T71" i="2"/>
  <c r="AF71" i="2"/>
  <c r="BJ71" i="2"/>
  <c r="BD71" i="2"/>
  <c r="Z71" i="2"/>
  <c r="AL71" i="2"/>
  <c r="I71" i="2"/>
  <c r="BK5" i="2"/>
  <c r="AA5" i="2"/>
  <c r="AM32" i="2"/>
  <c r="O32" i="2"/>
  <c r="AY32" i="2"/>
  <c r="BK32" i="2"/>
  <c r="AS32" i="2"/>
  <c r="BE5" i="2"/>
  <c r="U5" i="2"/>
  <c r="AG5" i="2"/>
  <c r="AL32" i="2"/>
  <c r="N32" i="2"/>
  <c r="I32" i="2"/>
  <c r="AX32" i="2"/>
  <c r="AL5" i="2"/>
  <c r="AA32" i="2"/>
  <c r="U32" i="2"/>
  <c r="N5" i="2"/>
  <c r="AC5" i="2" s="1"/>
  <c r="BE32" i="2"/>
  <c r="AA25" i="2"/>
  <c r="O25" i="2"/>
  <c r="AA24" i="2"/>
  <c r="O24" i="2"/>
  <c r="U22" i="2"/>
  <c r="O22" i="2"/>
  <c r="AA12" i="2"/>
  <c r="O12" i="2"/>
  <c r="AA21" i="2"/>
  <c r="O21" i="2"/>
  <c r="AA20" i="2"/>
  <c r="O20" i="2"/>
  <c r="BK21" i="2"/>
  <c r="AS21" i="2"/>
  <c r="AM21" i="2"/>
  <c r="U21" i="2"/>
  <c r="AS12" i="2"/>
  <c r="BK12" i="2"/>
  <c r="U12" i="2"/>
  <c r="AM12" i="2"/>
  <c r="BE21" i="2"/>
  <c r="AL21" i="2"/>
  <c r="BE12" i="2"/>
  <c r="AG12" i="2"/>
  <c r="BJ21" i="2"/>
  <c r="AG21" i="2"/>
  <c r="N21" i="2"/>
  <c r="BD21" i="2"/>
  <c r="AY21" i="2"/>
  <c r="AF21" i="2"/>
  <c r="AY12" i="2"/>
  <c r="AG20" i="2"/>
  <c r="AM24" i="2"/>
  <c r="BK24" i="2"/>
  <c r="AG24" i="2"/>
  <c r="AY24" i="2"/>
  <c r="BE24" i="2"/>
  <c r="U24" i="2"/>
  <c r="AS24" i="2"/>
  <c r="AY20" i="2"/>
  <c r="BD24" i="2"/>
  <c r="U20" i="2"/>
  <c r="Z20" i="2"/>
  <c r="F332" i="4"/>
  <c r="H332" i="4"/>
  <c r="F335" i="4"/>
  <c r="H335" i="4"/>
  <c r="F333" i="4"/>
  <c r="H333" i="4"/>
  <c r="T20" i="2"/>
  <c r="BJ20" i="2"/>
  <c r="AG25" i="2"/>
  <c r="AX20" i="2"/>
  <c r="AM20" i="2"/>
  <c r="BJ23" i="2"/>
  <c r="AR23" i="2"/>
  <c r="AS25" i="2"/>
  <c r="AF25" i="2"/>
  <c r="AR22" i="2"/>
  <c r="BK20" i="2"/>
  <c r="Z22" i="2"/>
  <c r="AF20" i="2"/>
  <c r="AF23" i="2"/>
  <c r="Z25" i="2"/>
  <c r="Z23" i="2"/>
  <c r="BJ25" i="2"/>
  <c r="T25" i="2"/>
  <c r="BJ22" i="2"/>
  <c r="AS20" i="2"/>
  <c r="BE25" i="2"/>
  <c r="AX22" i="2"/>
  <c r="AR20" i="2"/>
  <c r="AY25" i="2"/>
  <c r="AX25" i="2"/>
  <c r="AF22" i="2"/>
  <c r="T22" i="2"/>
  <c r="BE20" i="2"/>
  <c r="AL20" i="2"/>
  <c r="T23" i="2"/>
  <c r="U25" i="2"/>
  <c r="BD20" i="2"/>
  <c r="AR25" i="2"/>
  <c r="AM22" i="2"/>
  <c r="AX23" i="2"/>
  <c r="AM25" i="2"/>
  <c r="N25" i="2"/>
  <c r="BE22" i="2"/>
  <c r="AL22" i="2"/>
  <c r="AS22" i="2"/>
  <c r="BK25" i="2"/>
  <c r="BD22" i="2"/>
  <c r="AA22" i="2"/>
  <c r="AG22" i="2"/>
  <c r="AN23" i="2"/>
  <c r="AY22" i="2"/>
  <c r="BK22" i="2"/>
  <c r="BD25" i="2"/>
  <c r="V23" i="2"/>
  <c r="BF23" i="2"/>
  <c r="AL23" i="2"/>
  <c r="AB23" i="2"/>
  <c r="BD23" i="2"/>
  <c r="AT23" i="2"/>
  <c r="AH23" i="2"/>
  <c r="BL23" i="2"/>
  <c r="AZ23" i="2"/>
  <c r="BJ10" i="2"/>
  <c r="T10" i="2"/>
  <c r="N13" i="2"/>
  <c r="AR13" i="2"/>
  <c r="AF13" i="2"/>
  <c r="BJ13" i="2"/>
  <c r="AX13" i="2"/>
  <c r="AL13" i="2"/>
  <c r="T13" i="2"/>
  <c r="BD13" i="2"/>
  <c r="Q5" i="2" l="1"/>
  <c r="W71" i="2"/>
  <c r="BA71" i="2"/>
  <c r="AI71" i="2"/>
  <c r="BM71" i="2"/>
  <c r="AU71" i="2"/>
  <c r="AC71" i="2"/>
  <c r="BG71" i="2"/>
  <c r="AO71" i="2"/>
  <c r="AU5" i="2"/>
  <c r="BA5" i="2"/>
  <c r="W5" i="2"/>
  <c r="BG5" i="2"/>
  <c r="AO5" i="2"/>
  <c r="AI5" i="2"/>
  <c r="BM5" i="2"/>
  <c r="AI32" i="2"/>
  <c r="BM32" i="2"/>
  <c r="AC32" i="2"/>
  <c r="BG32" i="2"/>
  <c r="BA32" i="2"/>
  <c r="AO32" i="2"/>
  <c r="W32" i="2"/>
  <c r="AU32" i="2"/>
  <c r="B337" i="4"/>
  <c r="F337" i="4"/>
  <c r="H337" i="4"/>
  <c r="F95" i="3" l="1"/>
  <c r="B234" i="4"/>
  <c r="F234" i="4"/>
  <c r="H234" i="4"/>
  <c r="E73" i="3"/>
  <c r="E57" i="3"/>
  <c r="E56" i="3"/>
  <c r="F55" i="3"/>
  <c r="E45" i="3"/>
  <c r="E36" i="3"/>
  <c r="E35" i="3"/>
  <c r="E34" i="3"/>
  <c r="B3" i="4" l="1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7" i="4"/>
  <c r="B38" i="4"/>
  <c r="B39" i="4"/>
  <c r="B48" i="4"/>
  <c r="B40" i="4"/>
  <c r="B41" i="4"/>
  <c r="B42" i="4"/>
  <c r="B43" i="4"/>
  <c r="B44" i="4"/>
  <c r="B45" i="4"/>
  <c r="B46" i="4"/>
  <c r="B47" i="4"/>
  <c r="B68" i="4"/>
  <c r="B69" i="4"/>
  <c r="B70" i="4"/>
  <c r="B71" i="4"/>
  <c r="B72" i="4"/>
  <c r="B73" i="4"/>
  <c r="B74" i="4"/>
  <c r="B84" i="4"/>
  <c r="B75" i="4"/>
  <c r="B76" i="4"/>
  <c r="B77" i="4"/>
  <c r="B83" i="4"/>
  <c r="B78" i="4"/>
  <c r="B79" i="4"/>
  <c r="B80" i="4"/>
  <c r="B81" i="4"/>
  <c r="B82" i="4"/>
  <c r="B85" i="4"/>
  <c r="B86" i="4"/>
  <c r="B87" i="4"/>
  <c r="B88" i="4"/>
  <c r="B89" i="4"/>
  <c r="B90" i="4"/>
  <c r="B91" i="4"/>
  <c r="B92" i="4"/>
  <c r="B102" i="4"/>
  <c r="B93" i="4"/>
  <c r="B94" i="4"/>
  <c r="B95" i="4"/>
  <c r="B96" i="4"/>
  <c r="B97" i="4"/>
  <c r="B98" i="4"/>
  <c r="B99" i="4"/>
  <c r="B100" i="4"/>
  <c r="B101" i="4"/>
  <c r="B103" i="4"/>
  <c r="B104" i="4"/>
  <c r="B105" i="4"/>
  <c r="B106" i="4"/>
  <c r="B114" i="4"/>
  <c r="B107" i="4"/>
  <c r="B108" i="4"/>
  <c r="B109" i="4"/>
  <c r="B113" i="4"/>
  <c r="B115" i="4"/>
  <c r="B110" i="4"/>
  <c r="B111" i="4"/>
  <c r="B112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30" i="4"/>
  <c r="B128" i="4"/>
  <c r="B129" i="4"/>
  <c r="B131" i="4"/>
  <c r="B132" i="4"/>
  <c r="B133" i="4"/>
  <c r="B134" i="4"/>
  <c r="B135" i="4"/>
  <c r="B139" i="4"/>
  <c r="B136" i="4"/>
  <c r="B137" i="4"/>
  <c r="B138" i="4"/>
  <c r="B140" i="4"/>
  <c r="B141" i="4"/>
  <c r="B146" i="4"/>
  <c r="B142" i="4"/>
  <c r="B143" i="4"/>
  <c r="B144" i="4"/>
  <c r="B145" i="4"/>
  <c r="B148" i="4"/>
  <c r="B149" i="4"/>
  <c r="B150" i="4"/>
  <c r="B147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5" i="4"/>
  <c r="B166" i="4"/>
  <c r="B167" i="4"/>
  <c r="B168" i="4"/>
  <c r="B164" i="4"/>
  <c r="B175" i="4"/>
  <c r="B169" i="4"/>
  <c r="B170" i="4"/>
  <c r="B171" i="4"/>
  <c r="B172" i="4"/>
  <c r="B173" i="4"/>
  <c r="B174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8" i="4"/>
  <c r="B207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5" i="4"/>
  <c r="B236" i="4"/>
  <c r="B237" i="4"/>
  <c r="B238" i="4"/>
  <c r="B239" i="4"/>
  <c r="B240" i="4"/>
  <c r="B241" i="4"/>
  <c r="B245" i="4"/>
  <c r="B242" i="4"/>
  <c r="B243" i="4"/>
  <c r="B244" i="4"/>
  <c r="B247" i="4"/>
  <c r="B248" i="4"/>
  <c r="B249" i="4"/>
  <c r="B250" i="4"/>
  <c r="B246" i="4"/>
  <c r="B251" i="4"/>
  <c r="B252" i="4"/>
  <c r="B253" i="4"/>
  <c r="B254" i="4"/>
  <c r="B255" i="4"/>
  <c r="B256" i="4"/>
  <c r="B257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5" i="4"/>
  <c r="B306" i="4"/>
  <c r="B304" i="4"/>
  <c r="B307" i="4"/>
  <c r="B310" i="4"/>
  <c r="B308" i="4"/>
  <c r="B309" i="4"/>
  <c r="B311" i="4"/>
  <c r="B312" i="4"/>
  <c r="B313" i="4"/>
  <c r="B314" i="4"/>
  <c r="B315" i="4"/>
  <c r="B316" i="4"/>
  <c r="B317" i="4"/>
  <c r="B318" i="4"/>
  <c r="B336" i="4"/>
  <c r="B338" i="4"/>
  <c r="B339" i="4"/>
  <c r="B340" i="4"/>
  <c r="B341" i="4"/>
  <c r="B342" i="4"/>
  <c r="B343" i="4"/>
  <c r="B344" i="4"/>
  <c r="B346" i="4"/>
  <c r="B347" i="4"/>
  <c r="B358" i="4"/>
  <c r="B348" i="4"/>
  <c r="B349" i="4"/>
  <c r="B350" i="4"/>
  <c r="B351" i="4"/>
  <c r="B352" i="4"/>
  <c r="B353" i="4"/>
  <c r="B354" i="4"/>
  <c r="B355" i="4"/>
  <c r="B356" i="4"/>
  <c r="B345" i="4"/>
  <c r="B357" i="4"/>
  <c r="B379" i="4"/>
  <c r="B380" i="4"/>
  <c r="B381" i="4"/>
  <c r="B386" i="4"/>
  <c r="B382" i="4"/>
  <c r="B378" i="4"/>
  <c r="B383" i="4"/>
  <c r="B384" i="4"/>
  <c r="B385" i="4"/>
  <c r="B388" i="4"/>
  <c r="B389" i="4"/>
  <c r="B390" i="4"/>
  <c r="B387" i="4"/>
  <c r="B391" i="4"/>
  <c r="B392" i="4"/>
  <c r="B393" i="4"/>
  <c r="B394" i="4"/>
  <c r="B395" i="4"/>
  <c r="B396" i="4"/>
  <c r="B397" i="4"/>
  <c r="B399" i="4"/>
  <c r="B400" i="4"/>
  <c r="B398" i="4"/>
  <c r="B401" i="4"/>
  <c r="B402" i="4"/>
  <c r="B403" i="4"/>
  <c r="B405" i="4"/>
  <c r="B406" i="4"/>
  <c r="B407" i="4"/>
  <c r="B404" i="4"/>
  <c r="B408" i="4"/>
  <c r="B409" i="4"/>
  <c r="B410" i="4"/>
  <c r="B411" i="4"/>
  <c r="B412" i="4"/>
  <c r="B421" i="4"/>
  <c r="B413" i="4"/>
  <c r="B414" i="4"/>
  <c r="B415" i="4"/>
  <c r="B416" i="4"/>
  <c r="B417" i="4"/>
  <c r="B418" i="4"/>
  <c r="B419" i="4"/>
  <c r="B420" i="4"/>
  <c r="B422" i="4"/>
  <c r="B423" i="4"/>
  <c r="B424" i="4"/>
  <c r="B425" i="4"/>
  <c r="B426" i="4"/>
  <c r="B427" i="4"/>
  <c r="B428" i="4"/>
  <c r="B429" i="4"/>
  <c r="B430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5" i="4"/>
  <c r="B456" i="4"/>
  <c r="B457" i="4"/>
  <c r="B458" i="4"/>
  <c r="B454" i="4"/>
  <c r="B459" i="4"/>
  <c r="B460" i="4"/>
  <c r="B461" i="4"/>
  <c r="B462" i="4"/>
  <c r="B2" i="4"/>
  <c r="B17" i="2"/>
  <c r="B62" i="2"/>
  <c r="B6" i="2"/>
  <c r="B7" i="2"/>
  <c r="B18" i="2"/>
  <c r="B8" i="2"/>
  <c r="B9" i="2"/>
  <c r="B2" i="2"/>
  <c r="B34" i="2"/>
  <c r="B19" i="2"/>
  <c r="B11" i="2"/>
  <c r="B35" i="2"/>
  <c r="B36" i="2"/>
  <c r="B37" i="2"/>
  <c r="B38" i="2"/>
  <c r="B26" i="2"/>
  <c r="B27" i="2"/>
  <c r="B33" i="2"/>
  <c r="B28" i="2"/>
  <c r="B29" i="2"/>
  <c r="B39" i="2"/>
  <c r="B44" i="2"/>
  <c r="B3" i="2"/>
  <c r="B14" i="2"/>
  <c r="B40" i="2"/>
  <c r="B41" i="2"/>
  <c r="B42" i="2"/>
  <c r="B30" i="2"/>
  <c r="B31" i="2"/>
  <c r="B45" i="2"/>
  <c r="B46" i="2"/>
  <c r="B48" i="2"/>
  <c r="B59" i="2"/>
  <c r="B49" i="2"/>
  <c r="B47" i="2"/>
  <c r="B51" i="2"/>
  <c r="B50" i="2"/>
  <c r="B54" i="2"/>
  <c r="B52" i="2"/>
  <c r="B53" i="2"/>
  <c r="B55" i="2"/>
  <c r="B56" i="2"/>
  <c r="B57" i="2"/>
  <c r="B58" i="2"/>
  <c r="B43" i="2"/>
  <c r="B61" i="2"/>
  <c r="B60" i="2"/>
  <c r="B63" i="2"/>
  <c r="B64" i="2"/>
  <c r="B65" i="2"/>
  <c r="B66" i="2"/>
  <c r="B67" i="2"/>
  <c r="B68" i="2"/>
  <c r="B69" i="2"/>
  <c r="B70" i="2"/>
  <c r="B16" i="2"/>
  <c r="BJ66" i="2"/>
  <c r="BD66" i="2"/>
  <c r="AX66" i="2"/>
  <c r="AR66" i="2"/>
  <c r="AL66" i="2"/>
  <c r="AF66" i="2"/>
  <c r="Z66" i="2"/>
  <c r="T66" i="2"/>
  <c r="N66" i="2"/>
  <c r="R66" i="2" s="1"/>
  <c r="D63" i="2"/>
  <c r="N63" i="2" s="1"/>
  <c r="R63" i="2" s="1"/>
  <c r="D65" i="2"/>
  <c r="N65" i="2" s="1"/>
  <c r="R65" i="2" s="1"/>
  <c r="D17" i="2"/>
  <c r="N17" i="2" s="1"/>
  <c r="D62" i="2"/>
  <c r="T62" i="2" s="1"/>
  <c r="D60" i="2"/>
  <c r="T60" i="2" s="1"/>
  <c r="AL50" i="2"/>
  <c r="I6" i="2"/>
  <c r="AL18" i="2"/>
  <c r="D14" i="2"/>
  <c r="N14" i="2" s="1"/>
  <c r="D59" i="2"/>
  <c r="AL59" i="2" s="1"/>
  <c r="T31" i="2"/>
  <c r="D43" i="2"/>
  <c r="AL43" i="2" s="1"/>
  <c r="D58" i="2"/>
  <c r="AL58" i="2" s="1"/>
  <c r="D41" i="2"/>
  <c r="N41" i="2" s="1"/>
  <c r="D53" i="2"/>
  <c r="T53" i="2" s="1"/>
  <c r="D47" i="2"/>
  <c r="AL47" i="2" s="1"/>
  <c r="D46" i="2"/>
  <c r="AL46" i="2" s="1"/>
  <c r="D30" i="2"/>
  <c r="T30" i="2" s="1"/>
  <c r="T8" i="2"/>
  <c r="D69" i="2"/>
  <c r="AL69" i="2" s="1"/>
  <c r="D70" i="2"/>
  <c r="AL70" i="2" s="1"/>
  <c r="D67" i="2"/>
  <c r="AL9" i="2"/>
  <c r="D38" i="2"/>
  <c r="AL38" i="2" s="1"/>
  <c r="D40" i="2"/>
  <c r="AL40" i="2" s="1"/>
  <c r="D61" i="2"/>
  <c r="AL61" i="2" s="1"/>
  <c r="T2" i="2"/>
  <c r="D54" i="2"/>
  <c r="AL54" i="2" s="1"/>
  <c r="D57" i="2"/>
  <c r="AL57" i="2" s="1"/>
  <c r="AL3" i="2"/>
  <c r="D52" i="2"/>
  <c r="AL52" i="2" s="1"/>
  <c r="D34" i="2"/>
  <c r="AL34" i="2" s="1"/>
  <c r="T19" i="2"/>
  <c r="T11" i="2"/>
  <c r="D64" i="2"/>
  <c r="AL64" i="2" s="1"/>
  <c r="D68" i="2"/>
  <c r="AL68" i="2" s="1"/>
  <c r="D56" i="2"/>
  <c r="D35" i="2"/>
  <c r="AL35" i="2" s="1"/>
  <c r="D36" i="2"/>
  <c r="AL36" i="2" s="1"/>
  <c r="D55" i="2"/>
  <c r="AL55" i="2" s="1"/>
  <c r="D49" i="2"/>
  <c r="AL49" i="2" s="1"/>
  <c r="D48" i="2"/>
  <c r="T48" i="2" s="1"/>
  <c r="D29" i="2"/>
  <c r="AL29" i="2" s="1"/>
  <c r="D28" i="2"/>
  <c r="AL28" i="2" s="1"/>
  <c r="D33" i="2"/>
  <c r="AL33" i="2" s="1"/>
  <c r="D44" i="2"/>
  <c r="AL44" i="2" s="1"/>
  <c r="D42" i="2"/>
  <c r="AL42" i="2" s="1"/>
  <c r="D39" i="2"/>
  <c r="AL39" i="2" s="1"/>
  <c r="D51" i="2"/>
  <c r="T51" i="2" s="1"/>
  <c r="AL26" i="2"/>
  <c r="D45" i="2"/>
  <c r="AL45" i="2" s="1"/>
  <c r="AL16" i="2"/>
  <c r="L35" i="4" l="1"/>
  <c r="R35" i="4"/>
  <c r="N35" i="4"/>
  <c r="N36" i="4"/>
  <c r="T35" i="4"/>
  <c r="P35" i="4"/>
  <c r="S36" i="4"/>
  <c r="Q35" i="4"/>
  <c r="M35" i="4"/>
  <c r="R36" i="4"/>
  <c r="L34" i="4"/>
  <c r="P36" i="4"/>
  <c r="S35" i="4"/>
  <c r="T34" i="4"/>
  <c r="Q36" i="4"/>
  <c r="O35" i="4"/>
  <c r="N34" i="4"/>
  <c r="O36" i="4"/>
  <c r="M36" i="4"/>
  <c r="M34" i="4"/>
  <c r="S34" i="4"/>
  <c r="T36" i="4"/>
  <c r="Q34" i="4"/>
  <c r="L36" i="4"/>
  <c r="R34" i="4"/>
  <c r="O34" i="4"/>
  <c r="P34" i="4"/>
  <c r="O33" i="4"/>
  <c r="S33" i="4"/>
  <c r="N33" i="4"/>
  <c r="M33" i="4"/>
  <c r="T33" i="4"/>
  <c r="L33" i="4"/>
  <c r="Q33" i="4"/>
  <c r="P33" i="4"/>
  <c r="R33" i="4"/>
  <c r="O66" i="4"/>
  <c r="M51" i="4"/>
  <c r="N52" i="4"/>
  <c r="O53" i="4"/>
  <c r="P55" i="4"/>
  <c r="Q57" i="4"/>
  <c r="R56" i="4"/>
  <c r="S58" i="4"/>
  <c r="P66" i="4"/>
  <c r="L50" i="4"/>
  <c r="M52" i="4"/>
  <c r="N53" i="4"/>
  <c r="O54" i="4"/>
  <c r="P58" i="4"/>
  <c r="Q58" i="4"/>
  <c r="R58" i="4"/>
  <c r="T50" i="4"/>
  <c r="Q66" i="4"/>
  <c r="L51" i="4"/>
  <c r="M53" i="4"/>
  <c r="N54" i="4"/>
  <c r="O58" i="4"/>
  <c r="Q50" i="4"/>
  <c r="R50" i="4"/>
  <c r="S50" i="4"/>
  <c r="T51" i="4"/>
  <c r="R66" i="4"/>
  <c r="L52" i="4"/>
  <c r="M54" i="4"/>
  <c r="N55" i="4"/>
  <c r="P50" i="4"/>
  <c r="Q51" i="4"/>
  <c r="R51" i="4"/>
  <c r="S51" i="4"/>
  <c r="T52" i="4"/>
  <c r="S66" i="4"/>
  <c r="L53" i="4"/>
  <c r="M55" i="4"/>
  <c r="N58" i="4"/>
  <c r="P51" i="4"/>
  <c r="Q52" i="4"/>
  <c r="R52" i="4"/>
  <c r="S52" i="4"/>
  <c r="T53" i="4"/>
  <c r="L54" i="4"/>
  <c r="M58" i="4"/>
  <c r="O50" i="4"/>
  <c r="P52" i="4"/>
  <c r="Q53" i="4"/>
  <c r="R53" i="4"/>
  <c r="S53" i="4"/>
  <c r="T54" i="4"/>
  <c r="M66" i="4"/>
  <c r="L58" i="4"/>
  <c r="N50" i="4"/>
  <c r="O51" i="4"/>
  <c r="P53" i="4"/>
  <c r="Q54" i="4"/>
  <c r="R54" i="4"/>
  <c r="S54" i="4"/>
  <c r="T55" i="4"/>
  <c r="N66" i="4"/>
  <c r="M50" i="4"/>
  <c r="N51" i="4"/>
  <c r="O52" i="4"/>
  <c r="P54" i="4"/>
  <c r="Q55" i="4"/>
  <c r="R55" i="4"/>
  <c r="S55" i="4"/>
  <c r="T58" i="4"/>
  <c r="L66" i="4"/>
  <c r="O49" i="4"/>
  <c r="O55" i="4"/>
  <c r="L56" i="4"/>
  <c r="Q49" i="4"/>
  <c r="T67" i="4"/>
  <c r="S65" i="4"/>
  <c r="L64" i="4"/>
  <c r="S62" i="4"/>
  <c r="L61" i="4"/>
  <c r="S60" i="4"/>
  <c r="M60" i="4"/>
  <c r="S56" i="4"/>
  <c r="Q56" i="4"/>
  <c r="N56" i="4"/>
  <c r="L49" i="4"/>
  <c r="O62" i="4"/>
  <c r="R67" i="4"/>
  <c r="Q65" i="4"/>
  <c r="Q64" i="4"/>
  <c r="T63" i="4"/>
  <c r="M62" i="4"/>
  <c r="M61" i="4"/>
  <c r="T60" i="4"/>
  <c r="R57" i="4"/>
  <c r="P57" i="4"/>
  <c r="M57" i="4"/>
  <c r="R49" i="4"/>
  <c r="S67" i="4"/>
  <c r="R65" i="4"/>
  <c r="R64" i="4"/>
  <c r="O63" i="4"/>
  <c r="L63" i="4"/>
  <c r="T62" i="4"/>
  <c r="T61" i="4"/>
  <c r="L60" i="4"/>
  <c r="T66" i="4"/>
  <c r="P56" i="4"/>
  <c r="T57" i="4"/>
  <c r="P49" i="4"/>
  <c r="Q67" i="4"/>
  <c r="P65" i="4"/>
  <c r="P64" i="4"/>
  <c r="R63" i="4"/>
  <c r="R62" i="4"/>
  <c r="L62" i="4"/>
  <c r="S61" i="4"/>
  <c r="Q60" i="4"/>
  <c r="O61" i="4"/>
  <c r="O57" i="4"/>
  <c r="M56" i="4"/>
  <c r="N49" i="4"/>
  <c r="P67" i="4"/>
  <c r="N65" i="4"/>
  <c r="N64" i="4"/>
  <c r="P63" i="4"/>
  <c r="P62" i="4"/>
  <c r="R61" i="4"/>
  <c r="R60" i="4"/>
  <c r="O67" i="4"/>
  <c r="T49" i="4"/>
  <c r="L57" i="4"/>
  <c r="M49" i="4"/>
  <c r="N67" i="4"/>
  <c r="M65" i="4"/>
  <c r="S64" i="4"/>
  <c r="N63" i="4"/>
  <c r="Q63" i="4"/>
  <c r="P61" i="4"/>
  <c r="P60" i="4"/>
  <c r="L55" i="4"/>
  <c r="O56" i="4"/>
  <c r="T56" i="4"/>
  <c r="S49" i="4"/>
  <c r="M67" i="4"/>
  <c r="T65" i="4"/>
  <c r="M64" i="4"/>
  <c r="M63" i="4"/>
  <c r="N62" i="4"/>
  <c r="Q62" i="4"/>
  <c r="Q61" i="4"/>
  <c r="O64" i="4"/>
  <c r="N57" i="4"/>
  <c r="S57" i="4"/>
  <c r="O65" i="4"/>
  <c r="L67" i="4"/>
  <c r="L65" i="4"/>
  <c r="T64" i="4"/>
  <c r="S63" i="4"/>
  <c r="O60" i="4"/>
  <c r="N61" i="4"/>
  <c r="N60" i="4"/>
  <c r="AL7" i="2"/>
  <c r="I7" i="2"/>
  <c r="AL14" i="2"/>
  <c r="I14" i="2"/>
  <c r="AL65" i="2"/>
  <c r="AL63" i="2"/>
  <c r="T17" i="2"/>
  <c r="P59" i="4"/>
  <c r="Q59" i="4"/>
  <c r="R59" i="4"/>
  <c r="O59" i="4"/>
  <c r="S59" i="4"/>
  <c r="N59" i="4"/>
  <c r="M59" i="4"/>
  <c r="T59" i="4"/>
  <c r="L59" i="4"/>
  <c r="M327" i="4"/>
  <c r="R327" i="4"/>
  <c r="N327" i="4"/>
  <c r="T327" i="4"/>
  <c r="S327" i="4"/>
  <c r="L327" i="4"/>
  <c r="P327" i="4"/>
  <c r="O327" i="4"/>
  <c r="Q327" i="4"/>
  <c r="O328" i="4"/>
  <c r="P328" i="4"/>
  <c r="Q328" i="4"/>
  <c r="R328" i="4"/>
  <c r="N328" i="4"/>
  <c r="S328" i="4"/>
  <c r="M328" i="4"/>
  <c r="L328" i="4"/>
  <c r="T328" i="4"/>
  <c r="O334" i="4"/>
  <c r="P334" i="4"/>
  <c r="Q334" i="4"/>
  <c r="R334" i="4"/>
  <c r="S334" i="4"/>
  <c r="T334" i="4"/>
  <c r="L334" i="4"/>
  <c r="N334" i="4"/>
  <c r="M334" i="4"/>
  <c r="S324" i="4"/>
  <c r="O324" i="4"/>
  <c r="N325" i="4"/>
  <c r="L324" i="4"/>
  <c r="R325" i="4"/>
  <c r="O326" i="4"/>
  <c r="L325" i="4"/>
  <c r="S325" i="4"/>
  <c r="M326" i="4"/>
  <c r="S326" i="4"/>
  <c r="Q326" i="4"/>
  <c r="T326" i="4"/>
  <c r="T324" i="4"/>
  <c r="P326" i="4"/>
  <c r="M324" i="4"/>
  <c r="P324" i="4"/>
  <c r="R324" i="4"/>
  <c r="Q325" i="4"/>
  <c r="N324" i="4"/>
  <c r="T325" i="4"/>
  <c r="O325" i="4"/>
  <c r="N326" i="4"/>
  <c r="P325" i="4"/>
  <c r="R326" i="4"/>
  <c r="M325" i="4"/>
  <c r="L326" i="4"/>
  <c r="Q324" i="4"/>
  <c r="L330" i="4"/>
  <c r="P330" i="4"/>
  <c r="T330" i="4"/>
  <c r="L331" i="4"/>
  <c r="P331" i="4"/>
  <c r="T331" i="4"/>
  <c r="R329" i="4"/>
  <c r="N330" i="4"/>
  <c r="R330" i="4"/>
  <c r="N331" i="4"/>
  <c r="R331" i="4"/>
  <c r="P329" i="4"/>
  <c r="O329" i="4"/>
  <c r="T329" i="4"/>
  <c r="S330" i="4"/>
  <c r="L329" i="4"/>
  <c r="Q329" i="4"/>
  <c r="M329" i="4"/>
  <c r="M331" i="4"/>
  <c r="Q330" i="4"/>
  <c r="M330" i="4"/>
  <c r="O330" i="4"/>
  <c r="N329" i="4"/>
  <c r="S329" i="4"/>
  <c r="S331" i="4"/>
  <c r="Q331" i="4"/>
  <c r="O331" i="4"/>
  <c r="P259" i="4"/>
  <c r="T261" i="4"/>
  <c r="O258" i="4"/>
  <c r="O260" i="4"/>
  <c r="L261" i="4"/>
  <c r="Q261" i="4"/>
  <c r="S259" i="4"/>
  <c r="N259" i="4"/>
  <c r="Q258" i="4"/>
  <c r="O261" i="4"/>
  <c r="T259" i="4"/>
  <c r="M260" i="4"/>
  <c r="N260" i="4"/>
  <c r="L259" i="4"/>
  <c r="P258" i="4"/>
  <c r="L258" i="4"/>
  <c r="L260" i="4"/>
  <c r="T258" i="4"/>
  <c r="M261" i="4"/>
  <c r="R261" i="4"/>
  <c r="N258" i="4"/>
  <c r="N261" i="4"/>
  <c r="Q259" i="4"/>
  <c r="R260" i="4"/>
  <c r="M259" i="4"/>
  <c r="O259" i="4"/>
  <c r="P260" i="4"/>
  <c r="S260" i="4"/>
  <c r="R258" i="4"/>
  <c r="P261" i="4"/>
  <c r="T260" i="4"/>
  <c r="S258" i="4"/>
  <c r="R259" i="4"/>
  <c r="M258" i="4"/>
  <c r="Q260" i="4"/>
  <c r="S261" i="4"/>
  <c r="O262" i="4"/>
  <c r="P262" i="4"/>
  <c r="R262" i="4"/>
  <c r="S262" i="4"/>
  <c r="N262" i="4"/>
  <c r="Q262" i="4"/>
  <c r="T262" i="4"/>
  <c r="L262" i="4"/>
  <c r="M262" i="4"/>
  <c r="O322" i="4"/>
  <c r="R323" i="4"/>
  <c r="L322" i="4"/>
  <c r="O323" i="4"/>
  <c r="T322" i="4"/>
  <c r="L323" i="4"/>
  <c r="Q322" i="4"/>
  <c r="T323" i="4"/>
  <c r="N322" i="4"/>
  <c r="Q323" i="4"/>
  <c r="N323" i="4"/>
  <c r="S322" i="4"/>
  <c r="P322" i="4"/>
  <c r="S323" i="4"/>
  <c r="M322" i="4"/>
  <c r="P323" i="4"/>
  <c r="M323" i="4"/>
  <c r="R322" i="4"/>
  <c r="O321" i="4"/>
  <c r="P321" i="4"/>
  <c r="T321" i="4"/>
  <c r="N321" i="4"/>
  <c r="M321" i="4"/>
  <c r="Q321" i="4"/>
  <c r="L321" i="4"/>
  <c r="S321" i="4"/>
  <c r="R321" i="4"/>
  <c r="O335" i="4"/>
  <c r="S320" i="4"/>
  <c r="P335" i="4"/>
  <c r="P333" i="4"/>
  <c r="S333" i="4"/>
  <c r="Q332" i="4"/>
  <c r="O319" i="4"/>
  <c r="R333" i="4"/>
  <c r="M319" i="4"/>
  <c r="O332" i="4"/>
  <c r="Q335" i="4"/>
  <c r="N332" i="4"/>
  <c r="O333" i="4"/>
  <c r="N320" i="4"/>
  <c r="N333" i="4"/>
  <c r="N335" i="4"/>
  <c r="M332" i="4"/>
  <c r="O320" i="4"/>
  <c r="M320" i="4"/>
  <c r="T319" i="4"/>
  <c r="M335" i="4"/>
  <c r="M333" i="4"/>
  <c r="Q333" i="4"/>
  <c r="R320" i="4"/>
  <c r="T320" i="4"/>
  <c r="L319" i="4"/>
  <c r="T335" i="4"/>
  <c r="T332" i="4"/>
  <c r="P320" i="4"/>
  <c r="L320" i="4"/>
  <c r="S319" i="4"/>
  <c r="L335" i="4"/>
  <c r="T333" i="4"/>
  <c r="L332" i="4"/>
  <c r="R319" i="4"/>
  <c r="P319" i="4"/>
  <c r="Q319" i="4"/>
  <c r="S335" i="4"/>
  <c r="L333" i="4"/>
  <c r="S332" i="4"/>
  <c r="N319" i="4"/>
  <c r="Q320" i="4"/>
  <c r="R335" i="4"/>
  <c r="P332" i="4"/>
  <c r="R332" i="4"/>
  <c r="P432" i="4"/>
  <c r="P433" i="4"/>
  <c r="O433" i="4"/>
  <c r="Q433" i="4"/>
  <c r="Q432" i="4"/>
  <c r="L431" i="4"/>
  <c r="T436" i="4"/>
  <c r="M435" i="4"/>
  <c r="R434" i="4"/>
  <c r="P377" i="4"/>
  <c r="R377" i="4"/>
  <c r="Q431" i="4"/>
  <c r="S436" i="4"/>
  <c r="T435" i="4"/>
  <c r="P434" i="4"/>
  <c r="N377" i="4"/>
  <c r="N376" i="4"/>
  <c r="S435" i="4"/>
  <c r="M434" i="4"/>
  <c r="Q434" i="4"/>
  <c r="N436" i="4"/>
  <c r="O377" i="4"/>
  <c r="N433" i="4"/>
  <c r="R433" i="4"/>
  <c r="L433" i="4"/>
  <c r="L432" i="4"/>
  <c r="N431" i="4"/>
  <c r="L436" i="4"/>
  <c r="R435" i="4"/>
  <c r="M436" i="4"/>
  <c r="R376" i="4"/>
  <c r="O432" i="4"/>
  <c r="S432" i="4"/>
  <c r="N432" i="4"/>
  <c r="R431" i="4"/>
  <c r="Q436" i="4"/>
  <c r="L435" i="4"/>
  <c r="N434" i="4"/>
  <c r="M377" i="4"/>
  <c r="Q377" i="4"/>
  <c r="T377" i="4"/>
  <c r="S377" i="4"/>
  <c r="S433" i="4"/>
  <c r="L376" i="4"/>
  <c r="O434" i="4"/>
  <c r="R432" i="4"/>
  <c r="T431" i="4"/>
  <c r="N435" i="4"/>
  <c r="P376" i="4"/>
  <c r="O436" i="4"/>
  <c r="M433" i="4"/>
  <c r="M432" i="4"/>
  <c r="P431" i="4"/>
  <c r="R436" i="4"/>
  <c r="T376" i="4"/>
  <c r="O431" i="4"/>
  <c r="M431" i="4"/>
  <c r="P435" i="4"/>
  <c r="L434" i="4"/>
  <c r="S376" i="4"/>
  <c r="T434" i="4"/>
  <c r="T433" i="4"/>
  <c r="T432" i="4"/>
  <c r="S431" i="4"/>
  <c r="P436" i="4"/>
  <c r="O376" i="4"/>
  <c r="Q435" i="4"/>
  <c r="S434" i="4"/>
  <c r="L377" i="4"/>
  <c r="M376" i="4"/>
  <c r="O435" i="4"/>
  <c r="Q376" i="4"/>
  <c r="T360" i="4"/>
  <c r="M359" i="4"/>
  <c r="O359" i="4"/>
  <c r="S360" i="4"/>
  <c r="T359" i="4"/>
  <c r="N359" i="4"/>
  <c r="R360" i="4"/>
  <c r="L359" i="4"/>
  <c r="O360" i="4"/>
  <c r="Q360" i="4"/>
  <c r="S359" i="4"/>
  <c r="M360" i="4"/>
  <c r="Q359" i="4"/>
  <c r="R359" i="4"/>
  <c r="N360" i="4"/>
  <c r="P360" i="4"/>
  <c r="P359" i="4"/>
  <c r="L360" i="4"/>
  <c r="O361" i="4"/>
  <c r="P361" i="4"/>
  <c r="Q361" i="4"/>
  <c r="R361" i="4"/>
  <c r="S361" i="4"/>
  <c r="L361" i="4"/>
  <c r="T361" i="4"/>
  <c r="M361" i="4"/>
  <c r="N361" i="4"/>
  <c r="L365" i="4"/>
  <c r="L373" i="4"/>
  <c r="M367" i="4"/>
  <c r="N369" i="4"/>
  <c r="O363" i="4"/>
  <c r="O371" i="4"/>
  <c r="P365" i="4"/>
  <c r="P373" i="4"/>
  <c r="Q367" i="4"/>
  <c r="R369" i="4"/>
  <c r="S363" i="4"/>
  <c r="S371" i="4"/>
  <c r="T365" i="4"/>
  <c r="T373" i="4"/>
  <c r="L366" i="4"/>
  <c r="L374" i="4"/>
  <c r="M368" i="4"/>
  <c r="M375" i="4"/>
  <c r="N370" i="4"/>
  <c r="O364" i="4"/>
  <c r="O372" i="4"/>
  <c r="P366" i="4"/>
  <c r="P374" i="4"/>
  <c r="Q368" i="4"/>
  <c r="Q375" i="4"/>
  <c r="R370" i="4"/>
  <c r="S364" i="4"/>
  <c r="S372" i="4"/>
  <c r="T366" i="4"/>
  <c r="T374" i="4"/>
  <c r="L368" i="4"/>
  <c r="L375" i="4"/>
  <c r="M370" i="4"/>
  <c r="N364" i="4"/>
  <c r="N372" i="4"/>
  <c r="O366" i="4"/>
  <c r="O374" i="4"/>
  <c r="P368" i="4"/>
  <c r="P375" i="4"/>
  <c r="Q370" i="4"/>
  <c r="R364" i="4"/>
  <c r="R372" i="4"/>
  <c r="S366" i="4"/>
  <c r="S374" i="4"/>
  <c r="T368" i="4"/>
  <c r="T375" i="4"/>
  <c r="L364" i="4"/>
  <c r="L372" i="4"/>
  <c r="M366" i="4"/>
  <c r="M374" i="4"/>
  <c r="N368" i="4"/>
  <c r="N375" i="4"/>
  <c r="O370" i="4"/>
  <c r="P364" i="4"/>
  <c r="P372" i="4"/>
  <c r="Q366" i="4"/>
  <c r="Q374" i="4"/>
  <c r="R368" i="4"/>
  <c r="R375" i="4"/>
  <c r="S370" i="4"/>
  <c r="T364" i="4"/>
  <c r="T372" i="4"/>
  <c r="L367" i="4"/>
  <c r="M369" i="4"/>
  <c r="N363" i="4"/>
  <c r="N371" i="4"/>
  <c r="O365" i="4"/>
  <c r="O373" i="4"/>
  <c r="P367" i="4"/>
  <c r="Q369" i="4"/>
  <c r="R363" i="4"/>
  <c r="S365" i="4"/>
  <c r="S373" i="4"/>
  <c r="L369" i="4"/>
  <c r="M363" i="4"/>
  <c r="M371" i="4"/>
  <c r="N365" i="4"/>
  <c r="N373" i="4"/>
  <c r="O367" i="4"/>
  <c r="P369" i="4"/>
  <c r="Q363" i="4"/>
  <c r="Q371" i="4"/>
  <c r="R365" i="4"/>
  <c r="R373" i="4"/>
  <c r="S367" i="4"/>
  <c r="T369" i="4"/>
  <c r="L363" i="4"/>
  <c r="L371" i="4"/>
  <c r="M365" i="4"/>
  <c r="M373" i="4"/>
  <c r="N367" i="4"/>
  <c r="O369" i="4"/>
  <c r="P363" i="4"/>
  <c r="P371" i="4"/>
  <c r="Q365" i="4"/>
  <c r="Q373" i="4"/>
  <c r="R367" i="4"/>
  <c r="S369" i="4"/>
  <c r="T363" i="4"/>
  <c r="T371" i="4"/>
  <c r="L370" i="4"/>
  <c r="M364" i="4"/>
  <c r="M372" i="4"/>
  <c r="N366" i="4"/>
  <c r="N374" i="4"/>
  <c r="O368" i="4"/>
  <c r="O375" i="4"/>
  <c r="P370" i="4"/>
  <c r="Q364" i="4"/>
  <c r="Q372" i="4"/>
  <c r="R366" i="4"/>
  <c r="R374" i="4"/>
  <c r="S368" i="4"/>
  <c r="S375" i="4"/>
  <c r="T370" i="4"/>
  <c r="R371" i="4"/>
  <c r="T367" i="4"/>
  <c r="O362" i="4"/>
  <c r="T362" i="4"/>
  <c r="M362" i="4"/>
  <c r="N362" i="4"/>
  <c r="P362" i="4"/>
  <c r="L362" i="4"/>
  <c r="S362" i="4"/>
  <c r="R362" i="4"/>
  <c r="Q362" i="4"/>
  <c r="P337" i="4"/>
  <c r="T234" i="4"/>
  <c r="S234" i="4"/>
  <c r="R234" i="4"/>
  <c r="Q234" i="4"/>
  <c r="P234" i="4"/>
  <c r="O234" i="4"/>
  <c r="N234" i="4"/>
  <c r="L234" i="4"/>
  <c r="M234" i="4"/>
  <c r="BJ6" i="2"/>
  <c r="BJ41" i="2"/>
  <c r="BJ67" i="2"/>
  <c r="BJ37" i="2"/>
  <c r="BJ56" i="2"/>
  <c r="BJ27" i="2"/>
  <c r="BJ62" i="2"/>
  <c r="BJ31" i="2"/>
  <c r="BJ8" i="2"/>
  <c r="BJ2" i="2"/>
  <c r="BJ11" i="2"/>
  <c r="BJ48" i="2"/>
  <c r="BJ51" i="2"/>
  <c r="BJ63" i="2"/>
  <c r="BJ18" i="2"/>
  <c r="BJ47" i="2"/>
  <c r="BJ38" i="2"/>
  <c r="BJ52" i="2"/>
  <c r="BJ36" i="2"/>
  <c r="BJ44" i="2"/>
  <c r="BJ50" i="2"/>
  <c r="BJ58" i="2"/>
  <c r="BJ70" i="2"/>
  <c r="BJ57" i="2"/>
  <c r="BJ68" i="2"/>
  <c r="BJ28" i="2"/>
  <c r="BJ45" i="2"/>
  <c r="BJ17" i="2"/>
  <c r="BJ59" i="2"/>
  <c r="BJ30" i="2"/>
  <c r="BJ61" i="2"/>
  <c r="BJ19" i="2"/>
  <c r="BJ49" i="2"/>
  <c r="BJ39" i="2"/>
  <c r="BJ16" i="2"/>
  <c r="BJ7" i="2"/>
  <c r="BJ53" i="2"/>
  <c r="BJ9" i="2"/>
  <c r="BJ3" i="2"/>
  <c r="BJ35" i="2"/>
  <c r="BJ33" i="2"/>
  <c r="BJ60" i="2"/>
  <c r="BJ43" i="2"/>
  <c r="BJ69" i="2"/>
  <c r="BJ54" i="2"/>
  <c r="BJ64" i="2"/>
  <c r="BJ29" i="2"/>
  <c r="BJ26" i="2"/>
  <c r="BJ65" i="2"/>
  <c r="BJ14" i="2"/>
  <c r="BJ46" i="2"/>
  <c r="BJ40" i="2"/>
  <c r="BJ34" i="2"/>
  <c r="BJ55" i="2"/>
  <c r="T337" i="4" s="1"/>
  <c r="BJ42" i="2"/>
  <c r="BD6" i="2"/>
  <c r="BD41" i="2"/>
  <c r="BD67" i="2"/>
  <c r="BD37" i="2"/>
  <c r="BD56" i="2"/>
  <c r="BD27" i="2"/>
  <c r="BD62" i="2"/>
  <c r="BD31" i="2"/>
  <c r="BD8" i="2"/>
  <c r="BD2" i="2"/>
  <c r="BD11" i="2"/>
  <c r="BD48" i="2"/>
  <c r="BD51" i="2"/>
  <c r="BD63" i="2"/>
  <c r="BD18" i="2"/>
  <c r="BD47" i="2"/>
  <c r="BD38" i="2"/>
  <c r="BD52" i="2"/>
  <c r="BD36" i="2"/>
  <c r="BD44" i="2"/>
  <c r="BD50" i="2"/>
  <c r="BD58" i="2"/>
  <c r="BD70" i="2"/>
  <c r="BD57" i="2"/>
  <c r="BD68" i="2"/>
  <c r="BD28" i="2"/>
  <c r="BD45" i="2"/>
  <c r="BD17" i="2"/>
  <c r="BD59" i="2"/>
  <c r="BD30" i="2"/>
  <c r="BD61" i="2"/>
  <c r="BD19" i="2"/>
  <c r="BD49" i="2"/>
  <c r="BD39" i="2"/>
  <c r="BD16" i="2"/>
  <c r="BD7" i="2"/>
  <c r="BD53" i="2"/>
  <c r="BD9" i="2"/>
  <c r="BD3" i="2"/>
  <c r="BD35" i="2"/>
  <c r="BD33" i="2"/>
  <c r="BD60" i="2"/>
  <c r="BD43" i="2"/>
  <c r="BD69" i="2"/>
  <c r="BD54" i="2"/>
  <c r="BD64" i="2"/>
  <c r="BD29" i="2"/>
  <c r="BD26" i="2"/>
  <c r="BD65" i="2"/>
  <c r="BD14" i="2"/>
  <c r="BD46" i="2"/>
  <c r="BD40" i="2"/>
  <c r="BD34" i="2"/>
  <c r="BD55" i="2"/>
  <c r="S337" i="4" s="1"/>
  <c r="BD42" i="2"/>
  <c r="AR62" i="2"/>
  <c r="AR58" i="2"/>
  <c r="AR67" i="2"/>
  <c r="AX6" i="2"/>
  <c r="AX41" i="2"/>
  <c r="AX67" i="2"/>
  <c r="AX37" i="2"/>
  <c r="AX56" i="2"/>
  <c r="AX27" i="2"/>
  <c r="AR41" i="2"/>
  <c r="AR11" i="2"/>
  <c r="AR28" i="2"/>
  <c r="AX62" i="2"/>
  <c r="AX31" i="2"/>
  <c r="AX8" i="2"/>
  <c r="AX2" i="2"/>
  <c r="AX11" i="2"/>
  <c r="AX48" i="2"/>
  <c r="AX51" i="2"/>
  <c r="AL67" i="2"/>
  <c r="AR50" i="2"/>
  <c r="AR27" i="2"/>
  <c r="AX63" i="2"/>
  <c r="AX18" i="2"/>
  <c r="AX47" i="2"/>
  <c r="AX38" i="2"/>
  <c r="AX52" i="2"/>
  <c r="AX36" i="2"/>
  <c r="AX44" i="2"/>
  <c r="AL37" i="2"/>
  <c r="AR6" i="2"/>
  <c r="AR2" i="2"/>
  <c r="AR68" i="2"/>
  <c r="AX50" i="2"/>
  <c r="AX58" i="2"/>
  <c r="AX70" i="2"/>
  <c r="AX57" i="2"/>
  <c r="AX68" i="2"/>
  <c r="AX28" i="2"/>
  <c r="AX45" i="2"/>
  <c r="AR56" i="2"/>
  <c r="AX17" i="2"/>
  <c r="AX59" i="2"/>
  <c r="AX30" i="2"/>
  <c r="AX61" i="2"/>
  <c r="AX19" i="2"/>
  <c r="AX49" i="2"/>
  <c r="AX39" i="2"/>
  <c r="T3" i="2"/>
  <c r="AR8" i="2"/>
  <c r="AR57" i="2"/>
  <c r="AR51" i="2"/>
  <c r="AX16" i="2"/>
  <c r="AX7" i="2"/>
  <c r="AX53" i="2"/>
  <c r="AX9" i="2"/>
  <c r="AX3" i="2"/>
  <c r="AX35" i="2"/>
  <c r="AX33" i="2"/>
  <c r="AR31" i="2"/>
  <c r="AR37" i="2"/>
  <c r="AX60" i="2"/>
  <c r="AX43" i="2"/>
  <c r="AX69" i="2"/>
  <c r="AX54" i="2"/>
  <c r="AX64" i="2"/>
  <c r="AX29" i="2"/>
  <c r="AX26" i="2"/>
  <c r="AR70" i="2"/>
  <c r="AR48" i="2"/>
  <c r="AR45" i="2"/>
  <c r="AX65" i="2"/>
  <c r="AX14" i="2"/>
  <c r="AX46" i="2"/>
  <c r="AX40" i="2"/>
  <c r="AX34" i="2"/>
  <c r="AX55" i="2"/>
  <c r="R337" i="4" s="1"/>
  <c r="AX42" i="2"/>
  <c r="AR38" i="2"/>
  <c r="AR17" i="2"/>
  <c r="AR59" i="2"/>
  <c r="AR30" i="2"/>
  <c r="AR61" i="2"/>
  <c r="AR19" i="2"/>
  <c r="AR49" i="2"/>
  <c r="AR39" i="2"/>
  <c r="AR63" i="2"/>
  <c r="AR47" i="2"/>
  <c r="AR44" i="2"/>
  <c r="AL6" i="2"/>
  <c r="AL56" i="2"/>
  <c r="AR16" i="2"/>
  <c r="AR7" i="2"/>
  <c r="AR53" i="2"/>
  <c r="AR9" i="2"/>
  <c r="AR3" i="2"/>
  <c r="AR35" i="2"/>
  <c r="AR33" i="2"/>
  <c r="AR52" i="2"/>
  <c r="AR36" i="2"/>
  <c r="AR60" i="2"/>
  <c r="AR43" i="2"/>
  <c r="AR69" i="2"/>
  <c r="AR54" i="2"/>
  <c r="AR64" i="2"/>
  <c r="AR29" i="2"/>
  <c r="AR26" i="2"/>
  <c r="AR18" i="2"/>
  <c r="AL41" i="2"/>
  <c r="AL27" i="2"/>
  <c r="AR65" i="2"/>
  <c r="AR14" i="2"/>
  <c r="AR46" i="2"/>
  <c r="AR40" i="2"/>
  <c r="AR34" i="2"/>
  <c r="AR55" i="2"/>
  <c r="Q337" i="4" s="1"/>
  <c r="AR42" i="2"/>
  <c r="T7" i="2"/>
  <c r="T69" i="2"/>
  <c r="Z62" i="2"/>
  <c r="AL62" i="2"/>
  <c r="AL31" i="2"/>
  <c r="AL8" i="2"/>
  <c r="AL2" i="2"/>
  <c r="AL11" i="2"/>
  <c r="AL48" i="2"/>
  <c r="AL51" i="2"/>
  <c r="T59" i="2"/>
  <c r="T9" i="2"/>
  <c r="Z67" i="2"/>
  <c r="T16" i="2"/>
  <c r="T43" i="2"/>
  <c r="T61" i="2"/>
  <c r="Z27" i="2"/>
  <c r="AL17" i="2"/>
  <c r="AL30" i="2"/>
  <c r="AL19" i="2"/>
  <c r="T33" i="2"/>
  <c r="AL53" i="2"/>
  <c r="T54" i="2"/>
  <c r="AF6" i="2"/>
  <c r="AL60" i="2"/>
  <c r="AF37" i="2"/>
  <c r="AF14" i="2"/>
  <c r="Z14" i="2"/>
  <c r="T14" i="2"/>
  <c r="AF65" i="2"/>
  <c r="Z65" i="2"/>
  <c r="T65" i="2"/>
  <c r="AF47" i="2"/>
  <c r="Z47" i="2"/>
  <c r="T47" i="2"/>
  <c r="AF34" i="2"/>
  <c r="Z34" i="2"/>
  <c r="T34" i="2"/>
  <c r="AF18" i="2"/>
  <c r="Z18" i="2"/>
  <c r="T18" i="2"/>
  <c r="AF42" i="2"/>
  <c r="Z42" i="2"/>
  <c r="T42" i="2"/>
  <c r="AF36" i="2"/>
  <c r="Z36" i="2"/>
  <c r="T36" i="2"/>
  <c r="AF63" i="2"/>
  <c r="T63" i="2"/>
  <c r="Z63" i="2"/>
  <c r="AF55" i="2"/>
  <c r="O337" i="4" s="1"/>
  <c r="Z55" i="2"/>
  <c r="N337" i="4" s="1"/>
  <c r="T55" i="2"/>
  <c r="M337" i="4" s="1"/>
  <c r="AF52" i="2"/>
  <c r="Z52" i="2"/>
  <c r="T52" i="2"/>
  <c r="AF46" i="2"/>
  <c r="Z46" i="2"/>
  <c r="T46" i="2"/>
  <c r="AF38" i="2"/>
  <c r="Z38" i="2"/>
  <c r="T38" i="2"/>
  <c r="AF40" i="2"/>
  <c r="Z40" i="2"/>
  <c r="T40" i="2"/>
  <c r="AF44" i="2"/>
  <c r="Z44" i="2"/>
  <c r="T44" i="2"/>
  <c r="AF35" i="2"/>
  <c r="Z35" i="2"/>
  <c r="AF16" i="2"/>
  <c r="Z16" i="2"/>
  <c r="Z56" i="2"/>
  <c r="AF27" i="2"/>
  <c r="AF33" i="2"/>
  <c r="Z33" i="2"/>
  <c r="AF7" i="2"/>
  <c r="Z7" i="2"/>
  <c r="AF45" i="2"/>
  <c r="Z45" i="2"/>
  <c r="T45" i="2"/>
  <c r="AF28" i="2"/>
  <c r="Z28" i="2"/>
  <c r="T28" i="2"/>
  <c r="N68" i="2"/>
  <c r="R68" i="2" s="1"/>
  <c r="AF68" i="2"/>
  <c r="Z68" i="2"/>
  <c r="T68" i="2"/>
  <c r="AF57" i="2"/>
  <c r="Z57" i="2"/>
  <c r="AF70" i="2"/>
  <c r="Z70" i="2"/>
  <c r="N58" i="2"/>
  <c r="AF58" i="2"/>
  <c r="Z58" i="2"/>
  <c r="AF50" i="2"/>
  <c r="Z50" i="2"/>
  <c r="T6" i="2"/>
  <c r="T41" i="2"/>
  <c r="T67" i="2"/>
  <c r="T37" i="2"/>
  <c r="T56" i="2"/>
  <c r="Z41" i="2"/>
  <c r="AF67" i="2"/>
  <c r="AF9" i="2"/>
  <c r="Z9" i="2"/>
  <c r="AF26" i="2"/>
  <c r="Z26" i="2"/>
  <c r="T26" i="2"/>
  <c r="AF29" i="2"/>
  <c r="Z29" i="2"/>
  <c r="N64" i="2"/>
  <c r="R64" i="2" s="1"/>
  <c r="AF64" i="2"/>
  <c r="Z64" i="2"/>
  <c r="AF54" i="2"/>
  <c r="Z54" i="2"/>
  <c r="AF69" i="2"/>
  <c r="Z69" i="2"/>
  <c r="N43" i="2"/>
  <c r="AF43" i="2"/>
  <c r="Z43" i="2"/>
  <c r="N60" i="2"/>
  <c r="R60" i="2" s="1"/>
  <c r="AF60" i="2"/>
  <c r="Z60" i="2"/>
  <c r="T27" i="2"/>
  <c r="Z6" i="2"/>
  <c r="AF53" i="2"/>
  <c r="Z53" i="2"/>
  <c r="AF51" i="2"/>
  <c r="Z51" i="2"/>
  <c r="AF48" i="2"/>
  <c r="Z48" i="2"/>
  <c r="AF11" i="2"/>
  <c r="Z11" i="2"/>
  <c r="AF2" i="2"/>
  <c r="Z2" i="2"/>
  <c r="AF8" i="2"/>
  <c r="Z8" i="2"/>
  <c r="AF31" i="2"/>
  <c r="Z31" i="2"/>
  <c r="AF62" i="2"/>
  <c r="T64" i="2"/>
  <c r="Z37" i="2"/>
  <c r="AF56" i="2"/>
  <c r="AF3" i="2"/>
  <c r="Z3" i="2"/>
  <c r="AF39" i="2"/>
  <c r="Z39" i="2"/>
  <c r="T39" i="2"/>
  <c r="AF49" i="2"/>
  <c r="Z49" i="2"/>
  <c r="T49" i="2"/>
  <c r="AF19" i="2"/>
  <c r="Z19" i="2"/>
  <c r="AF61" i="2"/>
  <c r="Z61" i="2"/>
  <c r="AF30" i="2"/>
  <c r="Z30" i="2"/>
  <c r="AF59" i="2"/>
  <c r="Z59" i="2"/>
  <c r="AF17" i="2"/>
  <c r="Z17" i="2"/>
  <c r="T50" i="2"/>
  <c r="T58" i="2"/>
  <c r="T70" i="2"/>
  <c r="T57" i="2"/>
  <c r="T35" i="2"/>
  <c r="T29" i="2"/>
  <c r="AF41" i="2"/>
  <c r="N27" i="2"/>
  <c r="N56" i="2"/>
  <c r="N37" i="2"/>
  <c r="N67" i="2"/>
  <c r="R67" i="2" s="1"/>
  <c r="N6" i="2"/>
  <c r="N45" i="2"/>
  <c r="N28" i="2"/>
  <c r="N57" i="2"/>
  <c r="N70" i="2"/>
  <c r="N50" i="2"/>
  <c r="N26" i="2"/>
  <c r="N29" i="2"/>
  <c r="N54" i="2"/>
  <c r="N69" i="2"/>
  <c r="R69" i="2" s="1"/>
  <c r="N51" i="2"/>
  <c r="N48" i="2"/>
  <c r="N11" i="2"/>
  <c r="N2" i="2"/>
  <c r="Q2" i="2" s="1"/>
  <c r="N8" i="2"/>
  <c r="N31" i="2"/>
  <c r="N62" i="2"/>
  <c r="R62" i="2" s="1"/>
  <c r="N39" i="2"/>
  <c r="N49" i="2"/>
  <c r="N19" i="2"/>
  <c r="N61" i="2"/>
  <c r="R61" i="2" s="1"/>
  <c r="N30" i="2"/>
  <c r="N59" i="2"/>
  <c r="R59" i="2" s="1"/>
  <c r="N42" i="2"/>
  <c r="N55" i="2"/>
  <c r="N34" i="2"/>
  <c r="N40" i="2"/>
  <c r="N46" i="2"/>
  <c r="N44" i="2"/>
  <c r="N36" i="2"/>
  <c r="N52" i="2"/>
  <c r="N38" i="2"/>
  <c r="N47" i="2"/>
  <c r="N18" i="2"/>
  <c r="N33" i="2"/>
  <c r="N35" i="2"/>
  <c r="N3" i="2"/>
  <c r="N9" i="2"/>
  <c r="N53" i="2"/>
  <c r="N7" i="2"/>
  <c r="N16" i="2"/>
  <c r="L337" i="4" l="1"/>
  <c r="D357" i="4" l="1"/>
  <c r="D297" i="4"/>
  <c r="D296" i="4"/>
  <c r="F159" i="3"/>
  <c r="F48" i="4" l="1"/>
  <c r="F46" i="4"/>
  <c r="F47" i="4"/>
  <c r="F43" i="4"/>
  <c r="F39" i="4"/>
  <c r="F38" i="4"/>
  <c r="F45" i="4"/>
  <c r="F37" i="4"/>
  <c r="F44" i="4"/>
  <c r="F42" i="4"/>
  <c r="F41" i="4"/>
  <c r="F40" i="4"/>
  <c r="H42" i="4"/>
  <c r="H48" i="4"/>
  <c r="H46" i="4"/>
  <c r="H39" i="4"/>
  <c r="H45" i="4"/>
  <c r="H38" i="4"/>
  <c r="H44" i="4"/>
  <c r="H37" i="4"/>
  <c r="H47" i="4"/>
  <c r="H43" i="4"/>
  <c r="H41" i="4"/>
  <c r="H40" i="4"/>
  <c r="D9" i="6"/>
  <c r="D3" i="6"/>
  <c r="D5" i="6"/>
  <c r="D10" i="6"/>
  <c r="F37" i="2" s="1"/>
  <c r="O37" i="2" s="1"/>
  <c r="D2" i="6"/>
  <c r="F70" i="2" l="1"/>
  <c r="F71" i="2"/>
  <c r="F65" i="2"/>
  <c r="O65" i="2" s="1"/>
  <c r="F14" i="2"/>
  <c r="O14" i="2" s="1"/>
  <c r="F46" i="2"/>
  <c r="O46" i="2" s="1"/>
  <c r="F40" i="2"/>
  <c r="O40" i="2" s="1"/>
  <c r="F68" i="2"/>
  <c r="O68" i="2" s="1"/>
  <c r="F49" i="2"/>
  <c r="O49" i="2" s="1"/>
  <c r="F44" i="2"/>
  <c r="O44" i="2" s="1"/>
  <c r="F66" i="2"/>
  <c r="O66" i="2" s="1"/>
  <c r="F7" i="2"/>
  <c r="O7" i="2" s="1"/>
  <c r="F18" i="2"/>
  <c r="O18" i="2" s="1"/>
  <c r="F55" i="2"/>
  <c r="O55" i="2" s="1"/>
  <c r="F17" i="2"/>
  <c r="O17" i="2" s="1"/>
  <c r="F59" i="2"/>
  <c r="O59" i="2" s="1"/>
  <c r="F30" i="2"/>
  <c r="O30" i="2" s="1"/>
  <c r="F61" i="2"/>
  <c r="O61" i="2" s="1"/>
  <c r="F56" i="2"/>
  <c r="O56" i="2" s="1"/>
  <c r="F42" i="2"/>
  <c r="O42" i="2" s="1"/>
  <c r="F9" i="2"/>
  <c r="O9" i="2" s="1"/>
  <c r="F64" i="2"/>
  <c r="O64" i="2" s="1"/>
  <c r="F62" i="2"/>
  <c r="O62" i="2" s="1"/>
  <c r="F31" i="2"/>
  <c r="O31" i="2" s="1"/>
  <c r="F8" i="2"/>
  <c r="O8" i="2" s="1"/>
  <c r="F35" i="2"/>
  <c r="O35" i="2" s="1"/>
  <c r="F13" i="2"/>
  <c r="O13" i="2" s="1"/>
  <c r="F39" i="2"/>
  <c r="O39" i="2" s="1"/>
  <c r="F11" i="2"/>
  <c r="O11" i="2" s="1"/>
  <c r="F38" i="2"/>
  <c r="O38" i="2" s="1"/>
  <c r="F60" i="2"/>
  <c r="O60" i="2" s="1"/>
  <c r="F43" i="2"/>
  <c r="O43" i="2" s="1"/>
  <c r="F69" i="2"/>
  <c r="O69" i="2" s="1"/>
  <c r="F54" i="2"/>
  <c r="O54" i="2" s="1"/>
  <c r="F36" i="2"/>
  <c r="O36" i="2" s="1"/>
  <c r="F48" i="2"/>
  <c r="O48" i="2" s="1"/>
  <c r="F53" i="2"/>
  <c r="O53" i="2" s="1"/>
  <c r="F27" i="2"/>
  <c r="O27" i="2" s="1"/>
  <c r="F47" i="2"/>
  <c r="O47" i="2" s="1"/>
  <c r="F33" i="2"/>
  <c r="O33" i="2" s="1"/>
  <c r="F45" i="2"/>
  <c r="O45" i="2" s="1"/>
  <c r="F52" i="2"/>
  <c r="O52" i="2" s="1"/>
  <c r="F50" i="2"/>
  <c r="O50" i="2" s="1"/>
  <c r="F58" i="2"/>
  <c r="O58" i="2" s="1"/>
  <c r="O70" i="2"/>
  <c r="F57" i="2"/>
  <c r="O57" i="2" s="1"/>
  <c r="F29" i="2"/>
  <c r="O29" i="2" s="1"/>
  <c r="F26" i="2"/>
  <c r="O26" i="2" s="1"/>
  <c r="F34" i="2"/>
  <c r="O34" i="2" s="1"/>
  <c r="F6" i="2"/>
  <c r="O6" i="2" s="1"/>
  <c r="F41" i="2"/>
  <c r="O41" i="2" s="1"/>
  <c r="F67" i="2"/>
  <c r="O67" i="2" s="1"/>
  <c r="F19" i="2"/>
  <c r="O19" i="2" s="1"/>
  <c r="F28" i="2"/>
  <c r="O28" i="2" s="1"/>
  <c r="F51" i="2"/>
  <c r="O51" i="2" s="1"/>
  <c r="F16" i="2"/>
  <c r="O16" i="2" s="1"/>
  <c r="F63" i="2"/>
  <c r="O63" i="2" s="1"/>
  <c r="F23" i="2"/>
  <c r="O23" i="2" s="1"/>
  <c r="F2" i="2"/>
  <c r="AY10" i="2"/>
  <c r="AM10" i="2"/>
  <c r="BK10" i="2"/>
  <c r="AG10" i="2"/>
  <c r="AS10" i="2"/>
  <c r="AA10" i="2"/>
  <c r="BE10" i="2"/>
  <c r="U10" i="2"/>
  <c r="R37" i="4"/>
  <c r="O37" i="4"/>
  <c r="T37" i="4"/>
  <c r="M37" i="4"/>
  <c r="S37" i="4"/>
  <c r="N37" i="4"/>
  <c r="P37" i="4"/>
  <c r="Q37" i="4"/>
  <c r="R45" i="4"/>
  <c r="S45" i="4"/>
  <c r="T45" i="4"/>
  <c r="M45" i="4"/>
  <c r="O45" i="4"/>
  <c r="Q45" i="4"/>
  <c r="N45" i="4"/>
  <c r="P45" i="4"/>
  <c r="R38" i="4"/>
  <c r="S38" i="4"/>
  <c r="T38" i="4"/>
  <c r="M38" i="4"/>
  <c r="O38" i="4"/>
  <c r="N38" i="4"/>
  <c r="P38" i="4"/>
  <c r="Q38" i="4"/>
  <c r="R39" i="4"/>
  <c r="S39" i="4"/>
  <c r="T39" i="4"/>
  <c r="M39" i="4"/>
  <c r="N39" i="4"/>
  <c r="O39" i="4"/>
  <c r="P39" i="4"/>
  <c r="Q39" i="4"/>
  <c r="M40" i="4"/>
  <c r="N40" i="4"/>
  <c r="O40" i="4"/>
  <c r="P40" i="4"/>
  <c r="Q40" i="4"/>
  <c r="R40" i="4"/>
  <c r="S40" i="4"/>
  <c r="T40" i="4"/>
  <c r="R43" i="4"/>
  <c r="S43" i="4"/>
  <c r="T43" i="4"/>
  <c r="M43" i="4"/>
  <c r="O43" i="4"/>
  <c r="N43" i="4"/>
  <c r="P43" i="4"/>
  <c r="Q43" i="4"/>
  <c r="R41" i="4"/>
  <c r="S41" i="4"/>
  <c r="T41" i="4"/>
  <c r="M41" i="4"/>
  <c r="N41" i="4"/>
  <c r="O41" i="4"/>
  <c r="P41" i="4"/>
  <c r="Q41" i="4"/>
  <c r="M47" i="4"/>
  <c r="N47" i="4"/>
  <c r="O47" i="4"/>
  <c r="P47" i="4"/>
  <c r="Q47" i="4"/>
  <c r="R47" i="4"/>
  <c r="S47" i="4"/>
  <c r="T47" i="4"/>
  <c r="R42" i="4"/>
  <c r="S42" i="4"/>
  <c r="T42" i="4"/>
  <c r="M42" i="4"/>
  <c r="N42" i="4"/>
  <c r="O42" i="4"/>
  <c r="P42" i="4"/>
  <c r="Q42" i="4"/>
  <c r="R46" i="4"/>
  <c r="S46" i="4"/>
  <c r="T46" i="4"/>
  <c r="M46" i="4"/>
  <c r="N46" i="4"/>
  <c r="O46" i="4"/>
  <c r="P46" i="4"/>
  <c r="Q46" i="4"/>
  <c r="R44" i="4"/>
  <c r="O44" i="4"/>
  <c r="Q44" i="4"/>
  <c r="S44" i="4"/>
  <c r="T44" i="4"/>
  <c r="M44" i="4"/>
  <c r="N44" i="4"/>
  <c r="P44" i="4"/>
  <c r="M48" i="4"/>
  <c r="N48" i="4"/>
  <c r="O48" i="4"/>
  <c r="P48" i="4"/>
  <c r="Q48" i="4"/>
  <c r="R48" i="4"/>
  <c r="S48" i="4"/>
  <c r="T48" i="4"/>
  <c r="L39" i="4"/>
  <c r="L40" i="4"/>
  <c r="L43" i="4"/>
  <c r="L45" i="4"/>
  <c r="L38" i="4"/>
  <c r="L41" i="4"/>
  <c r="L47" i="4"/>
  <c r="L37" i="4"/>
  <c r="L42" i="4"/>
  <c r="L46" i="4"/>
  <c r="L44" i="4"/>
  <c r="L48" i="4"/>
  <c r="F309" i="4"/>
  <c r="F347" i="4"/>
  <c r="F206" i="4"/>
  <c r="F439" i="4"/>
  <c r="F289" i="4"/>
  <c r="F175" i="4"/>
  <c r="F136" i="4"/>
  <c r="F162" i="4"/>
  <c r="F179" i="4"/>
  <c r="F288" i="4"/>
  <c r="F186" i="4"/>
  <c r="F417" i="4"/>
  <c r="F244" i="4"/>
  <c r="F153" i="4"/>
  <c r="F317" i="4"/>
  <c r="F302" i="4"/>
  <c r="F145" i="4"/>
  <c r="F384" i="4"/>
  <c r="F101" i="4"/>
  <c r="F354" i="4"/>
  <c r="F164" i="4"/>
  <c r="F139" i="4"/>
  <c r="F161" i="4"/>
  <c r="F178" i="4"/>
  <c r="F353" i="4"/>
  <c r="F174" i="4"/>
  <c r="F168" i="4"/>
  <c r="F135" i="4"/>
  <c r="F160" i="4"/>
  <c r="F177" i="4"/>
  <c r="F352" i="4"/>
  <c r="F448" i="4"/>
  <c r="F173" i="4"/>
  <c r="F167" i="4"/>
  <c r="F134" i="4"/>
  <c r="F159" i="4"/>
  <c r="F176" i="4"/>
  <c r="F351" i="4"/>
  <c r="F447" i="4"/>
  <c r="F273" i="4"/>
  <c r="F172" i="4"/>
  <c r="F166" i="4"/>
  <c r="F133" i="4"/>
  <c r="F158" i="4"/>
  <c r="F357" i="4"/>
  <c r="F350" i="4"/>
  <c r="F446" i="4"/>
  <c r="F438" i="4"/>
  <c r="F274" i="4"/>
  <c r="F171" i="4"/>
  <c r="F165" i="4"/>
  <c r="F132" i="4"/>
  <c r="F157" i="4"/>
  <c r="F345" i="4"/>
  <c r="F349" i="4"/>
  <c r="F445" i="4"/>
  <c r="F170" i="4"/>
  <c r="F138" i="4"/>
  <c r="F131" i="4"/>
  <c r="F181" i="4"/>
  <c r="F356" i="4"/>
  <c r="F348" i="4"/>
  <c r="F444" i="4"/>
  <c r="F169" i="4"/>
  <c r="F137" i="4"/>
  <c r="F163" i="4"/>
  <c r="F180" i="4"/>
  <c r="F355" i="4"/>
  <c r="F358" i="4"/>
  <c r="F443" i="4"/>
  <c r="F308" i="4"/>
  <c r="F237" i="4"/>
  <c r="F294" i="4"/>
  <c r="F93" i="4"/>
  <c r="F86" i="4"/>
  <c r="F442" i="4"/>
  <c r="F310" i="4"/>
  <c r="F185" i="4"/>
  <c r="F416" i="4"/>
  <c r="F243" i="4"/>
  <c r="F236" i="4"/>
  <c r="F152" i="4"/>
  <c r="F316" i="4"/>
  <c r="F301" i="4"/>
  <c r="F293" i="4"/>
  <c r="F144" i="4"/>
  <c r="F383" i="4"/>
  <c r="F100" i="4"/>
  <c r="F102" i="4"/>
  <c r="F85" i="4"/>
  <c r="F346" i="4"/>
  <c r="F441" i="4"/>
  <c r="F307" i="4"/>
  <c r="F184" i="4"/>
  <c r="F415" i="4"/>
  <c r="F242" i="4"/>
  <c r="F235" i="4"/>
  <c r="F151" i="4"/>
  <c r="F315" i="4"/>
  <c r="F300" i="4"/>
  <c r="F292" i="4"/>
  <c r="F143" i="4"/>
  <c r="F378" i="4"/>
  <c r="F99" i="4"/>
  <c r="F92" i="4"/>
  <c r="F440" i="4"/>
  <c r="F304" i="4"/>
  <c r="F183" i="4"/>
  <c r="F414" i="4"/>
  <c r="F245" i="4"/>
  <c r="F147" i="4"/>
  <c r="F314" i="4"/>
  <c r="F299" i="4"/>
  <c r="F291" i="4"/>
  <c r="F142" i="4"/>
  <c r="F382" i="4"/>
  <c r="F98" i="4"/>
  <c r="F91" i="4"/>
  <c r="F306" i="4"/>
  <c r="F182" i="4"/>
  <c r="F413" i="4"/>
  <c r="F241" i="4"/>
  <c r="F205" i="4"/>
  <c r="F150" i="4"/>
  <c r="F313" i="4"/>
  <c r="F298" i="4"/>
  <c r="F290" i="4"/>
  <c r="F146" i="4"/>
  <c r="F386" i="4"/>
  <c r="F97" i="4"/>
  <c r="F90" i="4"/>
  <c r="F305" i="4"/>
  <c r="F420" i="4"/>
  <c r="F421" i="4"/>
  <c r="F240" i="4"/>
  <c r="F156" i="4"/>
  <c r="F149" i="4"/>
  <c r="F312" i="4"/>
  <c r="F297" i="4"/>
  <c r="F141" i="4"/>
  <c r="F381" i="4"/>
  <c r="F96" i="4"/>
  <c r="F89" i="4"/>
  <c r="F437" i="4"/>
  <c r="F188" i="4"/>
  <c r="F419" i="4"/>
  <c r="F412" i="4"/>
  <c r="F239" i="4"/>
  <c r="F155" i="4"/>
  <c r="F148" i="4"/>
  <c r="F311" i="4"/>
  <c r="F296" i="4"/>
  <c r="F140" i="4"/>
  <c r="F380" i="4"/>
  <c r="F95" i="4"/>
  <c r="F88" i="4"/>
  <c r="F187" i="4"/>
  <c r="F418" i="4"/>
  <c r="F411" i="4"/>
  <c r="F238" i="4"/>
  <c r="F154" i="4"/>
  <c r="F318" i="4"/>
  <c r="F303" i="4"/>
  <c r="F295" i="4"/>
  <c r="F287" i="4"/>
  <c r="F385" i="4"/>
  <c r="F379" i="4"/>
  <c r="F94" i="4"/>
  <c r="F87" i="4"/>
  <c r="H206" i="4"/>
  <c r="H273" i="4"/>
  <c r="H274" i="4"/>
  <c r="H185" i="4"/>
  <c r="H346" i="4"/>
  <c r="H308" i="4"/>
  <c r="H416" i="4"/>
  <c r="H243" i="4"/>
  <c r="H152" i="4"/>
  <c r="H316" i="4"/>
  <c r="H301" i="4"/>
  <c r="H164" i="4"/>
  <c r="H161" i="4"/>
  <c r="H447" i="4"/>
  <c r="H139" i="4"/>
  <c r="H178" i="4"/>
  <c r="H144" i="4"/>
  <c r="H383" i="4"/>
  <c r="H100" i="4"/>
  <c r="H291" i="4"/>
  <c r="H446" i="4"/>
  <c r="H438" i="4"/>
  <c r="H305" i="4"/>
  <c r="H420" i="4"/>
  <c r="H421" i="4"/>
  <c r="H240" i="4"/>
  <c r="H156" i="4"/>
  <c r="H149" i="4"/>
  <c r="H312" i="4"/>
  <c r="H297" i="4"/>
  <c r="H289" i="4"/>
  <c r="H141" i="4"/>
  <c r="H381" i="4"/>
  <c r="H96" i="4"/>
  <c r="H89" i="4"/>
  <c r="H437" i="4"/>
  <c r="H188" i="4"/>
  <c r="H419" i="4"/>
  <c r="H412" i="4"/>
  <c r="H239" i="4"/>
  <c r="H155" i="4"/>
  <c r="H148" i="4"/>
  <c r="H311" i="4"/>
  <c r="H296" i="4"/>
  <c r="H288" i="4"/>
  <c r="H140" i="4"/>
  <c r="H380" i="4"/>
  <c r="H95" i="4"/>
  <c r="H88" i="4"/>
  <c r="H309" i="4"/>
  <c r="H187" i="4"/>
  <c r="H418" i="4"/>
  <c r="H411" i="4"/>
  <c r="H238" i="4"/>
  <c r="H154" i="4"/>
  <c r="H318" i="4"/>
  <c r="H303" i="4"/>
  <c r="H295" i="4"/>
  <c r="H287" i="4"/>
  <c r="H385" i="4"/>
  <c r="H379" i="4"/>
  <c r="H94" i="4"/>
  <c r="H87" i="4"/>
  <c r="H186" i="4"/>
  <c r="H417" i="4"/>
  <c r="H244" i="4"/>
  <c r="H237" i="4"/>
  <c r="H153" i="4"/>
  <c r="H317" i="4"/>
  <c r="H302" i="4"/>
  <c r="H294" i="4"/>
  <c r="H145" i="4"/>
  <c r="H384" i="4"/>
  <c r="H101" i="4"/>
  <c r="H93" i="4"/>
  <c r="H86" i="4"/>
  <c r="H353" i="4"/>
  <c r="H174" i="4"/>
  <c r="H168" i="4"/>
  <c r="H135" i="4"/>
  <c r="H160" i="4"/>
  <c r="H177" i="4"/>
  <c r="H352" i="4"/>
  <c r="H448" i="4"/>
  <c r="H173" i="4"/>
  <c r="H167" i="4"/>
  <c r="H134" i="4"/>
  <c r="H159" i="4"/>
  <c r="H176" i="4"/>
  <c r="H351" i="4"/>
  <c r="H172" i="4"/>
  <c r="H166" i="4"/>
  <c r="H133" i="4"/>
  <c r="H158" i="4"/>
  <c r="H357" i="4"/>
  <c r="H350" i="4"/>
  <c r="H171" i="4"/>
  <c r="H165" i="4"/>
  <c r="H132" i="4"/>
  <c r="H157" i="4"/>
  <c r="H345" i="4"/>
  <c r="H349" i="4"/>
  <c r="H445" i="4"/>
  <c r="H170" i="4"/>
  <c r="H138" i="4"/>
  <c r="H131" i="4"/>
  <c r="H181" i="4"/>
  <c r="H356" i="4"/>
  <c r="H348" i="4"/>
  <c r="H444" i="4"/>
  <c r="H169" i="4"/>
  <c r="H137" i="4"/>
  <c r="H163" i="4"/>
  <c r="H180" i="4"/>
  <c r="H355" i="4"/>
  <c r="H358" i="4"/>
  <c r="H443" i="4"/>
  <c r="H175" i="4"/>
  <c r="H136" i="4"/>
  <c r="H162" i="4"/>
  <c r="H179" i="4"/>
  <c r="H354" i="4"/>
  <c r="H347" i="4"/>
  <c r="H442" i="4"/>
  <c r="H310" i="4"/>
  <c r="H236" i="4"/>
  <c r="H293" i="4"/>
  <c r="H102" i="4"/>
  <c r="H441" i="4"/>
  <c r="H307" i="4"/>
  <c r="H184" i="4"/>
  <c r="H415" i="4"/>
  <c r="H242" i="4"/>
  <c r="H235" i="4"/>
  <c r="H151" i="4"/>
  <c r="H315" i="4"/>
  <c r="H300" i="4"/>
  <c r="H292" i="4"/>
  <c r="H143" i="4"/>
  <c r="H378" i="4"/>
  <c r="H99" i="4"/>
  <c r="H92" i="4"/>
  <c r="H440" i="4"/>
  <c r="H304" i="4"/>
  <c r="H183" i="4"/>
  <c r="H414" i="4"/>
  <c r="H245" i="4"/>
  <c r="H147" i="4"/>
  <c r="H314" i="4"/>
  <c r="H299" i="4"/>
  <c r="H142" i="4"/>
  <c r="H382" i="4"/>
  <c r="H98" i="4"/>
  <c r="H91" i="4"/>
  <c r="H439" i="4"/>
  <c r="H306" i="4"/>
  <c r="H182" i="4"/>
  <c r="H413" i="4"/>
  <c r="H241" i="4"/>
  <c r="H205" i="4"/>
  <c r="H150" i="4"/>
  <c r="H313" i="4"/>
  <c r="H298" i="4"/>
  <c r="H290" i="4"/>
  <c r="H146" i="4"/>
  <c r="H386" i="4"/>
  <c r="H97" i="4"/>
  <c r="H90" i="4"/>
  <c r="H85" i="4"/>
  <c r="AG71" i="2" l="1"/>
  <c r="AY71" i="2"/>
  <c r="AS71" i="2"/>
  <c r="AA71" i="2"/>
  <c r="BE71" i="2"/>
  <c r="U71" i="2"/>
  <c r="AM71" i="2"/>
  <c r="BK71" i="2"/>
  <c r="O71" i="2"/>
  <c r="AA13" i="2"/>
  <c r="AS13" i="2"/>
  <c r="AM13" i="2"/>
  <c r="BK13" i="2"/>
  <c r="AA23" i="2"/>
  <c r="AS23" i="2"/>
  <c r="AM23" i="2"/>
  <c r="BK23" i="2"/>
  <c r="AY23" i="2"/>
  <c r="U23" i="2"/>
  <c r="BE23" i="2"/>
  <c r="AG23" i="2"/>
  <c r="U13" i="2"/>
  <c r="AG13" i="2"/>
  <c r="AY13" i="2"/>
  <c r="BE13" i="2"/>
  <c r="T385" i="4"/>
  <c r="P385" i="4"/>
  <c r="Q385" i="4"/>
  <c r="R385" i="4"/>
  <c r="S385" i="4"/>
  <c r="M385" i="4"/>
  <c r="N385" i="4"/>
  <c r="O385" i="4"/>
  <c r="R418" i="4"/>
  <c r="O418" i="4"/>
  <c r="P418" i="4"/>
  <c r="Q418" i="4"/>
  <c r="M418" i="4"/>
  <c r="S418" i="4"/>
  <c r="T418" i="4"/>
  <c r="N418" i="4"/>
  <c r="M148" i="4"/>
  <c r="N148" i="4"/>
  <c r="O148" i="4"/>
  <c r="P148" i="4"/>
  <c r="Q148" i="4"/>
  <c r="R148" i="4"/>
  <c r="S148" i="4"/>
  <c r="T148" i="4"/>
  <c r="M96" i="4"/>
  <c r="N96" i="4"/>
  <c r="O96" i="4"/>
  <c r="P96" i="4"/>
  <c r="Q96" i="4"/>
  <c r="R96" i="4"/>
  <c r="S96" i="4"/>
  <c r="T96" i="4"/>
  <c r="N421" i="4"/>
  <c r="O421" i="4"/>
  <c r="P421" i="4"/>
  <c r="R421" i="4"/>
  <c r="Q421" i="4"/>
  <c r="S421" i="4"/>
  <c r="T421" i="4"/>
  <c r="M421" i="4"/>
  <c r="O298" i="4"/>
  <c r="P298" i="4"/>
  <c r="Q298" i="4"/>
  <c r="R298" i="4"/>
  <c r="S298" i="4"/>
  <c r="T298" i="4"/>
  <c r="M298" i="4"/>
  <c r="N298" i="4"/>
  <c r="R91" i="4"/>
  <c r="S91" i="4"/>
  <c r="T91" i="4"/>
  <c r="M91" i="4"/>
  <c r="N91" i="4"/>
  <c r="O91" i="4"/>
  <c r="P91" i="4"/>
  <c r="Q91" i="4"/>
  <c r="M245" i="4"/>
  <c r="N245" i="4"/>
  <c r="O245" i="4"/>
  <c r="P245" i="4"/>
  <c r="Q245" i="4"/>
  <c r="R245" i="4"/>
  <c r="S245" i="4"/>
  <c r="T245" i="4"/>
  <c r="M143" i="4"/>
  <c r="O143" i="4"/>
  <c r="P143" i="4"/>
  <c r="R143" i="4"/>
  <c r="S143" i="4"/>
  <c r="N143" i="4"/>
  <c r="Q143" i="4"/>
  <c r="T143" i="4"/>
  <c r="M184" i="4"/>
  <c r="N184" i="4"/>
  <c r="O184" i="4"/>
  <c r="P184" i="4"/>
  <c r="R184" i="4"/>
  <c r="T184" i="4"/>
  <c r="Q184" i="4"/>
  <c r="S184" i="4"/>
  <c r="M144" i="4"/>
  <c r="N144" i="4"/>
  <c r="O144" i="4"/>
  <c r="P144" i="4"/>
  <c r="Q144" i="4"/>
  <c r="R144" i="4"/>
  <c r="S144" i="4"/>
  <c r="T144" i="4"/>
  <c r="M185" i="4"/>
  <c r="N185" i="4"/>
  <c r="O185" i="4"/>
  <c r="P185" i="4"/>
  <c r="Q185" i="4"/>
  <c r="R185" i="4"/>
  <c r="S185" i="4"/>
  <c r="T185" i="4"/>
  <c r="N443" i="4"/>
  <c r="O443" i="4"/>
  <c r="P443" i="4"/>
  <c r="R443" i="4"/>
  <c r="Q443" i="4"/>
  <c r="S443" i="4"/>
  <c r="T443" i="4"/>
  <c r="M443" i="4"/>
  <c r="R348" i="4"/>
  <c r="S348" i="4"/>
  <c r="T348" i="4"/>
  <c r="M348" i="4"/>
  <c r="N348" i="4"/>
  <c r="Q348" i="4"/>
  <c r="P348" i="4"/>
  <c r="O348" i="4"/>
  <c r="R345" i="4"/>
  <c r="S345" i="4"/>
  <c r="M345" i="4"/>
  <c r="N345" i="4"/>
  <c r="T345" i="4"/>
  <c r="O345" i="4"/>
  <c r="P345" i="4"/>
  <c r="Q345" i="4"/>
  <c r="O350" i="4"/>
  <c r="P350" i="4"/>
  <c r="T350" i="4"/>
  <c r="R350" i="4"/>
  <c r="S350" i="4"/>
  <c r="M350" i="4"/>
  <c r="N350" i="4"/>
  <c r="Q350" i="4"/>
  <c r="Q351" i="4"/>
  <c r="O351" i="4"/>
  <c r="P351" i="4"/>
  <c r="R351" i="4"/>
  <c r="S351" i="4"/>
  <c r="T351" i="4"/>
  <c r="M351" i="4"/>
  <c r="N351" i="4"/>
  <c r="M177" i="4"/>
  <c r="N177" i="4"/>
  <c r="O177" i="4"/>
  <c r="P177" i="4"/>
  <c r="Q177" i="4"/>
  <c r="R177" i="4"/>
  <c r="S177" i="4"/>
  <c r="T177" i="4"/>
  <c r="O139" i="4"/>
  <c r="P139" i="4"/>
  <c r="R139" i="4"/>
  <c r="M139" i="4"/>
  <c r="N139" i="4"/>
  <c r="Q139" i="4"/>
  <c r="S139" i="4"/>
  <c r="T139" i="4"/>
  <c r="M153" i="4"/>
  <c r="N153" i="4"/>
  <c r="O153" i="4"/>
  <c r="P153" i="4"/>
  <c r="Q153" i="4"/>
  <c r="R153" i="4"/>
  <c r="S153" i="4"/>
  <c r="T153" i="4"/>
  <c r="M175" i="4"/>
  <c r="N175" i="4"/>
  <c r="O175" i="4"/>
  <c r="P175" i="4"/>
  <c r="Q175" i="4"/>
  <c r="R175" i="4"/>
  <c r="S175" i="4"/>
  <c r="T175" i="4"/>
  <c r="R287" i="4"/>
  <c r="S287" i="4"/>
  <c r="T287" i="4"/>
  <c r="M287" i="4"/>
  <c r="N287" i="4"/>
  <c r="O287" i="4"/>
  <c r="P287" i="4"/>
  <c r="Q287" i="4"/>
  <c r="M187" i="4"/>
  <c r="N187" i="4"/>
  <c r="O187" i="4"/>
  <c r="P187" i="4"/>
  <c r="Q187" i="4"/>
  <c r="R187" i="4"/>
  <c r="S187" i="4"/>
  <c r="T187" i="4"/>
  <c r="R155" i="4"/>
  <c r="S155" i="4"/>
  <c r="T155" i="4"/>
  <c r="M155" i="4"/>
  <c r="N155" i="4"/>
  <c r="O155" i="4"/>
  <c r="P155" i="4"/>
  <c r="Q155" i="4"/>
  <c r="R381" i="4"/>
  <c r="S381" i="4"/>
  <c r="M381" i="4"/>
  <c r="N381" i="4"/>
  <c r="O381" i="4"/>
  <c r="T381" i="4"/>
  <c r="P381" i="4"/>
  <c r="Q381" i="4"/>
  <c r="R420" i="4"/>
  <c r="Q420" i="4"/>
  <c r="S420" i="4"/>
  <c r="T420" i="4"/>
  <c r="O420" i="4"/>
  <c r="M420" i="4"/>
  <c r="N420" i="4"/>
  <c r="P420" i="4"/>
  <c r="P313" i="4"/>
  <c r="Q313" i="4"/>
  <c r="O313" i="4"/>
  <c r="R313" i="4"/>
  <c r="S313" i="4"/>
  <c r="T313" i="4"/>
  <c r="M313" i="4"/>
  <c r="N313" i="4"/>
  <c r="M98" i="4"/>
  <c r="N98" i="4"/>
  <c r="O98" i="4"/>
  <c r="P98" i="4"/>
  <c r="Q98" i="4"/>
  <c r="R98" i="4"/>
  <c r="S98" i="4"/>
  <c r="T98" i="4"/>
  <c r="R414" i="4"/>
  <c r="T414" i="4"/>
  <c r="M414" i="4"/>
  <c r="Q414" i="4"/>
  <c r="N414" i="4"/>
  <c r="O414" i="4"/>
  <c r="P414" i="4"/>
  <c r="S414" i="4"/>
  <c r="O292" i="4"/>
  <c r="P292" i="4"/>
  <c r="T292" i="4"/>
  <c r="Q292" i="4"/>
  <c r="R292" i="4"/>
  <c r="S292" i="4"/>
  <c r="M292" i="4"/>
  <c r="N292" i="4"/>
  <c r="P307" i="4"/>
  <c r="O307" i="4"/>
  <c r="Q307" i="4"/>
  <c r="R307" i="4"/>
  <c r="S307" i="4"/>
  <c r="T307" i="4"/>
  <c r="M307" i="4"/>
  <c r="N307" i="4"/>
  <c r="O293" i="4"/>
  <c r="P293" i="4"/>
  <c r="Q293" i="4"/>
  <c r="R293" i="4"/>
  <c r="S293" i="4"/>
  <c r="T293" i="4"/>
  <c r="M293" i="4"/>
  <c r="N293" i="4"/>
  <c r="O310" i="4"/>
  <c r="P310" i="4"/>
  <c r="T310" i="4"/>
  <c r="R310" i="4"/>
  <c r="S310" i="4"/>
  <c r="M310" i="4"/>
  <c r="N310" i="4"/>
  <c r="Q310" i="4"/>
  <c r="R358" i="4"/>
  <c r="S358" i="4"/>
  <c r="T358" i="4"/>
  <c r="M358" i="4"/>
  <c r="N358" i="4"/>
  <c r="O358" i="4"/>
  <c r="P358" i="4"/>
  <c r="Q358" i="4"/>
  <c r="Q356" i="4"/>
  <c r="T356" i="4"/>
  <c r="O356" i="4"/>
  <c r="R356" i="4"/>
  <c r="M356" i="4"/>
  <c r="P356" i="4"/>
  <c r="N356" i="4"/>
  <c r="S356" i="4"/>
  <c r="R157" i="4"/>
  <c r="S157" i="4"/>
  <c r="T157" i="4"/>
  <c r="M157" i="4"/>
  <c r="O157" i="4"/>
  <c r="N157" i="4"/>
  <c r="P157" i="4"/>
  <c r="Q157" i="4"/>
  <c r="Q357" i="4"/>
  <c r="T357" i="4"/>
  <c r="M357" i="4"/>
  <c r="P357" i="4"/>
  <c r="O357" i="4"/>
  <c r="N357" i="4"/>
  <c r="R357" i="4"/>
  <c r="S357" i="4"/>
  <c r="M176" i="4"/>
  <c r="N176" i="4"/>
  <c r="O176" i="4"/>
  <c r="P176" i="4"/>
  <c r="R176" i="4"/>
  <c r="S176" i="4"/>
  <c r="Q176" i="4"/>
  <c r="T176" i="4"/>
  <c r="M160" i="4"/>
  <c r="O160" i="4"/>
  <c r="P160" i="4"/>
  <c r="R160" i="4"/>
  <c r="T160" i="4"/>
  <c r="Q160" i="4"/>
  <c r="S160" i="4"/>
  <c r="N160" i="4"/>
  <c r="M164" i="4"/>
  <c r="N164" i="4"/>
  <c r="O164" i="4"/>
  <c r="P164" i="4"/>
  <c r="R164" i="4"/>
  <c r="S164" i="4"/>
  <c r="Q164" i="4"/>
  <c r="T164" i="4"/>
  <c r="P244" i="4"/>
  <c r="Q244" i="4"/>
  <c r="R244" i="4"/>
  <c r="M244" i="4"/>
  <c r="N244" i="4"/>
  <c r="S244" i="4"/>
  <c r="T244" i="4"/>
  <c r="O244" i="4"/>
  <c r="R289" i="4"/>
  <c r="S289" i="4"/>
  <c r="T289" i="4"/>
  <c r="M289" i="4"/>
  <c r="N289" i="4"/>
  <c r="P289" i="4"/>
  <c r="Q289" i="4"/>
  <c r="O289" i="4"/>
  <c r="R295" i="4"/>
  <c r="S295" i="4"/>
  <c r="T295" i="4"/>
  <c r="M295" i="4"/>
  <c r="N295" i="4"/>
  <c r="O295" i="4"/>
  <c r="P295" i="4"/>
  <c r="Q295" i="4"/>
  <c r="R88" i="4"/>
  <c r="S88" i="4"/>
  <c r="T88" i="4"/>
  <c r="M88" i="4"/>
  <c r="N88" i="4"/>
  <c r="O88" i="4"/>
  <c r="P88" i="4"/>
  <c r="Q88" i="4"/>
  <c r="R239" i="4"/>
  <c r="O239" i="4"/>
  <c r="M239" i="4"/>
  <c r="N239" i="4"/>
  <c r="P239" i="4"/>
  <c r="Q239" i="4"/>
  <c r="S239" i="4"/>
  <c r="T239" i="4"/>
  <c r="R141" i="4"/>
  <c r="S141" i="4"/>
  <c r="T141" i="4"/>
  <c r="M141" i="4"/>
  <c r="O141" i="4"/>
  <c r="Q141" i="4"/>
  <c r="N141" i="4"/>
  <c r="P141" i="4"/>
  <c r="R305" i="4"/>
  <c r="S305" i="4"/>
  <c r="T305" i="4"/>
  <c r="M305" i="4"/>
  <c r="N305" i="4"/>
  <c r="O305" i="4"/>
  <c r="P305" i="4"/>
  <c r="Q305" i="4"/>
  <c r="R150" i="4"/>
  <c r="S150" i="4"/>
  <c r="T150" i="4"/>
  <c r="M150" i="4"/>
  <c r="N150" i="4"/>
  <c r="O150" i="4"/>
  <c r="P150" i="4"/>
  <c r="Q150" i="4"/>
  <c r="R382" i="4"/>
  <c r="S382" i="4"/>
  <c r="M382" i="4"/>
  <c r="N382" i="4"/>
  <c r="T382" i="4"/>
  <c r="O382" i="4"/>
  <c r="P382" i="4"/>
  <c r="Q382" i="4"/>
  <c r="R183" i="4"/>
  <c r="S183" i="4"/>
  <c r="T183" i="4"/>
  <c r="M183" i="4"/>
  <c r="O183" i="4"/>
  <c r="N183" i="4"/>
  <c r="P183" i="4"/>
  <c r="Q183" i="4"/>
  <c r="O300" i="4"/>
  <c r="P300" i="4"/>
  <c r="T300" i="4"/>
  <c r="M300" i="4"/>
  <c r="N300" i="4"/>
  <c r="Q300" i="4"/>
  <c r="R300" i="4"/>
  <c r="S300" i="4"/>
  <c r="R441" i="4"/>
  <c r="O441" i="4"/>
  <c r="P441" i="4"/>
  <c r="Q441" i="4"/>
  <c r="S441" i="4"/>
  <c r="M441" i="4"/>
  <c r="T441" i="4"/>
  <c r="N441" i="4"/>
  <c r="O301" i="4"/>
  <c r="P301" i="4"/>
  <c r="Q301" i="4"/>
  <c r="R301" i="4"/>
  <c r="S301" i="4"/>
  <c r="T301" i="4"/>
  <c r="M301" i="4"/>
  <c r="N301" i="4"/>
  <c r="N442" i="4"/>
  <c r="M442" i="4"/>
  <c r="O442" i="4"/>
  <c r="R442" i="4"/>
  <c r="Q442" i="4"/>
  <c r="T442" i="4"/>
  <c r="P442" i="4"/>
  <c r="S442" i="4"/>
  <c r="T355" i="4"/>
  <c r="P355" i="4"/>
  <c r="Q355" i="4"/>
  <c r="R355" i="4"/>
  <c r="S355" i="4"/>
  <c r="M355" i="4"/>
  <c r="N355" i="4"/>
  <c r="O355" i="4"/>
  <c r="R181" i="4"/>
  <c r="S181" i="4"/>
  <c r="T181" i="4"/>
  <c r="M181" i="4"/>
  <c r="N181" i="4"/>
  <c r="O181" i="4"/>
  <c r="P181" i="4"/>
  <c r="Q181" i="4"/>
  <c r="M132" i="4"/>
  <c r="N132" i="4"/>
  <c r="O132" i="4"/>
  <c r="P132" i="4"/>
  <c r="Q132" i="4"/>
  <c r="R132" i="4"/>
  <c r="S132" i="4"/>
  <c r="T132" i="4"/>
  <c r="R158" i="4"/>
  <c r="O158" i="4"/>
  <c r="Q158" i="4"/>
  <c r="S158" i="4"/>
  <c r="T158" i="4"/>
  <c r="P158" i="4"/>
  <c r="M158" i="4"/>
  <c r="N158" i="4"/>
  <c r="R159" i="4"/>
  <c r="S159" i="4"/>
  <c r="T159" i="4"/>
  <c r="M159" i="4"/>
  <c r="O159" i="4"/>
  <c r="N159" i="4"/>
  <c r="P159" i="4"/>
  <c r="Q159" i="4"/>
  <c r="R135" i="4"/>
  <c r="S135" i="4"/>
  <c r="T135" i="4"/>
  <c r="M135" i="4"/>
  <c r="O135" i="4"/>
  <c r="N135" i="4"/>
  <c r="P135" i="4"/>
  <c r="Q135" i="4"/>
  <c r="R354" i="4"/>
  <c r="S354" i="4"/>
  <c r="M354" i="4"/>
  <c r="N354" i="4"/>
  <c r="P354" i="4"/>
  <c r="Q354" i="4"/>
  <c r="T354" i="4"/>
  <c r="O354" i="4"/>
  <c r="R417" i="4"/>
  <c r="N417" i="4"/>
  <c r="O417" i="4"/>
  <c r="P417" i="4"/>
  <c r="Q417" i="4"/>
  <c r="S417" i="4"/>
  <c r="T417" i="4"/>
  <c r="M417" i="4"/>
  <c r="P439" i="4"/>
  <c r="Q439" i="4"/>
  <c r="S439" i="4"/>
  <c r="R439" i="4"/>
  <c r="M439" i="4"/>
  <c r="N439" i="4"/>
  <c r="O439" i="4"/>
  <c r="T439" i="4"/>
  <c r="R303" i="4"/>
  <c r="S303" i="4"/>
  <c r="T303" i="4"/>
  <c r="M303" i="4"/>
  <c r="N303" i="4"/>
  <c r="O303" i="4"/>
  <c r="P303" i="4"/>
  <c r="Q303" i="4"/>
  <c r="R95" i="4"/>
  <c r="S95" i="4"/>
  <c r="T95" i="4"/>
  <c r="M95" i="4"/>
  <c r="N95" i="4"/>
  <c r="O95" i="4"/>
  <c r="P95" i="4"/>
  <c r="Q95" i="4"/>
  <c r="T412" i="4"/>
  <c r="M412" i="4"/>
  <c r="O412" i="4"/>
  <c r="R412" i="4"/>
  <c r="Q412" i="4"/>
  <c r="P412" i="4"/>
  <c r="S412" i="4"/>
  <c r="N412" i="4"/>
  <c r="R297" i="4"/>
  <c r="S297" i="4"/>
  <c r="T297" i="4"/>
  <c r="M297" i="4"/>
  <c r="N297" i="4"/>
  <c r="P297" i="4"/>
  <c r="Q297" i="4"/>
  <c r="O297" i="4"/>
  <c r="M90" i="4"/>
  <c r="N90" i="4"/>
  <c r="O90" i="4"/>
  <c r="P90" i="4"/>
  <c r="Q90" i="4"/>
  <c r="R90" i="4"/>
  <c r="S90" i="4"/>
  <c r="T90" i="4"/>
  <c r="Q205" i="4"/>
  <c r="R205" i="4"/>
  <c r="P205" i="4"/>
  <c r="M205" i="4"/>
  <c r="N205" i="4"/>
  <c r="S205" i="4"/>
  <c r="T205" i="4"/>
  <c r="O205" i="4"/>
  <c r="R142" i="4"/>
  <c r="S142" i="4"/>
  <c r="T142" i="4"/>
  <c r="M142" i="4"/>
  <c r="O142" i="4"/>
  <c r="P142" i="4"/>
  <c r="Q142" i="4"/>
  <c r="N142" i="4"/>
  <c r="R304" i="4"/>
  <c r="S304" i="4"/>
  <c r="T304" i="4"/>
  <c r="M304" i="4"/>
  <c r="N304" i="4"/>
  <c r="O304" i="4"/>
  <c r="P304" i="4"/>
  <c r="Q304" i="4"/>
  <c r="R315" i="4"/>
  <c r="S315" i="4"/>
  <c r="T315" i="4"/>
  <c r="M315" i="4"/>
  <c r="N315" i="4"/>
  <c r="O315" i="4"/>
  <c r="P315" i="4"/>
  <c r="Q315" i="4"/>
  <c r="R346" i="4"/>
  <c r="S346" i="4"/>
  <c r="T346" i="4"/>
  <c r="M346" i="4"/>
  <c r="N346" i="4"/>
  <c r="Q346" i="4"/>
  <c r="O346" i="4"/>
  <c r="P346" i="4"/>
  <c r="O316" i="4"/>
  <c r="P316" i="4"/>
  <c r="T316" i="4"/>
  <c r="Q316" i="4"/>
  <c r="N316" i="4"/>
  <c r="R316" i="4"/>
  <c r="S316" i="4"/>
  <c r="M316" i="4"/>
  <c r="R86" i="4"/>
  <c r="O86" i="4"/>
  <c r="T86" i="4"/>
  <c r="S86" i="4"/>
  <c r="M86" i="4"/>
  <c r="N86" i="4"/>
  <c r="P86" i="4"/>
  <c r="Q86" i="4"/>
  <c r="M180" i="4"/>
  <c r="N180" i="4"/>
  <c r="O180" i="4"/>
  <c r="P180" i="4"/>
  <c r="Q180" i="4"/>
  <c r="R180" i="4"/>
  <c r="S180" i="4"/>
  <c r="T180" i="4"/>
  <c r="M131" i="4"/>
  <c r="N131" i="4"/>
  <c r="O131" i="4"/>
  <c r="P131" i="4"/>
  <c r="Q131" i="4"/>
  <c r="R131" i="4"/>
  <c r="S131" i="4"/>
  <c r="T131" i="4"/>
  <c r="M165" i="4"/>
  <c r="N165" i="4"/>
  <c r="O165" i="4"/>
  <c r="P165" i="4"/>
  <c r="Q165" i="4"/>
  <c r="R165" i="4"/>
  <c r="S165" i="4"/>
  <c r="T165" i="4"/>
  <c r="R133" i="4"/>
  <c r="S133" i="4"/>
  <c r="T133" i="4"/>
  <c r="M133" i="4"/>
  <c r="N133" i="4"/>
  <c r="O133" i="4"/>
  <c r="P133" i="4"/>
  <c r="Q133" i="4"/>
  <c r="R134" i="4"/>
  <c r="O134" i="4"/>
  <c r="N134" i="4"/>
  <c r="P134" i="4"/>
  <c r="Q134" i="4"/>
  <c r="S134" i="4"/>
  <c r="M134" i="4"/>
  <c r="T134" i="4"/>
  <c r="R168" i="4"/>
  <c r="S168" i="4"/>
  <c r="T168" i="4"/>
  <c r="M168" i="4"/>
  <c r="O168" i="4"/>
  <c r="Q168" i="4"/>
  <c r="P168" i="4"/>
  <c r="N168" i="4"/>
  <c r="R101" i="4"/>
  <c r="O101" i="4"/>
  <c r="N101" i="4"/>
  <c r="P101" i="4"/>
  <c r="M101" i="4"/>
  <c r="Q101" i="4"/>
  <c r="S101" i="4"/>
  <c r="T101" i="4"/>
  <c r="M186" i="4"/>
  <c r="N186" i="4"/>
  <c r="O186" i="4"/>
  <c r="P186" i="4"/>
  <c r="Q186" i="4"/>
  <c r="R186" i="4"/>
  <c r="S186" i="4"/>
  <c r="T186" i="4"/>
  <c r="R206" i="4"/>
  <c r="O206" i="4"/>
  <c r="M206" i="4"/>
  <c r="N206" i="4"/>
  <c r="P206" i="4"/>
  <c r="Q206" i="4"/>
  <c r="S206" i="4"/>
  <c r="T206" i="4"/>
  <c r="R318" i="4"/>
  <c r="S318" i="4"/>
  <c r="T318" i="4"/>
  <c r="M318" i="4"/>
  <c r="N318" i="4"/>
  <c r="Q318" i="4"/>
  <c r="O318" i="4"/>
  <c r="P318" i="4"/>
  <c r="R380" i="4"/>
  <c r="S380" i="4"/>
  <c r="M380" i="4"/>
  <c r="N380" i="4"/>
  <c r="P380" i="4"/>
  <c r="Q380" i="4"/>
  <c r="T380" i="4"/>
  <c r="O380" i="4"/>
  <c r="R419" i="4"/>
  <c r="P419" i="4"/>
  <c r="Q419" i="4"/>
  <c r="S419" i="4"/>
  <c r="T419" i="4"/>
  <c r="M419" i="4"/>
  <c r="N419" i="4"/>
  <c r="O419" i="4"/>
  <c r="O312" i="4"/>
  <c r="Q312" i="4"/>
  <c r="P312" i="4"/>
  <c r="R312" i="4"/>
  <c r="T312" i="4"/>
  <c r="S312" i="4"/>
  <c r="M312" i="4"/>
  <c r="N312" i="4"/>
  <c r="R97" i="4"/>
  <c r="S97" i="4"/>
  <c r="T97" i="4"/>
  <c r="M97" i="4"/>
  <c r="N97" i="4"/>
  <c r="O97" i="4"/>
  <c r="P97" i="4"/>
  <c r="Q97" i="4"/>
  <c r="M241" i="4"/>
  <c r="N241" i="4"/>
  <c r="S241" i="4"/>
  <c r="T241" i="4"/>
  <c r="O241" i="4"/>
  <c r="P241" i="4"/>
  <c r="Q241" i="4"/>
  <c r="R241" i="4"/>
  <c r="P291" i="4"/>
  <c r="O291" i="4"/>
  <c r="Q291" i="4"/>
  <c r="R291" i="4"/>
  <c r="S291" i="4"/>
  <c r="T291" i="4"/>
  <c r="M291" i="4"/>
  <c r="N291" i="4"/>
  <c r="R440" i="4"/>
  <c r="N440" i="4"/>
  <c r="O440" i="4"/>
  <c r="P440" i="4"/>
  <c r="Q440" i="4"/>
  <c r="S440" i="4"/>
  <c r="T440" i="4"/>
  <c r="M440" i="4"/>
  <c r="R151" i="4"/>
  <c r="S151" i="4"/>
  <c r="T151" i="4"/>
  <c r="M151" i="4"/>
  <c r="O151" i="4"/>
  <c r="N151" i="4"/>
  <c r="P151" i="4"/>
  <c r="Q151" i="4"/>
  <c r="R85" i="4"/>
  <c r="S85" i="4"/>
  <c r="T85" i="4"/>
  <c r="M85" i="4"/>
  <c r="N85" i="4"/>
  <c r="O85" i="4"/>
  <c r="P85" i="4"/>
  <c r="Q85" i="4"/>
  <c r="M152" i="4"/>
  <c r="O152" i="4"/>
  <c r="P152" i="4"/>
  <c r="R152" i="4"/>
  <c r="T152" i="4"/>
  <c r="N152" i="4"/>
  <c r="Q152" i="4"/>
  <c r="S152" i="4"/>
  <c r="R93" i="4"/>
  <c r="O93" i="4"/>
  <c r="Q93" i="4"/>
  <c r="P93" i="4"/>
  <c r="S93" i="4"/>
  <c r="T93" i="4"/>
  <c r="M93" i="4"/>
  <c r="N93" i="4"/>
  <c r="M163" i="4"/>
  <c r="N163" i="4"/>
  <c r="O163" i="4"/>
  <c r="P163" i="4"/>
  <c r="Q163" i="4"/>
  <c r="R163" i="4"/>
  <c r="S163" i="4"/>
  <c r="T163" i="4"/>
  <c r="M138" i="4"/>
  <c r="N138" i="4"/>
  <c r="O138" i="4"/>
  <c r="P138" i="4"/>
  <c r="Q138" i="4"/>
  <c r="R138" i="4"/>
  <c r="S138" i="4"/>
  <c r="T138" i="4"/>
  <c r="R171" i="4"/>
  <c r="T171" i="4"/>
  <c r="S171" i="4"/>
  <c r="M171" i="4"/>
  <c r="N171" i="4"/>
  <c r="O171" i="4"/>
  <c r="P171" i="4"/>
  <c r="Q171" i="4"/>
  <c r="M166" i="4"/>
  <c r="N166" i="4"/>
  <c r="O166" i="4"/>
  <c r="P166" i="4"/>
  <c r="Q166" i="4"/>
  <c r="R166" i="4"/>
  <c r="S166" i="4"/>
  <c r="T166" i="4"/>
  <c r="R167" i="4"/>
  <c r="O167" i="4"/>
  <c r="N167" i="4"/>
  <c r="P167" i="4"/>
  <c r="Q167" i="4"/>
  <c r="S167" i="4"/>
  <c r="T167" i="4"/>
  <c r="M167" i="4"/>
  <c r="R174" i="4"/>
  <c r="S174" i="4"/>
  <c r="T174" i="4"/>
  <c r="M174" i="4"/>
  <c r="O174" i="4"/>
  <c r="N174" i="4"/>
  <c r="P174" i="4"/>
  <c r="Q174" i="4"/>
  <c r="Q384" i="4"/>
  <c r="T384" i="4"/>
  <c r="M384" i="4"/>
  <c r="R384" i="4"/>
  <c r="S384" i="4"/>
  <c r="N384" i="4"/>
  <c r="P384" i="4"/>
  <c r="O384" i="4"/>
  <c r="O288" i="4"/>
  <c r="Q288" i="4"/>
  <c r="P288" i="4"/>
  <c r="R288" i="4"/>
  <c r="T288" i="4"/>
  <c r="S288" i="4"/>
  <c r="M288" i="4"/>
  <c r="N288" i="4"/>
  <c r="P347" i="4"/>
  <c r="Q347" i="4"/>
  <c r="O347" i="4"/>
  <c r="R347" i="4"/>
  <c r="T347" i="4"/>
  <c r="N347" i="4"/>
  <c r="S347" i="4"/>
  <c r="M347" i="4"/>
  <c r="R87" i="4"/>
  <c r="S87" i="4"/>
  <c r="T87" i="4"/>
  <c r="M87" i="4"/>
  <c r="O87" i="4"/>
  <c r="N87" i="4"/>
  <c r="P87" i="4"/>
  <c r="Q87" i="4"/>
  <c r="R154" i="4"/>
  <c r="S154" i="4"/>
  <c r="T154" i="4"/>
  <c r="M154" i="4"/>
  <c r="N154" i="4"/>
  <c r="O154" i="4"/>
  <c r="P154" i="4"/>
  <c r="Q154" i="4"/>
  <c r="R140" i="4"/>
  <c r="S140" i="4"/>
  <c r="T140" i="4"/>
  <c r="M140" i="4"/>
  <c r="N140" i="4"/>
  <c r="O140" i="4"/>
  <c r="P140" i="4"/>
  <c r="Q140" i="4"/>
  <c r="R188" i="4"/>
  <c r="S188" i="4"/>
  <c r="T188" i="4"/>
  <c r="M188" i="4"/>
  <c r="N188" i="4"/>
  <c r="O188" i="4"/>
  <c r="P188" i="4"/>
  <c r="Q188" i="4"/>
  <c r="M149" i="4"/>
  <c r="N149" i="4"/>
  <c r="O149" i="4"/>
  <c r="P149" i="4"/>
  <c r="Q149" i="4"/>
  <c r="R149" i="4"/>
  <c r="S149" i="4"/>
  <c r="T149" i="4"/>
  <c r="Q386" i="4"/>
  <c r="T386" i="4"/>
  <c r="O386" i="4"/>
  <c r="R386" i="4"/>
  <c r="S386" i="4"/>
  <c r="M386" i="4"/>
  <c r="N386" i="4"/>
  <c r="P386" i="4"/>
  <c r="R413" i="4"/>
  <c r="S413" i="4"/>
  <c r="T413" i="4"/>
  <c r="M413" i="4"/>
  <c r="P413" i="4"/>
  <c r="N413" i="4"/>
  <c r="O413" i="4"/>
  <c r="Q413" i="4"/>
  <c r="R299" i="4"/>
  <c r="S299" i="4"/>
  <c r="T299" i="4"/>
  <c r="M299" i="4"/>
  <c r="N299" i="4"/>
  <c r="P299" i="4"/>
  <c r="O299" i="4"/>
  <c r="Q299" i="4"/>
  <c r="R92" i="4"/>
  <c r="S92" i="4"/>
  <c r="T92" i="4"/>
  <c r="M92" i="4"/>
  <c r="N92" i="4"/>
  <c r="O92" i="4"/>
  <c r="P92" i="4"/>
  <c r="Q92" i="4"/>
  <c r="R235" i="4"/>
  <c r="S235" i="4"/>
  <c r="T235" i="4"/>
  <c r="M235" i="4"/>
  <c r="O235" i="4"/>
  <c r="N235" i="4"/>
  <c r="P235" i="4"/>
  <c r="Q235" i="4"/>
  <c r="R102" i="4"/>
  <c r="S102" i="4"/>
  <c r="T102" i="4"/>
  <c r="M102" i="4"/>
  <c r="O102" i="4"/>
  <c r="Q102" i="4"/>
  <c r="P102" i="4"/>
  <c r="N102" i="4"/>
  <c r="M236" i="4"/>
  <c r="N236" i="4"/>
  <c r="Q236" i="4"/>
  <c r="R236" i="4"/>
  <c r="S236" i="4"/>
  <c r="T236" i="4"/>
  <c r="P236" i="4"/>
  <c r="O236" i="4"/>
  <c r="R294" i="4"/>
  <c r="S294" i="4"/>
  <c r="T294" i="4"/>
  <c r="M294" i="4"/>
  <c r="N294" i="4"/>
  <c r="Q294" i="4"/>
  <c r="P294" i="4"/>
  <c r="O294" i="4"/>
  <c r="R137" i="4"/>
  <c r="S137" i="4"/>
  <c r="T137" i="4"/>
  <c r="M137" i="4"/>
  <c r="N137" i="4"/>
  <c r="O137" i="4"/>
  <c r="P137" i="4"/>
  <c r="Q137" i="4"/>
  <c r="R170" i="4"/>
  <c r="S170" i="4"/>
  <c r="T170" i="4"/>
  <c r="M170" i="4"/>
  <c r="N170" i="4"/>
  <c r="O170" i="4"/>
  <c r="P170" i="4"/>
  <c r="Q170" i="4"/>
  <c r="P274" i="4"/>
  <c r="N274" i="4"/>
  <c r="O274" i="4"/>
  <c r="M274" i="4"/>
  <c r="Q274" i="4"/>
  <c r="R274" i="4"/>
  <c r="S274" i="4"/>
  <c r="T274" i="4"/>
  <c r="R172" i="4"/>
  <c r="S172" i="4"/>
  <c r="T172" i="4"/>
  <c r="M172" i="4"/>
  <c r="N172" i="4"/>
  <c r="O172" i="4"/>
  <c r="P172" i="4"/>
  <c r="Q172" i="4"/>
  <c r="R173" i="4"/>
  <c r="O173" i="4"/>
  <c r="M173" i="4"/>
  <c r="N173" i="4"/>
  <c r="P173" i="4"/>
  <c r="Q173" i="4"/>
  <c r="S173" i="4"/>
  <c r="T173" i="4"/>
  <c r="R353" i="4"/>
  <c r="S353" i="4"/>
  <c r="T353" i="4"/>
  <c r="M353" i="4"/>
  <c r="N353" i="4"/>
  <c r="O353" i="4"/>
  <c r="P353" i="4"/>
  <c r="Q353" i="4"/>
  <c r="M145" i="4"/>
  <c r="N145" i="4"/>
  <c r="O145" i="4"/>
  <c r="P145" i="4"/>
  <c r="Q145" i="4"/>
  <c r="R145" i="4"/>
  <c r="S145" i="4"/>
  <c r="T145" i="4"/>
  <c r="M179" i="4"/>
  <c r="N179" i="4"/>
  <c r="O179" i="4"/>
  <c r="P179" i="4"/>
  <c r="Q179" i="4"/>
  <c r="R179" i="4"/>
  <c r="S179" i="4"/>
  <c r="T179" i="4"/>
  <c r="R309" i="4"/>
  <c r="S309" i="4"/>
  <c r="T309" i="4"/>
  <c r="M309" i="4"/>
  <c r="N309" i="4"/>
  <c r="Q309" i="4"/>
  <c r="P309" i="4"/>
  <c r="O309" i="4"/>
  <c r="R94" i="4"/>
  <c r="S94" i="4"/>
  <c r="T94" i="4"/>
  <c r="M94" i="4"/>
  <c r="O94" i="4"/>
  <c r="N94" i="4"/>
  <c r="P94" i="4"/>
  <c r="Q94" i="4"/>
  <c r="R238" i="4"/>
  <c r="S238" i="4"/>
  <c r="T238" i="4"/>
  <c r="M238" i="4"/>
  <c r="N238" i="4"/>
  <c r="O238" i="4"/>
  <c r="P238" i="4"/>
  <c r="Q238" i="4"/>
  <c r="Q296" i="4"/>
  <c r="O296" i="4"/>
  <c r="P296" i="4"/>
  <c r="R296" i="4"/>
  <c r="S296" i="4"/>
  <c r="T296" i="4"/>
  <c r="M296" i="4"/>
  <c r="N296" i="4"/>
  <c r="R437" i="4"/>
  <c r="T437" i="4"/>
  <c r="M437" i="4"/>
  <c r="N437" i="4"/>
  <c r="Q437" i="4"/>
  <c r="O437" i="4"/>
  <c r="P437" i="4"/>
  <c r="S437" i="4"/>
  <c r="R156" i="4"/>
  <c r="S156" i="4"/>
  <c r="T156" i="4"/>
  <c r="M156" i="4"/>
  <c r="N156" i="4"/>
  <c r="O156" i="4"/>
  <c r="P156" i="4"/>
  <c r="Q156" i="4"/>
  <c r="R146" i="4"/>
  <c r="O146" i="4"/>
  <c r="M146" i="4"/>
  <c r="N146" i="4"/>
  <c r="P146" i="4"/>
  <c r="Q146" i="4"/>
  <c r="S146" i="4"/>
  <c r="T146" i="4"/>
  <c r="R182" i="4"/>
  <c r="O182" i="4"/>
  <c r="T182" i="4"/>
  <c r="S182" i="4"/>
  <c r="M182" i="4"/>
  <c r="N182" i="4"/>
  <c r="P182" i="4"/>
  <c r="Q182" i="4"/>
  <c r="O314" i="4"/>
  <c r="P314" i="4"/>
  <c r="Q314" i="4"/>
  <c r="R314" i="4"/>
  <c r="T314" i="4"/>
  <c r="S314" i="4"/>
  <c r="M314" i="4"/>
  <c r="N314" i="4"/>
  <c r="M99" i="4"/>
  <c r="N99" i="4"/>
  <c r="O99" i="4"/>
  <c r="P99" i="4"/>
  <c r="Q99" i="4"/>
  <c r="R99" i="4"/>
  <c r="S99" i="4"/>
  <c r="T99" i="4"/>
  <c r="R242" i="4"/>
  <c r="S242" i="4"/>
  <c r="T242" i="4"/>
  <c r="M242" i="4"/>
  <c r="N242" i="4"/>
  <c r="O242" i="4"/>
  <c r="P242" i="4"/>
  <c r="Q242" i="4"/>
  <c r="R100" i="4"/>
  <c r="S100" i="4"/>
  <c r="T100" i="4"/>
  <c r="M100" i="4"/>
  <c r="N100" i="4"/>
  <c r="O100" i="4"/>
  <c r="P100" i="4"/>
  <c r="Q100" i="4"/>
  <c r="M243" i="4"/>
  <c r="N243" i="4"/>
  <c r="Q243" i="4"/>
  <c r="R243" i="4"/>
  <c r="S243" i="4"/>
  <c r="T243" i="4"/>
  <c r="P243" i="4"/>
  <c r="O243" i="4"/>
  <c r="M237" i="4"/>
  <c r="N237" i="4"/>
  <c r="S237" i="4"/>
  <c r="T237" i="4"/>
  <c r="O237" i="4"/>
  <c r="Q237" i="4"/>
  <c r="R237" i="4"/>
  <c r="P237" i="4"/>
  <c r="R169" i="4"/>
  <c r="S169" i="4"/>
  <c r="T169" i="4"/>
  <c r="M169" i="4"/>
  <c r="N169" i="4"/>
  <c r="O169" i="4"/>
  <c r="P169" i="4"/>
  <c r="Q169" i="4"/>
  <c r="P445" i="4"/>
  <c r="Q445" i="4"/>
  <c r="S445" i="4"/>
  <c r="R445" i="4"/>
  <c r="T445" i="4"/>
  <c r="M445" i="4"/>
  <c r="N445" i="4"/>
  <c r="O445" i="4"/>
  <c r="Q438" i="4"/>
  <c r="S438" i="4"/>
  <c r="N438" i="4"/>
  <c r="R438" i="4"/>
  <c r="M438" i="4"/>
  <c r="O438" i="4"/>
  <c r="P438" i="4"/>
  <c r="T438" i="4"/>
  <c r="M273" i="4"/>
  <c r="P273" i="4"/>
  <c r="Q273" i="4"/>
  <c r="R273" i="4"/>
  <c r="S273" i="4"/>
  <c r="T273" i="4"/>
  <c r="N273" i="4"/>
  <c r="O273" i="4"/>
  <c r="R448" i="4"/>
  <c r="N448" i="4"/>
  <c r="O448" i="4"/>
  <c r="P448" i="4"/>
  <c r="Q448" i="4"/>
  <c r="S448" i="4"/>
  <c r="T448" i="4"/>
  <c r="M448" i="4"/>
  <c r="R178" i="4"/>
  <c r="S178" i="4"/>
  <c r="T178" i="4"/>
  <c r="M178" i="4"/>
  <c r="O178" i="4"/>
  <c r="N178" i="4"/>
  <c r="P178" i="4"/>
  <c r="Q178" i="4"/>
  <c r="R302" i="4"/>
  <c r="S302" i="4"/>
  <c r="T302" i="4"/>
  <c r="M302" i="4"/>
  <c r="N302" i="4"/>
  <c r="Q302" i="4"/>
  <c r="P302" i="4"/>
  <c r="O302" i="4"/>
  <c r="M162" i="4"/>
  <c r="N162" i="4"/>
  <c r="O162" i="4"/>
  <c r="P162" i="4"/>
  <c r="Q162" i="4"/>
  <c r="R162" i="4"/>
  <c r="S162" i="4"/>
  <c r="T162" i="4"/>
  <c r="P379" i="4"/>
  <c r="Q379" i="4"/>
  <c r="T379" i="4"/>
  <c r="R379" i="4"/>
  <c r="S379" i="4"/>
  <c r="M379" i="4"/>
  <c r="N379" i="4"/>
  <c r="O379" i="4"/>
  <c r="R411" i="4"/>
  <c r="O411" i="4"/>
  <c r="P411" i="4"/>
  <c r="Q411" i="4"/>
  <c r="S411" i="4"/>
  <c r="M411" i="4"/>
  <c r="T411" i="4"/>
  <c r="N411" i="4"/>
  <c r="R311" i="4"/>
  <c r="S311" i="4"/>
  <c r="T311" i="4"/>
  <c r="M311" i="4"/>
  <c r="N311" i="4"/>
  <c r="O311" i="4"/>
  <c r="P311" i="4"/>
  <c r="Q311" i="4"/>
  <c r="M89" i="4"/>
  <c r="N89" i="4"/>
  <c r="O89" i="4"/>
  <c r="P89" i="4"/>
  <c r="Q89" i="4"/>
  <c r="R89" i="4"/>
  <c r="S89" i="4"/>
  <c r="T89" i="4"/>
  <c r="T240" i="4"/>
  <c r="P240" i="4"/>
  <c r="O240" i="4"/>
  <c r="M240" i="4"/>
  <c r="N240" i="4"/>
  <c r="Q240" i="4"/>
  <c r="R240" i="4"/>
  <c r="S240" i="4"/>
  <c r="O290" i="4"/>
  <c r="P290" i="4"/>
  <c r="Q290" i="4"/>
  <c r="R290" i="4"/>
  <c r="T290" i="4"/>
  <c r="S290" i="4"/>
  <c r="M290" i="4"/>
  <c r="N290" i="4"/>
  <c r="R306" i="4"/>
  <c r="S306" i="4"/>
  <c r="T306" i="4"/>
  <c r="M306" i="4"/>
  <c r="N306" i="4"/>
  <c r="P306" i="4"/>
  <c r="Q306" i="4"/>
  <c r="O306" i="4"/>
  <c r="R147" i="4"/>
  <c r="O147" i="4"/>
  <c r="T147" i="4"/>
  <c r="M147" i="4"/>
  <c r="N147" i="4"/>
  <c r="P147" i="4"/>
  <c r="Q147" i="4"/>
  <c r="S147" i="4"/>
  <c r="Q378" i="4"/>
  <c r="T378" i="4"/>
  <c r="O378" i="4"/>
  <c r="R378" i="4"/>
  <c r="S378" i="4"/>
  <c r="M378" i="4"/>
  <c r="N378" i="4"/>
  <c r="P378" i="4"/>
  <c r="Q415" i="4"/>
  <c r="S415" i="4"/>
  <c r="N415" i="4"/>
  <c r="T415" i="4"/>
  <c r="P415" i="4"/>
  <c r="R415" i="4"/>
  <c r="M415" i="4"/>
  <c r="O415" i="4"/>
  <c r="P383" i="4"/>
  <c r="Q383" i="4"/>
  <c r="T383" i="4"/>
  <c r="R383" i="4"/>
  <c r="S383" i="4"/>
  <c r="M383" i="4"/>
  <c r="N383" i="4"/>
  <c r="O383" i="4"/>
  <c r="T416" i="4"/>
  <c r="Q416" i="4"/>
  <c r="S416" i="4"/>
  <c r="R416" i="4"/>
  <c r="M416" i="4"/>
  <c r="N416" i="4"/>
  <c r="O416" i="4"/>
  <c r="P416" i="4"/>
  <c r="O308" i="4"/>
  <c r="P308" i="4"/>
  <c r="Q308" i="4"/>
  <c r="R308" i="4"/>
  <c r="S308" i="4"/>
  <c r="T308" i="4"/>
  <c r="M308" i="4"/>
  <c r="N308" i="4"/>
  <c r="R444" i="4"/>
  <c r="S444" i="4"/>
  <c r="T444" i="4"/>
  <c r="M444" i="4"/>
  <c r="P444" i="4"/>
  <c r="N444" i="4"/>
  <c r="O444" i="4"/>
  <c r="Q444" i="4"/>
  <c r="R349" i="4"/>
  <c r="S349" i="4"/>
  <c r="T349" i="4"/>
  <c r="M349" i="4"/>
  <c r="N349" i="4"/>
  <c r="O349" i="4"/>
  <c r="P349" i="4"/>
  <c r="Q349" i="4"/>
  <c r="P446" i="4"/>
  <c r="Q446" i="4"/>
  <c r="N446" i="4"/>
  <c r="O446" i="4"/>
  <c r="T446" i="4"/>
  <c r="S446" i="4"/>
  <c r="R446" i="4"/>
  <c r="M446" i="4"/>
  <c r="T447" i="4"/>
  <c r="Q447" i="4"/>
  <c r="S447" i="4"/>
  <c r="R447" i="4"/>
  <c r="M447" i="4"/>
  <c r="N447" i="4"/>
  <c r="O447" i="4"/>
  <c r="P447" i="4"/>
  <c r="R352" i="4"/>
  <c r="S352" i="4"/>
  <c r="T352" i="4"/>
  <c r="M352" i="4"/>
  <c r="N352" i="4"/>
  <c r="O352" i="4"/>
  <c r="P352" i="4"/>
  <c r="Q352" i="4"/>
  <c r="M161" i="4"/>
  <c r="N161" i="4"/>
  <c r="O161" i="4"/>
  <c r="P161" i="4"/>
  <c r="Q161" i="4"/>
  <c r="R161" i="4"/>
  <c r="S161" i="4"/>
  <c r="T161" i="4"/>
  <c r="O317" i="4"/>
  <c r="P317" i="4"/>
  <c r="Q317" i="4"/>
  <c r="R317" i="4"/>
  <c r="S317" i="4"/>
  <c r="T317" i="4"/>
  <c r="M317" i="4"/>
  <c r="N317" i="4"/>
  <c r="M136" i="4"/>
  <c r="N136" i="4"/>
  <c r="O136" i="4"/>
  <c r="P136" i="4"/>
  <c r="Q136" i="4"/>
  <c r="R136" i="4"/>
  <c r="S136" i="4"/>
  <c r="T136" i="4"/>
  <c r="L303" i="4"/>
  <c r="L95" i="4"/>
  <c r="L412" i="4"/>
  <c r="L297" i="4"/>
  <c r="L90" i="4"/>
  <c r="L205" i="4"/>
  <c r="L142" i="4"/>
  <c r="L304" i="4"/>
  <c r="L315" i="4"/>
  <c r="L346" i="4"/>
  <c r="L316" i="4"/>
  <c r="L86" i="4"/>
  <c r="L180" i="4"/>
  <c r="L131" i="4"/>
  <c r="L165" i="4"/>
  <c r="L133" i="4"/>
  <c r="L134" i="4"/>
  <c r="L168" i="4"/>
  <c r="L101" i="4"/>
  <c r="L186" i="4"/>
  <c r="L206" i="4"/>
  <c r="L318" i="4"/>
  <c r="L380" i="4"/>
  <c r="L419" i="4"/>
  <c r="L312" i="4"/>
  <c r="L97" i="4"/>
  <c r="L241" i="4"/>
  <c r="L291" i="4"/>
  <c r="L440" i="4"/>
  <c r="L151" i="4"/>
  <c r="L85" i="4"/>
  <c r="L152" i="4"/>
  <c r="L93" i="4"/>
  <c r="L163" i="4"/>
  <c r="L138" i="4"/>
  <c r="L171" i="4"/>
  <c r="L166" i="4"/>
  <c r="L167" i="4"/>
  <c r="L174" i="4"/>
  <c r="L384" i="4"/>
  <c r="L288" i="4"/>
  <c r="L347" i="4"/>
  <c r="L87" i="4"/>
  <c r="L154" i="4"/>
  <c r="L140" i="4"/>
  <c r="L188" i="4"/>
  <c r="L149" i="4"/>
  <c r="L386" i="4"/>
  <c r="L413" i="4"/>
  <c r="L299" i="4"/>
  <c r="L92" i="4"/>
  <c r="L235" i="4"/>
  <c r="L102" i="4"/>
  <c r="L236" i="4"/>
  <c r="L294" i="4"/>
  <c r="L137" i="4"/>
  <c r="L170" i="4"/>
  <c r="L274" i="4"/>
  <c r="L172" i="4"/>
  <c r="L173" i="4"/>
  <c r="L353" i="4"/>
  <c r="L145" i="4"/>
  <c r="L179" i="4"/>
  <c r="L309" i="4"/>
  <c r="L94" i="4"/>
  <c r="L238" i="4"/>
  <c r="L296" i="4"/>
  <c r="L437" i="4"/>
  <c r="L156" i="4"/>
  <c r="L146" i="4"/>
  <c r="L182" i="4"/>
  <c r="L314" i="4"/>
  <c r="L99" i="4"/>
  <c r="L242" i="4"/>
  <c r="L100" i="4"/>
  <c r="L243" i="4"/>
  <c r="L237" i="4"/>
  <c r="L169" i="4"/>
  <c r="L445" i="4"/>
  <c r="L438" i="4"/>
  <c r="L273" i="4"/>
  <c r="L448" i="4"/>
  <c r="L178" i="4"/>
  <c r="L302" i="4"/>
  <c r="L162" i="4"/>
  <c r="L379" i="4"/>
  <c r="L411" i="4"/>
  <c r="L311" i="4"/>
  <c r="L89" i="4"/>
  <c r="L240" i="4"/>
  <c r="L290" i="4"/>
  <c r="L306" i="4"/>
  <c r="L147" i="4"/>
  <c r="L378" i="4"/>
  <c r="L415" i="4"/>
  <c r="L383" i="4"/>
  <c r="L416" i="4"/>
  <c r="L308" i="4"/>
  <c r="L444" i="4"/>
  <c r="L349" i="4"/>
  <c r="L446" i="4"/>
  <c r="L447" i="4"/>
  <c r="L352" i="4"/>
  <c r="L161" i="4"/>
  <c r="L317" i="4"/>
  <c r="L136" i="4"/>
  <c r="L385" i="4"/>
  <c r="L418" i="4"/>
  <c r="L148" i="4"/>
  <c r="L96" i="4"/>
  <c r="L421" i="4"/>
  <c r="L298" i="4"/>
  <c r="L91" i="4"/>
  <c r="L245" i="4"/>
  <c r="L143" i="4"/>
  <c r="L184" i="4"/>
  <c r="L144" i="4"/>
  <c r="L185" i="4"/>
  <c r="L443" i="4"/>
  <c r="L348" i="4"/>
  <c r="L345" i="4"/>
  <c r="L350" i="4"/>
  <c r="L351" i="4"/>
  <c r="L177" i="4"/>
  <c r="L139" i="4"/>
  <c r="L153" i="4"/>
  <c r="L175" i="4"/>
  <c r="L287" i="4"/>
  <c r="L187" i="4"/>
  <c r="L155" i="4"/>
  <c r="L381" i="4"/>
  <c r="L420" i="4"/>
  <c r="L313" i="4"/>
  <c r="L98" i="4"/>
  <c r="L414" i="4"/>
  <c r="L292" i="4"/>
  <c r="L307" i="4"/>
  <c r="L293" i="4"/>
  <c r="L310" i="4"/>
  <c r="L358" i="4"/>
  <c r="L356" i="4"/>
  <c r="L157" i="4"/>
  <c r="L357" i="4"/>
  <c r="L176" i="4"/>
  <c r="L160" i="4"/>
  <c r="L164" i="4"/>
  <c r="L244" i="4"/>
  <c r="L289" i="4"/>
  <c r="L295" i="4"/>
  <c r="L88" i="4"/>
  <c r="L239" i="4"/>
  <c r="L141" i="4"/>
  <c r="L305" i="4"/>
  <c r="L150" i="4"/>
  <c r="L382" i="4"/>
  <c r="L183" i="4"/>
  <c r="L300" i="4"/>
  <c r="L441" i="4"/>
  <c r="L301" i="4"/>
  <c r="L442" i="4"/>
  <c r="L355" i="4"/>
  <c r="L181" i="4"/>
  <c r="L132" i="4"/>
  <c r="L158" i="4"/>
  <c r="L159" i="4"/>
  <c r="L135" i="4"/>
  <c r="L354" i="4"/>
  <c r="L417" i="4"/>
  <c r="L439" i="4"/>
  <c r="AM68" i="2"/>
  <c r="AG68" i="2"/>
  <c r="AA68" i="2"/>
  <c r="AY68" i="2"/>
  <c r="BK68" i="2"/>
  <c r="U68" i="2"/>
  <c r="BE68" i="2"/>
  <c r="AS68" i="2"/>
  <c r="AM66" i="2"/>
  <c r="AY66" i="2"/>
  <c r="AG66" i="2"/>
  <c r="AA66" i="2"/>
  <c r="BK66" i="2"/>
  <c r="AS66" i="2"/>
  <c r="U66" i="2"/>
  <c r="BE66" i="2"/>
  <c r="AM39" i="2"/>
  <c r="AY39" i="2"/>
  <c r="AG39" i="2"/>
  <c r="AA39" i="2"/>
  <c r="BK39" i="2"/>
  <c r="U39" i="2"/>
  <c r="BE39" i="2"/>
  <c r="AS39" i="2"/>
  <c r="AM59" i="2"/>
  <c r="U59" i="2"/>
  <c r="BK59" i="2"/>
  <c r="AG59" i="2"/>
  <c r="BE59" i="2"/>
  <c r="AA59" i="2"/>
  <c r="AS59" i="2"/>
  <c r="AY59" i="2"/>
  <c r="AM18" i="2"/>
  <c r="AG18" i="2"/>
  <c r="AA18" i="2"/>
  <c r="AS18" i="2"/>
  <c r="U18" i="2"/>
  <c r="BK18" i="2"/>
  <c r="BE18" i="2"/>
  <c r="AY18" i="2"/>
  <c r="AM33" i="2"/>
  <c r="AS33" i="2"/>
  <c r="BK33" i="2"/>
  <c r="BE33" i="2"/>
  <c r="AY33" i="2"/>
  <c r="AA33" i="2"/>
  <c r="U33" i="2"/>
  <c r="AG33" i="2"/>
  <c r="AM56" i="2"/>
  <c r="BE56" i="2"/>
  <c r="AA56" i="2"/>
  <c r="BK56" i="2"/>
  <c r="AS56" i="2"/>
  <c r="U56" i="2"/>
  <c r="AY56" i="2"/>
  <c r="AG56" i="2"/>
  <c r="AM26" i="2"/>
  <c r="BK26" i="2"/>
  <c r="AY26" i="2"/>
  <c r="BE26" i="2"/>
  <c r="AG26" i="2"/>
  <c r="AA26" i="2"/>
  <c r="U26" i="2"/>
  <c r="AS26" i="2"/>
  <c r="U51" i="2"/>
  <c r="BK51" i="2"/>
  <c r="AM51" i="2"/>
  <c r="AG51" i="2"/>
  <c r="BE51" i="2"/>
  <c r="AA51" i="2"/>
  <c r="AY51" i="2"/>
  <c r="AS51" i="2"/>
  <c r="U17" i="2"/>
  <c r="BK17" i="2"/>
  <c r="BE17" i="2"/>
  <c r="AM17" i="2"/>
  <c r="AS17" i="2"/>
  <c r="AY17" i="2"/>
  <c r="AG17" i="2"/>
  <c r="AA17" i="2"/>
  <c r="AM34" i="2"/>
  <c r="BK34" i="2"/>
  <c r="AG34" i="2"/>
  <c r="BE34" i="2"/>
  <c r="U34" i="2"/>
  <c r="AY34" i="2"/>
  <c r="AS34" i="2"/>
  <c r="AA34" i="2"/>
  <c r="AM63" i="2"/>
  <c r="AS63" i="2"/>
  <c r="BK63" i="2"/>
  <c r="BE63" i="2"/>
  <c r="AY63" i="2"/>
  <c r="AG63" i="2"/>
  <c r="AA63" i="2"/>
  <c r="U63" i="2"/>
  <c r="AM35" i="2"/>
  <c r="BE35" i="2"/>
  <c r="AY35" i="2"/>
  <c r="AG35" i="2"/>
  <c r="AA35" i="2"/>
  <c r="U35" i="2"/>
  <c r="BK35" i="2"/>
  <c r="AS35" i="2"/>
  <c r="AM37" i="2"/>
  <c r="AS37" i="2"/>
  <c r="U37" i="2"/>
  <c r="AY37" i="2"/>
  <c r="AG37" i="2"/>
  <c r="AA37" i="2"/>
  <c r="BK37" i="2"/>
  <c r="BE37" i="2"/>
  <c r="AM29" i="2"/>
  <c r="AS29" i="2"/>
  <c r="BE29" i="2"/>
  <c r="AG29" i="2"/>
  <c r="AA29" i="2"/>
  <c r="BK29" i="2"/>
  <c r="AY29" i="2"/>
  <c r="U29" i="2"/>
  <c r="U48" i="2"/>
  <c r="AM48" i="2"/>
  <c r="AY48" i="2"/>
  <c r="AG48" i="2"/>
  <c r="AA48" i="2"/>
  <c r="BE48" i="2"/>
  <c r="BK48" i="2"/>
  <c r="AS48" i="2"/>
  <c r="AM45" i="2"/>
  <c r="AG45" i="2"/>
  <c r="AA45" i="2"/>
  <c r="AS45" i="2"/>
  <c r="U45" i="2"/>
  <c r="AY45" i="2"/>
  <c r="BK45" i="2"/>
  <c r="BE45" i="2"/>
  <c r="AS46" i="2"/>
  <c r="AA46" i="2"/>
  <c r="BK46" i="2"/>
  <c r="U46" i="2"/>
  <c r="AY46" i="2"/>
  <c r="AG46" i="2"/>
  <c r="AM46" i="2"/>
  <c r="BE46" i="2"/>
  <c r="AM28" i="2"/>
  <c r="AY28" i="2"/>
  <c r="BK28" i="2"/>
  <c r="AG28" i="2"/>
  <c r="BE28" i="2"/>
  <c r="AS28" i="2"/>
  <c r="AA28" i="2"/>
  <c r="U28" i="2"/>
  <c r="AM3" i="2"/>
  <c r="AG3" i="2"/>
  <c r="U3" i="2"/>
  <c r="AA3" i="2"/>
  <c r="AY3" i="2"/>
  <c r="AS3" i="2"/>
  <c r="BK3" i="2"/>
  <c r="BE3" i="2"/>
  <c r="AM67" i="2"/>
  <c r="AY67" i="2"/>
  <c r="U67" i="2"/>
  <c r="BK67" i="2"/>
  <c r="BE67" i="2"/>
  <c r="AG67" i="2"/>
  <c r="AS67" i="2"/>
  <c r="AA67" i="2"/>
  <c r="AM64" i="2"/>
  <c r="AS64" i="2"/>
  <c r="U64" i="2"/>
  <c r="BK64" i="2"/>
  <c r="AY64" i="2"/>
  <c r="AG64" i="2"/>
  <c r="BE64" i="2"/>
  <c r="AA64" i="2"/>
  <c r="U11" i="2"/>
  <c r="AA11" i="2"/>
  <c r="AG11" i="2"/>
  <c r="BK11" i="2"/>
  <c r="AS11" i="2"/>
  <c r="BE11" i="2"/>
  <c r="AM11" i="2"/>
  <c r="AY11" i="2"/>
  <c r="AM49" i="2"/>
  <c r="U49" i="2"/>
  <c r="BK49" i="2"/>
  <c r="AA49" i="2"/>
  <c r="BE49" i="2"/>
  <c r="AS49" i="2"/>
  <c r="AY49" i="2"/>
  <c r="AG49" i="2"/>
  <c r="AM44" i="2"/>
  <c r="BE44" i="2"/>
  <c r="AY44" i="2"/>
  <c r="AG44" i="2"/>
  <c r="AA44" i="2"/>
  <c r="U44" i="2"/>
  <c r="AS44" i="2"/>
  <c r="BK44" i="2"/>
  <c r="U19" i="2"/>
  <c r="BK19" i="2"/>
  <c r="BE19" i="2"/>
  <c r="AG19" i="2"/>
  <c r="AS19" i="2"/>
  <c r="AA19" i="2"/>
  <c r="AM19" i="2"/>
  <c r="AY19" i="2"/>
  <c r="U9" i="2"/>
  <c r="AG9" i="2"/>
  <c r="AA9" i="2"/>
  <c r="AS9" i="2"/>
  <c r="AM9" i="2"/>
  <c r="BK9" i="2"/>
  <c r="BE9" i="2"/>
  <c r="AY9" i="2"/>
  <c r="AM41" i="2"/>
  <c r="AG41" i="2"/>
  <c r="U41" i="2"/>
  <c r="BK41" i="2"/>
  <c r="AA41" i="2"/>
  <c r="BE41" i="2"/>
  <c r="AS41" i="2"/>
  <c r="AY41" i="2"/>
  <c r="U54" i="2"/>
  <c r="AA54" i="2"/>
  <c r="AG54" i="2"/>
  <c r="BK54" i="2"/>
  <c r="AY54" i="2"/>
  <c r="BE54" i="2"/>
  <c r="AS54" i="2"/>
  <c r="AM54" i="2"/>
  <c r="U2" i="2"/>
  <c r="O2" i="2"/>
  <c r="BK2" i="2"/>
  <c r="AG2" i="2"/>
  <c r="BE2" i="2"/>
  <c r="AS2" i="2"/>
  <c r="AA2" i="2"/>
  <c r="AY2" i="2"/>
  <c r="AM2" i="2"/>
  <c r="AM42" i="2"/>
  <c r="AG42" i="2"/>
  <c r="U42" i="2"/>
  <c r="AY42" i="2"/>
  <c r="AA42" i="2"/>
  <c r="BK42" i="2"/>
  <c r="BE42" i="2"/>
  <c r="AS42" i="2"/>
  <c r="AM36" i="2"/>
  <c r="AA36" i="2"/>
  <c r="U36" i="2"/>
  <c r="AG36" i="2"/>
  <c r="BK36" i="2"/>
  <c r="AS36" i="2"/>
  <c r="BE36" i="2"/>
  <c r="AY36" i="2"/>
  <c r="AM30" i="2"/>
  <c r="AY30" i="2"/>
  <c r="AA30" i="2"/>
  <c r="BK30" i="2"/>
  <c r="U30" i="2"/>
  <c r="AG30" i="2"/>
  <c r="BE30" i="2"/>
  <c r="AS30" i="2"/>
  <c r="U53" i="2"/>
  <c r="AS53" i="2"/>
  <c r="BK53" i="2"/>
  <c r="AM53" i="2"/>
  <c r="BE53" i="2"/>
  <c r="AY53" i="2"/>
  <c r="AG53" i="2"/>
  <c r="AA53" i="2"/>
  <c r="AM6" i="2"/>
  <c r="BE6" i="2"/>
  <c r="AS6" i="2"/>
  <c r="AG6" i="2"/>
  <c r="AY6" i="2"/>
  <c r="AA6" i="2"/>
  <c r="BK6" i="2"/>
  <c r="U6" i="2"/>
  <c r="U69" i="2"/>
  <c r="BK69" i="2"/>
  <c r="AY69" i="2"/>
  <c r="BE69" i="2"/>
  <c r="AG69" i="2"/>
  <c r="AA69" i="2"/>
  <c r="AS69" i="2"/>
  <c r="AM69" i="2"/>
  <c r="AM8" i="2"/>
  <c r="BK8" i="2"/>
  <c r="BE8" i="2"/>
  <c r="U8" i="2"/>
  <c r="AY8" i="2"/>
  <c r="AS8" i="2"/>
  <c r="AG8" i="2"/>
  <c r="AA8" i="2"/>
  <c r="AM65" i="2"/>
  <c r="BK65" i="2"/>
  <c r="AY65" i="2"/>
  <c r="BE65" i="2"/>
  <c r="AG65" i="2"/>
  <c r="AA65" i="2"/>
  <c r="U65" i="2"/>
  <c r="AS65" i="2"/>
  <c r="AM52" i="2"/>
  <c r="AG52" i="2"/>
  <c r="AA52" i="2"/>
  <c r="AS52" i="2"/>
  <c r="U52" i="2"/>
  <c r="BK52" i="2"/>
  <c r="BE52" i="2"/>
  <c r="AY52" i="2"/>
  <c r="AM55" i="2"/>
  <c r="AY55" i="2"/>
  <c r="U55" i="2"/>
  <c r="BK55" i="2"/>
  <c r="AA55" i="2"/>
  <c r="BE55" i="2"/>
  <c r="AS55" i="2"/>
  <c r="AG55" i="2"/>
  <c r="AM7" i="2"/>
  <c r="BE7" i="2"/>
  <c r="AY7" i="2"/>
  <c r="AG7" i="2"/>
  <c r="AA7" i="2"/>
  <c r="AS7" i="2"/>
  <c r="U7" i="2"/>
  <c r="BK7" i="2"/>
  <c r="U57" i="2"/>
  <c r="BK57" i="2"/>
  <c r="BE57" i="2"/>
  <c r="AS57" i="2"/>
  <c r="AG57" i="2"/>
  <c r="AY57" i="2"/>
  <c r="AM57" i="2"/>
  <c r="AA57" i="2"/>
  <c r="U43" i="2"/>
  <c r="AS43" i="2"/>
  <c r="AG43" i="2"/>
  <c r="AA43" i="2"/>
  <c r="AM43" i="2"/>
  <c r="BK43" i="2"/>
  <c r="AY43" i="2"/>
  <c r="BE43" i="2"/>
  <c r="U31" i="2"/>
  <c r="AY31" i="2"/>
  <c r="AM31" i="2"/>
  <c r="AG31" i="2"/>
  <c r="BK31" i="2"/>
  <c r="AS31" i="2"/>
  <c r="AA31" i="2"/>
  <c r="BE31" i="2"/>
  <c r="AM70" i="2"/>
  <c r="AA70" i="2"/>
  <c r="BE70" i="2"/>
  <c r="U70" i="2"/>
  <c r="AG70" i="2"/>
  <c r="AY70" i="2"/>
  <c r="AS70" i="2"/>
  <c r="BK70" i="2"/>
  <c r="AM38" i="2"/>
  <c r="BK38" i="2"/>
  <c r="AG38" i="2"/>
  <c r="BE38" i="2"/>
  <c r="AY38" i="2"/>
  <c r="AA38" i="2"/>
  <c r="U38" i="2"/>
  <c r="AS38" i="2"/>
  <c r="AM40" i="2"/>
  <c r="AG40" i="2"/>
  <c r="U40" i="2"/>
  <c r="AS40" i="2"/>
  <c r="AA40" i="2"/>
  <c r="AY40" i="2"/>
  <c r="BE40" i="2"/>
  <c r="BK40" i="2"/>
  <c r="U16" i="2"/>
  <c r="AY16" i="2"/>
  <c r="AG16" i="2"/>
  <c r="AS16" i="2"/>
  <c r="AA16" i="2"/>
  <c r="AM16" i="2"/>
  <c r="BK16" i="2"/>
  <c r="BE16" i="2"/>
  <c r="U58" i="2"/>
  <c r="AY58" i="2"/>
  <c r="AG58" i="2"/>
  <c r="AM58" i="2"/>
  <c r="AA58" i="2"/>
  <c r="BK58" i="2"/>
  <c r="BE58" i="2"/>
  <c r="AS58" i="2"/>
  <c r="U60" i="2"/>
  <c r="AS60" i="2"/>
  <c r="BK60" i="2"/>
  <c r="AY60" i="2"/>
  <c r="AM60" i="2"/>
  <c r="BE60" i="2"/>
  <c r="AG60" i="2"/>
  <c r="AA60" i="2"/>
  <c r="U62" i="2"/>
  <c r="AG62" i="2"/>
  <c r="AA62" i="2"/>
  <c r="AM62" i="2"/>
  <c r="BK62" i="2"/>
  <c r="AY62" i="2"/>
  <c r="BE62" i="2"/>
  <c r="AS62" i="2"/>
  <c r="AM61" i="2"/>
  <c r="AS61" i="2"/>
  <c r="AY61" i="2"/>
  <c r="BE61" i="2"/>
  <c r="AG61" i="2"/>
  <c r="AA61" i="2"/>
  <c r="U61" i="2"/>
  <c r="BK61" i="2"/>
  <c r="AM47" i="2"/>
  <c r="BE47" i="2"/>
  <c r="AY47" i="2"/>
  <c r="AG47" i="2"/>
  <c r="AA47" i="2"/>
  <c r="BK47" i="2"/>
  <c r="AS47" i="2"/>
  <c r="U47" i="2"/>
  <c r="AM14" i="2"/>
  <c r="BK14" i="2"/>
  <c r="AY14" i="2"/>
  <c r="AG14" i="2"/>
  <c r="U14" i="2"/>
  <c r="BE14" i="2"/>
  <c r="AA14" i="2"/>
  <c r="AS14" i="2"/>
  <c r="AM27" i="2"/>
  <c r="BK27" i="2"/>
  <c r="AS27" i="2"/>
  <c r="BE27" i="2"/>
  <c r="U27" i="2"/>
  <c r="AG27" i="2"/>
  <c r="AA27" i="2"/>
  <c r="AY27" i="2"/>
  <c r="AM50" i="2"/>
  <c r="BK50" i="2"/>
  <c r="BE50" i="2"/>
  <c r="AS50" i="2"/>
  <c r="U50" i="2"/>
  <c r="AY50" i="2"/>
  <c r="AG50" i="2"/>
  <c r="AA50" i="2"/>
  <c r="F256" i="4"/>
  <c r="F343" i="4"/>
  <c r="F428" i="4"/>
  <c r="F401" i="4"/>
  <c r="F231" i="4"/>
  <c r="F222" i="4"/>
  <c r="F227" i="4"/>
  <c r="F220" i="4"/>
  <c r="F217" i="4"/>
  <c r="F271" i="4"/>
  <c r="F247" i="4"/>
  <c r="L247" i="4" s="1"/>
  <c r="F219" i="4"/>
  <c r="F394" i="4"/>
  <c r="F270" i="4"/>
  <c r="F246" i="4"/>
  <c r="F450" i="4"/>
  <c r="F402" i="4"/>
  <c r="F403" i="4"/>
  <c r="F204" i="4"/>
  <c r="F429" i="4"/>
  <c r="F251" i="4"/>
  <c r="F389" i="4"/>
  <c r="F408" i="4"/>
  <c r="F396" i="4"/>
  <c r="F390" i="4"/>
  <c r="F449" i="4"/>
  <c r="F393" i="4"/>
  <c r="F255" i="4"/>
  <c r="F388" i="4"/>
  <c r="F70" i="4"/>
  <c r="F395" i="4"/>
  <c r="F252" i="4"/>
  <c r="F336" i="4"/>
  <c r="F218" i="4"/>
  <c r="F392" i="4"/>
  <c r="F344" i="4"/>
  <c r="F430" i="4"/>
  <c r="F24" i="4"/>
  <c r="F7" i="4"/>
  <c r="F406" i="4"/>
  <c r="F340" i="4"/>
  <c r="F221" i="4"/>
  <c r="F268" i="4"/>
  <c r="F215" i="4"/>
  <c r="F226" i="4"/>
  <c r="F254" i="4"/>
  <c r="F405" i="4"/>
  <c r="F404" i="4"/>
  <c r="F407" i="4"/>
  <c r="F23" i="4"/>
  <c r="F339" i="4"/>
  <c r="F230" i="4"/>
  <c r="F410" i="4"/>
  <c r="F391" i="4"/>
  <c r="F233" i="4"/>
  <c r="F341" i="4"/>
  <c r="F229" i="4"/>
  <c r="F452" i="4"/>
  <c r="F427" i="4"/>
  <c r="F223" i="4"/>
  <c r="F216" i="4"/>
  <c r="F387" i="4"/>
  <c r="F253" i="4"/>
  <c r="F409" i="4"/>
  <c r="F272" i="4"/>
  <c r="F232" i="4"/>
  <c r="F225" i="4"/>
  <c r="F248" i="4"/>
  <c r="F398" i="4"/>
  <c r="F249" i="4"/>
  <c r="F400" i="4"/>
  <c r="F250" i="4"/>
  <c r="F342" i="4"/>
  <c r="F228" i="4"/>
  <c r="F451" i="4"/>
  <c r="F257" i="4"/>
  <c r="F453" i="4"/>
  <c r="F269" i="4"/>
  <c r="F224" i="4"/>
  <c r="F397" i="4"/>
  <c r="F338" i="4"/>
  <c r="F399" i="4"/>
  <c r="H24" i="4"/>
  <c r="H23" i="4"/>
  <c r="H7" i="4"/>
  <c r="H204" i="4"/>
  <c r="H70" i="4"/>
  <c r="H249" i="4"/>
  <c r="H341" i="4"/>
  <c r="H400" i="4"/>
  <c r="H229" i="4"/>
  <c r="H452" i="4"/>
  <c r="H219" i="4"/>
  <c r="H256" i="4"/>
  <c r="H393" i="4"/>
  <c r="H272" i="4"/>
  <c r="H406" i="4"/>
  <c r="H247" i="4"/>
  <c r="H391" i="4"/>
  <c r="H427" i="4"/>
  <c r="H223" i="4"/>
  <c r="H216" i="4"/>
  <c r="H257" i="4"/>
  <c r="H404" i="4"/>
  <c r="H338" i="4"/>
  <c r="H271" i="4"/>
  <c r="H217" i="4"/>
  <c r="H387" i="4"/>
  <c r="H250" i="4"/>
  <c r="H342" i="4"/>
  <c r="H228" i="4"/>
  <c r="H451" i="4"/>
  <c r="H453" i="4"/>
  <c r="H269" i="4"/>
  <c r="H224" i="4"/>
  <c r="H397" i="4"/>
  <c r="H246" i="4"/>
  <c r="H343" i="4"/>
  <c r="H394" i="4"/>
  <c r="H388" i="4"/>
  <c r="H428" i="4"/>
  <c r="H270" i="4"/>
  <c r="H405" i="4"/>
  <c r="H399" i="4"/>
  <c r="H251" i="4"/>
  <c r="H344" i="4"/>
  <c r="H450" i="4"/>
  <c r="H395" i="4"/>
  <c r="H389" i="4"/>
  <c r="H429" i="4"/>
  <c r="H430" i="4"/>
  <c r="H252" i="4"/>
  <c r="H336" i="4"/>
  <c r="H255" i="4"/>
  <c r="H407" i="4"/>
  <c r="H402" i="4"/>
  <c r="H408" i="4"/>
  <c r="H396" i="4"/>
  <c r="H390" i="4"/>
  <c r="H449" i="4"/>
  <c r="H254" i="4"/>
  <c r="H253" i="4"/>
  <c r="H218" i="4"/>
  <c r="H392" i="4"/>
  <c r="H401" i="4"/>
  <c r="H231" i="4"/>
  <c r="H403" i="4"/>
  <c r="H409" i="4"/>
  <c r="H339" i="4"/>
  <c r="H230" i="4"/>
  <c r="H222" i="4"/>
  <c r="H232" i="4"/>
  <c r="H225" i="4"/>
  <c r="H410" i="4"/>
  <c r="H227" i="4"/>
  <c r="H248" i="4"/>
  <c r="H340" i="4"/>
  <c r="H398" i="4"/>
  <c r="H221" i="4"/>
  <c r="H268" i="4"/>
  <c r="H215" i="4"/>
  <c r="H233" i="4"/>
  <c r="H226" i="4"/>
  <c r="H220" i="4"/>
  <c r="M250" i="4" l="1"/>
  <c r="N250" i="4"/>
  <c r="S250" i="4"/>
  <c r="T250" i="4"/>
  <c r="O250" i="4"/>
  <c r="P250" i="4"/>
  <c r="Q250" i="4"/>
  <c r="R250" i="4"/>
  <c r="L404" i="4"/>
  <c r="P404" i="4"/>
  <c r="Q404" i="4"/>
  <c r="S404" i="4"/>
  <c r="R404" i="4"/>
  <c r="T404" i="4"/>
  <c r="M404" i="4"/>
  <c r="N404" i="4"/>
  <c r="O404" i="4"/>
  <c r="R406" i="4"/>
  <c r="Q406" i="4"/>
  <c r="S406" i="4"/>
  <c r="T406" i="4"/>
  <c r="O406" i="4"/>
  <c r="M406" i="4"/>
  <c r="N406" i="4"/>
  <c r="P406" i="4"/>
  <c r="R336" i="4"/>
  <c r="S336" i="4"/>
  <c r="T336" i="4"/>
  <c r="M336" i="4"/>
  <c r="N336" i="4"/>
  <c r="O336" i="4"/>
  <c r="P336" i="4"/>
  <c r="Q336" i="4"/>
  <c r="S390" i="4"/>
  <c r="T390" i="4"/>
  <c r="O390" i="4"/>
  <c r="R390" i="4"/>
  <c r="N390" i="4"/>
  <c r="M390" i="4"/>
  <c r="P390" i="4"/>
  <c r="Q390" i="4"/>
  <c r="R402" i="4"/>
  <c r="N402" i="4"/>
  <c r="O402" i="4"/>
  <c r="P402" i="4"/>
  <c r="Q402" i="4"/>
  <c r="S402" i="4"/>
  <c r="T402" i="4"/>
  <c r="M402" i="4"/>
  <c r="M217" i="4"/>
  <c r="N217" i="4"/>
  <c r="S217" i="4"/>
  <c r="T217" i="4"/>
  <c r="O217" i="4"/>
  <c r="P217" i="4"/>
  <c r="Q217" i="4"/>
  <c r="R217" i="4"/>
  <c r="Q256" i="4"/>
  <c r="S256" i="4"/>
  <c r="R256" i="4"/>
  <c r="M256" i="4"/>
  <c r="T256" i="4"/>
  <c r="N256" i="4"/>
  <c r="O256" i="4"/>
  <c r="P256" i="4"/>
  <c r="Q409" i="4"/>
  <c r="S409" i="4"/>
  <c r="T409" i="4"/>
  <c r="R409" i="4"/>
  <c r="M409" i="4"/>
  <c r="N409" i="4"/>
  <c r="O409" i="4"/>
  <c r="P409" i="4"/>
  <c r="M224" i="4"/>
  <c r="N224" i="4"/>
  <c r="Q224" i="4"/>
  <c r="R224" i="4"/>
  <c r="S224" i="4"/>
  <c r="T224" i="4"/>
  <c r="O224" i="4"/>
  <c r="P224" i="4"/>
  <c r="M253" i="4"/>
  <c r="Q253" i="4"/>
  <c r="R253" i="4"/>
  <c r="S253" i="4"/>
  <c r="T253" i="4"/>
  <c r="N253" i="4"/>
  <c r="O253" i="4"/>
  <c r="P253" i="4"/>
  <c r="M233" i="4"/>
  <c r="N233" i="4"/>
  <c r="S233" i="4"/>
  <c r="T233" i="4"/>
  <c r="O233" i="4"/>
  <c r="R233" i="4"/>
  <c r="P233" i="4"/>
  <c r="Q233" i="4"/>
  <c r="N405" i="4"/>
  <c r="M405" i="4"/>
  <c r="O405" i="4"/>
  <c r="R405" i="4"/>
  <c r="P405" i="4"/>
  <c r="Q405" i="4"/>
  <c r="S405" i="4"/>
  <c r="T405" i="4"/>
  <c r="M7" i="4"/>
  <c r="N7" i="4"/>
  <c r="O7" i="4"/>
  <c r="P7" i="4"/>
  <c r="Q7" i="4"/>
  <c r="R7" i="4"/>
  <c r="S7" i="4"/>
  <c r="T7" i="4"/>
  <c r="T252" i="4"/>
  <c r="N252" i="4"/>
  <c r="O252" i="4"/>
  <c r="M252" i="4"/>
  <c r="P252" i="4"/>
  <c r="Q252" i="4"/>
  <c r="R252" i="4"/>
  <c r="S252" i="4"/>
  <c r="R396" i="4"/>
  <c r="M396" i="4"/>
  <c r="N396" i="4"/>
  <c r="O396" i="4"/>
  <c r="P396" i="4"/>
  <c r="T396" i="4"/>
  <c r="Q396" i="4"/>
  <c r="S396" i="4"/>
  <c r="R450" i="4"/>
  <c r="P450" i="4"/>
  <c r="Q450" i="4"/>
  <c r="S450" i="4"/>
  <c r="N450" i="4"/>
  <c r="T450" i="4"/>
  <c r="M450" i="4"/>
  <c r="O450" i="4"/>
  <c r="T220" i="4"/>
  <c r="O220" i="4"/>
  <c r="P220" i="4"/>
  <c r="M220" i="4"/>
  <c r="N220" i="4"/>
  <c r="Q220" i="4"/>
  <c r="R220" i="4"/>
  <c r="S220" i="4"/>
  <c r="P397" i="4"/>
  <c r="Q397" i="4"/>
  <c r="S397" i="4"/>
  <c r="R397" i="4"/>
  <c r="M397" i="4"/>
  <c r="N397" i="4"/>
  <c r="T397" i="4"/>
  <c r="O397" i="4"/>
  <c r="Q269" i="4"/>
  <c r="R269" i="4"/>
  <c r="S269" i="4"/>
  <c r="M269" i="4"/>
  <c r="T269" i="4"/>
  <c r="N269" i="4"/>
  <c r="O269" i="4"/>
  <c r="P269" i="4"/>
  <c r="T249" i="4"/>
  <c r="O249" i="4"/>
  <c r="P249" i="4"/>
  <c r="M249" i="4"/>
  <c r="N249" i="4"/>
  <c r="Q249" i="4"/>
  <c r="R249" i="4"/>
  <c r="S249" i="4"/>
  <c r="L387" i="4"/>
  <c r="R387" i="4"/>
  <c r="M387" i="4"/>
  <c r="N387" i="4"/>
  <c r="T387" i="4"/>
  <c r="O387" i="4"/>
  <c r="P387" i="4"/>
  <c r="Q387" i="4"/>
  <c r="S387" i="4"/>
  <c r="R391" i="4"/>
  <c r="M391" i="4"/>
  <c r="N391" i="4"/>
  <c r="O391" i="4"/>
  <c r="P391" i="4"/>
  <c r="Q391" i="4"/>
  <c r="S391" i="4"/>
  <c r="T391" i="4"/>
  <c r="Q254" i="4"/>
  <c r="O254" i="4"/>
  <c r="P254" i="4"/>
  <c r="M254" i="4"/>
  <c r="R254" i="4"/>
  <c r="S254" i="4"/>
  <c r="T254" i="4"/>
  <c r="N254" i="4"/>
  <c r="R395" i="4"/>
  <c r="M395" i="4"/>
  <c r="N395" i="4"/>
  <c r="S395" i="4"/>
  <c r="T395" i="4"/>
  <c r="P395" i="4"/>
  <c r="O395" i="4"/>
  <c r="Q395" i="4"/>
  <c r="P408" i="4"/>
  <c r="Q408" i="4"/>
  <c r="N408" i="4"/>
  <c r="R408" i="4"/>
  <c r="M408" i="4"/>
  <c r="S408" i="4"/>
  <c r="O408" i="4"/>
  <c r="T408" i="4"/>
  <c r="L246" i="4"/>
  <c r="M246" i="4"/>
  <c r="N246" i="4"/>
  <c r="O246" i="4"/>
  <c r="P246" i="4"/>
  <c r="Q246" i="4"/>
  <c r="S246" i="4"/>
  <c r="T246" i="4"/>
  <c r="R246" i="4"/>
  <c r="R227" i="4"/>
  <c r="S227" i="4"/>
  <c r="T227" i="4"/>
  <c r="M227" i="4"/>
  <c r="N227" i="4"/>
  <c r="O227" i="4"/>
  <c r="P227" i="4"/>
  <c r="Q227" i="4"/>
  <c r="R453" i="4"/>
  <c r="T453" i="4"/>
  <c r="M453" i="4"/>
  <c r="Q453" i="4"/>
  <c r="N453" i="4"/>
  <c r="O453" i="4"/>
  <c r="P453" i="4"/>
  <c r="S453" i="4"/>
  <c r="L398" i="4"/>
  <c r="P398" i="4"/>
  <c r="Q398" i="4"/>
  <c r="N398" i="4"/>
  <c r="O398" i="4"/>
  <c r="S398" i="4"/>
  <c r="T398" i="4"/>
  <c r="R398" i="4"/>
  <c r="M398" i="4"/>
  <c r="M216" i="4"/>
  <c r="N216" i="4"/>
  <c r="Q216" i="4"/>
  <c r="R216" i="4"/>
  <c r="S216" i="4"/>
  <c r="T216" i="4"/>
  <c r="O216" i="4"/>
  <c r="P216" i="4"/>
  <c r="R410" i="4"/>
  <c r="N410" i="4"/>
  <c r="O410" i="4"/>
  <c r="P410" i="4"/>
  <c r="Q410" i="4"/>
  <c r="S410" i="4"/>
  <c r="T410" i="4"/>
  <c r="M410" i="4"/>
  <c r="M226" i="4"/>
  <c r="N226" i="4"/>
  <c r="O226" i="4"/>
  <c r="P226" i="4"/>
  <c r="Q226" i="4"/>
  <c r="S226" i="4"/>
  <c r="T226" i="4"/>
  <c r="R226" i="4"/>
  <c r="R24" i="4"/>
  <c r="S24" i="4"/>
  <c r="T24" i="4"/>
  <c r="M24" i="4"/>
  <c r="O24" i="4"/>
  <c r="P24" i="4"/>
  <c r="Q24" i="4"/>
  <c r="N24" i="4"/>
  <c r="R70" i="4"/>
  <c r="O70" i="4"/>
  <c r="N70" i="4"/>
  <c r="P70" i="4"/>
  <c r="Q70" i="4"/>
  <c r="S70" i="4"/>
  <c r="M70" i="4"/>
  <c r="T70" i="4"/>
  <c r="R389" i="4"/>
  <c r="S389" i="4"/>
  <c r="M389" i="4"/>
  <c r="N389" i="4"/>
  <c r="T389" i="4"/>
  <c r="O389" i="4"/>
  <c r="P389" i="4"/>
  <c r="Q389" i="4"/>
  <c r="M270" i="4"/>
  <c r="N270" i="4"/>
  <c r="O270" i="4"/>
  <c r="P270" i="4"/>
  <c r="Q270" i="4"/>
  <c r="T270" i="4"/>
  <c r="R270" i="4"/>
  <c r="S270" i="4"/>
  <c r="T222" i="4"/>
  <c r="O222" i="4"/>
  <c r="Q222" i="4"/>
  <c r="R222" i="4"/>
  <c r="S222" i="4"/>
  <c r="M222" i="4"/>
  <c r="N222" i="4"/>
  <c r="P222" i="4"/>
  <c r="R248" i="4"/>
  <c r="S248" i="4"/>
  <c r="O248" i="4"/>
  <c r="T248" i="4"/>
  <c r="M248" i="4"/>
  <c r="N248" i="4"/>
  <c r="P248" i="4"/>
  <c r="Q248" i="4"/>
  <c r="R223" i="4"/>
  <c r="S223" i="4"/>
  <c r="T223" i="4"/>
  <c r="M223" i="4"/>
  <c r="N223" i="4"/>
  <c r="O223" i="4"/>
  <c r="P223" i="4"/>
  <c r="Q223" i="4"/>
  <c r="R230" i="4"/>
  <c r="O230" i="4"/>
  <c r="N230" i="4"/>
  <c r="P230" i="4"/>
  <c r="Q230" i="4"/>
  <c r="S230" i="4"/>
  <c r="M230" i="4"/>
  <c r="T230" i="4"/>
  <c r="R215" i="4"/>
  <c r="S215" i="4"/>
  <c r="T215" i="4"/>
  <c r="M215" i="4"/>
  <c r="N215" i="4"/>
  <c r="O215" i="4"/>
  <c r="P215" i="4"/>
  <c r="Q215" i="4"/>
  <c r="N430" i="4"/>
  <c r="O430" i="4"/>
  <c r="Q430" i="4"/>
  <c r="R430" i="4"/>
  <c r="S430" i="4"/>
  <c r="T430" i="4"/>
  <c r="P430" i="4"/>
  <c r="M430" i="4"/>
  <c r="R388" i="4"/>
  <c r="S388" i="4"/>
  <c r="M388" i="4"/>
  <c r="N388" i="4"/>
  <c r="P388" i="4"/>
  <c r="Q388" i="4"/>
  <c r="T388" i="4"/>
  <c r="O388" i="4"/>
  <c r="M251" i="4"/>
  <c r="N251" i="4"/>
  <c r="O251" i="4"/>
  <c r="P251" i="4"/>
  <c r="Q251" i="4"/>
  <c r="R251" i="4"/>
  <c r="S251" i="4"/>
  <c r="T251" i="4"/>
  <c r="Q394" i="4"/>
  <c r="S394" i="4"/>
  <c r="T394" i="4"/>
  <c r="R394" i="4"/>
  <c r="M394" i="4"/>
  <c r="N394" i="4"/>
  <c r="O394" i="4"/>
  <c r="P394" i="4"/>
  <c r="R231" i="4"/>
  <c r="S231" i="4"/>
  <c r="T231" i="4"/>
  <c r="M231" i="4"/>
  <c r="N231" i="4"/>
  <c r="O231" i="4"/>
  <c r="P231" i="4"/>
  <c r="Q231" i="4"/>
  <c r="M257" i="4"/>
  <c r="N257" i="4"/>
  <c r="O257" i="4"/>
  <c r="P257" i="4"/>
  <c r="Q257" i="4"/>
  <c r="S257" i="4"/>
  <c r="T257" i="4"/>
  <c r="R257" i="4"/>
  <c r="R451" i="4"/>
  <c r="Q451" i="4"/>
  <c r="S451" i="4"/>
  <c r="T451" i="4"/>
  <c r="O451" i="4"/>
  <c r="M451" i="4"/>
  <c r="N451" i="4"/>
  <c r="P451" i="4"/>
  <c r="M225" i="4"/>
  <c r="N225" i="4"/>
  <c r="S225" i="4"/>
  <c r="T225" i="4"/>
  <c r="O225" i="4"/>
  <c r="P225" i="4"/>
  <c r="R225" i="4"/>
  <c r="Q225" i="4"/>
  <c r="R427" i="4"/>
  <c r="O427" i="4"/>
  <c r="P427" i="4"/>
  <c r="Q427" i="4"/>
  <c r="S427" i="4"/>
  <c r="T427" i="4"/>
  <c r="M427" i="4"/>
  <c r="N427" i="4"/>
  <c r="R339" i="4"/>
  <c r="S339" i="4"/>
  <c r="T339" i="4"/>
  <c r="M339" i="4"/>
  <c r="N339" i="4"/>
  <c r="O339" i="4"/>
  <c r="P339" i="4"/>
  <c r="Q339" i="4"/>
  <c r="R268" i="4"/>
  <c r="Q268" i="4"/>
  <c r="T268" i="4"/>
  <c r="M268" i="4"/>
  <c r="S268" i="4"/>
  <c r="N268" i="4"/>
  <c r="O268" i="4"/>
  <c r="P268" i="4"/>
  <c r="R344" i="4"/>
  <c r="S344" i="4"/>
  <c r="T344" i="4"/>
  <c r="M344" i="4"/>
  <c r="N344" i="4"/>
  <c r="O344" i="4"/>
  <c r="P344" i="4"/>
  <c r="Q344" i="4"/>
  <c r="P255" i="4"/>
  <c r="Q255" i="4"/>
  <c r="T255" i="4"/>
  <c r="S255" i="4"/>
  <c r="N255" i="4"/>
  <c r="M255" i="4"/>
  <c r="O255" i="4"/>
  <c r="R255" i="4"/>
  <c r="R429" i="4"/>
  <c r="Q429" i="4"/>
  <c r="S429" i="4"/>
  <c r="T429" i="4"/>
  <c r="M429" i="4"/>
  <c r="N429" i="4"/>
  <c r="O429" i="4"/>
  <c r="P429" i="4"/>
  <c r="M219" i="4"/>
  <c r="N219" i="4"/>
  <c r="O219" i="4"/>
  <c r="P219" i="4"/>
  <c r="Q219" i="4"/>
  <c r="R219" i="4"/>
  <c r="S219" i="4"/>
  <c r="T219" i="4"/>
  <c r="Q401" i="4"/>
  <c r="S401" i="4"/>
  <c r="T401" i="4"/>
  <c r="R401" i="4"/>
  <c r="M401" i="4"/>
  <c r="N401" i="4"/>
  <c r="O401" i="4"/>
  <c r="P401" i="4"/>
  <c r="O341" i="4"/>
  <c r="P341" i="4"/>
  <c r="Q341" i="4"/>
  <c r="R341" i="4"/>
  <c r="S341" i="4"/>
  <c r="T341" i="4"/>
  <c r="M341" i="4"/>
  <c r="N341" i="4"/>
  <c r="T400" i="4"/>
  <c r="O400" i="4"/>
  <c r="P400" i="4"/>
  <c r="R400" i="4"/>
  <c r="N400" i="4"/>
  <c r="Q400" i="4"/>
  <c r="S400" i="4"/>
  <c r="M400" i="4"/>
  <c r="Q399" i="4"/>
  <c r="S399" i="4"/>
  <c r="T399" i="4"/>
  <c r="R399" i="4"/>
  <c r="N399" i="4"/>
  <c r="M399" i="4"/>
  <c r="O399" i="4"/>
  <c r="P399" i="4"/>
  <c r="T228" i="4"/>
  <c r="O228" i="4"/>
  <c r="P228" i="4"/>
  <c r="M228" i="4"/>
  <c r="Q228" i="4"/>
  <c r="N228" i="4"/>
  <c r="R228" i="4"/>
  <c r="S228" i="4"/>
  <c r="M232" i="4"/>
  <c r="N232" i="4"/>
  <c r="Q232" i="4"/>
  <c r="R232" i="4"/>
  <c r="S232" i="4"/>
  <c r="T232" i="4"/>
  <c r="O232" i="4"/>
  <c r="P232" i="4"/>
  <c r="O452" i="4"/>
  <c r="P452" i="4"/>
  <c r="Q452" i="4"/>
  <c r="R452" i="4"/>
  <c r="T452" i="4"/>
  <c r="S452" i="4"/>
  <c r="M452" i="4"/>
  <c r="N452" i="4"/>
  <c r="R23" i="4"/>
  <c r="S23" i="4"/>
  <c r="T23" i="4"/>
  <c r="M23" i="4"/>
  <c r="N23" i="4"/>
  <c r="O23" i="4"/>
  <c r="P23" i="4"/>
  <c r="Q23" i="4"/>
  <c r="P221" i="4"/>
  <c r="Q221" i="4"/>
  <c r="R221" i="4"/>
  <c r="M221" i="4"/>
  <c r="N221" i="4"/>
  <c r="S221" i="4"/>
  <c r="T221" i="4"/>
  <c r="O221" i="4"/>
  <c r="R392" i="4"/>
  <c r="M392" i="4"/>
  <c r="N392" i="4"/>
  <c r="Q392" i="4"/>
  <c r="S392" i="4"/>
  <c r="T392" i="4"/>
  <c r="O392" i="4"/>
  <c r="P392" i="4"/>
  <c r="Q393" i="4"/>
  <c r="S393" i="4"/>
  <c r="N393" i="4"/>
  <c r="R393" i="4"/>
  <c r="M393" i="4"/>
  <c r="O393" i="4"/>
  <c r="P393" i="4"/>
  <c r="T393" i="4"/>
  <c r="T204" i="4"/>
  <c r="P204" i="4"/>
  <c r="O204" i="4"/>
  <c r="M204" i="4"/>
  <c r="N204" i="4"/>
  <c r="Q204" i="4"/>
  <c r="R204" i="4"/>
  <c r="S204" i="4"/>
  <c r="M247" i="4"/>
  <c r="N247" i="4"/>
  <c r="O247" i="4"/>
  <c r="P247" i="4"/>
  <c r="Q247" i="4"/>
  <c r="R247" i="4"/>
  <c r="S247" i="4"/>
  <c r="T247" i="4"/>
  <c r="N428" i="4"/>
  <c r="M428" i="4"/>
  <c r="O428" i="4"/>
  <c r="R428" i="4"/>
  <c r="P428" i="4"/>
  <c r="Q428" i="4"/>
  <c r="S428" i="4"/>
  <c r="T428" i="4"/>
  <c r="P338" i="4"/>
  <c r="Q338" i="4"/>
  <c r="O338" i="4"/>
  <c r="R338" i="4"/>
  <c r="S338" i="4"/>
  <c r="T338" i="4"/>
  <c r="M338" i="4"/>
  <c r="N338" i="4"/>
  <c r="O342" i="4"/>
  <c r="P342" i="4"/>
  <c r="T342" i="4"/>
  <c r="S342" i="4"/>
  <c r="M342" i="4"/>
  <c r="N342" i="4"/>
  <c r="Q342" i="4"/>
  <c r="R342" i="4"/>
  <c r="S272" i="4"/>
  <c r="N272" i="4"/>
  <c r="T272" i="4"/>
  <c r="M272" i="4"/>
  <c r="O272" i="4"/>
  <c r="P272" i="4"/>
  <c r="Q272" i="4"/>
  <c r="R272" i="4"/>
  <c r="M229" i="4"/>
  <c r="N229" i="4"/>
  <c r="S229" i="4"/>
  <c r="T229" i="4"/>
  <c r="O229" i="4"/>
  <c r="Q229" i="4"/>
  <c r="R229" i="4"/>
  <c r="P229" i="4"/>
  <c r="N407" i="4"/>
  <c r="O407" i="4"/>
  <c r="Q407" i="4"/>
  <c r="R407" i="4"/>
  <c r="S407" i="4"/>
  <c r="T407" i="4"/>
  <c r="M407" i="4"/>
  <c r="P407" i="4"/>
  <c r="P340" i="4"/>
  <c r="O340" i="4"/>
  <c r="Q340" i="4"/>
  <c r="R340" i="4"/>
  <c r="S340" i="4"/>
  <c r="T340" i="4"/>
  <c r="M340" i="4"/>
  <c r="N340" i="4"/>
  <c r="T218" i="4"/>
  <c r="S218" i="4"/>
  <c r="R218" i="4"/>
  <c r="M218" i="4"/>
  <c r="N218" i="4"/>
  <c r="O218" i="4"/>
  <c r="P218" i="4"/>
  <c r="Q218" i="4"/>
  <c r="R449" i="4"/>
  <c r="O449" i="4"/>
  <c r="P449" i="4"/>
  <c r="Q449" i="4"/>
  <c r="S449" i="4"/>
  <c r="T449" i="4"/>
  <c r="M449" i="4"/>
  <c r="N449" i="4"/>
  <c r="R403" i="4"/>
  <c r="O403" i="4"/>
  <c r="P403" i="4"/>
  <c r="Q403" i="4"/>
  <c r="M403" i="4"/>
  <c r="S403" i="4"/>
  <c r="T403" i="4"/>
  <c r="N403" i="4"/>
  <c r="M271" i="4"/>
  <c r="N271" i="4"/>
  <c r="O271" i="4"/>
  <c r="P271" i="4"/>
  <c r="Q271" i="4"/>
  <c r="R271" i="4"/>
  <c r="T271" i="4"/>
  <c r="S271" i="4"/>
  <c r="Q343" i="4"/>
  <c r="P343" i="4"/>
  <c r="O343" i="4"/>
  <c r="R343" i="4"/>
  <c r="S343" i="4"/>
  <c r="T343" i="4"/>
  <c r="M343" i="4"/>
  <c r="N343" i="4"/>
  <c r="L228" i="4"/>
  <c r="L452" i="4"/>
  <c r="L221" i="4"/>
  <c r="L393" i="4"/>
  <c r="L399" i="4"/>
  <c r="L232" i="4"/>
  <c r="L23" i="4"/>
  <c r="L392" i="4"/>
  <c r="L204" i="4"/>
  <c r="L428" i="4"/>
  <c r="L338" i="4"/>
  <c r="L342" i="4"/>
  <c r="L272" i="4"/>
  <c r="L229" i="4"/>
  <c r="L407" i="4"/>
  <c r="L340" i="4"/>
  <c r="L218" i="4"/>
  <c r="L449" i="4"/>
  <c r="L403" i="4"/>
  <c r="L271" i="4"/>
  <c r="L343" i="4"/>
  <c r="L397" i="4"/>
  <c r="L250" i="4"/>
  <c r="L409" i="4"/>
  <c r="L341" i="4"/>
  <c r="L406" i="4"/>
  <c r="L336" i="4"/>
  <c r="L390" i="4"/>
  <c r="L402" i="4"/>
  <c r="L217" i="4"/>
  <c r="L256" i="4"/>
  <c r="L224" i="4"/>
  <c r="L400" i="4"/>
  <c r="L253" i="4"/>
  <c r="L233" i="4"/>
  <c r="L405" i="4"/>
  <c r="L7" i="4"/>
  <c r="L252" i="4"/>
  <c r="L396" i="4"/>
  <c r="L450" i="4"/>
  <c r="L220" i="4"/>
  <c r="L269" i="4"/>
  <c r="L249" i="4"/>
  <c r="L391" i="4"/>
  <c r="L254" i="4"/>
  <c r="L395" i="4"/>
  <c r="L408" i="4"/>
  <c r="L227" i="4"/>
  <c r="L453" i="4"/>
  <c r="L216" i="4"/>
  <c r="L410" i="4"/>
  <c r="L226" i="4"/>
  <c r="L24" i="4"/>
  <c r="L70" i="4"/>
  <c r="L389" i="4"/>
  <c r="L270" i="4"/>
  <c r="L222" i="4"/>
  <c r="L257" i="4"/>
  <c r="L248" i="4"/>
  <c r="L223" i="4"/>
  <c r="L230" i="4"/>
  <c r="L215" i="4"/>
  <c r="L430" i="4"/>
  <c r="L388" i="4"/>
  <c r="L251" i="4"/>
  <c r="L394" i="4"/>
  <c r="L231" i="4"/>
  <c r="L451" i="4"/>
  <c r="L225" i="4"/>
  <c r="L427" i="4"/>
  <c r="L339" i="4"/>
  <c r="L268" i="4"/>
  <c r="L344" i="4"/>
  <c r="L255" i="4"/>
  <c r="L429" i="4"/>
  <c r="L219" i="4"/>
  <c r="L401" i="4"/>
  <c r="F282" i="4"/>
  <c r="F123" i="4"/>
  <c r="F457" i="4"/>
  <c r="F21" i="4"/>
  <c r="F110" i="4"/>
  <c r="F456" i="4"/>
  <c r="F214" i="4"/>
  <c r="F195" i="4"/>
  <c r="F267" i="4"/>
  <c r="F286" i="4"/>
  <c r="F118" i="4"/>
  <c r="F426" i="4"/>
  <c r="F74" i="4"/>
  <c r="F32" i="4"/>
  <c r="F4" i="4"/>
  <c r="F105" i="4"/>
  <c r="F117" i="4"/>
  <c r="F203" i="4"/>
  <c r="F31" i="4"/>
  <c r="F3" i="4"/>
  <c r="F73" i="4"/>
  <c r="F19" i="4"/>
  <c r="F280" i="4"/>
  <c r="F13" i="4"/>
  <c r="F72" i="4"/>
  <c r="F107" i="4"/>
  <c r="F425" i="4"/>
  <c r="F201" i="4"/>
  <c r="F111" i="4"/>
  <c r="F109" i="4"/>
  <c r="F120" i="4"/>
  <c r="F454" i="4"/>
  <c r="F198" i="4"/>
  <c r="F207" i="4"/>
  <c r="F26" i="4"/>
  <c r="F190" i="4"/>
  <c r="F10" i="4"/>
  <c r="F75" i="4"/>
  <c r="F278" i="4"/>
  <c r="F129" i="4"/>
  <c r="F213" i="4"/>
  <c r="F115" i="4"/>
  <c r="F266" i="4"/>
  <c r="F193" i="4"/>
  <c r="F277" i="4"/>
  <c r="F265" i="4"/>
  <c r="F192" i="4"/>
  <c r="F68" i="4"/>
  <c r="F12" i="4"/>
  <c r="F83" i="4"/>
  <c r="F17" i="4"/>
  <c r="F15" i="4"/>
  <c r="F283" i="4"/>
  <c r="F422" i="4"/>
  <c r="F126" i="4"/>
  <c r="F22" i="4"/>
  <c r="F106" i="4"/>
  <c r="F108" i="4"/>
  <c r="F275" i="4"/>
  <c r="F119" i="4"/>
  <c r="F124" i="4"/>
  <c r="F125" i="4"/>
  <c r="F458" i="4"/>
  <c r="F197" i="4"/>
  <c r="F208" i="4"/>
  <c r="F25" i="4"/>
  <c r="F189" i="4"/>
  <c r="F5" i="4"/>
  <c r="F9" i="4"/>
  <c r="F84" i="4"/>
  <c r="F8" i="4"/>
  <c r="F20" i="4"/>
  <c r="F462" i="4"/>
  <c r="F122" i="4"/>
  <c r="F455" i="4"/>
  <c r="F212" i="4"/>
  <c r="F279" i="4"/>
  <c r="F128" i="4"/>
  <c r="F211" i="4"/>
  <c r="F29" i="4"/>
  <c r="F112" i="4"/>
  <c r="F113" i="4"/>
  <c r="F424" i="4"/>
  <c r="F130" i="4"/>
  <c r="F460" i="4"/>
  <c r="F264" i="4"/>
  <c r="F200" i="4"/>
  <c r="F210" i="4"/>
  <c r="F28" i="4"/>
  <c r="F191" i="4"/>
  <c r="F69" i="4"/>
  <c r="F11" i="4"/>
  <c r="F71" i="4"/>
  <c r="F79" i="4"/>
  <c r="F82" i="4"/>
  <c r="F80" i="4"/>
  <c r="F78" i="4"/>
  <c r="F81" i="4"/>
  <c r="F196" i="4"/>
  <c r="F281" i="4"/>
  <c r="F194" i="4"/>
  <c r="F14" i="4"/>
  <c r="F285" i="4"/>
  <c r="F202" i="4"/>
  <c r="F30" i="4"/>
  <c r="F18" i="4"/>
  <c r="F104" i="4"/>
  <c r="F461" i="4"/>
  <c r="F284" i="4"/>
  <c r="F116" i="4"/>
  <c r="F16" i="4"/>
  <c r="F114" i="4"/>
  <c r="F103" i="4"/>
  <c r="F276" i="4"/>
  <c r="F121" i="4"/>
  <c r="F423" i="4"/>
  <c r="F127" i="4"/>
  <c r="F459" i="4"/>
  <c r="F263" i="4"/>
  <c r="F199" i="4"/>
  <c r="F209" i="4"/>
  <c r="F27" i="4"/>
  <c r="F6" i="4"/>
  <c r="F76" i="4"/>
  <c r="F77" i="4"/>
  <c r="H16" i="4"/>
  <c r="H103" i="4"/>
  <c r="H114" i="4"/>
  <c r="H108" i="4"/>
  <c r="H197" i="4"/>
  <c r="H423" i="4"/>
  <c r="H106" i="4"/>
  <c r="H119" i="4"/>
  <c r="H208" i="4"/>
  <c r="H25" i="4"/>
  <c r="H5" i="4"/>
  <c r="H9" i="4"/>
  <c r="H263" i="4"/>
  <c r="H275" i="4"/>
  <c r="H124" i="4"/>
  <c r="H189" i="4"/>
  <c r="H84" i="4"/>
  <c r="H266" i="4"/>
  <c r="H22" i="4"/>
  <c r="H110" i="4"/>
  <c r="H286" i="4"/>
  <c r="H282" i="4"/>
  <c r="H118" i="4"/>
  <c r="H123" i="4"/>
  <c r="H456" i="4"/>
  <c r="H457" i="4"/>
  <c r="H196" i="4"/>
  <c r="H214" i="4"/>
  <c r="H32" i="4"/>
  <c r="H195" i="4"/>
  <c r="H4" i="4"/>
  <c r="H8" i="4"/>
  <c r="H74" i="4"/>
  <c r="H20" i="4"/>
  <c r="H281" i="4"/>
  <c r="H117" i="4"/>
  <c r="H129" i="4"/>
  <c r="H462" i="4"/>
  <c r="H267" i="4"/>
  <c r="H203" i="4"/>
  <c r="H213" i="4"/>
  <c r="H31" i="4"/>
  <c r="H194" i="4"/>
  <c r="H3" i="4"/>
  <c r="H14" i="4"/>
  <c r="H73" i="4"/>
  <c r="H21" i="4"/>
  <c r="H285" i="4"/>
  <c r="H122" i="4"/>
  <c r="H455" i="4"/>
  <c r="H212" i="4"/>
  <c r="H30" i="4"/>
  <c r="H193" i="4"/>
  <c r="H13" i="4"/>
  <c r="H72" i="4"/>
  <c r="H125" i="4"/>
  <c r="H458" i="4"/>
  <c r="H278" i="4"/>
  <c r="H115" i="4"/>
  <c r="H18" i="4"/>
  <c r="H104" i="4"/>
  <c r="H279" i="4"/>
  <c r="H425" i="4"/>
  <c r="H128" i="4"/>
  <c r="H461" i="4"/>
  <c r="H201" i="4"/>
  <c r="H29" i="4"/>
  <c r="H105" i="4"/>
  <c r="H19" i="4"/>
  <c r="H280" i="4"/>
  <c r="H426" i="4"/>
  <c r="H202" i="4"/>
  <c r="H107" i="4"/>
  <c r="H277" i="4"/>
  <c r="H265" i="4"/>
  <c r="H211" i="4"/>
  <c r="H192" i="4"/>
  <c r="H68" i="4"/>
  <c r="H12" i="4"/>
  <c r="H83" i="4"/>
  <c r="H17" i="4"/>
  <c r="H112" i="4"/>
  <c r="H113" i="4"/>
  <c r="H284" i="4"/>
  <c r="H116" i="4"/>
  <c r="H424" i="4"/>
  <c r="H130" i="4"/>
  <c r="H460" i="4"/>
  <c r="H264" i="4"/>
  <c r="H200" i="4"/>
  <c r="H210" i="4"/>
  <c r="H28" i="4"/>
  <c r="H191" i="4"/>
  <c r="H69" i="4"/>
  <c r="H11" i="4"/>
  <c r="H71" i="4"/>
  <c r="H78" i="4"/>
  <c r="H81" i="4"/>
  <c r="H82" i="4"/>
  <c r="H80" i="4"/>
  <c r="H79" i="4"/>
  <c r="H459" i="4"/>
  <c r="H199" i="4"/>
  <c r="H209" i="4"/>
  <c r="H27" i="4"/>
  <c r="H6" i="4"/>
  <c r="H76" i="4"/>
  <c r="H77" i="4"/>
  <c r="H276" i="4"/>
  <c r="H121" i="4"/>
  <c r="H127" i="4"/>
  <c r="H15" i="4"/>
  <c r="H111" i="4"/>
  <c r="H109" i="4"/>
  <c r="H283" i="4"/>
  <c r="H120" i="4"/>
  <c r="H422" i="4"/>
  <c r="H126" i="4"/>
  <c r="H454" i="4"/>
  <c r="H198" i="4"/>
  <c r="H207" i="4"/>
  <c r="H26" i="4"/>
  <c r="H190" i="4"/>
  <c r="H2" i="4"/>
  <c r="H10" i="4"/>
  <c r="H75" i="4"/>
  <c r="R27" i="4" l="1"/>
  <c r="S27" i="4"/>
  <c r="T27" i="4"/>
  <c r="M27" i="4"/>
  <c r="N27" i="4"/>
  <c r="O27" i="4"/>
  <c r="P27" i="4"/>
  <c r="Q27" i="4"/>
  <c r="P276" i="4"/>
  <c r="Q276" i="4"/>
  <c r="T276" i="4"/>
  <c r="O276" i="4"/>
  <c r="R276" i="4"/>
  <c r="N276" i="4"/>
  <c r="M276" i="4"/>
  <c r="S276" i="4"/>
  <c r="R18" i="4"/>
  <c r="S18" i="4"/>
  <c r="T18" i="4"/>
  <c r="M18" i="4"/>
  <c r="O18" i="4"/>
  <c r="Q18" i="4"/>
  <c r="N18" i="4"/>
  <c r="P18" i="4"/>
  <c r="M81" i="4"/>
  <c r="N81" i="4"/>
  <c r="O81" i="4"/>
  <c r="P81" i="4"/>
  <c r="Q81" i="4"/>
  <c r="R81" i="4"/>
  <c r="S81" i="4"/>
  <c r="T81" i="4"/>
  <c r="R191" i="4"/>
  <c r="S191" i="4"/>
  <c r="T191" i="4"/>
  <c r="M191" i="4"/>
  <c r="N191" i="4"/>
  <c r="O191" i="4"/>
  <c r="P191" i="4"/>
  <c r="Q191" i="4"/>
  <c r="R113" i="4"/>
  <c r="S113" i="4"/>
  <c r="T113" i="4"/>
  <c r="M113" i="4"/>
  <c r="O113" i="4"/>
  <c r="N113" i="4"/>
  <c r="P113" i="4"/>
  <c r="Q113" i="4"/>
  <c r="M122" i="4"/>
  <c r="N122" i="4"/>
  <c r="O122" i="4"/>
  <c r="P122" i="4"/>
  <c r="Q122" i="4"/>
  <c r="R122" i="4"/>
  <c r="S122" i="4"/>
  <c r="T122" i="4"/>
  <c r="R25" i="4"/>
  <c r="O25" i="4"/>
  <c r="M25" i="4"/>
  <c r="N25" i="4"/>
  <c r="P25" i="4"/>
  <c r="Q25" i="4"/>
  <c r="S25" i="4"/>
  <c r="T25" i="4"/>
  <c r="R108" i="4"/>
  <c r="S108" i="4"/>
  <c r="T108" i="4"/>
  <c r="M108" i="4"/>
  <c r="O108" i="4"/>
  <c r="N108" i="4"/>
  <c r="P108" i="4"/>
  <c r="Q108" i="4"/>
  <c r="R83" i="4"/>
  <c r="S83" i="4"/>
  <c r="T83" i="4"/>
  <c r="M83" i="4"/>
  <c r="O83" i="4"/>
  <c r="P83" i="4"/>
  <c r="Q83" i="4"/>
  <c r="N83" i="4"/>
  <c r="R115" i="4"/>
  <c r="S115" i="4"/>
  <c r="T115" i="4"/>
  <c r="M115" i="4"/>
  <c r="N115" i="4"/>
  <c r="O115" i="4"/>
  <c r="P115" i="4"/>
  <c r="Q115" i="4"/>
  <c r="R26" i="4"/>
  <c r="S26" i="4"/>
  <c r="T26" i="4"/>
  <c r="M26" i="4"/>
  <c r="O26" i="4"/>
  <c r="N26" i="4"/>
  <c r="P26" i="4"/>
  <c r="Q26" i="4"/>
  <c r="P425" i="4"/>
  <c r="Q425" i="4"/>
  <c r="S425" i="4"/>
  <c r="R425" i="4"/>
  <c r="M425" i="4"/>
  <c r="N425" i="4"/>
  <c r="O425" i="4"/>
  <c r="T425" i="4"/>
  <c r="M31" i="4"/>
  <c r="N31" i="4"/>
  <c r="O31" i="4"/>
  <c r="P31" i="4"/>
  <c r="Q31" i="4"/>
  <c r="R31" i="4"/>
  <c r="S31" i="4"/>
  <c r="T31" i="4"/>
  <c r="R426" i="4"/>
  <c r="N426" i="4"/>
  <c r="O426" i="4"/>
  <c r="P426" i="4"/>
  <c r="Q426" i="4"/>
  <c r="S426" i="4"/>
  <c r="T426" i="4"/>
  <c r="M426" i="4"/>
  <c r="R21" i="4"/>
  <c r="S21" i="4"/>
  <c r="T21" i="4"/>
  <c r="M21" i="4"/>
  <c r="N21" i="4"/>
  <c r="O21" i="4"/>
  <c r="P21" i="4"/>
  <c r="Q21" i="4"/>
  <c r="M209" i="4"/>
  <c r="N209" i="4"/>
  <c r="S209" i="4"/>
  <c r="T209" i="4"/>
  <c r="O209" i="4"/>
  <c r="P209" i="4"/>
  <c r="Q209" i="4"/>
  <c r="R209" i="4"/>
  <c r="R103" i="4"/>
  <c r="S103" i="4"/>
  <c r="T103" i="4"/>
  <c r="M103" i="4"/>
  <c r="O103" i="4"/>
  <c r="Q103" i="4"/>
  <c r="P103" i="4"/>
  <c r="N103" i="4"/>
  <c r="R30" i="4"/>
  <c r="S30" i="4"/>
  <c r="T30" i="4"/>
  <c r="M30" i="4"/>
  <c r="N30" i="4"/>
  <c r="O30" i="4"/>
  <c r="P30" i="4"/>
  <c r="Q30" i="4"/>
  <c r="R78" i="4"/>
  <c r="S78" i="4"/>
  <c r="T78" i="4"/>
  <c r="M78" i="4"/>
  <c r="N78" i="4"/>
  <c r="O78" i="4"/>
  <c r="P78" i="4"/>
  <c r="Q78" i="4"/>
  <c r="M28" i="4"/>
  <c r="N28" i="4"/>
  <c r="O28" i="4"/>
  <c r="P28" i="4"/>
  <c r="Q28" i="4"/>
  <c r="R28" i="4"/>
  <c r="S28" i="4"/>
  <c r="T28" i="4"/>
  <c r="M112" i="4"/>
  <c r="N112" i="4"/>
  <c r="O112" i="4"/>
  <c r="P112" i="4"/>
  <c r="Q112" i="4"/>
  <c r="R112" i="4"/>
  <c r="S112" i="4"/>
  <c r="T112" i="4"/>
  <c r="P462" i="4"/>
  <c r="Q462" i="4"/>
  <c r="T462" i="4"/>
  <c r="R462" i="4"/>
  <c r="N462" i="4"/>
  <c r="S462" i="4"/>
  <c r="M462" i="4"/>
  <c r="O462" i="4"/>
  <c r="R208" i="4"/>
  <c r="S208" i="4"/>
  <c r="T208" i="4"/>
  <c r="M208" i="4"/>
  <c r="N208" i="4"/>
  <c r="O208" i="4"/>
  <c r="P208" i="4"/>
  <c r="Q208" i="4"/>
  <c r="M106" i="4"/>
  <c r="N106" i="4"/>
  <c r="O106" i="4"/>
  <c r="P106" i="4"/>
  <c r="Q106" i="4"/>
  <c r="R106" i="4"/>
  <c r="S106" i="4"/>
  <c r="T106" i="4"/>
  <c r="M12" i="4"/>
  <c r="N12" i="4"/>
  <c r="O12" i="4"/>
  <c r="P12" i="4"/>
  <c r="Q12" i="4"/>
  <c r="R12" i="4"/>
  <c r="S12" i="4"/>
  <c r="T12" i="4"/>
  <c r="M213" i="4"/>
  <c r="N213" i="4"/>
  <c r="S213" i="4"/>
  <c r="T213" i="4"/>
  <c r="O213" i="4"/>
  <c r="P213" i="4"/>
  <c r="Q213" i="4"/>
  <c r="R213" i="4"/>
  <c r="L207" i="4"/>
  <c r="M207" i="4"/>
  <c r="N207" i="4"/>
  <c r="Q207" i="4"/>
  <c r="R207" i="4"/>
  <c r="T207" i="4"/>
  <c r="O207" i="4"/>
  <c r="S207" i="4"/>
  <c r="P207" i="4"/>
  <c r="R107" i="4"/>
  <c r="S107" i="4"/>
  <c r="T107" i="4"/>
  <c r="M107" i="4"/>
  <c r="N107" i="4"/>
  <c r="O107" i="4"/>
  <c r="P107" i="4"/>
  <c r="Q107" i="4"/>
  <c r="M203" i="4"/>
  <c r="N203" i="4"/>
  <c r="O203" i="4"/>
  <c r="P203" i="4"/>
  <c r="Q203" i="4"/>
  <c r="R203" i="4"/>
  <c r="S203" i="4"/>
  <c r="T203" i="4"/>
  <c r="R118" i="4"/>
  <c r="O118" i="4"/>
  <c r="T118" i="4"/>
  <c r="M118" i="4"/>
  <c r="N118" i="4"/>
  <c r="S118" i="4"/>
  <c r="P118" i="4"/>
  <c r="Q118" i="4"/>
  <c r="R457" i="4"/>
  <c r="N457" i="4"/>
  <c r="O457" i="4"/>
  <c r="P457" i="4"/>
  <c r="Q457" i="4"/>
  <c r="S457" i="4"/>
  <c r="T457" i="4"/>
  <c r="M457" i="4"/>
  <c r="R199" i="4"/>
  <c r="S199" i="4"/>
  <c r="T199" i="4"/>
  <c r="M199" i="4"/>
  <c r="N199" i="4"/>
  <c r="O199" i="4"/>
  <c r="P199" i="4"/>
  <c r="Q199" i="4"/>
  <c r="R114" i="4"/>
  <c r="S114" i="4"/>
  <c r="T114" i="4"/>
  <c r="M114" i="4"/>
  <c r="N114" i="4"/>
  <c r="O114" i="4"/>
  <c r="P114" i="4"/>
  <c r="Q114" i="4"/>
  <c r="M202" i="4"/>
  <c r="N202" i="4"/>
  <c r="O202" i="4"/>
  <c r="P202" i="4"/>
  <c r="Q202" i="4"/>
  <c r="R202" i="4"/>
  <c r="S202" i="4"/>
  <c r="T202" i="4"/>
  <c r="R80" i="4"/>
  <c r="S80" i="4"/>
  <c r="T80" i="4"/>
  <c r="M80" i="4"/>
  <c r="N80" i="4"/>
  <c r="O80" i="4"/>
  <c r="P80" i="4"/>
  <c r="Q80" i="4"/>
  <c r="R210" i="4"/>
  <c r="S210" i="4"/>
  <c r="T210" i="4"/>
  <c r="M210" i="4"/>
  <c r="O210" i="4"/>
  <c r="Q210" i="4"/>
  <c r="N210" i="4"/>
  <c r="P210" i="4"/>
  <c r="M29" i="4"/>
  <c r="N29" i="4"/>
  <c r="O29" i="4"/>
  <c r="P29" i="4"/>
  <c r="Q29" i="4"/>
  <c r="R29" i="4"/>
  <c r="S29" i="4"/>
  <c r="T29" i="4"/>
  <c r="M20" i="4"/>
  <c r="N20" i="4"/>
  <c r="O20" i="4"/>
  <c r="P20" i="4"/>
  <c r="Q20" i="4"/>
  <c r="R20" i="4"/>
  <c r="S20" i="4"/>
  <c r="T20" i="4"/>
  <c r="M197" i="4"/>
  <c r="N197" i="4"/>
  <c r="S197" i="4"/>
  <c r="T197" i="4"/>
  <c r="O197" i="4"/>
  <c r="Q197" i="4"/>
  <c r="P197" i="4"/>
  <c r="R197" i="4"/>
  <c r="M22" i="4"/>
  <c r="N22" i="4"/>
  <c r="O22" i="4"/>
  <c r="P22" i="4"/>
  <c r="Q22" i="4"/>
  <c r="R22" i="4"/>
  <c r="S22" i="4"/>
  <c r="T22" i="4"/>
  <c r="M68" i="4"/>
  <c r="N68" i="4"/>
  <c r="O68" i="4"/>
  <c r="P68" i="4"/>
  <c r="Q68" i="4"/>
  <c r="R68" i="4"/>
  <c r="S68" i="4"/>
  <c r="T68" i="4"/>
  <c r="R129" i="4"/>
  <c r="S129" i="4"/>
  <c r="T129" i="4"/>
  <c r="M129" i="4"/>
  <c r="O129" i="4"/>
  <c r="N129" i="4"/>
  <c r="P129" i="4"/>
  <c r="Q129" i="4"/>
  <c r="R198" i="4"/>
  <c r="O198" i="4"/>
  <c r="N198" i="4"/>
  <c r="P198" i="4"/>
  <c r="Q198" i="4"/>
  <c r="S198" i="4"/>
  <c r="T198" i="4"/>
  <c r="M198" i="4"/>
  <c r="R72" i="4"/>
  <c r="S72" i="4"/>
  <c r="T72" i="4"/>
  <c r="M72" i="4"/>
  <c r="N72" i="4"/>
  <c r="O72" i="4"/>
  <c r="P72" i="4"/>
  <c r="Q72" i="4"/>
  <c r="R117" i="4"/>
  <c r="S117" i="4"/>
  <c r="T117" i="4"/>
  <c r="M117" i="4"/>
  <c r="N117" i="4"/>
  <c r="O117" i="4"/>
  <c r="P117" i="4"/>
  <c r="Q117" i="4"/>
  <c r="R286" i="4"/>
  <c r="S286" i="4"/>
  <c r="T286" i="4"/>
  <c r="M286" i="4"/>
  <c r="N286" i="4"/>
  <c r="Q286" i="4"/>
  <c r="O286" i="4"/>
  <c r="P286" i="4"/>
  <c r="R123" i="4"/>
  <c r="S123" i="4"/>
  <c r="T123" i="4"/>
  <c r="M123" i="4"/>
  <c r="N123" i="4"/>
  <c r="O123" i="4"/>
  <c r="P123" i="4"/>
  <c r="Q123" i="4"/>
  <c r="M263" i="4"/>
  <c r="N263" i="4"/>
  <c r="O263" i="4"/>
  <c r="P263" i="4"/>
  <c r="Q263" i="4"/>
  <c r="R263" i="4"/>
  <c r="S263" i="4"/>
  <c r="T263" i="4"/>
  <c r="R16" i="4"/>
  <c r="S16" i="4"/>
  <c r="T16" i="4"/>
  <c r="M16" i="4"/>
  <c r="N16" i="4"/>
  <c r="O16" i="4"/>
  <c r="P16" i="4"/>
  <c r="Q16" i="4"/>
  <c r="O285" i="4"/>
  <c r="P285" i="4"/>
  <c r="Q285" i="4"/>
  <c r="R285" i="4"/>
  <c r="S285" i="4"/>
  <c r="T285" i="4"/>
  <c r="M285" i="4"/>
  <c r="N285" i="4"/>
  <c r="M82" i="4"/>
  <c r="N82" i="4"/>
  <c r="O82" i="4"/>
  <c r="P82" i="4"/>
  <c r="Q82" i="4"/>
  <c r="R82" i="4"/>
  <c r="S82" i="4"/>
  <c r="T82" i="4"/>
  <c r="M200" i="4"/>
  <c r="N200" i="4"/>
  <c r="Q200" i="4"/>
  <c r="R200" i="4"/>
  <c r="T200" i="4"/>
  <c r="O200" i="4"/>
  <c r="S200" i="4"/>
  <c r="P200" i="4"/>
  <c r="R211" i="4"/>
  <c r="S211" i="4"/>
  <c r="T211" i="4"/>
  <c r="M211" i="4"/>
  <c r="N211" i="4"/>
  <c r="O211" i="4"/>
  <c r="P211" i="4"/>
  <c r="Q211" i="4"/>
  <c r="R8" i="4"/>
  <c r="S8" i="4"/>
  <c r="T8" i="4"/>
  <c r="M8" i="4"/>
  <c r="O8" i="4"/>
  <c r="N8" i="4"/>
  <c r="P8" i="4"/>
  <c r="Q8" i="4"/>
  <c r="R458" i="4"/>
  <c r="O458" i="4"/>
  <c r="P458" i="4"/>
  <c r="Q458" i="4"/>
  <c r="M458" i="4"/>
  <c r="S458" i="4"/>
  <c r="T458" i="4"/>
  <c r="N458" i="4"/>
  <c r="R126" i="4"/>
  <c r="O126" i="4"/>
  <c r="Q126" i="4"/>
  <c r="S126" i="4"/>
  <c r="T126" i="4"/>
  <c r="M126" i="4"/>
  <c r="N126" i="4"/>
  <c r="P126" i="4"/>
  <c r="M192" i="4"/>
  <c r="N192" i="4"/>
  <c r="O192" i="4"/>
  <c r="P192" i="4"/>
  <c r="R192" i="4"/>
  <c r="T192" i="4"/>
  <c r="S192" i="4"/>
  <c r="Q192" i="4"/>
  <c r="M278" i="4"/>
  <c r="N278" i="4"/>
  <c r="O278" i="4"/>
  <c r="P278" i="4"/>
  <c r="Q278" i="4"/>
  <c r="R278" i="4"/>
  <c r="S278" i="4"/>
  <c r="T278" i="4"/>
  <c r="L454" i="4"/>
  <c r="N454" i="4"/>
  <c r="M454" i="4"/>
  <c r="O454" i="4"/>
  <c r="R454" i="4"/>
  <c r="P454" i="4"/>
  <c r="Q454" i="4"/>
  <c r="S454" i="4"/>
  <c r="T454" i="4"/>
  <c r="M13" i="4"/>
  <c r="N13" i="4"/>
  <c r="O13" i="4"/>
  <c r="P13" i="4"/>
  <c r="Q13" i="4"/>
  <c r="R13" i="4"/>
  <c r="S13" i="4"/>
  <c r="T13" i="4"/>
  <c r="M105" i="4"/>
  <c r="N105" i="4"/>
  <c r="O105" i="4"/>
  <c r="P105" i="4"/>
  <c r="Q105" i="4"/>
  <c r="R105" i="4"/>
  <c r="S105" i="4"/>
  <c r="T105" i="4"/>
  <c r="M267" i="4"/>
  <c r="R267" i="4"/>
  <c r="S267" i="4"/>
  <c r="T267" i="4"/>
  <c r="N267" i="4"/>
  <c r="O267" i="4"/>
  <c r="P267" i="4"/>
  <c r="Q267" i="4"/>
  <c r="M282" i="4"/>
  <c r="Q282" i="4"/>
  <c r="R282" i="4"/>
  <c r="S282" i="4"/>
  <c r="T282" i="4"/>
  <c r="N282" i="4"/>
  <c r="O282" i="4"/>
  <c r="P282" i="4"/>
  <c r="R77" i="4"/>
  <c r="O77" i="4"/>
  <c r="M77" i="4"/>
  <c r="N77" i="4"/>
  <c r="P77" i="4"/>
  <c r="Q77" i="4"/>
  <c r="S77" i="4"/>
  <c r="T77" i="4"/>
  <c r="R459" i="4"/>
  <c r="Q459" i="4"/>
  <c r="S459" i="4"/>
  <c r="T459" i="4"/>
  <c r="M459" i="4"/>
  <c r="N459" i="4"/>
  <c r="O459" i="4"/>
  <c r="P459" i="4"/>
  <c r="M116" i="4"/>
  <c r="N116" i="4"/>
  <c r="O116" i="4"/>
  <c r="P116" i="4"/>
  <c r="Q116" i="4"/>
  <c r="R116" i="4"/>
  <c r="S116" i="4"/>
  <c r="T116" i="4"/>
  <c r="M14" i="4"/>
  <c r="N14" i="4"/>
  <c r="O14" i="4"/>
  <c r="P14" i="4"/>
  <c r="Q14" i="4"/>
  <c r="R14" i="4"/>
  <c r="S14" i="4"/>
  <c r="T14" i="4"/>
  <c r="M79" i="4"/>
  <c r="N79" i="4"/>
  <c r="O79" i="4"/>
  <c r="P79" i="4"/>
  <c r="Q79" i="4"/>
  <c r="R79" i="4"/>
  <c r="S79" i="4"/>
  <c r="T79" i="4"/>
  <c r="S264" i="4"/>
  <c r="N264" i="4"/>
  <c r="T264" i="4"/>
  <c r="M264" i="4"/>
  <c r="P264" i="4"/>
  <c r="Q264" i="4"/>
  <c r="R264" i="4"/>
  <c r="O264" i="4"/>
  <c r="M128" i="4"/>
  <c r="N128" i="4"/>
  <c r="O128" i="4"/>
  <c r="P128" i="4"/>
  <c r="Q128" i="4"/>
  <c r="R128" i="4"/>
  <c r="S128" i="4"/>
  <c r="T128" i="4"/>
  <c r="R84" i="4"/>
  <c r="S84" i="4"/>
  <c r="T84" i="4"/>
  <c r="M84" i="4"/>
  <c r="N84" i="4"/>
  <c r="O84" i="4"/>
  <c r="P84" i="4"/>
  <c r="Q84" i="4"/>
  <c r="R125" i="4"/>
  <c r="S125" i="4"/>
  <c r="T125" i="4"/>
  <c r="M125" i="4"/>
  <c r="O125" i="4"/>
  <c r="N125" i="4"/>
  <c r="P125" i="4"/>
  <c r="Q125" i="4"/>
  <c r="L422" i="4"/>
  <c r="N422" i="4"/>
  <c r="O422" i="4"/>
  <c r="Q422" i="4"/>
  <c r="R422" i="4"/>
  <c r="T422" i="4"/>
  <c r="S422" i="4"/>
  <c r="P422" i="4"/>
  <c r="M422" i="4"/>
  <c r="M265" i="4"/>
  <c r="P265" i="4"/>
  <c r="Q265" i="4"/>
  <c r="R265" i="4"/>
  <c r="S265" i="4"/>
  <c r="T265" i="4"/>
  <c r="O265" i="4"/>
  <c r="N265" i="4"/>
  <c r="R75" i="4"/>
  <c r="S75" i="4"/>
  <c r="T75" i="4"/>
  <c r="M75" i="4"/>
  <c r="N75" i="4"/>
  <c r="O75" i="4"/>
  <c r="P75" i="4"/>
  <c r="Q75" i="4"/>
  <c r="R120" i="4"/>
  <c r="T120" i="4"/>
  <c r="S120" i="4"/>
  <c r="M120" i="4"/>
  <c r="N120" i="4"/>
  <c r="O120" i="4"/>
  <c r="P120" i="4"/>
  <c r="Q120" i="4"/>
  <c r="M280" i="4"/>
  <c r="O280" i="4"/>
  <c r="P280" i="4"/>
  <c r="Q280" i="4"/>
  <c r="R280" i="4"/>
  <c r="S280" i="4"/>
  <c r="T280" i="4"/>
  <c r="N280" i="4"/>
  <c r="R195" i="4"/>
  <c r="S195" i="4"/>
  <c r="T195" i="4"/>
  <c r="M195" i="4"/>
  <c r="N195" i="4"/>
  <c r="O195" i="4"/>
  <c r="P195" i="4"/>
  <c r="Q195" i="4"/>
  <c r="R76" i="4"/>
  <c r="S76" i="4"/>
  <c r="T76" i="4"/>
  <c r="M76" i="4"/>
  <c r="O76" i="4"/>
  <c r="N76" i="4"/>
  <c r="P76" i="4"/>
  <c r="Q76" i="4"/>
  <c r="R127" i="4"/>
  <c r="S127" i="4"/>
  <c r="T127" i="4"/>
  <c r="M127" i="4"/>
  <c r="O127" i="4"/>
  <c r="Q127" i="4"/>
  <c r="N127" i="4"/>
  <c r="P127" i="4"/>
  <c r="O284" i="4"/>
  <c r="P284" i="4"/>
  <c r="T284" i="4"/>
  <c r="R284" i="4"/>
  <c r="S284" i="4"/>
  <c r="M284" i="4"/>
  <c r="N284" i="4"/>
  <c r="Q284" i="4"/>
  <c r="S194" i="4"/>
  <c r="T194" i="4"/>
  <c r="R194" i="4"/>
  <c r="M194" i="4"/>
  <c r="N194" i="4"/>
  <c r="O194" i="4"/>
  <c r="Q194" i="4"/>
  <c r="P194" i="4"/>
  <c r="R71" i="4"/>
  <c r="S71" i="4"/>
  <c r="T71" i="4"/>
  <c r="M71" i="4"/>
  <c r="O71" i="4"/>
  <c r="N71" i="4"/>
  <c r="P71" i="4"/>
  <c r="Q71" i="4"/>
  <c r="M460" i="4"/>
  <c r="O460" i="4"/>
  <c r="Q460" i="4"/>
  <c r="R460" i="4"/>
  <c r="S460" i="4"/>
  <c r="T460" i="4"/>
  <c r="N460" i="4"/>
  <c r="P460" i="4"/>
  <c r="M279" i="4"/>
  <c r="N279" i="4"/>
  <c r="O279" i="4"/>
  <c r="P279" i="4"/>
  <c r="Q279" i="4"/>
  <c r="R279" i="4"/>
  <c r="S279" i="4"/>
  <c r="T279" i="4"/>
  <c r="R9" i="4"/>
  <c r="O9" i="4"/>
  <c r="Q9" i="4"/>
  <c r="S9" i="4"/>
  <c r="T9" i="4"/>
  <c r="P9" i="4"/>
  <c r="M9" i="4"/>
  <c r="N9" i="4"/>
  <c r="R124" i="4"/>
  <c r="S124" i="4"/>
  <c r="T124" i="4"/>
  <c r="M124" i="4"/>
  <c r="N124" i="4"/>
  <c r="O124" i="4"/>
  <c r="P124" i="4"/>
  <c r="Q124" i="4"/>
  <c r="M283" i="4"/>
  <c r="R283" i="4"/>
  <c r="S283" i="4"/>
  <c r="T283" i="4"/>
  <c r="N283" i="4"/>
  <c r="P283" i="4"/>
  <c r="Q283" i="4"/>
  <c r="O283" i="4"/>
  <c r="S277" i="4"/>
  <c r="Q277" i="4"/>
  <c r="R277" i="4"/>
  <c r="M277" i="4"/>
  <c r="T277" i="4"/>
  <c r="N277" i="4"/>
  <c r="O277" i="4"/>
  <c r="P277" i="4"/>
  <c r="R10" i="4"/>
  <c r="S10" i="4"/>
  <c r="T10" i="4"/>
  <c r="M10" i="4"/>
  <c r="O10" i="4"/>
  <c r="N10" i="4"/>
  <c r="P10" i="4"/>
  <c r="Q10" i="4"/>
  <c r="R109" i="4"/>
  <c r="O109" i="4"/>
  <c r="M109" i="4"/>
  <c r="N109" i="4"/>
  <c r="P109" i="4"/>
  <c r="Q109" i="4"/>
  <c r="S109" i="4"/>
  <c r="T109" i="4"/>
  <c r="R19" i="4"/>
  <c r="S19" i="4"/>
  <c r="T19" i="4"/>
  <c r="M19" i="4"/>
  <c r="N19" i="4"/>
  <c r="O19" i="4"/>
  <c r="P19" i="4"/>
  <c r="Q19" i="4"/>
  <c r="M4" i="4"/>
  <c r="N4" i="4"/>
  <c r="O4" i="4"/>
  <c r="P4" i="4"/>
  <c r="Q4" i="4"/>
  <c r="R4" i="4"/>
  <c r="S4" i="4"/>
  <c r="T4" i="4"/>
  <c r="T214" i="4"/>
  <c r="O214" i="4"/>
  <c r="S214" i="4"/>
  <c r="M214" i="4"/>
  <c r="N214" i="4"/>
  <c r="P214" i="4"/>
  <c r="Q214" i="4"/>
  <c r="R214" i="4"/>
  <c r="P423" i="4"/>
  <c r="Q423" i="4"/>
  <c r="S423" i="4"/>
  <c r="R423" i="4"/>
  <c r="T423" i="4"/>
  <c r="M423" i="4"/>
  <c r="N423" i="4"/>
  <c r="O423" i="4"/>
  <c r="O461" i="4"/>
  <c r="P461" i="4"/>
  <c r="S461" i="4"/>
  <c r="R461" i="4"/>
  <c r="M461" i="4"/>
  <c r="T461" i="4"/>
  <c r="N461" i="4"/>
  <c r="Q461" i="4"/>
  <c r="T281" i="4"/>
  <c r="N281" i="4"/>
  <c r="O281" i="4"/>
  <c r="M281" i="4"/>
  <c r="P281" i="4"/>
  <c r="Q281" i="4"/>
  <c r="R281" i="4"/>
  <c r="S281" i="4"/>
  <c r="R11" i="4"/>
  <c r="S11" i="4"/>
  <c r="T11" i="4"/>
  <c r="M11" i="4"/>
  <c r="N11" i="4"/>
  <c r="O11" i="4"/>
  <c r="P11" i="4"/>
  <c r="Q11" i="4"/>
  <c r="P130" i="4"/>
  <c r="R130" i="4"/>
  <c r="Q130" i="4"/>
  <c r="T130" i="4"/>
  <c r="S130" i="4"/>
  <c r="M130" i="4"/>
  <c r="N130" i="4"/>
  <c r="O130" i="4"/>
  <c r="M212" i="4"/>
  <c r="N212" i="4"/>
  <c r="Q212" i="4"/>
  <c r="R212" i="4"/>
  <c r="S212" i="4"/>
  <c r="T212" i="4"/>
  <c r="P212" i="4"/>
  <c r="O212" i="4"/>
  <c r="M5" i="4"/>
  <c r="N5" i="4"/>
  <c r="O5" i="4"/>
  <c r="P5" i="4"/>
  <c r="Q5" i="4"/>
  <c r="R5" i="4"/>
  <c r="S5" i="4"/>
  <c r="T5" i="4"/>
  <c r="R119" i="4"/>
  <c r="S119" i="4"/>
  <c r="T119" i="4"/>
  <c r="M119" i="4"/>
  <c r="O119" i="4"/>
  <c r="N119" i="4"/>
  <c r="P119" i="4"/>
  <c r="Q119" i="4"/>
  <c r="R15" i="4"/>
  <c r="S15" i="4"/>
  <c r="T15" i="4"/>
  <c r="M15" i="4"/>
  <c r="N15" i="4"/>
  <c r="O15" i="4"/>
  <c r="P15" i="4"/>
  <c r="Q15" i="4"/>
  <c r="M193" i="4"/>
  <c r="N193" i="4"/>
  <c r="O193" i="4"/>
  <c r="Q193" i="4"/>
  <c r="P193" i="4"/>
  <c r="R193" i="4"/>
  <c r="S193" i="4"/>
  <c r="T193" i="4"/>
  <c r="Q2" i="4"/>
  <c r="N2" i="4"/>
  <c r="M2" i="4"/>
  <c r="O2" i="4"/>
  <c r="T2" i="4"/>
  <c r="S2" i="4"/>
  <c r="R2" i="4"/>
  <c r="P2" i="4"/>
  <c r="R111" i="4"/>
  <c r="S111" i="4"/>
  <c r="T111" i="4"/>
  <c r="M111" i="4"/>
  <c r="N111" i="4"/>
  <c r="O111" i="4"/>
  <c r="P111" i="4"/>
  <c r="Q111" i="4"/>
  <c r="M73" i="4"/>
  <c r="N73" i="4"/>
  <c r="O73" i="4"/>
  <c r="P73" i="4"/>
  <c r="Q73" i="4"/>
  <c r="R73" i="4"/>
  <c r="S73" i="4"/>
  <c r="T73" i="4"/>
  <c r="R32" i="4"/>
  <c r="S32" i="4"/>
  <c r="T32" i="4"/>
  <c r="M32" i="4"/>
  <c r="N32" i="4"/>
  <c r="O32" i="4"/>
  <c r="P32" i="4"/>
  <c r="Q32" i="4"/>
  <c r="Q456" i="4"/>
  <c r="S456" i="4"/>
  <c r="T456" i="4"/>
  <c r="R456" i="4"/>
  <c r="M456" i="4"/>
  <c r="N456" i="4"/>
  <c r="O456" i="4"/>
  <c r="P456" i="4"/>
  <c r="R6" i="4"/>
  <c r="S6" i="4"/>
  <c r="T6" i="4"/>
  <c r="M6" i="4"/>
  <c r="N6" i="4"/>
  <c r="O6" i="4"/>
  <c r="P6" i="4"/>
  <c r="Q6" i="4"/>
  <c r="M121" i="4"/>
  <c r="N121" i="4"/>
  <c r="O121" i="4"/>
  <c r="P121" i="4"/>
  <c r="Q121" i="4"/>
  <c r="R121" i="4"/>
  <c r="S121" i="4"/>
  <c r="T121" i="4"/>
  <c r="R104" i="4"/>
  <c r="S104" i="4"/>
  <c r="T104" i="4"/>
  <c r="M104" i="4"/>
  <c r="N104" i="4"/>
  <c r="O104" i="4"/>
  <c r="P104" i="4"/>
  <c r="Q104" i="4"/>
  <c r="M196" i="4"/>
  <c r="N196" i="4"/>
  <c r="Q196" i="4"/>
  <c r="R196" i="4"/>
  <c r="S196" i="4"/>
  <c r="T196" i="4"/>
  <c r="O196" i="4"/>
  <c r="P196" i="4"/>
  <c r="M69" i="4"/>
  <c r="N69" i="4"/>
  <c r="O69" i="4"/>
  <c r="P69" i="4"/>
  <c r="Q69" i="4"/>
  <c r="R69" i="4"/>
  <c r="S69" i="4"/>
  <c r="T69" i="4"/>
  <c r="P424" i="4"/>
  <c r="Q424" i="4"/>
  <c r="N424" i="4"/>
  <c r="M424" i="4"/>
  <c r="O424" i="4"/>
  <c r="S424" i="4"/>
  <c r="T424" i="4"/>
  <c r="R424" i="4"/>
  <c r="P455" i="4"/>
  <c r="Q455" i="4"/>
  <c r="R455" i="4"/>
  <c r="N455" i="4"/>
  <c r="M455" i="4"/>
  <c r="O455" i="4"/>
  <c r="S455" i="4"/>
  <c r="T455" i="4"/>
  <c r="R189" i="4"/>
  <c r="S189" i="4"/>
  <c r="T189" i="4"/>
  <c r="M189" i="4"/>
  <c r="N189" i="4"/>
  <c r="O189" i="4"/>
  <c r="P189" i="4"/>
  <c r="Q189" i="4"/>
  <c r="O275" i="4"/>
  <c r="P275" i="4"/>
  <c r="Q275" i="4"/>
  <c r="M275" i="4"/>
  <c r="R275" i="4"/>
  <c r="S275" i="4"/>
  <c r="T275" i="4"/>
  <c r="N275" i="4"/>
  <c r="R17" i="4"/>
  <c r="O17" i="4"/>
  <c r="N17" i="4"/>
  <c r="P17" i="4"/>
  <c r="Q17" i="4"/>
  <c r="S17" i="4"/>
  <c r="T17" i="4"/>
  <c r="M17" i="4"/>
  <c r="N266" i="4"/>
  <c r="O266" i="4"/>
  <c r="P266" i="4"/>
  <c r="M266" i="4"/>
  <c r="R266" i="4"/>
  <c r="S266" i="4"/>
  <c r="T266" i="4"/>
  <c r="Q266" i="4"/>
  <c r="R190" i="4"/>
  <c r="O190" i="4"/>
  <c r="Q190" i="4"/>
  <c r="S190" i="4"/>
  <c r="P190" i="4"/>
  <c r="T190" i="4"/>
  <c r="M190" i="4"/>
  <c r="N190" i="4"/>
  <c r="M201" i="4"/>
  <c r="N201" i="4"/>
  <c r="S201" i="4"/>
  <c r="T201" i="4"/>
  <c r="O201" i="4"/>
  <c r="R201" i="4"/>
  <c r="P201" i="4"/>
  <c r="Q201" i="4"/>
  <c r="R3" i="4"/>
  <c r="S3" i="4"/>
  <c r="T3" i="4"/>
  <c r="M3" i="4"/>
  <c r="N3" i="4"/>
  <c r="O3" i="4"/>
  <c r="P3" i="4"/>
  <c r="Q3" i="4"/>
  <c r="M74" i="4"/>
  <c r="N74" i="4"/>
  <c r="O74" i="4"/>
  <c r="P74" i="4"/>
  <c r="Q74" i="4"/>
  <c r="R74" i="4"/>
  <c r="S74" i="4"/>
  <c r="T74" i="4"/>
  <c r="M110" i="4"/>
  <c r="N110" i="4"/>
  <c r="O110" i="4"/>
  <c r="P110" i="4"/>
  <c r="Q110" i="4"/>
  <c r="R110" i="4"/>
  <c r="S110" i="4"/>
  <c r="T110" i="4"/>
  <c r="L6" i="4"/>
  <c r="L121" i="4"/>
  <c r="L104" i="4"/>
  <c r="L196" i="4"/>
  <c r="L69" i="4"/>
  <c r="L424" i="4"/>
  <c r="L455" i="4"/>
  <c r="L189" i="4"/>
  <c r="L275" i="4"/>
  <c r="L17" i="4"/>
  <c r="L266" i="4"/>
  <c r="L190" i="4"/>
  <c r="L201" i="4"/>
  <c r="L3" i="4"/>
  <c r="L74" i="4"/>
  <c r="L110" i="4"/>
  <c r="L27" i="4"/>
  <c r="L276" i="4"/>
  <c r="L18" i="4"/>
  <c r="L81" i="4"/>
  <c r="L191" i="4"/>
  <c r="L113" i="4"/>
  <c r="L122" i="4"/>
  <c r="L25" i="4"/>
  <c r="L108" i="4"/>
  <c r="L83" i="4"/>
  <c r="L115" i="4"/>
  <c r="L26" i="4"/>
  <c r="L425" i="4"/>
  <c r="L31" i="4"/>
  <c r="L426" i="4"/>
  <c r="L21" i="4"/>
  <c r="L209" i="4"/>
  <c r="L103" i="4"/>
  <c r="L30" i="4"/>
  <c r="L78" i="4"/>
  <c r="L28" i="4"/>
  <c r="L112" i="4"/>
  <c r="L462" i="4"/>
  <c r="L208" i="4"/>
  <c r="L106" i="4"/>
  <c r="L12" i="4"/>
  <c r="L213" i="4"/>
  <c r="L107" i="4"/>
  <c r="L203" i="4"/>
  <c r="L118" i="4"/>
  <c r="L457" i="4"/>
  <c r="L199" i="4"/>
  <c r="L114" i="4"/>
  <c r="L202" i="4"/>
  <c r="L80" i="4"/>
  <c r="L210" i="4"/>
  <c r="L29" i="4"/>
  <c r="L20" i="4"/>
  <c r="L197" i="4"/>
  <c r="L22" i="4"/>
  <c r="L68" i="4"/>
  <c r="L129" i="4"/>
  <c r="L198" i="4"/>
  <c r="L72" i="4"/>
  <c r="L117" i="4"/>
  <c r="L286" i="4"/>
  <c r="L123" i="4"/>
  <c r="L263" i="4"/>
  <c r="L16" i="4"/>
  <c r="L285" i="4"/>
  <c r="L82" i="4"/>
  <c r="L200" i="4"/>
  <c r="L211" i="4"/>
  <c r="L8" i="4"/>
  <c r="L458" i="4"/>
  <c r="L126" i="4"/>
  <c r="L192" i="4"/>
  <c r="L278" i="4"/>
  <c r="L13" i="4"/>
  <c r="L105" i="4"/>
  <c r="L267" i="4"/>
  <c r="L282" i="4"/>
  <c r="L77" i="4"/>
  <c r="L459" i="4"/>
  <c r="L116" i="4"/>
  <c r="L14" i="4"/>
  <c r="L79" i="4"/>
  <c r="L264" i="4"/>
  <c r="L128" i="4"/>
  <c r="L84" i="4"/>
  <c r="L125" i="4"/>
  <c r="L265" i="4"/>
  <c r="L75" i="4"/>
  <c r="L120" i="4"/>
  <c r="L280" i="4"/>
  <c r="L195" i="4"/>
  <c r="L76" i="4"/>
  <c r="L127" i="4"/>
  <c r="L284" i="4"/>
  <c r="L194" i="4"/>
  <c r="L71" i="4"/>
  <c r="L460" i="4"/>
  <c r="L279" i="4"/>
  <c r="L9" i="4"/>
  <c r="L124" i="4"/>
  <c r="L283" i="4"/>
  <c r="L277" i="4"/>
  <c r="L10" i="4"/>
  <c r="L109" i="4"/>
  <c r="L19" i="4"/>
  <c r="L4" i="4"/>
  <c r="L214" i="4"/>
  <c r="L423" i="4"/>
  <c r="L461" i="4"/>
  <c r="L281" i="4"/>
  <c r="L11" i="4"/>
  <c r="L130" i="4"/>
  <c r="L212" i="4"/>
  <c r="L5" i="4"/>
  <c r="L119" i="4"/>
  <c r="L15" i="4"/>
  <c r="L193" i="4"/>
  <c r="L2" i="4"/>
  <c r="L111" i="4"/>
  <c r="L73" i="4"/>
  <c r="L32" i="4"/>
  <c r="L456" i="4"/>
  <c r="BL2" i="2" l="1"/>
  <c r="V2" i="2"/>
  <c r="AB2" i="2"/>
  <c r="AH2" i="2"/>
  <c r="AT2" i="2"/>
  <c r="BF2" i="2"/>
  <c r="AZ2" i="2"/>
  <c r="AN2" i="2"/>
  <c r="AC10" i="2" l="1"/>
  <c r="I20" i="2"/>
  <c r="I21" i="2"/>
  <c r="I12" i="2"/>
  <c r="I22" i="2"/>
  <c r="I23" i="2"/>
  <c r="Q23" i="2" s="1"/>
  <c r="I3" i="2"/>
  <c r="I37" i="2"/>
  <c r="BG11" i="2"/>
  <c r="I25" i="2"/>
  <c r="I19" i="2"/>
  <c r="I8" i="2"/>
  <c r="I24" i="2"/>
  <c r="BM13" i="2"/>
  <c r="I18" i="2"/>
  <c r="AI24" i="2" l="1"/>
  <c r="BA25" i="2"/>
  <c r="R23" i="2"/>
  <c r="AO22" i="2"/>
  <c r="BG3" i="2"/>
  <c r="AC12" i="2"/>
  <c r="AU23" i="2"/>
  <c r="W21" i="2"/>
  <c r="AO2" i="2"/>
  <c r="R2" i="2"/>
  <c r="BM20" i="2"/>
  <c r="AU11" i="2"/>
  <c r="AO11" i="2"/>
  <c r="BG12" i="2"/>
  <c r="BG24" i="2"/>
  <c r="BM24" i="2"/>
  <c r="BM3" i="2"/>
  <c r="AO24" i="2"/>
  <c r="AI11" i="2"/>
  <c r="AC3" i="2"/>
  <c r="BM12" i="2"/>
  <c r="BG19" i="2"/>
  <c r="BA22" i="2"/>
  <c r="AC20" i="2"/>
  <c r="BA24" i="2"/>
  <c r="AI22" i="2"/>
  <c r="AI20" i="2"/>
  <c r="BM11" i="2"/>
  <c r="AC22" i="2"/>
  <c r="AI2" i="2"/>
  <c r="BG25" i="2"/>
  <c r="AO20" i="2"/>
  <c r="AU8" i="2"/>
  <c r="BM25" i="2"/>
  <c r="W22" i="2"/>
  <c r="BM8" i="2"/>
  <c r="AC25" i="2"/>
  <c r="BM22" i="2"/>
  <c r="AO12" i="2"/>
  <c r="W20" i="2"/>
  <c r="AO3" i="2"/>
  <c r="BG22" i="2"/>
  <c r="AI21" i="2"/>
  <c r="AU22" i="2"/>
  <c r="W10" i="2"/>
  <c r="AU18" i="2"/>
  <c r="AI18" i="2"/>
  <c r="W18" i="2"/>
  <c r="BG18" i="2"/>
  <c r="BM18" i="2"/>
  <c r="AO18" i="2"/>
  <c r="BA18" i="2"/>
  <c r="AC18" i="2"/>
  <c r="AO19" i="2"/>
  <c r="BA19" i="2"/>
  <c r="AU19" i="2"/>
  <c r="BG8" i="2"/>
  <c r="BM19" i="2"/>
  <c r="AI13" i="2"/>
  <c r="W13" i="2"/>
  <c r="AU13" i="2"/>
  <c r="AO13" i="2"/>
  <c r="BA13" i="2"/>
  <c r="BG13" i="2"/>
  <c r="AU24" i="2"/>
  <c r="W8" i="2"/>
  <c r="AC19" i="2"/>
  <c r="AC13" i="2"/>
  <c r="AC24" i="2"/>
  <c r="BA8" i="2"/>
  <c r="AI19" i="2"/>
  <c r="W24" i="2"/>
  <c r="W19" i="2"/>
  <c r="AC8" i="2"/>
  <c r="AI8" i="2"/>
  <c r="AO8" i="2"/>
  <c r="AC37" i="2"/>
  <c r="W37" i="2"/>
  <c r="AI37" i="2"/>
  <c r="AO37" i="2"/>
  <c r="BM37" i="2"/>
  <c r="AU37" i="2"/>
  <c r="BA6" i="2"/>
  <c r="AU6" i="2"/>
  <c r="W6" i="2"/>
  <c r="W11" i="2"/>
  <c r="AC11" i="2"/>
  <c r="BA11" i="2"/>
  <c r="BG37" i="2"/>
  <c r="AO6" i="2"/>
  <c r="AI6" i="2"/>
  <c r="BM6" i="2"/>
  <c r="BG6" i="2"/>
  <c r="AC6" i="2"/>
  <c r="BA37" i="2"/>
  <c r="BA7" i="2"/>
  <c r="AC7" i="2"/>
  <c r="W7" i="2"/>
  <c r="BM7" i="2"/>
  <c r="BG7" i="2"/>
  <c r="AO7" i="2"/>
  <c r="AU7" i="2"/>
  <c r="AI7" i="2"/>
  <c r="AO25" i="2"/>
  <c r="BA3" i="2"/>
  <c r="AU25" i="2"/>
  <c r="W25" i="2"/>
  <c r="AU3" i="2"/>
  <c r="AI3" i="2"/>
  <c r="AI25" i="2"/>
  <c r="W3" i="2"/>
  <c r="AO21" i="2"/>
  <c r="W23" i="2"/>
  <c r="AU10" i="2"/>
  <c r="W12" i="2"/>
  <c r="AC21" i="2"/>
  <c r="BM2" i="2"/>
  <c r="BG20" i="2"/>
  <c r="BA23" i="2"/>
  <c r="AI10" i="2"/>
  <c r="BG23" i="2"/>
  <c r="AI12" i="2"/>
  <c r="BA12" i="2"/>
  <c r="AU21" i="2"/>
  <c r="AC2" i="2"/>
  <c r="AO23" i="2"/>
  <c r="BM10" i="2"/>
  <c r="BM21" i="2"/>
  <c r="BG2" i="2"/>
  <c r="BA20" i="2"/>
  <c r="BM23" i="2"/>
  <c r="BG10" i="2"/>
  <c r="AU12" i="2"/>
  <c r="BG21" i="2"/>
  <c r="W2" i="2"/>
  <c r="AU20" i="2"/>
  <c r="AC23" i="2"/>
  <c r="BA10" i="2"/>
  <c r="BA21" i="2"/>
  <c r="BA2" i="2"/>
  <c r="AI23" i="2"/>
  <c r="AO10" i="2"/>
  <c r="AU2" i="2"/>
  <c r="AD2" i="2" l="1"/>
  <c r="AJ2" i="2"/>
  <c r="BN2" i="2"/>
  <c r="AV2" i="2"/>
  <c r="AP2" i="2"/>
  <c r="BB2" i="2"/>
  <c r="BH2" i="2"/>
  <c r="X2" i="2"/>
  <c r="BB23" i="2"/>
  <c r="BH23" i="2"/>
  <c r="AV23" i="2"/>
  <c r="AJ23" i="2"/>
  <c r="X23" i="2"/>
  <c r="AP23" i="2"/>
  <c r="BN23" i="2"/>
  <c r="AD23" i="2"/>
  <c r="I65" i="2"/>
  <c r="I62" i="2"/>
  <c r="I60" i="2"/>
  <c r="I63" i="2"/>
  <c r="I16" i="2"/>
  <c r="I17" i="2"/>
  <c r="I66" i="2"/>
  <c r="I44" i="2"/>
  <c r="I49" i="2"/>
  <c r="I56" i="2"/>
  <c r="I9" i="2"/>
  <c r="I53" i="2"/>
  <c r="I45" i="2"/>
  <c r="I33" i="2"/>
  <c r="I55" i="2"/>
  <c r="I68" i="2"/>
  <c r="I67" i="2"/>
  <c r="I41" i="2"/>
  <c r="I26" i="2"/>
  <c r="I27" i="2"/>
  <c r="I64" i="2"/>
  <c r="I57" i="2"/>
  <c r="I70" i="2"/>
  <c r="AI70" i="2" s="1"/>
  <c r="I58" i="2"/>
  <c r="I50" i="2"/>
  <c r="I51" i="2"/>
  <c r="I28" i="2"/>
  <c r="I54" i="2"/>
  <c r="I69" i="2"/>
  <c r="I43" i="2"/>
  <c r="I29" i="2"/>
  <c r="I31" i="2"/>
  <c r="I48" i="2"/>
  <c r="I34" i="2"/>
  <c r="I61" i="2"/>
  <c r="I30" i="2"/>
  <c r="I59" i="2"/>
  <c r="I39" i="2"/>
  <c r="I36" i="2"/>
  <c r="I52" i="2"/>
  <c r="I40" i="2"/>
  <c r="I46" i="2"/>
  <c r="AU14" i="2"/>
  <c r="I42" i="2"/>
  <c r="I35" i="2"/>
  <c r="I38" i="2"/>
  <c r="I47" i="2"/>
  <c r="AO47" i="2" l="1"/>
  <c r="BM38" i="2"/>
  <c r="BA42" i="2"/>
  <c r="BA46" i="2"/>
  <c r="AO52" i="2"/>
  <c r="AC36" i="2"/>
  <c r="AO59" i="2"/>
  <c r="AC30" i="2"/>
  <c r="AO61" i="2"/>
  <c r="AI29" i="2"/>
  <c r="BA43" i="2"/>
  <c r="BA69" i="2"/>
  <c r="BG54" i="2"/>
  <c r="AI28" i="2"/>
  <c r="W51" i="2"/>
  <c r="AI50" i="2"/>
  <c r="W58" i="2"/>
  <c r="BM57" i="2"/>
  <c r="AC27" i="2"/>
  <c r="AI26" i="2"/>
  <c r="BG41" i="2"/>
  <c r="AI67" i="2"/>
  <c r="BG55" i="2"/>
  <c r="BG33" i="2"/>
  <c r="AU45" i="2"/>
  <c r="W53" i="2"/>
  <c r="AI9" i="2"/>
  <c r="AO56" i="2"/>
  <c r="BG49" i="2"/>
  <c r="AU44" i="2"/>
  <c r="BM66" i="2"/>
  <c r="AU16" i="2"/>
  <c r="AC60" i="2"/>
  <c r="AO62" i="2"/>
  <c r="AI27" i="2"/>
  <c r="AI66" i="2"/>
  <c r="BM50" i="2"/>
  <c r="AU58" i="2"/>
  <c r="AU49" i="2"/>
  <c r="W9" i="2"/>
  <c r="AC14" i="2"/>
  <c r="AO54" i="2"/>
  <c r="BA26" i="2"/>
  <c r="BG66" i="2"/>
  <c r="BA9" i="2"/>
  <c r="W14" i="2"/>
  <c r="AO50" i="2"/>
  <c r="BM9" i="2"/>
  <c r="AC50" i="2"/>
  <c r="AC9" i="2"/>
  <c r="BA50" i="2"/>
  <c r="BG50" i="2"/>
  <c r="BM62" i="2"/>
  <c r="AI44" i="2"/>
  <c r="AU62" i="2"/>
  <c r="BM43" i="2"/>
  <c r="AC70" i="2"/>
  <c r="BA55" i="2"/>
  <c r="W44" i="2"/>
  <c r="W55" i="2"/>
  <c r="AC53" i="2"/>
  <c r="AI17" i="2"/>
  <c r="AC62" i="2"/>
  <c r="AO51" i="2"/>
  <c r="BG53" i="2"/>
  <c r="BG30" i="2"/>
  <c r="W42" i="2"/>
  <c r="AU47" i="2"/>
  <c r="BA14" i="2"/>
  <c r="BM52" i="2"/>
  <c r="W30" i="2"/>
  <c r="BG42" i="2"/>
  <c r="AO64" i="2"/>
  <c r="AU55" i="2"/>
  <c r="AO53" i="2"/>
  <c r="BG62" i="2"/>
  <c r="AC43" i="2"/>
  <c r="AO14" i="2"/>
  <c r="AU52" i="2"/>
  <c r="AI30" i="2"/>
  <c r="AC42" i="2"/>
  <c r="BA64" i="2"/>
  <c r="AO41" i="2"/>
  <c r="BG63" i="2"/>
  <c r="BM51" i="2"/>
  <c r="W17" i="2"/>
  <c r="BM14" i="2"/>
  <c r="BA30" i="2"/>
  <c r="BA58" i="2"/>
  <c r="AU64" i="2"/>
  <c r="BM41" i="2"/>
  <c r="AO63" i="2"/>
  <c r="AC63" i="2"/>
  <c r="AU61" i="2"/>
  <c r="BA54" i="2"/>
  <c r="AU51" i="2"/>
  <c r="AU53" i="2"/>
  <c r="BG61" i="2"/>
  <c r="AU63" i="2"/>
  <c r="AO39" i="2"/>
  <c r="W61" i="2"/>
  <c r="AI54" i="2"/>
  <c r="BG14" i="2"/>
  <c r="BM36" i="2"/>
  <c r="W39" i="2"/>
  <c r="AO30" i="2"/>
  <c r="AI61" i="2"/>
  <c r="AU42" i="2"/>
  <c r="AU43" i="2"/>
  <c r="BG69" i="2"/>
  <c r="BM54" i="2"/>
  <c r="AC51" i="2"/>
  <c r="AO28" i="2"/>
  <c r="AI33" i="2"/>
  <c r="W45" i="2"/>
  <c r="BA53" i="2"/>
  <c r="BM63" i="2"/>
  <c r="AI62" i="2"/>
  <c r="BG36" i="2"/>
  <c r="AU30" i="2"/>
  <c r="BA61" i="2"/>
  <c r="AI42" i="2"/>
  <c r="W43" i="2"/>
  <c r="AU69" i="2"/>
  <c r="W54" i="2"/>
  <c r="BG51" i="2"/>
  <c r="AU41" i="2"/>
  <c r="BA33" i="2"/>
  <c r="AU56" i="2"/>
  <c r="BA63" i="2"/>
  <c r="BM65" i="2"/>
  <c r="BG39" i="2"/>
  <c r="BM39" i="2"/>
  <c r="BG47" i="2"/>
  <c r="BM30" i="2"/>
  <c r="AC61" i="2"/>
  <c r="BM42" i="2"/>
  <c r="BG43" i="2"/>
  <c r="AC54" i="2"/>
  <c r="AI51" i="2"/>
  <c r="AI41" i="2"/>
  <c r="AC33" i="2"/>
  <c r="AI53" i="2"/>
  <c r="AI57" i="2"/>
  <c r="AC56" i="2"/>
  <c r="AO17" i="2"/>
  <c r="W63" i="2"/>
  <c r="W62" i="2"/>
  <c r="W65" i="2"/>
  <c r="BA47" i="2"/>
  <c r="AO42" i="2"/>
  <c r="AI43" i="2"/>
  <c r="AU54" i="2"/>
  <c r="BA51" i="2"/>
  <c r="BA41" i="2"/>
  <c r="AC55" i="2"/>
  <c r="AU33" i="2"/>
  <c r="BM53" i="2"/>
  <c r="AC57" i="2"/>
  <c r="BA56" i="2"/>
  <c r="AU17" i="2"/>
  <c r="AI63" i="2"/>
  <c r="BA62" i="2"/>
  <c r="AU34" i="2"/>
  <c r="BG34" i="2"/>
  <c r="W34" i="2"/>
  <c r="BM34" i="2"/>
  <c r="BM35" i="2"/>
  <c r="AC34" i="2"/>
  <c r="AO48" i="2"/>
  <c r="BG48" i="2"/>
  <c r="BM48" i="2"/>
  <c r="W48" i="2"/>
  <c r="BA48" i="2"/>
  <c r="AO31" i="2"/>
  <c r="W31" i="2"/>
  <c r="BM31" i="2"/>
  <c r="AI31" i="2"/>
  <c r="AC47" i="2"/>
  <c r="AC52" i="2"/>
  <c r="AI46" i="2"/>
  <c r="AO34" i="2"/>
  <c r="AU48" i="2"/>
  <c r="AI47" i="2"/>
  <c r="BA38" i="2"/>
  <c r="BG46" i="2"/>
  <c r="BA31" i="2"/>
  <c r="AC48" i="2"/>
  <c r="W35" i="2"/>
  <c r="AO35" i="2"/>
  <c r="AI35" i="2"/>
  <c r="AU35" i="2"/>
  <c r="AU59" i="2"/>
  <c r="W59" i="2"/>
  <c r="BA59" i="2"/>
  <c r="BM59" i="2"/>
  <c r="AI38" i="2"/>
  <c r="AI59" i="2"/>
  <c r="BG31" i="2"/>
  <c r="AI48" i="2"/>
  <c r="AC46" i="2"/>
  <c r="W46" i="2"/>
  <c r="AU46" i="2"/>
  <c r="AO46" i="2"/>
  <c r="AI40" i="2"/>
  <c r="BG40" i="2"/>
  <c r="W40" i="2"/>
  <c r="BA40" i="2"/>
  <c r="AC40" i="2"/>
  <c r="AO36" i="2"/>
  <c r="BA36" i="2"/>
  <c r="AU36" i="2"/>
  <c r="AI36" i="2"/>
  <c r="AU38" i="2"/>
  <c r="BM46" i="2"/>
  <c r="BG59" i="2"/>
  <c r="AU31" i="2"/>
  <c r="AU40" i="2"/>
  <c r="BM47" i="2"/>
  <c r="AI52" i="2"/>
  <c r="W52" i="2"/>
  <c r="BA52" i="2"/>
  <c r="BG35" i="2"/>
  <c r="AC59" i="2"/>
  <c r="AC31" i="2"/>
  <c r="AO40" i="2"/>
  <c r="W47" i="2"/>
  <c r="W38" i="2"/>
  <c r="AC38" i="2"/>
  <c r="BG38" i="2"/>
  <c r="BG52" i="2"/>
  <c r="W36" i="2"/>
  <c r="AU39" i="2"/>
  <c r="BA39" i="2"/>
  <c r="AI39" i="2"/>
  <c r="AC39" i="2"/>
  <c r="AO38" i="2"/>
  <c r="AC35" i="2"/>
  <c r="BA34" i="2"/>
  <c r="BM40" i="2"/>
  <c r="BG67" i="2"/>
  <c r="BM67" i="2"/>
  <c r="AO67" i="2"/>
  <c r="W67" i="2"/>
  <c r="AU67" i="2"/>
  <c r="AC67" i="2"/>
  <c r="BA67" i="2"/>
  <c r="BA35" i="2"/>
  <c r="AI34" i="2"/>
  <c r="W70" i="2"/>
  <c r="BM70" i="2"/>
  <c r="BG70" i="2"/>
  <c r="AU70" i="2"/>
  <c r="BM27" i="2"/>
  <c r="W27" i="2"/>
  <c r="AO27" i="2"/>
  <c r="AU27" i="2"/>
  <c r="W69" i="2"/>
  <c r="BM69" i="2"/>
  <c r="AC69" i="2"/>
  <c r="AO26" i="2"/>
  <c r="AC26" i="2"/>
  <c r="BG26" i="2"/>
  <c r="W26" i="2"/>
  <c r="AU26" i="2"/>
  <c r="BA45" i="2"/>
  <c r="BG45" i="2"/>
  <c r="AC45" i="2"/>
  <c r="AI45" i="2"/>
  <c r="BM45" i="2"/>
  <c r="AO69" i="2"/>
  <c r="AU28" i="2"/>
  <c r="BG28" i="2"/>
  <c r="BA28" i="2"/>
  <c r="AC28" i="2"/>
  <c r="AC58" i="2"/>
  <c r="BG58" i="2"/>
  <c r="AO58" i="2"/>
  <c r="AI58" i="2"/>
  <c r="W64" i="2"/>
  <c r="AC64" i="2"/>
  <c r="BM64" i="2"/>
  <c r="AI64" i="2"/>
  <c r="BM29" i="2"/>
  <c r="BA68" i="2"/>
  <c r="BM68" i="2"/>
  <c r="AC68" i="2"/>
  <c r="AU68" i="2"/>
  <c r="AI68" i="2"/>
  <c r="BG68" i="2"/>
  <c r="AO45" i="2"/>
  <c r="W29" i="2"/>
  <c r="BM58" i="2"/>
  <c r="AO70" i="2"/>
  <c r="BG64" i="2"/>
  <c r="BG27" i="2"/>
  <c r="W28" i="2"/>
  <c r="BG44" i="2"/>
  <c r="BA44" i="2"/>
  <c r="BM44" i="2"/>
  <c r="AO44" i="2"/>
  <c r="AC44" i="2"/>
  <c r="AO68" i="2"/>
  <c r="AI14" i="2"/>
  <c r="BM61" i="2"/>
  <c r="AU29" i="2"/>
  <c r="BG29" i="2"/>
  <c r="BA29" i="2"/>
  <c r="AO29" i="2"/>
  <c r="AI69" i="2"/>
  <c r="BA70" i="2"/>
  <c r="BA27" i="2"/>
  <c r="AC29" i="2"/>
  <c r="BM28" i="2"/>
  <c r="BM26" i="2"/>
  <c r="W68" i="2"/>
  <c r="AO43" i="2"/>
  <c r="W41" i="2"/>
  <c r="BG57" i="2"/>
  <c r="AI55" i="2"/>
  <c r="AO33" i="2"/>
  <c r="AI56" i="2"/>
  <c r="AI49" i="2"/>
  <c r="AC49" i="2"/>
  <c r="AO66" i="2"/>
  <c r="BA66" i="2"/>
  <c r="AU66" i="2"/>
  <c r="BA57" i="2"/>
  <c r="W56" i="2"/>
  <c r="BA49" i="2"/>
  <c r="W50" i="2"/>
  <c r="AU50" i="2"/>
  <c r="AC41" i="2"/>
  <c r="BM55" i="2"/>
  <c r="BM33" i="2"/>
  <c r="BG9" i="2"/>
  <c r="AU9" i="2"/>
  <c r="AO9" i="2"/>
  <c r="AC66" i="2"/>
  <c r="AO49" i="2"/>
  <c r="AU57" i="2"/>
  <c r="AO57" i="2"/>
  <c r="AO55" i="2"/>
  <c r="W33" i="2"/>
  <c r="W66" i="2"/>
  <c r="BG56" i="2"/>
  <c r="W49" i="2"/>
  <c r="W57" i="2"/>
  <c r="BM56" i="2"/>
  <c r="BM49" i="2"/>
  <c r="BM17" i="2"/>
  <c r="AI16" i="2"/>
  <c r="BA60" i="2"/>
  <c r="AI65" i="2"/>
  <c r="AO16" i="2"/>
  <c r="BM60" i="2"/>
  <c r="BG17" i="2"/>
  <c r="AC17" i="2"/>
  <c r="BA16" i="2"/>
  <c r="AU60" i="2"/>
  <c r="BG65" i="2"/>
  <c r="AC16" i="2"/>
  <c r="BG60" i="2"/>
  <c r="BA65" i="2"/>
  <c r="W16" i="2"/>
  <c r="AI60" i="2"/>
  <c r="AU65" i="2"/>
  <c r="BA17" i="2"/>
  <c r="BG16" i="2"/>
  <c r="W60" i="2"/>
  <c r="AO65" i="2"/>
  <c r="BM16" i="2"/>
  <c r="AO60" i="2"/>
  <c r="AC65" i="2"/>
  <c r="G3" i="2"/>
  <c r="P3" i="2" s="1"/>
  <c r="Q3" i="2" s="1"/>
  <c r="R3" i="2" l="1"/>
  <c r="AH3" i="2"/>
  <c r="BL3" i="2"/>
  <c r="V3" i="2"/>
  <c r="BF3" i="2"/>
  <c r="AN3" i="2"/>
  <c r="AT3" i="2"/>
  <c r="AZ3" i="2"/>
  <c r="AB3" i="2"/>
  <c r="AV3" i="2" l="1"/>
  <c r="BB3" i="2"/>
  <c r="AJ3" i="2"/>
  <c r="BH3" i="2"/>
  <c r="BN3" i="2"/>
  <c r="X3" i="2"/>
  <c r="AD3" i="2"/>
  <c r="AP3" i="2"/>
  <c r="R5" i="2" l="1"/>
  <c r="I159" i="4"/>
  <c r="G159" i="4"/>
  <c r="I433" i="4"/>
  <c r="G433" i="4"/>
  <c r="A127" i="3"/>
  <c r="A109" i="3"/>
  <c r="I294" i="4"/>
  <c r="G294" i="4"/>
  <c r="I2" i="4"/>
  <c r="I93" i="4"/>
  <c r="G93" i="4"/>
  <c r="I354" i="4"/>
  <c r="G354" i="4"/>
  <c r="A157" i="3"/>
  <c r="I44" i="4"/>
  <c r="G44" i="4"/>
  <c r="I253" i="4"/>
  <c r="G253" i="4"/>
  <c r="I261" i="4"/>
  <c r="G261" i="4"/>
  <c r="I348" i="4"/>
  <c r="G348" i="4"/>
  <c r="I100" i="4"/>
  <c r="G100" i="4"/>
  <c r="A114" i="3"/>
  <c r="I234" i="4"/>
  <c r="G234" i="4"/>
  <c r="I168" i="4"/>
  <c r="G168" i="4"/>
  <c r="A25" i="3"/>
  <c r="A38" i="3"/>
  <c r="I135" i="4"/>
  <c r="G135" i="4"/>
  <c r="A40" i="3"/>
  <c r="I381" i="4"/>
  <c r="G381" i="4"/>
  <c r="I318" i="4"/>
  <c r="G318" i="4"/>
  <c r="I358" i="4"/>
  <c r="G358" i="4"/>
  <c r="I382" i="4"/>
  <c r="G382" i="4"/>
  <c r="I114" i="4"/>
  <c r="G114" i="4"/>
  <c r="I94" i="4"/>
  <c r="G94" i="4"/>
  <c r="A125" i="3"/>
  <c r="I375" i="4"/>
  <c r="G375" i="4"/>
  <c r="A45" i="3"/>
  <c r="I439" i="4"/>
  <c r="G439" i="4"/>
  <c r="I222" i="4"/>
  <c r="G222" i="4"/>
  <c r="I61" i="4"/>
  <c r="G61" i="4"/>
  <c r="A31" i="3"/>
  <c r="I118" i="4"/>
  <c r="G118" i="4"/>
  <c r="I419" i="4"/>
  <c r="G419" i="4"/>
  <c r="I47" i="4"/>
  <c r="G47" i="4"/>
  <c r="I309" i="4"/>
  <c r="G309" i="4"/>
  <c r="A79" i="3"/>
  <c r="A15" i="3"/>
  <c r="A134" i="3"/>
  <c r="A74" i="3"/>
  <c r="I394" i="4"/>
  <c r="G394" i="4"/>
  <c r="I36" i="4"/>
  <c r="G36" i="4"/>
  <c r="I183" i="4"/>
  <c r="G183" i="4"/>
  <c r="A71" i="3"/>
  <c r="I130" i="4"/>
  <c r="G130" i="4"/>
  <c r="A53" i="3"/>
  <c r="A152" i="3"/>
  <c r="I64" i="4"/>
  <c r="G64" i="4"/>
  <c r="I165" i="4"/>
  <c r="G165" i="4"/>
  <c r="I295" i="4"/>
  <c r="G295" i="4"/>
  <c r="I343" i="4"/>
  <c r="G343" i="4"/>
  <c r="I176" i="4"/>
  <c r="I421" i="4"/>
  <c r="G421" i="4"/>
  <c r="I105" i="4"/>
  <c r="G105" i="4"/>
  <c r="I51" i="4"/>
  <c r="G51" i="4"/>
  <c r="A126" i="3"/>
  <c r="I374" i="4"/>
  <c r="G374" i="4"/>
  <c r="A3" i="3"/>
  <c r="I270" i="4"/>
  <c r="G270" i="4"/>
  <c r="A113" i="3"/>
  <c r="A30" i="3"/>
  <c r="AT66" i="2"/>
  <c r="AB66" i="2"/>
  <c r="V66" i="2"/>
  <c r="AH66" i="2"/>
  <c r="AN66" i="2"/>
  <c r="AZ66" i="2"/>
  <c r="BF66" i="2"/>
  <c r="BL66" i="2"/>
  <c r="I109" i="4"/>
  <c r="G109" i="4"/>
  <c r="I290" i="4"/>
  <c r="G290" i="4"/>
  <c r="A82" i="3"/>
  <c r="I457" i="4"/>
  <c r="G457" i="4"/>
  <c r="I198" i="4"/>
  <c r="G198" i="4"/>
  <c r="I18" i="4"/>
  <c r="G18" i="4"/>
  <c r="I372" i="4"/>
  <c r="G372" i="4"/>
  <c r="I127" i="4"/>
  <c r="G127" i="4"/>
  <c r="I30" i="4"/>
  <c r="G30" i="4"/>
  <c r="I258" i="4"/>
  <c r="I266" i="4"/>
  <c r="G266" i="4"/>
  <c r="A55" i="3"/>
  <c r="I213" i="4"/>
  <c r="G213" i="4"/>
  <c r="I95" i="4"/>
  <c r="G95" i="4"/>
  <c r="AB46" i="2"/>
  <c r="AH46" i="2"/>
  <c r="AZ46" i="2"/>
  <c r="BL46" i="2"/>
  <c r="BF46" i="2"/>
  <c r="AN46" i="2"/>
  <c r="V46" i="2"/>
  <c r="AT46" i="2"/>
  <c r="I145" i="4"/>
  <c r="G145" i="4"/>
  <c r="I128" i="4"/>
  <c r="G128" i="4"/>
  <c r="I312" i="4"/>
  <c r="G312" i="4"/>
  <c r="I212" i="4"/>
  <c r="G212" i="4"/>
  <c r="I217" i="4"/>
  <c r="G217" i="4"/>
  <c r="BN48" i="2"/>
  <c r="BH48" i="2"/>
  <c r="AP48" i="2"/>
  <c r="AD48" i="2"/>
  <c r="BB48" i="2"/>
  <c r="X48" i="2"/>
  <c r="R48" i="2"/>
  <c r="AV48" i="2"/>
  <c r="P48" i="2"/>
  <c r="Q48" i="2"/>
  <c r="AJ48" i="2"/>
  <c r="A88" i="3"/>
  <c r="A136" i="3"/>
  <c r="I139" i="4"/>
  <c r="G139" i="4"/>
  <c r="A11" i="3"/>
  <c r="I454" i="4"/>
  <c r="A18" i="3"/>
  <c r="I22" i="4"/>
  <c r="G22" i="4"/>
  <c r="I347" i="4"/>
  <c r="G347" i="4"/>
  <c r="A130" i="3"/>
  <c r="A5" i="3"/>
  <c r="A52" i="3"/>
  <c r="I228" i="4"/>
  <c r="G228" i="4"/>
  <c r="I138" i="4"/>
  <c r="G138" i="4"/>
  <c r="A158" i="3"/>
  <c r="A129" i="3"/>
  <c r="AB59" i="2"/>
  <c r="AH59" i="2"/>
  <c r="BL59" i="2"/>
  <c r="AT59" i="2"/>
  <c r="AZ59" i="2"/>
  <c r="V59" i="2"/>
  <c r="BF59" i="2"/>
  <c r="AN59" i="2"/>
  <c r="I238" i="4"/>
  <c r="G238" i="4"/>
  <c r="I275" i="4"/>
  <c r="AB57" i="2"/>
  <c r="AH57" i="2"/>
  <c r="BL57" i="2"/>
  <c r="AZ57" i="2"/>
  <c r="V57" i="2"/>
  <c r="AN57" i="2"/>
  <c r="AT57" i="2"/>
  <c r="BF57" i="2"/>
  <c r="I223" i="4"/>
  <c r="G223" i="4"/>
  <c r="I361" i="4"/>
  <c r="I111" i="4"/>
  <c r="G111" i="4"/>
  <c r="I320" i="4"/>
  <c r="G320" i="4"/>
  <c r="I204" i="4"/>
  <c r="I66" i="4"/>
  <c r="G66" i="4"/>
  <c r="I157" i="4"/>
  <c r="I438" i="4"/>
  <c r="G438" i="4"/>
  <c r="I355" i="4"/>
  <c r="G355" i="4"/>
  <c r="A111" i="3"/>
  <c r="BB46" i="2"/>
  <c r="X46" i="2"/>
  <c r="AV46" i="2"/>
  <c r="AJ46" i="2"/>
  <c r="BH46" i="2"/>
  <c r="BN46" i="2"/>
  <c r="AP46" i="2"/>
  <c r="R46" i="2"/>
  <c r="G157" i="4"/>
  <c r="G46" i="2"/>
  <c r="P46" i="2"/>
  <c r="Q46" i="2"/>
  <c r="AD46" i="2"/>
  <c r="AD6" i="2"/>
  <c r="AJ6" i="2"/>
  <c r="BB6" i="2"/>
  <c r="AP6" i="2"/>
  <c r="BN6" i="2"/>
  <c r="BH6" i="2"/>
  <c r="AV6" i="2"/>
  <c r="R6" i="2"/>
  <c r="P6" i="2"/>
  <c r="Q6" i="2"/>
  <c r="X6" i="2"/>
  <c r="AV42" i="2"/>
  <c r="AD42" i="2"/>
  <c r="AJ42" i="2"/>
  <c r="R42" i="2"/>
  <c r="AP42" i="2"/>
  <c r="BN42" i="2"/>
  <c r="X42" i="2"/>
  <c r="BB42" i="2"/>
  <c r="P42" i="2"/>
  <c r="Q42" i="2"/>
  <c r="BH42" i="2"/>
  <c r="AB22" i="2"/>
  <c r="AZ22" i="2"/>
  <c r="AN22" i="2"/>
  <c r="V22" i="2"/>
  <c r="AT22" i="2"/>
  <c r="AH22" i="2"/>
  <c r="BF22" i="2"/>
  <c r="BL22" i="2"/>
  <c r="I24" i="4"/>
  <c r="A116" i="3"/>
  <c r="I151" i="4"/>
  <c r="G151" i="4"/>
  <c r="I131" i="4"/>
  <c r="A27" i="3"/>
  <c r="I432" i="4"/>
  <c r="G432" i="4"/>
  <c r="I462" i="4"/>
  <c r="G462" i="4"/>
  <c r="I304" i="4"/>
  <c r="I192" i="4"/>
  <c r="G192" i="4"/>
  <c r="I78" i="4"/>
  <c r="G78" i="4"/>
  <c r="I447" i="4"/>
  <c r="G447" i="4"/>
  <c r="I244" i="4"/>
  <c r="G244" i="4"/>
  <c r="A135" i="3"/>
  <c r="I56" i="4"/>
  <c r="G56" i="4"/>
  <c r="I108" i="4"/>
  <c r="G108" i="4"/>
  <c r="I200" i="4"/>
  <c r="G200" i="4"/>
  <c r="I41" i="4"/>
  <c r="G41" i="4"/>
  <c r="A147" i="3"/>
  <c r="I420" i="4"/>
  <c r="G420" i="4"/>
  <c r="I328" i="4"/>
  <c r="I333" i="4"/>
  <c r="G333" i="4"/>
  <c r="I262" i="4"/>
  <c r="G262" i="4"/>
  <c r="I42" i="4"/>
  <c r="G42" i="4"/>
  <c r="A63" i="3"/>
  <c r="I6" i="4"/>
  <c r="G6" i="4"/>
  <c r="I371" i="4"/>
  <c r="G371" i="4"/>
  <c r="I178" i="4"/>
  <c r="G178" i="4"/>
  <c r="A60" i="3"/>
  <c r="I459" i="4"/>
  <c r="G459" i="4"/>
  <c r="A106" i="3"/>
  <c r="I46" i="4"/>
  <c r="G46" i="4"/>
  <c r="I31" i="4"/>
  <c r="G31" i="4"/>
  <c r="I335" i="4"/>
  <c r="G335" i="4"/>
  <c r="I388" i="4"/>
  <c r="G388" i="4"/>
  <c r="I188" i="4"/>
  <c r="G188" i="4"/>
  <c r="I89" i="4"/>
  <c r="G89" i="4"/>
  <c r="I162" i="4"/>
  <c r="G162" i="4"/>
  <c r="I4" i="4"/>
  <c r="G4" i="4"/>
  <c r="I233" i="4"/>
  <c r="G233" i="4"/>
  <c r="I415" i="4"/>
  <c r="G415" i="4"/>
  <c r="I251" i="4"/>
  <c r="G251" i="4"/>
  <c r="I460" i="4"/>
  <c r="G460" i="4"/>
  <c r="I55" i="4"/>
  <c r="G55" i="4"/>
  <c r="I193" i="4"/>
  <c r="G193" i="4"/>
  <c r="A57" i="3"/>
  <c r="I451" i="4"/>
  <c r="G451" i="4"/>
  <c r="I236" i="4"/>
  <c r="G236" i="4"/>
  <c r="A62" i="3"/>
  <c r="I209" i="4"/>
  <c r="G209" i="4"/>
  <c r="A160" i="3"/>
  <c r="I101" i="4"/>
  <c r="G101" i="4"/>
  <c r="I417" i="4"/>
  <c r="G417" i="4"/>
  <c r="I344" i="4"/>
  <c r="G344" i="4"/>
  <c r="I265" i="4"/>
  <c r="G265" i="4"/>
  <c r="I349" i="4"/>
  <c r="G349" i="4"/>
  <c r="I104" i="4"/>
  <c r="G104" i="4"/>
  <c r="A143" i="3"/>
  <c r="A120" i="3"/>
  <c r="I98" i="4"/>
  <c r="G98" i="4"/>
  <c r="I418" i="4"/>
  <c r="G418" i="4"/>
  <c r="A66" i="3"/>
  <c r="X57" i="2"/>
  <c r="AD57" i="2"/>
  <c r="AJ57" i="2"/>
  <c r="BH57" i="2"/>
  <c r="BN57" i="2"/>
  <c r="AV57" i="2"/>
  <c r="AP57" i="2"/>
  <c r="R57" i="2"/>
  <c r="G57" i="2"/>
  <c r="P57" i="2"/>
  <c r="Q57" i="2"/>
  <c r="BB57" i="2"/>
  <c r="BL69" i="2"/>
  <c r="AZ69" i="2"/>
  <c r="AT69" i="2"/>
  <c r="BF69" i="2"/>
  <c r="AN69" i="2"/>
  <c r="AB69" i="2"/>
  <c r="AH69" i="2"/>
  <c r="V69" i="2"/>
  <c r="I302" i="4"/>
  <c r="G302" i="4"/>
  <c r="AT13" i="2"/>
  <c r="AH13" i="2"/>
  <c r="BL13" i="2"/>
  <c r="AN13" i="2"/>
  <c r="BF13" i="2"/>
  <c r="AZ13" i="2"/>
  <c r="V13" i="2"/>
  <c r="AB13" i="2"/>
  <c r="R56" i="2"/>
  <c r="AV56" i="2"/>
  <c r="AD56" i="2"/>
  <c r="BH56" i="2"/>
  <c r="BN56" i="2"/>
  <c r="AP56" i="2"/>
  <c r="BB56" i="2"/>
  <c r="AJ56" i="2"/>
  <c r="P56" i="2"/>
  <c r="Q56" i="2"/>
  <c r="X56" i="2"/>
  <c r="I185" i="4"/>
  <c r="G185" i="4"/>
  <c r="I53" i="4"/>
  <c r="G53" i="4"/>
  <c r="AN51" i="2"/>
  <c r="BL51" i="2"/>
  <c r="AH51" i="2"/>
  <c r="AB51" i="2"/>
  <c r="V51" i="2"/>
  <c r="AT51" i="2"/>
  <c r="AZ51" i="2"/>
  <c r="BF51" i="2"/>
  <c r="V6" i="2"/>
  <c r="AH6" i="2"/>
  <c r="AT6" i="2"/>
  <c r="BL6" i="2"/>
  <c r="AB6" i="2"/>
  <c r="AZ6" i="2"/>
  <c r="BF6" i="2"/>
  <c r="G6" i="2"/>
  <c r="AN6" i="2"/>
  <c r="A17" i="3"/>
  <c r="BF56" i="2"/>
  <c r="AZ56" i="2"/>
  <c r="AB56" i="2"/>
  <c r="AT56" i="2"/>
  <c r="AH56" i="2"/>
  <c r="BL56" i="2"/>
  <c r="AN56" i="2"/>
  <c r="G56" i="2"/>
  <c r="V56" i="2"/>
  <c r="I65" i="4"/>
  <c r="G65" i="4"/>
  <c r="I301" i="4"/>
  <c r="G301" i="4"/>
  <c r="I203" i="4"/>
  <c r="G203" i="4"/>
  <c r="I50" i="4"/>
  <c r="G50" i="4"/>
  <c r="I240" i="4"/>
  <c r="G240" i="4"/>
  <c r="I247" i="4"/>
  <c r="G247" i="4"/>
  <c r="I368" i="4"/>
  <c r="G368" i="4"/>
  <c r="I331" i="4"/>
  <c r="G331" i="4"/>
  <c r="I173" i="4"/>
  <c r="G173" i="4"/>
  <c r="I129" i="4"/>
  <c r="G129" i="4"/>
  <c r="A22" i="3"/>
  <c r="A20" i="3"/>
  <c r="I414" i="4"/>
  <c r="G414" i="4"/>
  <c r="I408" i="4"/>
  <c r="G408" i="4"/>
  <c r="I276" i="4"/>
  <c r="G276" i="4"/>
  <c r="I137" i="4"/>
  <c r="G137" i="4"/>
  <c r="I329" i="4"/>
  <c r="G329" i="4"/>
  <c r="I9" i="4"/>
  <c r="G9" i="4"/>
  <c r="I336" i="4"/>
  <c r="I458" i="4"/>
  <c r="G458" i="4"/>
  <c r="A142" i="3"/>
  <c r="I143" i="4"/>
  <c r="G143" i="4"/>
  <c r="I288" i="4"/>
  <c r="G288" i="4"/>
  <c r="I310" i="4"/>
  <c r="G310" i="4"/>
  <c r="A119" i="3"/>
  <c r="I190" i="4"/>
  <c r="G190" i="4"/>
  <c r="A154" i="3"/>
  <c r="I353" i="4"/>
  <c r="G353" i="4"/>
  <c r="I86" i="4"/>
  <c r="G86" i="4"/>
  <c r="A24" i="3"/>
  <c r="I296" i="4"/>
  <c r="G296" i="4"/>
  <c r="X35" i="2"/>
  <c r="BN35" i="2"/>
  <c r="AD35" i="2"/>
  <c r="R35" i="2"/>
  <c r="BB35" i="2"/>
  <c r="BH35" i="2"/>
  <c r="AV35" i="2"/>
  <c r="AJ35" i="2"/>
  <c r="P35" i="2"/>
  <c r="Q35" i="2"/>
  <c r="AP35" i="2"/>
  <c r="I277" i="4"/>
  <c r="G277" i="4"/>
  <c r="I85" i="4"/>
  <c r="I396" i="4"/>
  <c r="G396" i="4"/>
  <c r="AB10" i="2"/>
  <c r="AN10" i="2"/>
  <c r="V10" i="2"/>
  <c r="AZ10" i="2"/>
  <c r="BL10" i="2"/>
  <c r="BF10" i="2"/>
  <c r="AH10" i="2"/>
  <c r="AT10" i="2"/>
  <c r="I341" i="4"/>
  <c r="G341" i="4"/>
  <c r="I437" i="4"/>
  <c r="I163" i="4"/>
  <c r="G163" i="4"/>
  <c r="I369" i="4"/>
  <c r="G369" i="4"/>
  <c r="A33" i="3"/>
  <c r="A58" i="3"/>
  <c r="A80" i="3"/>
  <c r="I220" i="4"/>
  <c r="G220" i="4"/>
  <c r="A132" i="3"/>
  <c r="I37" i="4"/>
  <c r="I427" i="4"/>
  <c r="A32" i="3"/>
  <c r="I211" i="4"/>
  <c r="G211" i="4"/>
  <c r="I171" i="4"/>
  <c r="G171" i="4"/>
  <c r="AZ50" i="2"/>
  <c r="AT50" i="2"/>
  <c r="AH50" i="2"/>
  <c r="BF50" i="2"/>
  <c r="V50" i="2"/>
  <c r="BL50" i="2"/>
  <c r="AN50" i="2"/>
  <c r="AB50" i="2"/>
  <c r="I174" i="4"/>
  <c r="G174" i="4"/>
  <c r="I117" i="4"/>
  <c r="G117" i="4"/>
  <c r="I182" i="4"/>
  <c r="A86" i="3"/>
  <c r="I197" i="4"/>
  <c r="G197" i="4"/>
  <c r="I142" i="4"/>
  <c r="G142" i="4"/>
  <c r="A85" i="3"/>
  <c r="I257" i="4"/>
  <c r="G257" i="4"/>
  <c r="G68" i="4"/>
  <c r="I68" i="4"/>
  <c r="I322" i="4"/>
  <c r="G322" i="4"/>
  <c r="I210" i="4"/>
  <c r="G210" i="4"/>
  <c r="I444" i="4"/>
  <c r="G444" i="4"/>
  <c r="I179" i="4"/>
  <c r="G179" i="4"/>
  <c r="I166" i="4"/>
  <c r="G166" i="4"/>
  <c r="I230" i="4"/>
  <c r="G230" i="4"/>
  <c r="I255" i="4"/>
  <c r="G255" i="4"/>
  <c r="I67" i="4"/>
  <c r="G67" i="4"/>
  <c r="A61" i="3"/>
  <c r="I120" i="4"/>
  <c r="G120" i="4"/>
  <c r="A42" i="3"/>
  <c r="BF25" i="2"/>
  <c r="AB25" i="2"/>
  <c r="AN25" i="2"/>
  <c r="AH25" i="2"/>
  <c r="AZ25" i="2"/>
  <c r="V25" i="2"/>
  <c r="AT25" i="2"/>
  <c r="BL25" i="2"/>
  <c r="I150" i="4"/>
  <c r="G150" i="4"/>
  <c r="I282" i="4"/>
  <c r="G282" i="4"/>
  <c r="I404" i="4"/>
  <c r="R32" i="2"/>
  <c r="BB32" i="2"/>
  <c r="BH32" i="2"/>
  <c r="AP32" i="2"/>
  <c r="AV32" i="2"/>
  <c r="BN32" i="2"/>
  <c r="AJ32" i="2"/>
  <c r="X32" i="2"/>
  <c r="P32" i="2"/>
  <c r="Q32" i="2"/>
  <c r="AD32" i="2"/>
  <c r="A123" i="3"/>
  <c r="I155" i="4"/>
  <c r="G155" i="4"/>
  <c r="I286" i="4"/>
  <c r="G286" i="4"/>
  <c r="A102" i="3"/>
  <c r="I340" i="4"/>
  <c r="G340" i="4"/>
  <c r="A44" i="3"/>
  <c r="I175" i="4"/>
  <c r="G175" i="4"/>
  <c r="A49" i="3"/>
  <c r="A92" i="3"/>
  <c r="I338" i="4"/>
  <c r="G338" i="4"/>
  <c r="I13" i="4"/>
  <c r="G13" i="4"/>
  <c r="A21" i="3"/>
  <c r="I280" i="4"/>
  <c r="G280" i="4"/>
  <c r="AN62" i="2"/>
  <c r="AH62" i="2"/>
  <c r="BF62" i="2"/>
  <c r="AT62" i="2"/>
  <c r="AB62" i="2"/>
  <c r="BL62" i="2"/>
  <c r="V62" i="2"/>
  <c r="AZ62" i="2"/>
  <c r="I112" i="4"/>
  <c r="G112" i="4"/>
  <c r="I332" i="4"/>
  <c r="I346" i="4"/>
  <c r="G346" i="4"/>
  <c r="BH64" i="2"/>
  <c r="AP64" i="2"/>
  <c r="X64" i="2"/>
  <c r="BN64" i="2"/>
  <c r="BB64" i="2"/>
  <c r="AJ64" i="2"/>
  <c r="AD64" i="2"/>
  <c r="P64" i="2"/>
  <c r="Q64" i="2"/>
  <c r="AV64" i="2"/>
  <c r="I284" i="4"/>
  <c r="G284" i="4"/>
  <c r="AJ51" i="2"/>
  <c r="BB51" i="2"/>
  <c r="BN51" i="2"/>
  <c r="AV51" i="2"/>
  <c r="AP51" i="2"/>
  <c r="AD51" i="2"/>
  <c r="R51" i="2"/>
  <c r="BH51" i="2"/>
  <c r="G437" i="4"/>
  <c r="G51" i="2"/>
  <c r="P51" i="2"/>
  <c r="Q51" i="2"/>
  <c r="X51" i="2"/>
  <c r="X25" i="2"/>
  <c r="BN25" i="2"/>
  <c r="AP25" i="2"/>
  <c r="R25" i="2"/>
  <c r="BB25" i="2"/>
  <c r="BH25" i="2"/>
  <c r="AD25" i="2"/>
  <c r="AJ25" i="2"/>
  <c r="G25" i="2"/>
  <c r="P25" i="2"/>
  <c r="Q25" i="2"/>
  <c r="AV25" i="2"/>
  <c r="A141" i="3"/>
  <c r="A23" i="3"/>
  <c r="I356" i="4"/>
  <c r="G356" i="4"/>
  <c r="A97" i="3"/>
  <c r="BF9" i="2"/>
  <c r="AT9" i="2"/>
  <c r="AN9" i="2"/>
  <c r="AB9" i="2"/>
  <c r="V9" i="2"/>
  <c r="AZ9" i="2"/>
  <c r="BL9" i="2"/>
  <c r="AH9" i="2"/>
  <c r="I106" i="4"/>
  <c r="G106" i="4"/>
  <c r="I195" i="4"/>
  <c r="G195" i="4"/>
  <c r="BN12" i="2"/>
  <c r="BH12" i="2"/>
  <c r="AD12" i="2"/>
  <c r="BB12" i="2"/>
  <c r="AV12" i="2"/>
  <c r="X12" i="2"/>
  <c r="R12" i="2"/>
  <c r="AP12" i="2"/>
  <c r="P12" i="2"/>
  <c r="Q12" i="2"/>
  <c r="AJ12" i="2"/>
  <c r="BN69" i="2"/>
  <c r="BH69" i="2"/>
  <c r="AJ69" i="2"/>
  <c r="BB69" i="2"/>
  <c r="X69" i="2"/>
  <c r="AD69" i="2"/>
  <c r="AP69" i="2"/>
  <c r="G182" i="4"/>
  <c r="G69" i="2"/>
  <c r="P69" i="2"/>
  <c r="Q69" i="2"/>
  <c r="AV69" i="2"/>
  <c r="AV36" i="2"/>
  <c r="BH36" i="2"/>
  <c r="AD36" i="2"/>
  <c r="AP36" i="2"/>
  <c r="R36" i="2"/>
  <c r="AJ36" i="2"/>
  <c r="BB36" i="2"/>
  <c r="X36" i="2"/>
  <c r="P36" i="2"/>
  <c r="Q36" i="2"/>
  <c r="BN36" i="2"/>
  <c r="BL32" i="2"/>
  <c r="AH32" i="2"/>
  <c r="AN32" i="2"/>
  <c r="AT32" i="2"/>
  <c r="V32" i="2"/>
  <c r="AB32" i="2"/>
  <c r="BF32" i="2"/>
  <c r="G32" i="2"/>
  <c r="AZ32" i="2"/>
  <c r="BF70" i="2"/>
  <c r="AT70" i="2"/>
  <c r="AZ70" i="2"/>
  <c r="BL70" i="2"/>
  <c r="V70" i="2"/>
  <c r="AN70" i="2"/>
  <c r="AH70" i="2"/>
  <c r="AB70" i="2"/>
  <c r="A36" i="3"/>
  <c r="BH59" i="2"/>
  <c r="X59" i="2"/>
  <c r="AD59" i="2"/>
  <c r="BB59" i="2"/>
  <c r="BN59" i="2"/>
  <c r="AV59" i="2"/>
  <c r="AJ59" i="2"/>
  <c r="G85" i="4"/>
  <c r="G59" i="2"/>
  <c r="P59" i="2"/>
  <c r="Q59" i="2"/>
  <c r="AP59" i="2"/>
  <c r="I3" i="4"/>
  <c r="G3" i="4"/>
  <c r="V36" i="2"/>
  <c r="AZ36" i="2"/>
  <c r="AN36" i="2"/>
  <c r="AT36" i="2"/>
  <c r="BF36" i="2"/>
  <c r="BL36" i="2"/>
  <c r="AB36" i="2"/>
  <c r="G36" i="2"/>
  <c r="AH36" i="2"/>
  <c r="I293" i="4"/>
  <c r="G293" i="4"/>
  <c r="I360" i="4"/>
  <c r="G360" i="4"/>
  <c r="A144" i="3"/>
  <c r="AN48" i="2"/>
  <c r="V48" i="2"/>
  <c r="AB48" i="2"/>
  <c r="AT48" i="2"/>
  <c r="AZ48" i="2"/>
  <c r="BF48" i="2"/>
  <c r="AH48" i="2"/>
  <c r="G48" i="2"/>
  <c r="BL48" i="2"/>
  <c r="I170" i="4"/>
  <c r="G170" i="4"/>
  <c r="A93" i="3"/>
  <c r="A73" i="3"/>
  <c r="I60" i="4"/>
  <c r="G60" i="4"/>
  <c r="A64" i="3"/>
  <c r="A54" i="3"/>
  <c r="I91" i="4"/>
  <c r="G91" i="4"/>
  <c r="I386" i="4"/>
  <c r="G386" i="4"/>
  <c r="A76" i="3"/>
  <c r="I317" i="4"/>
  <c r="G317" i="4"/>
  <c r="A9" i="3"/>
  <c r="I152" i="4"/>
  <c r="G152" i="4"/>
  <c r="I189" i="4"/>
  <c r="A7" i="3"/>
  <c r="I76" i="4"/>
  <c r="G76" i="4"/>
  <c r="I291" i="4"/>
  <c r="G291" i="4"/>
  <c r="I115" i="4"/>
  <c r="G115" i="4"/>
  <c r="A28" i="3"/>
  <c r="I398" i="4"/>
  <c r="I122" i="4"/>
  <c r="A145" i="3"/>
  <c r="I264" i="4"/>
  <c r="G264" i="4"/>
  <c r="A84" i="3"/>
  <c r="I445" i="4"/>
  <c r="G445" i="4"/>
  <c r="I40" i="4"/>
  <c r="G40" i="4"/>
  <c r="AV18" i="2"/>
  <c r="AP18" i="2"/>
  <c r="BH18" i="2"/>
  <c r="BN18" i="2"/>
  <c r="AD18" i="2"/>
  <c r="AJ18" i="2"/>
  <c r="BB18" i="2"/>
  <c r="R18" i="2"/>
  <c r="P18" i="2"/>
  <c r="Q18" i="2"/>
  <c r="X18" i="2"/>
  <c r="I107" i="4"/>
  <c r="G107" i="4"/>
  <c r="I75" i="4"/>
  <c r="G75" i="4"/>
  <c r="I124" i="4"/>
  <c r="G124" i="4"/>
  <c r="I319" i="4"/>
  <c r="A35" i="3"/>
  <c r="A34" i="3"/>
  <c r="I448" i="4"/>
  <c r="G448" i="4"/>
  <c r="I323" i="4"/>
  <c r="G323" i="4"/>
  <c r="I337" i="4"/>
  <c r="G337" i="4"/>
  <c r="A118" i="3"/>
  <c r="X62" i="2"/>
  <c r="AV62" i="2"/>
  <c r="BH62" i="2"/>
  <c r="AJ62" i="2"/>
  <c r="BN62" i="2"/>
  <c r="BB62" i="2"/>
  <c r="AD62" i="2"/>
  <c r="G24" i="4"/>
  <c r="G62" i="2"/>
  <c r="P62" i="2"/>
  <c r="Q62" i="2"/>
  <c r="AP62" i="2"/>
  <c r="I191" i="4"/>
  <c r="G191" i="4"/>
  <c r="I125" i="4"/>
  <c r="G125" i="4"/>
  <c r="A4" i="3"/>
  <c r="G378" i="4"/>
  <c r="I378" i="4"/>
  <c r="BL8" i="2"/>
  <c r="AH8" i="2"/>
  <c r="AT8" i="2"/>
  <c r="BF8" i="2"/>
  <c r="V8" i="2"/>
  <c r="AB8" i="2"/>
  <c r="AN8" i="2"/>
  <c r="AZ8" i="2"/>
  <c r="I315" i="4"/>
  <c r="G315" i="4"/>
  <c r="A107" i="3"/>
  <c r="AP68" i="2"/>
  <c r="AJ68" i="2"/>
  <c r="AD68" i="2"/>
  <c r="BN68" i="2"/>
  <c r="AV68" i="2"/>
  <c r="BB68" i="2"/>
  <c r="X68" i="2"/>
  <c r="P68" i="2"/>
  <c r="Q68" i="2"/>
  <c r="BH68" i="2"/>
  <c r="G235" i="4"/>
  <c r="I235" i="4"/>
  <c r="I287" i="4"/>
  <c r="I144" i="4"/>
  <c r="G144" i="4"/>
  <c r="I202" i="4"/>
  <c r="G202" i="4"/>
  <c r="I430" i="4"/>
  <c r="G430" i="4"/>
  <c r="I397" i="4"/>
  <c r="G397" i="4"/>
  <c r="I316" i="4"/>
  <c r="G316" i="4"/>
  <c r="G292" i="4"/>
  <c r="I292" i="4"/>
  <c r="BB33" i="2"/>
  <c r="BH33" i="2"/>
  <c r="X33" i="2"/>
  <c r="AJ33" i="2"/>
  <c r="AD33" i="2"/>
  <c r="AV33" i="2"/>
  <c r="R33" i="2"/>
  <c r="AP33" i="2"/>
  <c r="P33" i="2"/>
  <c r="Q33" i="2"/>
  <c r="BN33" i="2"/>
  <c r="AD9" i="2"/>
  <c r="AV9" i="2"/>
  <c r="BH9" i="2"/>
  <c r="BN9" i="2"/>
  <c r="X9" i="2"/>
  <c r="BB9" i="2"/>
  <c r="R9" i="2"/>
  <c r="AP9" i="2"/>
  <c r="G204" i="4"/>
  <c r="G9" i="2"/>
  <c r="P9" i="2"/>
  <c r="Q9" i="2"/>
  <c r="AJ9" i="2"/>
  <c r="A105" i="3"/>
  <c r="BB41" i="2"/>
  <c r="AV41" i="2"/>
  <c r="AD41" i="2"/>
  <c r="R41" i="2"/>
  <c r="BH41" i="2"/>
  <c r="BN41" i="2"/>
  <c r="AJ41" i="2"/>
  <c r="X41" i="2"/>
  <c r="P41" i="2"/>
  <c r="Q41" i="2"/>
  <c r="AP41" i="2"/>
  <c r="AN33" i="2"/>
  <c r="BF33" i="2"/>
  <c r="AT33" i="2"/>
  <c r="AB33" i="2"/>
  <c r="BL33" i="2"/>
  <c r="AH33" i="2"/>
  <c r="V33" i="2"/>
  <c r="G404" i="4"/>
  <c r="G33" i="2"/>
  <c r="AZ33" i="2"/>
  <c r="R50" i="2"/>
  <c r="BH50" i="2"/>
  <c r="AP50" i="2"/>
  <c r="AD50" i="2"/>
  <c r="BN50" i="2"/>
  <c r="AV50" i="2"/>
  <c r="AJ50" i="2"/>
  <c r="BB50" i="2"/>
  <c r="G37" i="4"/>
  <c r="G50" i="2"/>
  <c r="P50" i="2"/>
  <c r="Q50" i="2"/>
  <c r="X50" i="2"/>
  <c r="AD20" i="2"/>
  <c r="AJ20" i="2"/>
  <c r="BH20" i="2"/>
  <c r="R20" i="2"/>
  <c r="AP20" i="2"/>
  <c r="BB20" i="2"/>
  <c r="BN20" i="2"/>
  <c r="X20" i="2"/>
  <c r="P20" i="2"/>
  <c r="Q20" i="2"/>
  <c r="AV20" i="2"/>
  <c r="I384" i="4"/>
  <c r="G384" i="4"/>
  <c r="I110" i="4"/>
  <c r="G110" i="4"/>
  <c r="BH22" i="2"/>
  <c r="AV22" i="2"/>
  <c r="BB22" i="2"/>
  <c r="R22" i="2"/>
  <c r="AP22" i="2"/>
  <c r="BN22" i="2"/>
  <c r="AJ22" i="2"/>
  <c r="AD22" i="2"/>
  <c r="G332" i="4"/>
  <c r="G22" i="2"/>
  <c r="P22" i="2"/>
  <c r="Q22" i="2"/>
  <c r="X22" i="2"/>
  <c r="V64" i="2"/>
  <c r="AT64" i="2"/>
  <c r="AN64" i="2"/>
  <c r="AZ64" i="2"/>
  <c r="BF64" i="2"/>
  <c r="AB64" i="2"/>
  <c r="BL64" i="2"/>
  <c r="G275" i="4"/>
  <c r="G64" i="2"/>
  <c r="AH64" i="2"/>
  <c r="X13" i="2"/>
  <c r="BN13" i="2"/>
  <c r="R13" i="2"/>
  <c r="AP13" i="2"/>
  <c r="AD13" i="2"/>
  <c r="BB13" i="2"/>
  <c r="AV13" i="2"/>
  <c r="BH13" i="2"/>
  <c r="G361" i="4"/>
  <c r="G13" i="2"/>
  <c r="P13" i="2"/>
  <c r="Q13" i="2"/>
  <c r="AJ13" i="2"/>
  <c r="I446" i="4"/>
  <c r="G446" i="4"/>
  <c r="BH66" i="2"/>
  <c r="X66" i="2"/>
  <c r="BB66" i="2"/>
  <c r="BN66" i="2"/>
  <c r="AJ66" i="2"/>
  <c r="AD66" i="2"/>
  <c r="AV66" i="2"/>
  <c r="G2" i="4"/>
  <c r="G66" i="2"/>
  <c r="P66" i="2"/>
  <c r="Q66" i="2"/>
  <c r="AP66" i="2"/>
  <c r="I391" i="4"/>
  <c r="G391" i="4"/>
  <c r="V42" i="2"/>
  <c r="AZ42" i="2"/>
  <c r="AN42" i="2"/>
  <c r="BL42" i="2"/>
  <c r="AH42" i="2"/>
  <c r="AB42" i="2"/>
  <c r="BF42" i="2"/>
  <c r="G42" i="2"/>
  <c r="AT42" i="2"/>
  <c r="I456" i="4"/>
  <c r="G456" i="4"/>
  <c r="AB41" i="2"/>
  <c r="AT41" i="2"/>
  <c r="BF41" i="2"/>
  <c r="AN41" i="2"/>
  <c r="AH41" i="2"/>
  <c r="BL41" i="2"/>
  <c r="AZ41" i="2"/>
  <c r="G131" i="4"/>
  <c r="G41" i="2"/>
  <c r="V41" i="2"/>
  <c r="I206" i="4"/>
  <c r="G206" i="4"/>
  <c r="X10" i="2"/>
  <c r="AD10" i="2"/>
  <c r="AJ10" i="2"/>
  <c r="BB10" i="2"/>
  <c r="AV10" i="2"/>
  <c r="BH10" i="2"/>
  <c r="AP10" i="2"/>
  <c r="R10" i="2"/>
  <c r="G258" i="4"/>
  <c r="G10" i="2"/>
  <c r="P10" i="2"/>
  <c r="Q10" i="2"/>
  <c r="BN10" i="2"/>
  <c r="I172" i="4"/>
  <c r="G172" i="4"/>
  <c r="BL12" i="2"/>
  <c r="V12" i="2"/>
  <c r="AB12" i="2"/>
  <c r="AT12" i="2"/>
  <c r="BF12" i="2"/>
  <c r="AH12" i="2"/>
  <c r="AN12" i="2"/>
  <c r="G328" i="4"/>
  <c r="G12" i="2"/>
  <c r="AZ12" i="2"/>
  <c r="AT45" i="2"/>
  <c r="AH45" i="2"/>
  <c r="V45" i="2"/>
  <c r="AB45" i="2"/>
  <c r="BF45" i="2"/>
  <c r="AZ45" i="2"/>
  <c r="BL45" i="2"/>
  <c r="AN45" i="2"/>
  <c r="BH70" i="2"/>
  <c r="BB70" i="2"/>
  <c r="BN70" i="2"/>
  <c r="R70" i="2"/>
  <c r="X70" i="2"/>
  <c r="AV70" i="2"/>
  <c r="AD70" i="2"/>
  <c r="AJ70" i="2"/>
  <c r="G189" i="4"/>
  <c r="G70" i="2"/>
  <c r="P70" i="2"/>
  <c r="Q70" i="2"/>
  <c r="AP70" i="2"/>
  <c r="G422" i="4"/>
  <c r="I422" i="4"/>
  <c r="I10" i="4"/>
  <c r="G10" i="4"/>
  <c r="I73" i="4"/>
  <c r="G73" i="4"/>
  <c r="I453" i="4"/>
  <c r="G453" i="4"/>
  <c r="V58" i="2"/>
  <c r="AH58" i="2"/>
  <c r="AT58" i="2"/>
  <c r="AZ58" i="2"/>
  <c r="BL58" i="2"/>
  <c r="BF58" i="2"/>
  <c r="AN58" i="2"/>
  <c r="AB58" i="2"/>
  <c r="A89" i="3"/>
  <c r="BN8" i="2"/>
  <c r="R8" i="2"/>
  <c r="BH8" i="2"/>
  <c r="BB8" i="2"/>
  <c r="AP8" i="2"/>
  <c r="AJ8" i="2"/>
  <c r="AV8" i="2"/>
  <c r="X8" i="2"/>
  <c r="G176" i="4"/>
  <c r="G8" i="2"/>
  <c r="P8" i="2"/>
  <c r="Q8" i="2"/>
  <c r="AD8" i="2"/>
  <c r="BF20" i="2"/>
  <c r="AB20" i="2"/>
  <c r="AH20" i="2"/>
  <c r="V20" i="2"/>
  <c r="BL20" i="2"/>
  <c r="AN20" i="2"/>
  <c r="AZ20" i="2"/>
  <c r="G319" i="4"/>
  <c r="G20" i="2"/>
  <c r="AT20" i="2"/>
  <c r="BB45" i="2"/>
  <c r="AV45" i="2"/>
  <c r="R45" i="2"/>
  <c r="BN45" i="2"/>
  <c r="AD45" i="2"/>
  <c r="BH45" i="2"/>
  <c r="X45" i="2"/>
  <c r="AJ45" i="2"/>
  <c r="G454" i="4"/>
  <c r="G45" i="2"/>
  <c r="P45" i="2"/>
  <c r="Q45" i="2"/>
  <c r="AP45" i="2"/>
  <c r="BB58" i="2"/>
  <c r="AJ58" i="2"/>
  <c r="AP58" i="2"/>
  <c r="BH58" i="2"/>
  <c r="R58" i="2"/>
  <c r="AV58" i="2"/>
  <c r="AD58" i="2"/>
  <c r="X58" i="2"/>
  <c r="G122" i="4"/>
  <c r="G58" i="2"/>
  <c r="P58" i="2"/>
  <c r="Q58" i="2"/>
  <c r="BN58" i="2"/>
  <c r="I256" i="4"/>
  <c r="G256" i="4"/>
  <c r="A98" i="3"/>
  <c r="I119" i="4"/>
  <c r="G119" i="4"/>
  <c r="I21" i="4"/>
  <c r="G21" i="4"/>
  <c r="I11" i="4"/>
  <c r="G11" i="4"/>
  <c r="I303" i="4"/>
  <c r="G303" i="4"/>
  <c r="I231" i="4"/>
  <c r="G231" i="4"/>
  <c r="A26" i="3"/>
  <c r="I216" i="4"/>
  <c r="G216" i="4"/>
  <c r="I271" i="4"/>
  <c r="G271" i="4"/>
  <c r="I380" i="4"/>
  <c r="G380" i="4"/>
  <c r="I351" i="4"/>
  <c r="G351" i="4"/>
  <c r="I268" i="4"/>
  <c r="I72" i="4"/>
  <c r="G72" i="4"/>
  <c r="A155" i="3"/>
  <c r="I407" i="4"/>
  <c r="G407" i="4"/>
  <c r="I226" i="4"/>
  <c r="G226" i="4"/>
  <c r="I199" i="4"/>
  <c r="G199" i="4"/>
  <c r="I395" i="4"/>
  <c r="G395" i="4"/>
  <c r="A117" i="3"/>
  <c r="I412" i="4"/>
  <c r="G412" i="4"/>
  <c r="I455" i="4"/>
  <c r="G455" i="4"/>
  <c r="I82" i="4"/>
  <c r="G82" i="4"/>
  <c r="I308" i="4"/>
  <c r="G308" i="4"/>
  <c r="I19" i="4"/>
  <c r="G19" i="4"/>
  <c r="I59" i="4"/>
  <c r="I121" i="4"/>
  <c r="G121" i="4"/>
  <c r="I385" i="4"/>
  <c r="G385" i="4"/>
  <c r="I363" i="4"/>
  <c r="G363" i="4"/>
  <c r="I154" i="4"/>
  <c r="G154" i="4"/>
  <c r="I330" i="4"/>
  <c r="G330" i="4"/>
  <c r="I242" i="4"/>
  <c r="G242" i="4"/>
  <c r="G434" i="4"/>
  <c r="I434" i="4"/>
  <c r="I57" i="4"/>
  <c r="G57" i="4"/>
  <c r="I187" i="4"/>
  <c r="G187" i="4"/>
  <c r="AT7" i="2"/>
  <c r="AB7" i="2"/>
  <c r="BF7" i="2"/>
  <c r="BL7" i="2"/>
  <c r="AN7" i="2"/>
  <c r="V7" i="2"/>
  <c r="AZ7" i="2"/>
  <c r="AH7" i="2"/>
  <c r="I399" i="4"/>
  <c r="G399" i="4"/>
  <c r="A70" i="3"/>
  <c r="I267" i="4"/>
  <c r="G267" i="4"/>
  <c r="I28" i="4"/>
  <c r="G28" i="4"/>
  <c r="A83" i="3"/>
  <c r="A146" i="3"/>
  <c r="AP39" i="2"/>
  <c r="X39" i="2"/>
  <c r="AJ39" i="2"/>
  <c r="R39" i="2"/>
  <c r="BB39" i="2"/>
  <c r="AD39" i="2"/>
  <c r="AV39" i="2"/>
  <c r="BN39" i="2"/>
  <c r="P39" i="2"/>
  <c r="Q39" i="2"/>
  <c r="BH39" i="2"/>
  <c r="I81" i="4"/>
  <c r="G81" i="4"/>
  <c r="I390" i="4"/>
  <c r="G390" i="4"/>
  <c r="I23" i="4"/>
  <c r="I274" i="4"/>
  <c r="I272" i="4"/>
  <c r="G272" i="4"/>
  <c r="I260" i="4"/>
  <c r="G260" i="4"/>
  <c r="I160" i="4"/>
  <c r="G160" i="4"/>
  <c r="I58" i="4"/>
  <c r="G58" i="4"/>
  <c r="I161" i="4"/>
  <c r="G161" i="4"/>
  <c r="I27" i="4"/>
  <c r="G27" i="4"/>
  <c r="I113" i="4"/>
  <c r="G113" i="4"/>
  <c r="I201" i="4"/>
  <c r="G201" i="4"/>
  <c r="I39" i="4"/>
  <c r="G39" i="4"/>
  <c r="A124" i="3"/>
  <c r="A108" i="3"/>
  <c r="I123" i="4"/>
  <c r="G123" i="4"/>
  <c r="I29" i="4"/>
  <c r="G29" i="4"/>
  <c r="A115" i="3"/>
  <c r="I405" i="4"/>
  <c r="G405" i="4"/>
  <c r="I134" i="4"/>
  <c r="G134" i="4"/>
  <c r="I184" i="4"/>
  <c r="G184" i="4"/>
  <c r="A6" i="3"/>
  <c r="I389" i="4"/>
  <c r="G389" i="4"/>
  <c r="A148" i="3"/>
  <c r="I327" i="4"/>
  <c r="G327" i="4"/>
  <c r="I400" i="4"/>
  <c r="G400" i="4"/>
  <c r="I411" i="4"/>
  <c r="A140" i="3"/>
  <c r="AH37" i="2"/>
  <c r="AB37" i="2"/>
  <c r="AN37" i="2"/>
  <c r="AT37" i="2"/>
  <c r="BL37" i="2"/>
  <c r="AZ37" i="2"/>
  <c r="BF37" i="2"/>
  <c r="V37" i="2"/>
  <c r="I69" i="4"/>
  <c r="I84" i="4"/>
  <c r="G84" i="4"/>
  <c r="A19" i="3"/>
  <c r="I146" i="4"/>
  <c r="G146" i="4"/>
  <c r="A137" i="3"/>
  <c r="I367" i="4"/>
  <c r="G367" i="4"/>
  <c r="I289" i="4"/>
  <c r="G289" i="4"/>
  <c r="I239" i="4"/>
  <c r="G239" i="4"/>
  <c r="I352" i="4"/>
  <c r="G352" i="4"/>
  <c r="A94" i="3"/>
  <c r="I16" i="4"/>
  <c r="G16" i="4"/>
  <c r="I62" i="4"/>
  <c r="G62" i="4"/>
  <c r="A78" i="3"/>
  <c r="I259" i="4"/>
  <c r="G259" i="4"/>
  <c r="I413" i="4"/>
  <c r="G413" i="4"/>
  <c r="I461" i="4"/>
  <c r="G461" i="4"/>
  <c r="I283" i="4"/>
  <c r="G283" i="4"/>
  <c r="I194" i="4"/>
  <c r="G194" i="4"/>
  <c r="A16" i="3"/>
  <c r="I359" i="4"/>
  <c r="G359" i="4"/>
  <c r="I278" i="4"/>
  <c r="G278" i="4"/>
  <c r="I156" i="4"/>
  <c r="G156" i="4"/>
  <c r="I83" i="4"/>
  <c r="G83" i="4"/>
  <c r="I103" i="4"/>
  <c r="I442" i="4"/>
  <c r="G442" i="4"/>
  <c r="I297" i="4"/>
  <c r="G297" i="4"/>
  <c r="I279" i="4"/>
  <c r="G279" i="4"/>
  <c r="A95" i="3"/>
  <c r="I196" i="4"/>
  <c r="A39" i="3"/>
  <c r="I34" i="4"/>
  <c r="G34" i="4"/>
  <c r="I424" i="4"/>
  <c r="G424" i="4"/>
  <c r="I357" i="4"/>
  <c r="G357" i="4"/>
  <c r="I225" i="4"/>
  <c r="A139" i="3"/>
  <c r="A138" i="3"/>
  <c r="A153" i="3"/>
  <c r="I393" i="4"/>
  <c r="G393" i="4"/>
  <c r="I416" i="4"/>
  <c r="G416" i="4"/>
  <c r="I218" i="4"/>
  <c r="G218" i="4"/>
  <c r="I435" i="4"/>
  <c r="G435" i="4"/>
  <c r="A121" i="3"/>
  <c r="I148" i="4"/>
  <c r="G148" i="4"/>
  <c r="A150" i="3"/>
  <c r="I35" i="4"/>
  <c r="G35" i="4"/>
  <c r="I321" i="4"/>
  <c r="G321" i="4"/>
  <c r="I250" i="4"/>
  <c r="G250" i="4"/>
  <c r="I126" i="4"/>
  <c r="G126" i="4"/>
  <c r="A13" i="3"/>
  <c r="A77" i="3"/>
  <c r="P3" i="14"/>
  <c r="P3" i="14" a="1"/>
  <c r="I252" i="4"/>
  <c r="G252" i="4"/>
  <c r="A110" i="3"/>
  <c r="I281" i="4"/>
  <c r="G281" i="4"/>
  <c r="A104" i="3"/>
  <c r="I167" i="4"/>
  <c r="G167" i="4"/>
  <c r="I306" i="4"/>
  <c r="G306" i="4"/>
  <c r="AN44" i="2"/>
  <c r="AB44" i="2"/>
  <c r="BL44" i="2"/>
  <c r="BF44" i="2"/>
  <c r="V44" i="2"/>
  <c r="AT44" i="2"/>
  <c r="AH44" i="2"/>
  <c r="AZ44" i="2"/>
  <c r="I300" i="4"/>
  <c r="G300" i="4"/>
  <c r="I263" i="4"/>
  <c r="I219" i="4"/>
  <c r="G219" i="4"/>
  <c r="A51" i="3"/>
  <c r="A59" i="3"/>
  <c r="I254" i="4"/>
  <c r="G254" i="4"/>
  <c r="A133" i="3"/>
  <c r="I221" i="4"/>
  <c r="G221" i="4"/>
  <c r="I132" i="4"/>
  <c r="G132" i="4"/>
  <c r="I342" i="4"/>
  <c r="G342" i="4"/>
  <c r="I63" i="4"/>
  <c r="G63" i="4"/>
  <c r="I431" i="4"/>
  <c r="AB18" i="2"/>
  <c r="AN18" i="2"/>
  <c r="AZ18" i="2"/>
  <c r="AT18" i="2"/>
  <c r="BL18" i="2"/>
  <c r="V18" i="2"/>
  <c r="BF18" i="2"/>
  <c r="G18" i="2"/>
  <c r="AH18" i="2"/>
  <c r="I314" i="4"/>
  <c r="G314" i="4"/>
  <c r="AH35" i="2"/>
  <c r="AZ35" i="2"/>
  <c r="AT35" i="2"/>
  <c r="BL35" i="2"/>
  <c r="BF35" i="2"/>
  <c r="AB35" i="2"/>
  <c r="AN35" i="2"/>
  <c r="G304" i="4"/>
  <c r="G35" i="2"/>
  <c r="V35" i="2"/>
  <c r="G311" i="4"/>
  <c r="I311" i="4"/>
  <c r="I440" i="4"/>
  <c r="G440" i="4"/>
  <c r="I441" i="4"/>
  <c r="G441" i="4"/>
  <c r="I224" i="4"/>
  <c r="G224" i="4"/>
  <c r="A41" i="3"/>
  <c r="AZ68" i="2"/>
  <c r="BL68" i="2"/>
  <c r="AH68" i="2"/>
  <c r="AN68" i="2"/>
  <c r="AB68" i="2"/>
  <c r="V68" i="2"/>
  <c r="AT68" i="2"/>
  <c r="G287" i="4"/>
  <c r="G68" i="2"/>
  <c r="BF68" i="2"/>
  <c r="BN67" i="2"/>
  <c r="AD67" i="2"/>
  <c r="AV67" i="2"/>
  <c r="X67" i="2"/>
  <c r="BH67" i="2"/>
  <c r="BB67" i="2"/>
  <c r="AJ67" i="2"/>
  <c r="P67" i="2"/>
  <c r="Q67" i="2"/>
  <c r="AP67" i="2"/>
  <c r="I366" i="4"/>
  <c r="G366" i="4"/>
  <c r="AB47" i="2"/>
  <c r="AN47" i="2"/>
  <c r="AH47" i="2"/>
  <c r="AZ47" i="2"/>
  <c r="BF47" i="2"/>
  <c r="AT47" i="2"/>
  <c r="V47" i="2"/>
  <c r="BL47" i="2"/>
  <c r="V14" i="2"/>
  <c r="AB14" i="2"/>
  <c r="BL14" i="2"/>
  <c r="AT14" i="2"/>
  <c r="BF14" i="2"/>
  <c r="AH14" i="2"/>
  <c r="AN14" i="2"/>
  <c r="AZ14" i="2"/>
  <c r="BH24" i="2"/>
  <c r="BN24" i="2"/>
  <c r="AD24" i="2"/>
  <c r="AP24" i="2"/>
  <c r="R24" i="2"/>
  <c r="BB24" i="2"/>
  <c r="AJ24" i="2"/>
  <c r="AV24" i="2"/>
  <c r="P24" i="2"/>
  <c r="Q24" i="2"/>
  <c r="X24" i="2"/>
  <c r="BB65" i="2"/>
  <c r="BH65" i="2"/>
  <c r="AV65" i="2"/>
  <c r="AP65" i="2"/>
  <c r="X65" i="2"/>
  <c r="AJ65" i="2"/>
  <c r="BN65" i="2"/>
  <c r="P65" i="2"/>
  <c r="Q65" i="2"/>
  <c r="AD65" i="2"/>
  <c r="G70" i="4"/>
  <c r="I70" i="4"/>
  <c r="I409" i="4"/>
  <c r="G409" i="4"/>
  <c r="I246" i="4"/>
  <c r="I153" i="4"/>
  <c r="G153" i="4"/>
  <c r="A151" i="3"/>
  <c r="A75" i="3"/>
  <c r="I5" i="4"/>
  <c r="G5" i="4"/>
  <c r="I14" i="4"/>
  <c r="G14" i="4"/>
  <c r="A156" i="3"/>
  <c r="I180" i="4"/>
  <c r="G180" i="4"/>
  <c r="I54" i="4"/>
  <c r="G54" i="4"/>
  <c r="I237" i="4"/>
  <c r="G237" i="4"/>
  <c r="BN4" i="2"/>
  <c r="BH4" i="2"/>
  <c r="AD4" i="2"/>
  <c r="BB4" i="2"/>
  <c r="X4" i="2"/>
  <c r="AV4" i="2"/>
  <c r="AJ4" i="2"/>
  <c r="P4" i="2"/>
  <c r="Q4" i="2"/>
  <c r="AP4" i="2"/>
  <c r="AZ34" i="2"/>
  <c r="V34" i="2"/>
  <c r="BL34" i="2"/>
  <c r="AN34" i="2"/>
  <c r="AB34" i="2"/>
  <c r="AH34" i="2"/>
  <c r="BF34" i="2"/>
  <c r="AT34" i="2"/>
  <c r="I269" i="4"/>
  <c r="G269" i="4"/>
  <c r="I15" i="4"/>
  <c r="A12" i="3"/>
  <c r="A72" i="3"/>
  <c r="A47" i="3"/>
  <c r="I229" i="4"/>
  <c r="G229" i="4"/>
  <c r="A87" i="3"/>
  <c r="I12" i="4"/>
  <c r="G12" i="4"/>
  <c r="AP49" i="2"/>
  <c r="BN49" i="2"/>
  <c r="BB49" i="2"/>
  <c r="AJ49" i="2"/>
  <c r="AD49" i="2"/>
  <c r="AV49" i="2"/>
  <c r="R49" i="2"/>
  <c r="BH49" i="2"/>
  <c r="P49" i="2"/>
  <c r="Q49" i="2"/>
  <c r="X49" i="2"/>
  <c r="I207" i="4"/>
  <c r="AH28" i="2"/>
  <c r="AB28" i="2"/>
  <c r="AT28" i="2"/>
  <c r="BF28" i="2"/>
  <c r="AN28" i="2"/>
  <c r="AZ28" i="2"/>
  <c r="V28" i="2"/>
  <c r="BL28" i="2"/>
  <c r="I17" i="4"/>
  <c r="G17" i="4"/>
  <c r="I169" i="4"/>
  <c r="G169" i="4"/>
  <c r="A122" i="3"/>
  <c r="I87" i="4"/>
  <c r="G87" i="4"/>
  <c r="I350" i="4"/>
  <c r="G350" i="4"/>
  <c r="I205" i="4"/>
  <c r="AH5" i="2"/>
  <c r="AN5" i="2"/>
  <c r="V5" i="2"/>
  <c r="AT5" i="2"/>
  <c r="BL5" i="2"/>
  <c r="BF5" i="2"/>
  <c r="AB5" i="2"/>
  <c r="AZ5" i="2"/>
  <c r="I25" i="4"/>
  <c r="I79" i="4"/>
  <c r="G79" i="4"/>
  <c r="I241" i="4"/>
  <c r="G241" i="4"/>
  <c r="I38" i="4"/>
  <c r="G38" i="4"/>
  <c r="A68" i="3"/>
  <c r="I383" i="4"/>
  <c r="G383" i="4"/>
  <c r="A96" i="3"/>
  <c r="I326" i="4"/>
  <c r="G326" i="4"/>
  <c r="I214" i="4"/>
  <c r="G214" i="4"/>
  <c r="A67" i="3"/>
  <c r="I307" i="4"/>
  <c r="G307" i="4"/>
  <c r="BL17" i="2"/>
  <c r="AH17" i="2"/>
  <c r="V17" i="2"/>
  <c r="BF17" i="2"/>
  <c r="AB17" i="2"/>
  <c r="AN17" i="2"/>
  <c r="AT17" i="2"/>
  <c r="AZ17" i="2"/>
  <c r="BH60" i="2"/>
  <c r="AV60" i="2"/>
  <c r="AP60" i="2"/>
  <c r="BB60" i="2"/>
  <c r="X60" i="2"/>
  <c r="AJ60" i="2"/>
  <c r="BN60" i="2"/>
  <c r="P60" i="2"/>
  <c r="Q60" i="2"/>
  <c r="AD60" i="2"/>
  <c r="I249" i="4"/>
  <c r="G249" i="4"/>
  <c r="I377" i="4"/>
  <c r="G377" i="4"/>
  <c r="I362" i="4"/>
  <c r="G362" i="4"/>
  <c r="I92" i="4"/>
  <c r="G92" i="4"/>
  <c r="I436" i="4"/>
  <c r="G436" i="4"/>
  <c r="I74" i="4"/>
  <c r="G74" i="4"/>
  <c r="A112" i="3"/>
  <c r="I133" i="4"/>
  <c r="G133" i="4"/>
  <c r="I7" i="4"/>
  <c r="I299" i="4"/>
  <c r="G299" i="4"/>
  <c r="I365" i="4"/>
  <c r="G365" i="4"/>
  <c r="I96" i="4"/>
  <c r="G96" i="4"/>
  <c r="I52" i="4"/>
  <c r="G52" i="4"/>
  <c r="BN63" i="2"/>
  <c r="AJ63" i="2"/>
  <c r="AP63" i="2"/>
  <c r="AD63" i="2"/>
  <c r="X63" i="2"/>
  <c r="AV63" i="2"/>
  <c r="BH63" i="2"/>
  <c r="P63" i="2"/>
  <c r="Q63" i="2"/>
  <c r="BB63" i="2"/>
  <c r="AT31" i="2"/>
  <c r="AH31" i="2"/>
  <c r="V31" i="2"/>
  <c r="AB31" i="2"/>
  <c r="BL31" i="2"/>
  <c r="AZ31" i="2"/>
  <c r="AN31" i="2"/>
  <c r="BF31" i="2"/>
  <c r="AH29" i="2"/>
  <c r="AZ29" i="2"/>
  <c r="AB29" i="2"/>
  <c r="V29" i="2"/>
  <c r="AN29" i="2"/>
  <c r="BL29" i="2"/>
  <c r="AT29" i="2"/>
  <c r="BF29" i="2"/>
  <c r="I345" i="4"/>
  <c r="I334" i="4"/>
  <c r="G334" i="4"/>
  <c r="I90" i="4"/>
  <c r="G90" i="4"/>
  <c r="A91" i="3"/>
  <c r="A29" i="3"/>
  <c r="A50" i="3"/>
  <c r="I8" i="4"/>
  <c r="A103" i="3"/>
  <c r="I273" i="4"/>
  <c r="AJ21" i="2"/>
  <c r="AD21" i="2"/>
  <c r="BH21" i="2"/>
  <c r="R21" i="2"/>
  <c r="X21" i="2"/>
  <c r="AV21" i="2"/>
  <c r="BN21" i="2"/>
  <c r="AP21" i="2"/>
  <c r="P21" i="2"/>
  <c r="Q21" i="2"/>
  <c r="BB21" i="2"/>
  <c r="I313" i="4"/>
  <c r="G313" i="4"/>
  <c r="I443" i="4"/>
  <c r="G443" i="4"/>
  <c r="A48" i="3"/>
  <c r="I406" i="4"/>
  <c r="G406" i="4"/>
  <c r="A43" i="3"/>
  <c r="X44" i="2"/>
  <c r="BB44" i="2"/>
  <c r="R44" i="2"/>
  <c r="AV44" i="2"/>
  <c r="AJ44" i="2"/>
  <c r="BH44" i="2"/>
  <c r="BN44" i="2"/>
  <c r="AP44" i="2"/>
  <c r="G411" i="4"/>
  <c r="G44" i="2"/>
  <c r="P44" i="2"/>
  <c r="Q44" i="2"/>
  <c r="AD44" i="2"/>
  <c r="A101" i="3"/>
  <c r="I373" i="4"/>
  <c r="G373" i="4"/>
  <c r="R37" i="2"/>
  <c r="AV37" i="2"/>
  <c r="BN37" i="2"/>
  <c r="BH37" i="2"/>
  <c r="AD37" i="2"/>
  <c r="BB37" i="2"/>
  <c r="AP37" i="2"/>
  <c r="AJ37" i="2"/>
  <c r="G246" i="4"/>
  <c r="G37" i="2"/>
  <c r="P37" i="2"/>
  <c r="Q37" i="2"/>
  <c r="X37" i="2"/>
  <c r="I147" i="4"/>
  <c r="I423" i="4"/>
  <c r="G423" i="4"/>
  <c r="AV40" i="2"/>
  <c r="BN40" i="2"/>
  <c r="X40" i="2"/>
  <c r="AD40" i="2"/>
  <c r="R40" i="2"/>
  <c r="AP40" i="2"/>
  <c r="BB40" i="2"/>
  <c r="BH40" i="2"/>
  <c r="P40" i="2"/>
  <c r="Q40" i="2"/>
  <c r="AJ40" i="2"/>
  <c r="I48" i="4"/>
  <c r="G48" i="4"/>
  <c r="A65" i="3"/>
  <c r="I186" i="4"/>
  <c r="G186" i="4"/>
  <c r="I248" i="4"/>
  <c r="G248" i="4"/>
  <c r="I102" i="4"/>
  <c r="G102" i="4"/>
  <c r="BB71" i="2"/>
  <c r="AD71" i="2"/>
  <c r="BH71" i="2"/>
  <c r="AV71" i="2"/>
  <c r="X71" i="2"/>
  <c r="AJ71" i="2"/>
  <c r="AP71" i="2"/>
  <c r="P71" i="2"/>
  <c r="Q71" i="2"/>
  <c r="BN71" i="2"/>
  <c r="V67" i="2"/>
  <c r="AN67" i="2"/>
  <c r="AT67" i="2"/>
  <c r="BF67" i="2"/>
  <c r="AZ67" i="2"/>
  <c r="AH67" i="2"/>
  <c r="AB67" i="2"/>
  <c r="G196" i="4"/>
  <c r="G67" i="2"/>
  <c r="BL67" i="2"/>
  <c r="I49" i="4"/>
  <c r="V27" i="2"/>
  <c r="AN27" i="2"/>
  <c r="AB27" i="2"/>
  <c r="AZ27" i="2"/>
  <c r="AH27" i="2"/>
  <c r="AT27" i="2"/>
  <c r="BF27" i="2"/>
  <c r="BL27" i="2"/>
  <c r="BL16" i="2"/>
  <c r="AH16" i="2"/>
  <c r="AB16" i="2"/>
  <c r="AZ16" i="2"/>
  <c r="V16" i="2"/>
  <c r="AN16" i="2"/>
  <c r="BF16" i="2"/>
  <c r="AT16" i="2"/>
  <c r="I140" i="4"/>
  <c r="R15" i="2"/>
  <c r="AV15" i="2"/>
  <c r="BH15" i="2"/>
  <c r="AD15" i="2"/>
  <c r="BN15" i="2"/>
  <c r="AJ15" i="2"/>
  <c r="X15" i="2"/>
  <c r="BB15" i="2"/>
  <c r="P15" i="2"/>
  <c r="Q15" i="2"/>
  <c r="AP15" i="2"/>
  <c r="I116" i="4"/>
  <c r="I450" i="4"/>
  <c r="G450" i="4"/>
  <c r="I298" i="4"/>
  <c r="G298" i="4"/>
  <c r="V4" i="2"/>
  <c r="AT4" i="2"/>
  <c r="AN4" i="2"/>
  <c r="BF4" i="2"/>
  <c r="BL4" i="2"/>
  <c r="AH4" i="2"/>
  <c r="AB4" i="2"/>
  <c r="G4" i="2"/>
  <c r="AZ4" i="2"/>
  <c r="A149" i="3"/>
  <c r="I452" i="4"/>
  <c r="G452" i="4"/>
  <c r="I339" i="4"/>
  <c r="G339" i="4"/>
  <c r="I370" i="4"/>
  <c r="G370" i="4"/>
  <c r="I428" i="4"/>
  <c r="G428" i="4"/>
  <c r="I324" i="4"/>
  <c r="A99" i="3"/>
  <c r="I325" i="4"/>
  <c r="G325" i="4"/>
  <c r="I43" i="4"/>
  <c r="G43" i="4"/>
  <c r="I45" i="4"/>
  <c r="G45" i="4"/>
  <c r="I141" i="4"/>
  <c r="G141" i="4"/>
  <c r="I232" i="4"/>
  <c r="G232" i="4"/>
  <c r="A46" i="3"/>
  <c r="G33" i="4"/>
  <c r="I33" i="4"/>
  <c r="I243" i="4"/>
  <c r="G243" i="4"/>
  <c r="I215" i="4"/>
  <c r="I227" i="4"/>
  <c r="G227" i="4"/>
  <c r="I305" i="4"/>
  <c r="G305" i="4"/>
  <c r="I136" i="4"/>
  <c r="G136" i="4"/>
  <c r="I429" i="4"/>
  <c r="G429" i="4"/>
  <c r="I364" i="4"/>
  <c r="G364" i="4"/>
  <c r="A81" i="3"/>
  <c r="A14" i="3"/>
  <c r="I20" i="4"/>
  <c r="G20" i="4"/>
  <c r="A90" i="3"/>
  <c r="I245" i="4"/>
  <c r="G245" i="4"/>
  <c r="BH29" i="2"/>
  <c r="BN29" i="2"/>
  <c r="AD29" i="2"/>
  <c r="BB29" i="2"/>
  <c r="AP29" i="2"/>
  <c r="AV29" i="2"/>
  <c r="R29" i="2"/>
  <c r="X29" i="2"/>
  <c r="G29" i="2"/>
  <c r="P29" i="2"/>
  <c r="Q29" i="2"/>
  <c r="AJ29" i="2"/>
  <c r="X27" i="2"/>
  <c r="BB27" i="2"/>
  <c r="AP27" i="2"/>
  <c r="AD27" i="2"/>
  <c r="AJ27" i="2"/>
  <c r="AV27" i="2"/>
  <c r="BH27" i="2"/>
  <c r="BN27" i="2"/>
  <c r="G398" i="4"/>
  <c r="G27" i="2"/>
  <c r="P27" i="2"/>
  <c r="Q27" i="2"/>
  <c r="R27" i="2"/>
  <c r="X11" i="2"/>
  <c r="R11" i="2"/>
  <c r="BN11" i="2"/>
  <c r="AV11" i="2"/>
  <c r="BB11" i="2"/>
  <c r="AP11" i="2"/>
  <c r="AD11" i="2"/>
  <c r="BH11" i="2"/>
  <c r="P11" i="2"/>
  <c r="Q11" i="2"/>
  <c r="AJ11" i="2"/>
  <c r="I403" i="4"/>
  <c r="G403" i="4"/>
  <c r="R52" i="2"/>
  <c r="AV52" i="2"/>
  <c r="AP52" i="2"/>
  <c r="X52" i="2"/>
  <c r="BH52" i="2"/>
  <c r="BB52" i="2"/>
  <c r="AJ52" i="2"/>
  <c r="AD52" i="2"/>
  <c r="P52" i="2"/>
  <c r="Q52" i="2"/>
  <c r="BN52" i="2"/>
  <c r="A37" i="3"/>
  <c r="A10" i="3"/>
  <c r="I32" i="4"/>
  <c r="G32" i="4"/>
  <c r="A128" i="3"/>
  <c r="A56" i="3"/>
  <c r="I77" i="4"/>
  <c r="G77" i="4"/>
  <c r="V26" i="2"/>
  <c r="AT26" i="2"/>
  <c r="AZ26" i="2"/>
  <c r="AH26" i="2"/>
  <c r="BL26" i="2"/>
  <c r="AN26" i="2"/>
  <c r="BF26" i="2"/>
  <c r="AB26" i="2"/>
  <c r="I401" i="4"/>
  <c r="G401" i="4"/>
  <c r="I80" i="4"/>
  <c r="G80" i="4"/>
  <c r="I402" i="4"/>
  <c r="G402" i="4"/>
  <c r="I88" i="4"/>
  <c r="G88" i="4"/>
  <c r="I392" i="4"/>
  <c r="I164" i="4"/>
  <c r="I426" i="4"/>
  <c r="G426" i="4"/>
  <c r="A69" i="3"/>
  <c r="A8" i="3"/>
  <c r="I410" i="4"/>
  <c r="G410" i="4"/>
  <c r="I26" i="4"/>
  <c r="G26" i="4"/>
  <c r="AT63" i="2"/>
  <c r="AZ63" i="2"/>
  <c r="AB63" i="2"/>
  <c r="BF63" i="2"/>
  <c r="V63" i="2"/>
  <c r="AN63" i="2"/>
  <c r="BL63" i="2"/>
  <c r="G8" i="4"/>
  <c r="G63" i="2"/>
  <c r="AH63" i="2"/>
  <c r="BF65" i="2"/>
  <c r="AB65" i="2"/>
  <c r="V65" i="2"/>
  <c r="AH65" i="2"/>
  <c r="AZ65" i="2"/>
  <c r="AT65" i="2"/>
  <c r="AN65" i="2"/>
  <c r="G15" i="4"/>
  <c r="G65" i="2"/>
  <c r="BL65" i="2"/>
  <c r="AN71" i="2"/>
  <c r="BL71" i="2"/>
  <c r="V71" i="2"/>
  <c r="BF71" i="2"/>
  <c r="AH71" i="2"/>
  <c r="AB71" i="2"/>
  <c r="AT71" i="2"/>
  <c r="G71" i="2"/>
  <c r="AZ71" i="2"/>
  <c r="BN54" i="2"/>
  <c r="AV54" i="2"/>
  <c r="X54" i="2"/>
  <c r="AD54" i="2"/>
  <c r="BB54" i="2"/>
  <c r="AP54" i="2"/>
  <c r="BH54" i="2"/>
  <c r="R54" i="2"/>
  <c r="P54" i="2"/>
  <c r="Q54" i="2"/>
  <c r="AJ54" i="2"/>
  <c r="BN14" i="2"/>
  <c r="BH14" i="2"/>
  <c r="AJ14" i="2"/>
  <c r="X14" i="2"/>
  <c r="AP14" i="2"/>
  <c r="BB14" i="2"/>
  <c r="AV14" i="2"/>
  <c r="AD14" i="2"/>
  <c r="G71" i="4"/>
  <c r="I71" i="4"/>
  <c r="G14" i="2"/>
  <c r="P14" i="2"/>
  <c r="Q14" i="2"/>
  <c r="R14" i="2"/>
  <c r="BF19" i="2"/>
  <c r="AT19" i="2"/>
  <c r="AN19" i="2"/>
  <c r="AZ19" i="2"/>
  <c r="AB19" i="2"/>
  <c r="V19" i="2"/>
  <c r="BL19" i="2"/>
  <c r="AH19" i="2"/>
  <c r="V24" i="2"/>
  <c r="AT24" i="2"/>
  <c r="BL24" i="2"/>
  <c r="AZ24" i="2"/>
  <c r="AH24" i="2"/>
  <c r="BF24" i="2"/>
  <c r="AN24" i="2"/>
  <c r="G431" i="4"/>
  <c r="G24" i="2"/>
  <c r="AB24" i="2"/>
  <c r="V49" i="2"/>
  <c r="AH49" i="2"/>
  <c r="BL49" i="2"/>
  <c r="AT49" i="2"/>
  <c r="BF49" i="2"/>
  <c r="AB49" i="2"/>
  <c r="AN49" i="2"/>
  <c r="G345" i="4"/>
  <c r="G49" i="2"/>
  <c r="AZ49" i="2"/>
  <c r="AJ16" i="2"/>
  <c r="X16" i="2"/>
  <c r="BH16" i="2"/>
  <c r="R16" i="2"/>
  <c r="BB16" i="2"/>
  <c r="AP16" i="2"/>
  <c r="AD16" i="2"/>
  <c r="BN16" i="2"/>
  <c r="G7" i="4"/>
  <c r="G16" i="2"/>
  <c r="P16" i="2"/>
  <c r="Q16" i="2"/>
  <c r="AV16" i="2"/>
  <c r="R17" i="2"/>
  <c r="AV17" i="2"/>
  <c r="AD17" i="2"/>
  <c r="AJ17" i="2"/>
  <c r="AP17" i="2"/>
  <c r="X17" i="2"/>
  <c r="BB17" i="2"/>
  <c r="BN17" i="2"/>
  <c r="G23" i="4"/>
  <c r="G17" i="2"/>
  <c r="P17" i="2"/>
  <c r="Q17" i="2"/>
  <c r="BH17" i="2"/>
  <c r="AB15" i="2"/>
  <c r="AH15" i="2"/>
  <c r="AZ15" i="2"/>
  <c r="AT15" i="2"/>
  <c r="BF15" i="2"/>
  <c r="AN15" i="2"/>
  <c r="V15" i="2"/>
  <c r="G49" i="4"/>
  <c r="G15" i="2"/>
  <c r="BL15" i="2"/>
  <c r="BN34" i="2"/>
  <c r="AD34" i="2"/>
  <c r="R34" i="2"/>
  <c r="BH34" i="2"/>
  <c r="AV34" i="2"/>
  <c r="AP34" i="2"/>
  <c r="X34" i="2"/>
  <c r="AJ34" i="2"/>
  <c r="G268" i="4"/>
  <c r="G34" i="2"/>
  <c r="P34" i="2"/>
  <c r="Q34" i="2"/>
  <c r="BB34" i="2"/>
  <c r="BB47" i="2"/>
  <c r="AD47" i="2"/>
  <c r="AV47" i="2"/>
  <c r="AP47" i="2"/>
  <c r="BH47" i="2"/>
  <c r="BN47" i="2"/>
  <c r="R47" i="2"/>
  <c r="AJ47" i="2"/>
  <c r="G147" i="4"/>
  <c r="G47" i="2"/>
  <c r="P47" i="2"/>
  <c r="Q47" i="2"/>
  <c r="X47" i="2"/>
  <c r="BB61" i="2"/>
  <c r="BN61" i="2"/>
  <c r="AV61" i="2"/>
  <c r="X61" i="2"/>
  <c r="AP61" i="2"/>
  <c r="BH61" i="2"/>
  <c r="AJ61" i="2"/>
  <c r="P61" i="2"/>
  <c r="Q61" i="2"/>
  <c r="AD61" i="2"/>
  <c r="BF54" i="2"/>
  <c r="AN54" i="2"/>
  <c r="AH54" i="2"/>
  <c r="AT54" i="2"/>
  <c r="V54" i="2"/>
  <c r="AZ54" i="2"/>
  <c r="BL54" i="2"/>
  <c r="G225" i="4"/>
  <c r="G54" i="2"/>
  <c r="AB54" i="2"/>
  <c r="AT52" i="2"/>
  <c r="AB52" i="2"/>
  <c r="AN52" i="2"/>
  <c r="AZ52" i="2"/>
  <c r="AH52" i="2"/>
  <c r="BL52" i="2"/>
  <c r="BF52" i="2"/>
  <c r="G263" i="4"/>
  <c r="G52" i="2"/>
  <c r="V52" i="2"/>
  <c r="AD53" i="2"/>
  <c r="BB53" i="2"/>
  <c r="R53" i="2"/>
  <c r="AV53" i="2"/>
  <c r="X53" i="2"/>
  <c r="AJ53" i="2"/>
  <c r="AP53" i="2"/>
  <c r="BN53" i="2"/>
  <c r="P53" i="2"/>
  <c r="Q53" i="2"/>
  <c r="BH53" i="2"/>
  <c r="AP38" i="2"/>
  <c r="AD38" i="2"/>
  <c r="AJ38" i="2"/>
  <c r="BB38" i="2"/>
  <c r="X38" i="2"/>
  <c r="R38" i="2"/>
  <c r="BN38" i="2"/>
  <c r="AV38" i="2"/>
  <c r="P38" i="2"/>
  <c r="Q38" i="2"/>
  <c r="BH38" i="2"/>
  <c r="V40" i="2"/>
  <c r="BL40" i="2"/>
  <c r="AN40" i="2"/>
  <c r="AZ40" i="2"/>
  <c r="AH40" i="2"/>
  <c r="BF40" i="2"/>
  <c r="AT40" i="2"/>
  <c r="G207" i="4"/>
  <c r="G40" i="2"/>
  <c r="AB40" i="2"/>
  <c r="BH28" i="2"/>
  <c r="AP28" i="2"/>
  <c r="AJ28" i="2"/>
  <c r="AD28" i="2"/>
  <c r="X28" i="2"/>
  <c r="BB28" i="2"/>
  <c r="BN28" i="2"/>
  <c r="AV28" i="2"/>
  <c r="G392" i="4"/>
  <c r="G28" i="2"/>
  <c r="P28" i="2"/>
  <c r="Q28" i="2"/>
  <c r="R28" i="2"/>
  <c r="BB55" i="2"/>
  <c r="AV55" i="2"/>
  <c r="BN55" i="2"/>
  <c r="AD55" i="2"/>
  <c r="X55" i="2"/>
  <c r="R55" i="2"/>
  <c r="BH55" i="2"/>
  <c r="AP55" i="2"/>
  <c r="P55" i="2"/>
  <c r="Q55" i="2"/>
  <c r="AJ55" i="2"/>
  <c r="BL43" i="2"/>
  <c r="AZ43" i="2"/>
  <c r="AT43" i="2"/>
  <c r="AB43" i="2"/>
  <c r="AN43" i="2"/>
  <c r="AH43" i="2"/>
  <c r="V43" i="2"/>
  <c r="BF43" i="2"/>
  <c r="I97" i="4"/>
  <c r="G97" i="4"/>
  <c r="I181" i="4"/>
  <c r="G181" i="4"/>
  <c r="I177" i="4"/>
  <c r="G177" i="4"/>
  <c r="I376" i="4"/>
  <c r="G376" i="4"/>
  <c r="AB61" i="2"/>
  <c r="AT61" i="2"/>
  <c r="AZ61" i="2"/>
  <c r="AH61" i="2"/>
  <c r="BL61" i="2"/>
  <c r="V61" i="2"/>
  <c r="AN61" i="2"/>
  <c r="G215" i="4"/>
  <c r="G61" i="2"/>
  <c r="BF61" i="2"/>
  <c r="BF39" i="2"/>
  <c r="AT39" i="2"/>
  <c r="V39" i="2"/>
  <c r="BL39" i="2"/>
  <c r="AB39" i="2"/>
  <c r="AZ39" i="2"/>
  <c r="AH39" i="2"/>
  <c r="G427" i="4"/>
  <c r="G39" i="2"/>
  <c r="AN39" i="2"/>
  <c r="AN30" i="2"/>
  <c r="AZ30" i="2"/>
  <c r="AB30" i="2"/>
  <c r="BF30" i="2"/>
  <c r="V30" i="2"/>
  <c r="AH30" i="2"/>
  <c r="BL30" i="2"/>
  <c r="AT30" i="2"/>
  <c r="AN21" i="2"/>
  <c r="AZ21" i="2"/>
  <c r="AB21" i="2"/>
  <c r="BF21" i="2"/>
  <c r="AT21" i="2"/>
  <c r="V21" i="2"/>
  <c r="BL21" i="2"/>
  <c r="G324" i="4"/>
  <c r="G21" i="2"/>
  <c r="AH21" i="2"/>
  <c r="A131" i="3"/>
  <c r="I379" i="4"/>
  <c r="G379" i="4"/>
  <c r="I158" i="4"/>
  <c r="G158" i="4"/>
  <c r="G387" i="4"/>
  <c r="I387" i="4"/>
  <c r="I449" i="4"/>
  <c r="X7" i="2"/>
  <c r="BB7" i="2"/>
  <c r="AP7" i="2"/>
  <c r="AD7" i="2"/>
  <c r="BH7" i="2"/>
  <c r="AJ7" i="2"/>
  <c r="BN7" i="2"/>
  <c r="AV7" i="2"/>
  <c r="G69" i="4"/>
  <c r="G7" i="2"/>
  <c r="P7" i="2"/>
  <c r="Q7" i="2"/>
  <c r="R7" i="2"/>
  <c r="AN60" i="2"/>
  <c r="BL60" i="2"/>
  <c r="AT60" i="2"/>
  <c r="AH60" i="2"/>
  <c r="AB60" i="2"/>
  <c r="BF60" i="2"/>
  <c r="AZ60" i="2"/>
  <c r="G25" i="4"/>
  <c r="G60" i="2"/>
  <c r="V60" i="2"/>
  <c r="I208" i="4"/>
  <c r="G208" i="4"/>
  <c r="BH43" i="2"/>
  <c r="AP43" i="2"/>
  <c r="AD43" i="2"/>
  <c r="BN43" i="2"/>
  <c r="X43" i="2"/>
  <c r="R43" i="2"/>
  <c r="BB43" i="2"/>
  <c r="AV43" i="2"/>
  <c r="G116" i="4"/>
  <c r="G43" i="2"/>
  <c r="P43" i="2"/>
  <c r="Q43" i="2"/>
  <c r="AJ43" i="2"/>
  <c r="AT55" i="2"/>
  <c r="AN55" i="2"/>
  <c r="BL55" i="2"/>
  <c r="AH55" i="2"/>
  <c r="AZ55" i="2"/>
  <c r="V55" i="2"/>
  <c r="BF55" i="2"/>
  <c r="G336" i="4"/>
  <c r="G55" i="2"/>
  <c r="AB55" i="2"/>
  <c r="BH5" i="2"/>
  <c r="AP5" i="2"/>
  <c r="BB5" i="2"/>
  <c r="X5" i="2"/>
  <c r="BN5" i="2"/>
  <c r="AD5" i="2"/>
  <c r="AV5" i="2"/>
  <c r="G59" i="4"/>
  <c r="G5" i="2"/>
  <c r="P5" i="2"/>
  <c r="AJ5" i="2"/>
  <c r="R26" i="2"/>
  <c r="AV26" i="2"/>
  <c r="AP26" i="2"/>
  <c r="BB26" i="2"/>
  <c r="AJ26" i="2"/>
  <c r="BN26" i="2"/>
  <c r="BH26" i="2"/>
  <c r="AD26" i="2"/>
  <c r="G449" i="4"/>
  <c r="G26" i="2"/>
  <c r="P26" i="2"/>
  <c r="Q26" i="2"/>
  <c r="X26" i="2"/>
  <c r="AN38" i="2"/>
  <c r="AB38" i="2"/>
  <c r="V38" i="2"/>
  <c r="BF38" i="2"/>
  <c r="BL38" i="2"/>
  <c r="AH38" i="2"/>
  <c r="AT38" i="2"/>
  <c r="G205" i="4"/>
  <c r="G38" i="2"/>
  <c r="AZ38" i="2"/>
  <c r="AP30" i="2"/>
  <c r="AJ30" i="2"/>
  <c r="X30" i="2"/>
  <c r="BN30" i="2"/>
  <c r="AV30" i="2"/>
  <c r="AD30" i="2"/>
  <c r="BB30" i="2"/>
  <c r="G164" i="4"/>
  <c r="G30" i="2"/>
  <c r="P30" i="2"/>
  <c r="Q30" i="2"/>
  <c r="BH30" i="2"/>
  <c r="BH19" i="2"/>
  <c r="AJ19" i="2"/>
  <c r="AV19" i="2"/>
  <c r="BB19" i="2"/>
  <c r="R19" i="2"/>
  <c r="AD19" i="2"/>
  <c r="AP19" i="2"/>
  <c r="X19" i="2"/>
  <c r="G273" i="4"/>
  <c r="G19" i="2"/>
  <c r="P19" i="2"/>
  <c r="Q19" i="2"/>
  <c r="BN19" i="2"/>
  <c r="BF11" i="2"/>
  <c r="AT11" i="2"/>
  <c r="AB11" i="2"/>
  <c r="AN11" i="2"/>
  <c r="V11" i="2"/>
  <c r="AZ11" i="2"/>
  <c r="AH11" i="2"/>
  <c r="G274" i="4"/>
  <c r="G11" i="2"/>
  <c r="BL11" i="2"/>
  <c r="X31" i="2"/>
  <c r="AD31" i="2"/>
  <c r="AJ31" i="2"/>
  <c r="BH31" i="2"/>
  <c r="AV31" i="2"/>
  <c r="BB31" i="2"/>
  <c r="AP31" i="2"/>
  <c r="BN31" i="2"/>
  <c r="G103" i="4"/>
  <c r="G31" i="2"/>
  <c r="P31" i="2"/>
  <c r="Q31" i="2"/>
  <c r="R31" i="2"/>
  <c r="AH53" i="2"/>
  <c r="AZ53" i="2"/>
  <c r="V53" i="2"/>
  <c r="BF53" i="2"/>
  <c r="AT53" i="2"/>
  <c r="BL53" i="2"/>
  <c r="AN53" i="2"/>
  <c r="G140" i="4"/>
  <c r="G53" i="2"/>
  <c r="AB53" i="2"/>
  <c r="I285" i="4"/>
  <c r="G285" i="4"/>
  <c r="I425" i="4"/>
  <c r="G425" i="4"/>
  <c r="A159" i="3"/>
  <c r="I99" i="4"/>
  <c r="G99" i="4"/>
  <c r="I149" i="4"/>
  <c r="A2" i="3"/>
  <c r="G149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<sst xmlns="http://schemas.openxmlformats.org/spreadsheetml/2006/main" count="7781" uniqueCount="788">
  <si>
    <t>Recette</t>
  </si>
  <si>
    <t>ID</t>
  </si>
  <si>
    <t>Ratio travail</t>
  </si>
  <si>
    <t>Conditionnement</t>
  </si>
  <si>
    <t>Prix Achat de plante par kg</t>
  </si>
  <si>
    <t>Prix de vente/U</t>
  </si>
  <si>
    <t>Prix de vente/kg</t>
  </si>
  <si>
    <t>Prix/kg (no BIO)</t>
  </si>
  <si>
    <t>Prix/kg (cook)</t>
  </si>
  <si>
    <t>Prix/kg (artisant)</t>
  </si>
  <si>
    <t>Conditionnement N1</t>
  </si>
  <si>
    <t>Achat par kg N1</t>
  </si>
  <si>
    <t>Revenue brut N1</t>
  </si>
  <si>
    <t>Revenue net N1</t>
  </si>
  <si>
    <t>Total (kg) N2</t>
  </si>
  <si>
    <t>Conditionnement N2</t>
  </si>
  <si>
    <t>Revenue brut N2</t>
  </si>
  <si>
    <t>Revenue net N2</t>
  </si>
  <si>
    <t>Total (kg) N3</t>
  </si>
  <si>
    <t>Conditionnement N3</t>
  </si>
  <si>
    <t>Revenue brut N3</t>
  </si>
  <si>
    <t>Revenue net N3</t>
  </si>
  <si>
    <t>Total (kg) N4</t>
  </si>
  <si>
    <t>Conditionnement N4</t>
  </si>
  <si>
    <t>Revenue brut N4</t>
  </si>
  <si>
    <t>Revenue net N4</t>
  </si>
  <si>
    <t>Total (kg) N5</t>
  </si>
  <si>
    <t>Conditionnement N5</t>
  </si>
  <si>
    <t>Revenue brut N5</t>
  </si>
  <si>
    <t>Revenue net N5</t>
  </si>
  <si>
    <t>Total (kg) N6</t>
  </si>
  <si>
    <t>Conditionnement N6</t>
  </si>
  <si>
    <t>Revenue brut N6</t>
  </si>
  <si>
    <t>Revenue net N6</t>
  </si>
  <si>
    <t>Total (kg) N7</t>
  </si>
  <si>
    <t>Conditionnement N7</t>
  </si>
  <si>
    <t>Revenue brut N7</t>
  </si>
  <si>
    <t>Revenue net N7</t>
  </si>
  <si>
    <t>Total (kg) N8</t>
  </si>
  <si>
    <t>Conditionnement N8</t>
  </si>
  <si>
    <t>Revenue brut N8</t>
  </si>
  <si>
    <t>Revenue net N8</t>
  </si>
  <si>
    <t>Total (kg) N9</t>
  </si>
  <si>
    <t>Conditionnement N9</t>
  </si>
  <si>
    <t>Revenue brut N9</t>
  </si>
  <si>
    <t>Revenue net N9</t>
  </si>
  <si>
    <t>Herbe de provence</t>
  </si>
  <si>
    <t>Epice 200ml</t>
  </si>
  <si>
    <t>Moutarde à l'ancienne</t>
  </si>
  <si>
    <t>Moutarde verre 265 ml</t>
  </si>
  <si>
    <t xml:space="preserve">Cornichons extra-fins </t>
  </si>
  <si>
    <t>Cornichon fin</t>
  </si>
  <si>
    <t>Cornichons aigres-doux</t>
  </si>
  <si>
    <t>Cornichon doux</t>
  </si>
  <si>
    <t>Cumin graine</t>
  </si>
  <si>
    <t>Epice 100ml</t>
  </si>
  <si>
    <t>Cumin moulu</t>
  </si>
  <si>
    <t>Gingembre</t>
  </si>
  <si>
    <t>Moutarde à l'estragon</t>
  </si>
  <si>
    <t>Moutarde verre 212 ml</t>
  </si>
  <si>
    <t>Sirop de menthe</t>
  </si>
  <si>
    <t>Sirop 500 ml</t>
  </si>
  <si>
    <t>Sucre aux fleures</t>
  </si>
  <si>
    <t>Curry</t>
  </si>
  <si>
    <t>Ail semoule</t>
  </si>
  <si>
    <t>Carvi graine</t>
  </si>
  <si>
    <t>Curcuma</t>
  </si>
  <si>
    <t>Paprika</t>
  </si>
  <si>
    <t>Sirop aux fleures</t>
  </si>
  <si>
    <t>Sirop de basilic</t>
  </si>
  <si>
    <t>Sirop de thym</t>
  </si>
  <si>
    <t>Sucre à l'hibiscus</t>
  </si>
  <si>
    <t>Vinaigre du soleil</t>
  </si>
  <si>
    <t>Vinaigre 250 ml</t>
  </si>
  <si>
    <t>Vinaigre du sureau</t>
  </si>
  <si>
    <t>Zaatar</t>
  </si>
  <si>
    <t>Tabasco Rouge moyen</t>
  </si>
  <si>
    <t>Tabasco jalapeno</t>
  </si>
  <si>
    <t>Tabasco cayenne jaune</t>
  </si>
  <si>
    <t>Curry Madra</t>
  </si>
  <si>
    <t>Tabasco violet fort</t>
  </si>
  <si>
    <t>Panch phoron</t>
  </si>
  <si>
    <t>Sans sel</t>
  </si>
  <si>
    <t>Shichimi togarashi</t>
  </si>
  <si>
    <t>Ketchup</t>
  </si>
  <si>
    <t>Piment liquide 250ml</t>
  </si>
  <si>
    <t>Gomasio maison</t>
  </si>
  <si>
    <t>Timur ko chhop</t>
  </si>
  <si>
    <t>Harissa</t>
  </si>
  <si>
    <t>Taklia</t>
  </si>
  <si>
    <t>Dukkah</t>
  </si>
  <si>
    <t>Tabel ou Tabil tunisien</t>
  </si>
  <si>
    <t>Zhug</t>
  </si>
  <si>
    <t>Colombo</t>
  </si>
  <si>
    <t>Vindaloo masala</t>
  </si>
  <si>
    <t>Nuoc chan</t>
  </si>
  <si>
    <t>Huile massage anti-arthrite</t>
  </si>
  <si>
    <t>Sriratcha</t>
  </si>
  <si>
    <t>Ras el hanout</t>
  </si>
  <si>
    <t>Jamaican Jerk</t>
  </si>
  <si>
    <t>Durban masala</t>
  </si>
  <si>
    <t>Curry japonais</t>
  </si>
  <si>
    <t>Chaat masala</t>
  </si>
  <si>
    <t>Hawaij</t>
  </si>
  <si>
    <t>Carvi moulue</t>
  </si>
  <si>
    <t>Baharat arabe</t>
  </si>
  <si>
    <t>Pâte vindaloo</t>
  </si>
  <si>
    <t>Baharat turc</t>
  </si>
  <si>
    <t>Advieh</t>
  </si>
  <si>
    <t>Garam masla birman</t>
  </si>
  <si>
    <t>Garam masala</t>
  </si>
  <si>
    <t>Garam masla</t>
  </si>
  <si>
    <t>Ingredients</t>
  </si>
  <si>
    <t>ratio sechage</t>
  </si>
  <si>
    <t>% eau</t>
  </si>
  <si>
    <t>Nom de la Production</t>
  </si>
  <si>
    <t>Prix de vente</t>
  </si>
  <si>
    <t>Prix d'achat (kg)</t>
  </si>
  <si>
    <t>Lien</t>
  </si>
  <si>
    <t>ail</t>
  </si>
  <si>
    <t>amande douce</t>
  </si>
  <si>
    <t>https://parisbelleville01.lecodrive.com/boutique/amande-douce-decortiquee-bio-espagne/</t>
  </si>
  <si>
    <t>amchur</t>
  </si>
  <si>
    <t>https://www.etsy.com/fr/listing/538432371/poudre-de-mangue-biologique-poudre?gpla=1&amp;gao=1&amp;</t>
  </si>
  <si>
    <t>aneth</t>
  </si>
  <si>
    <t>anis étoilé</t>
  </si>
  <si>
    <t>asafoetida</t>
  </si>
  <si>
    <t>basilic</t>
  </si>
  <si>
    <t>basilic thaï</t>
  </si>
  <si>
    <t>cannelle</t>
  </si>
  <si>
    <t>bleuet</t>
  </si>
  <si>
    <t>https://boutique.epicerie-durable.fr/bouillons/bouillon-de-poule-bio-2890kg-1150</t>
  </si>
  <si>
    <t>cacahuètes grillées</t>
  </si>
  <si>
    <t>https://www.googleadservices.com/pagead/aclk?sa=L&amp;ai=DChcSEwi8_L7IkfSEAxWWtWgJHdrGBpYYABAFGgJ3Zg&amp;ase=2&amp;gclid=Cj0KCQjwwMqvBhCtARIsAIXsZpYLT1VmI5Kq1BaXTkjkzxCxD3tRu3FW4QihyZ5AVHNacB5EEIP-EacaAtVBEALw_wcB&amp;ohost=www.google.com&amp;cid=CAESV-D25s4w_xgCt61JSCPtz_-6MB53MwZOqMSR3C53fMpAlGsUxYYNIVZyeD-U7TQmjoP8BSO5N0eb6P53Wc_pyXFm3Td7A7f5dhB2yVtf84Fpc8W6xGvNkg&amp;sig=AOD64_1j_v1y63lx74Qe3EwzAJMUknrPPQ&amp;ctype=5&amp;q=&amp;nis=4&amp;ved=2ahUKEwii3bjIkfSEAxUTUKQEHfKUBKUQ9aACKAB6BAgBECM&amp;adurl=</t>
  </si>
  <si>
    <t>camomille romaine</t>
  </si>
  <si>
    <t>https://www.googleadservices.com/pagead/aclk?sa=L&amp;ai=DChcSEwichuSekfSEAxVyQUECHat2BNwYABAMGgJ3cw&amp;ase=2&amp;gclid=Cj0KCQjwwMqvBhCtARIsAIXsZpZmpmc8fHRm_JGzy1Gmr0JI0grkfyuAV2XraPO2cYJ_I7mDJZoaepwaAlFBEALw_wcB&amp;ohost=www.google.com&amp;cid=CAESV-D2fcXVl2hyBhRmKKHyR9Mar6Ywa7Gxq7dChedDWqueLOlHIrSO08ZTbW6I8tjACgEP8JedobbYSxK8ul5eMEPhhJEPba-FfAwg293CrvZFTOWQMeyZvg&amp;sig=AOD64_00twfFYjSyymtiLPJAcag4fPwi1w&amp;ctype=5&amp;q=&amp;nis=4&amp;ved=2ahUKEwjQud6ekfSEAxVXU6QEHZs-CdUQ9aACKAB6BAgEEBM&amp;adurl=</t>
  </si>
  <si>
    <t>graine de carvi</t>
  </si>
  <si>
    <t>https://thesdirect.com/products/carvi-graine-entiere-bio?variant=46717109207382</t>
  </si>
  <si>
    <t>casse</t>
  </si>
  <si>
    <t>cassonade</t>
  </si>
  <si>
    <t>https://www.etsy.com/fr/listing/1671728644/zeste-de-mandarine-SEChee-biologique?gpla=1&amp;gao=1&amp;</t>
  </si>
  <si>
    <t>citron jaune</t>
  </si>
  <si>
    <t>https://www.googleadservices.com/pagead/aclk?sa=L&amp;ai=DChcSEwjImt71kvSEAxX4qGgJHfm2DMsYABAOGgJ3Zg&amp;ase=2&amp;gclid=Cj0KCQjwwMqvBhCtARIsAIXsZpZzuxlLYPk3jEbz2sSJyN4bocZn-7fGZ1l02xJ2SChDI7pgp8LAST8aAnq9EALw_wcB&amp;ohost=www.google.com&amp;cid=CAESV-D2Uxx-XLqYE_XjwL-kVovH9HTLCB4KlP7kJAwkGppGskGIF94N5JykIfKxIhGF_WNbbGhZMrxjSTAQ4FwvjJubk8RCtjodMYrRsrubTeHFyJdngqwO-Q&amp;sig=AOD64_24hJKAn2HpOv8TAFHuCr4695zSpw&amp;ctype=5&amp;q=&amp;nis=4&amp;ved=2ahUKEwjbttj1kvSEAxXWSKQEHcVUBosQ9aACKAB6BAgBEBM&amp;adurl=</t>
  </si>
  <si>
    <t>citron vert</t>
  </si>
  <si>
    <t>https://lecababio.fr/fruits-legumes-fruits-frais/2466-citron-vert-bio-la-piece-2017000000594.html</t>
  </si>
  <si>
    <t>clous de girofle</t>
  </si>
  <si>
    <t>https://thesdirect.com/products/girofle-clou-entier-bio?variant=42278504759535&amp;utm_medium=paidsearch&amp;utm_source=google&amp;utm_campaign=FR-PMC-Global&amp;utm_term=&amp;utm_content=&amp;gad_source=1&amp;gclid=Cj0KCQjwwMqvBhCtARIsAIXsZpYMcYHxWw4LzdPFYu1RLdfNCwEEgQ89WYbpA_kBagvr-9lOLjM_5DwaAt_uEALw_wcB</t>
  </si>
  <si>
    <t>tomate rouge</t>
  </si>
  <si>
    <t>coriandre feuille</t>
  </si>
  <si>
    <t>coriandre graine</t>
  </si>
  <si>
    <t>https://thesdirect.com/products/coriandre-graine-entiere-bio-origine-france?variant=46717581754710</t>
  </si>
  <si>
    <t>graine cumin</t>
  </si>
  <si>
    <t>https://thesdirect.com/products/grosssite-cumin-graine-poudre-bio-vente-en-gros?_pos=2&amp;_sid=3c51b5f81&amp;_ss=r</t>
  </si>
  <si>
    <t>graine cumin noir</t>
  </si>
  <si>
    <t>https://thesdirect.com/products/cumin-noir-nigelle-graine-entiere-bio?_pos=1&amp;_sid=3c51b5f81&amp;_ss=r</t>
  </si>
  <si>
    <t>curcuma</t>
  </si>
  <si>
    <t>production du curcuma bio en inde et son utilisation ...</t>
  </si>
  <si>
    <t>eau</t>
  </si>
  <si>
    <t>graine de fenugrec</t>
  </si>
  <si>
    <t>Pharma 5 Avenue</t>
  </si>
  <si>
    <t>https://www.pharma5avenue.com › blog › mode-de-pro...</t>
  </si>
  <si>
    <t>Feuilles de cannelier</t>
  </si>
  <si>
    <t>feuilles de curry</t>
  </si>
  <si>
    <t>feuilles de laurier</t>
  </si>
  <si>
    <t>https://thesdirect.com/products/laurier-feuille-coupee-bio?_pos=1&amp;_sid=01cd0a848&amp;_ss=r</t>
  </si>
  <si>
    <t>figue</t>
  </si>
  <si>
    <t>fleure helichrysum</t>
  </si>
  <si>
    <t>gaultheria Procumbens Leaf Oil</t>
  </si>
  <si>
    <t>gingembre</t>
  </si>
  <si>
    <t>https://thesdirect.com/products/gingembre-rhizome-poudre-bio?_pos=7&amp;_sid=90d482203&amp;_ss=r</t>
  </si>
  <si>
    <t>graine de cardamone</t>
  </si>
  <si>
    <t>https://thesdirect.com/products/cardamome-fruit-entier-bio?_pos=1&amp;_sid=0d54a836c&amp;_ss=r</t>
  </si>
  <si>
    <t>https://thesdirect.com/products/carvi-graine-entiere-bio?_pos=1&amp;_sid=0340e6674&amp;_ss=r</t>
  </si>
  <si>
    <t>graine de fenouil</t>
  </si>
  <si>
    <t>https://thesdirect.com/products/fenouil-bio-en-vrac-1-kg?_pos=1&amp;_sid=0712c237c&amp;_ss=r</t>
  </si>
  <si>
    <t>https://thesdirect.com/products/graine-de-fenugrec-bio-en-vrac?_pos=1&amp;_sid=e3b571ae1&amp;_ss=r</t>
  </si>
  <si>
    <t>graine de moutarde</t>
  </si>
  <si>
    <t>https://thesdirect.com/products/graine-de-moutarde-jaune-bio-en-vrac?_pos=2&amp;_sid=ed731c47b&amp;_ss=r</t>
  </si>
  <si>
    <t>graine de moutarde noire</t>
  </si>
  <si>
    <t>https://thesdirect.com/products/graine-de-moutarde-noir-bio-en-vrac?_pos=1&amp;_sid=ed731c47b&amp;_ss=r</t>
  </si>
  <si>
    <t>graine de nigelle</t>
  </si>
  <si>
    <t>https://thesdirect.com/products/cumin-noir-nigelle-graine-entiere-bio?_pos=1&amp;_sid=952bb7c98&amp;_ss=r</t>
  </si>
  <si>
    <t>graines de pavot</t>
  </si>
  <si>
    <t>grande ortie</t>
  </si>
  <si>
    <t>https://thesdirect.com/products/ortie-piquante-partie-aerienne-poudre-bio-origine-france?_pos=3&amp;_sid=da77c7ad6&amp;_ss=r</t>
  </si>
  <si>
    <t>guimauve feuille</t>
  </si>
  <si>
    <t>guimauve fleure</t>
  </si>
  <si>
    <t>guimauve racine</t>
  </si>
  <si>
    <t>harpagophytum procumbens</t>
  </si>
  <si>
    <t>https://thesdirect.com/products/harpagophytum-racine-coupee-bio?variant=46723154116950&amp;utm_medium=paidsearch&amp;utm_source=google&amp;utm_campaign=FR-PMC-Global&amp;utm_term=&amp;utm_content=&amp;gad_source=1</t>
  </si>
  <si>
    <t>https://www.etsy.com/fr/listing/897347569/tisane-en-vrac-helichrysum-immortelle</t>
  </si>
  <si>
    <t>hibiscus</t>
  </si>
  <si>
    <t>huile d'olive</t>
  </si>
  <si>
    <t>huile de sesame grillé</t>
  </si>
  <si>
    <t>huile de tournesol</t>
  </si>
  <si>
    <t>jaggery</t>
  </si>
  <si>
    <t>kala namak</t>
  </si>
  <si>
    <t>https://www.etsy.com/fr/listing/1231751144/100-indien-pur-sel-de-roche-noir-kala?gpla=1&amp;gao=1&amp;variation0=2788066596</t>
  </si>
  <si>
    <t>agastache</t>
  </si>
  <si>
    <t>lavande</t>
  </si>
  <si>
    <t>https://thesdirect.com/products/lavandin-fleur-entiere-bio-origine-france?variant=46723154575702</t>
  </si>
  <si>
    <t>lilas</t>
  </si>
  <si>
    <t>macie</t>
  </si>
  <si>
    <t>marjolaine</t>
  </si>
  <si>
    <t>piments rouge - THUNDER MOUNTAIN LONGHORN</t>
  </si>
  <si>
    <t>mauve</t>
  </si>
  <si>
    <t>Menthe Verte</t>
  </si>
  <si>
    <t>menthe verte</t>
  </si>
  <si>
    <t>miel</t>
  </si>
  <si>
    <t>https://www.lepanieraveyronnais.fr/produit/miel-de-aveyron-toutes-fleurs-bio-agriculuture-biologique-apiculteurs-sebastien-cahors-cecilia-quiles/</t>
  </si>
  <si>
    <t>monarde</t>
  </si>
  <si>
    <t>muscade</t>
  </si>
  <si>
    <t>https://chabiothe.fr/epices/11-108-noix-de-muscade-bio?gad_source=1&amp;gclid=CjwKCAjw48-vBhBbEiwAzqrZVIDiHRyEYOLEv7zwECQJBrRz_RDYXdzUfmqQOWuHk72OVsZxTlXrGRoCBlIQAvD_BwE#/40-conditionnement-1_kg</t>
  </si>
  <si>
    <t>noisette</t>
  </si>
  <si>
    <t>https://www.pourdebon.com/noisettes-bio-5kg-p58530?gad_source=1&amp;gclid=CjwKCAjw48-vBhBbEiwAzqrZVLBFRH2sEQGOgpk-ci3ll-Pbnny5nNHuYSSzms4cv1ZL5X6k27hb6xoCu-MQAvD_BwE</t>
  </si>
  <si>
    <t>nuoc-mâm</t>
  </si>
  <si>
    <t>https://www.autourduriz.com/sauces-asiatiques-bio/423-sauce-nuoc-mam-bio-veggie-3760275575203.html</t>
  </si>
  <si>
    <t>oeillet d’Inde</t>
  </si>
  <si>
    <t>oignon</t>
  </si>
  <si>
    <t>origan</t>
  </si>
  <si>
    <t>https://thesdirect.com/products/origan-vert-feuille-entiere-bio-origine-france?_pos=1&amp;_sid=92a128b15&amp;_ss=r</t>
  </si>
  <si>
    <t>piment doux rouge</t>
  </si>
  <si>
    <t>persil</t>
  </si>
  <si>
    <t>pétale de rose</t>
  </si>
  <si>
    <t>piment ancho</t>
  </si>
  <si>
    <t>https://www.capsicums.fr/piments/piment-mexicain-ancho-entier/</t>
  </si>
  <si>
    <t>piment de cayenne jaune</t>
  </si>
  <si>
    <t>piment de cayenne rouge</t>
  </si>
  <si>
    <t>Flash Poivrons VD - Chambre d'agriculture - Occitanie</t>
  </si>
  <si>
    <t>piment habanero violet</t>
  </si>
  <si>
    <t>Chambre d'agriculture - Occitanie</t>
  </si>
  <si>
    <t>piment jalapeno vert</t>
  </si>
  <si>
    <t>https://occitanie.chambre-agriculture.fr › Documents</t>
  </si>
  <si>
    <t>piment œil d'oiseau</t>
  </si>
  <si>
    <t>piment violet fort - Purple Delight</t>
  </si>
  <si>
    <t>piments kashmiri</t>
  </si>
  <si>
    <t>piments verts</t>
  </si>
  <si>
    <t>poivre blanc</t>
  </si>
  <si>
    <t>poivre de Jamaïque</t>
  </si>
  <si>
    <t>poivre de sichuan</t>
  </si>
  <si>
    <t>poivre de timut</t>
  </si>
  <si>
    <t>poivre des moines</t>
  </si>
  <si>
    <t>poivre noir</t>
  </si>
  <si>
    <t>https://thesdirect.com/products/poivre-noir-graine-entiere-bio?variant=28363204821069&amp;utm_medium=paidsearch&amp;utm_source=google&amp;utm_campaign=FR-PMC-Global&amp;utm_term=&amp;utm_content=&amp;gad_source=1&amp;gclid=CjwKCAjw48-vBhBbEiwAzqrZVBRJXNmJzQihjD3OQd4hOvQKPDGNn8BgdGDA3ds7bT5W8Nltvwr2OBoCJmEQAvD_BwE</t>
  </si>
  <si>
    <t>romarin</t>
  </si>
  <si>
    <t>rose</t>
  </si>
  <si>
    <t>safran</t>
  </si>
  <si>
    <t>sarriette</t>
  </si>
  <si>
    <t>sauce soja</t>
  </si>
  <si>
    <t>https://www.autourduriz.com/sauces-asiatiques-vrac/332-shoyu-sauce-soja-5-l-3760275573025.html</t>
  </si>
  <si>
    <t>sauge</t>
  </si>
  <si>
    <t>-</t>
  </si>
  <si>
    <t>sel</t>
  </si>
  <si>
    <t>https://www.pourdebon.com/gros-sel-nature-5kg-p51630?utm_source=Twenga&amp;utm_medium=cpc&amp;utm_content=ggshopping-twenga&amp;utm_campaign=twenga&amp;gad_source=1</t>
  </si>
  <si>
    <t>graines de sésame</t>
  </si>
  <si>
    <t>souci</t>
  </si>
  <si>
    <t>https://www.svpnegoce.com/catalogue/sucre-conventionnel-biologique/sucres-biologiques/sucre-de-betterave-bio-origine-allemagne</t>
  </si>
  <si>
    <t>sucre de palme</t>
  </si>
  <si>
    <t>https://www.apiculture.net/sirop/7606-palette-sucre-de-canne-biologique-1080kg-alimentaire-54x20kg.html?kk=a4c626f-18e411b23ef-a3fee&amp;kgclid=CjwKCAjw48-vBhBbEiwAzqrZVI_0Pn7Eoe7X5_JvZvbTWxkK5E4ji2yIrkTdaQkY6n_lq79bD6I5HBoCb08QAvD_BwE&amp;utm_source=kelkoofr&amp;utm_medium=cpc&amp;utm_campaign=kelkooclick&amp;utm_term=Apiculture.net+-+Mat%C3%A9riel+apicole+fran%C3%A7a</t>
  </si>
  <si>
    <t>sumac</t>
  </si>
  <si>
    <t>sureau</t>
  </si>
  <si>
    <t>thym</t>
  </si>
  <si>
    <t>timut</t>
  </si>
  <si>
    <t>vinaigre de cidre</t>
  </si>
  <si>
    <t>https://comptoirdesplantes.com/matieres-brutes/161-vinaigre-de-cidre-BIO.html?pmax=shopping-2023-02-28&amp;gad_source=1&amp;gclid=Cj0KCQjwwMqvBhCtARIsAIXsZpY-rKsu7uA7WfCELHvTXY7hIuhneuKw5g-KKkqVqjC5BMGHdPHCyBIaAlDjEALw_wcB</t>
  </si>
  <si>
    <t>zeste d’orange séché</t>
  </si>
  <si>
    <t>Estragon</t>
  </si>
  <si>
    <t>estragon</t>
  </si>
  <si>
    <t>Estragon SEC</t>
  </si>
  <si>
    <t>Cornichons fins</t>
  </si>
  <si>
    <t>cornichon</t>
  </si>
  <si>
    <t>Cornichons gros</t>
  </si>
  <si>
    <t>Oignon rocambole</t>
  </si>
  <si>
    <t>oignon rocambole</t>
  </si>
  <si>
    <t>Proportion</t>
  </si>
  <si>
    <t>Prix d'achat / kg</t>
  </si>
  <si>
    <t>Total Proportion</t>
  </si>
  <si>
    <t>Prix pour kg/ de melange</t>
  </si>
  <si>
    <t>Pays</t>
  </si>
  <si>
    <t>Type</t>
  </si>
  <si>
    <t>Pétale De Rose</t>
  </si>
  <si>
    <t>Syrie</t>
  </si>
  <si>
    <t>SEC</t>
  </si>
  <si>
    <t>Graine De Cardamone</t>
  </si>
  <si>
    <t>Graine De Cumin</t>
  </si>
  <si>
    <t>Cannelle Moulue</t>
  </si>
  <si>
    <t>Turquie</t>
  </si>
  <si>
    <t>Poivre Noir</t>
  </si>
  <si>
    <t>Clous De Girofle</t>
  </si>
  <si>
    <t>Coriandre Graine</t>
  </si>
  <si>
    <t>Cumin Moulu</t>
  </si>
  <si>
    <t>Muscade</t>
  </si>
  <si>
    <t>Liban</t>
  </si>
  <si>
    <t>en huile</t>
  </si>
  <si>
    <t>Cannelle</t>
  </si>
  <si>
    <t>Menthe Verte Séchée</t>
  </si>
  <si>
    <t>Graine De Carvi</t>
  </si>
  <si>
    <t>Carvi Moule</t>
  </si>
  <si>
    <t>Amchur</t>
  </si>
  <si>
    <t>Gingembre Sec</t>
  </si>
  <si>
    <t>Iran</t>
  </si>
  <si>
    <t>Asafoetida</t>
  </si>
  <si>
    <t>Kala Namak</t>
  </si>
  <si>
    <t>Sel</t>
  </si>
  <si>
    <t>Curcuma Moulu</t>
  </si>
  <si>
    <t>Graine De Moutarde</t>
  </si>
  <si>
    <t>Graine De Fenugrec</t>
  </si>
  <si>
    <t>Graine De Fenouil</t>
  </si>
  <si>
    <t>Anis Étoilé</t>
  </si>
  <si>
    <t>Piment Doux Rouge En Poudre</t>
  </si>
  <si>
    <t>Irak</t>
  </si>
  <si>
    <t>Coriandre Moulue</t>
  </si>
  <si>
    <t>Paprika Fummer</t>
  </si>
  <si>
    <t>Fenugrec</t>
  </si>
  <si>
    <t>Piment De Cayenne Rouge SEC</t>
  </si>
  <si>
    <t>Sauge</t>
  </si>
  <si>
    <t>Thym</t>
  </si>
  <si>
    <t>Feuilles De Laurier</t>
  </si>
  <si>
    <t>Maghreb</t>
  </si>
  <si>
    <t>Oignon Séché</t>
  </si>
  <si>
    <t>Piment Œil D'Oiseau</t>
  </si>
  <si>
    <t>Noisette Entière</t>
  </si>
  <si>
    <t>Amande Douce</t>
  </si>
  <si>
    <t>Afrique australe</t>
  </si>
  <si>
    <t>Inde du nord</t>
  </si>
  <si>
    <t>Piment De Cayenne Jaune</t>
  </si>
  <si>
    <t>Origan</t>
  </si>
  <si>
    <t>Persil</t>
  </si>
  <si>
    <t>Poivre De Jamaïque</t>
  </si>
  <si>
    <t>Piments Rouge Séchés</t>
  </si>
  <si>
    <t>Piment De Cayenne Jaune SEC</t>
  </si>
  <si>
    <t>Muscade Moulue</t>
  </si>
  <si>
    <t>Casse Concassée</t>
  </si>
  <si>
    <t>Cumin Noir</t>
  </si>
  <si>
    <t>Ceinture himalayenne</t>
  </si>
  <si>
    <t>Macie</t>
  </si>
  <si>
    <t>inde central</t>
  </si>
  <si>
    <t>Bâton De Cannelle</t>
  </si>
  <si>
    <t>inde de l'est et bangladseh</t>
  </si>
  <si>
    <t>Ail</t>
  </si>
  <si>
    <t>Jus De Citron Jaune</t>
  </si>
  <si>
    <t>Huile D'Olive</t>
  </si>
  <si>
    <t>Romarin</t>
  </si>
  <si>
    <t>Sarriette</t>
  </si>
  <si>
    <t>Basilic SEC</t>
  </si>
  <si>
    <t>Gaultheria Procumbens</t>
  </si>
  <si>
    <t>Harpagophytum Procumbens</t>
  </si>
  <si>
    <t>Grande Ortie</t>
  </si>
  <si>
    <t>Lavande</t>
  </si>
  <si>
    <t>Huile De Tournesol</t>
  </si>
  <si>
    <t>Huile massage musculaire</t>
  </si>
  <si>
    <t>Masera De Piment</t>
  </si>
  <si>
    <t>Piment liquide 100ml</t>
  </si>
  <si>
    <t>Cassonade</t>
  </si>
  <si>
    <t>Tomate Rouge</t>
  </si>
  <si>
    <t>Poivre De Timut</t>
  </si>
  <si>
    <t>Poivre Des Moines</t>
  </si>
  <si>
    <t>Oignon</t>
  </si>
  <si>
    <t>Vinaigre De Cidre</t>
  </si>
  <si>
    <t>Figue</t>
  </si>
  <si>
    <t>Moutarde Pot en grès</t>
  </si>
  <si>
    <t>Eau</t>
  </si>
  <si>
    <t>Gousse D'Ail</t>
  </si>
  <si>
    <t>Sucre De Palme</t>
  </si>
  <si>
    <t>Citron Vert</t>
  </si>
  <si>
    <t>Nuoc-Mâm</t>
  </si>
  <si>
    <t>Graine De Nigelle</t>
  </si>
  <si>
    <t>Piments Kashmiri Séchés Entier</t>
  </si>
  <si>
    <t>Graine De Moutarde Noire</t>
  </si>
  <si>
    <t>Jaggery</t>
  </si>
  <si>
    <t>Poivre Blanc</t>
  </si>
  <si>
    <t>Sumac</t>
  </si>
  <si>
    <t>½ Feuille D’Algue Nori Séchée</t>
  </si>
  <si>
    <t>Graines De Pavot</t>
  </si>
  <si>
    <t>Poivre De Sichuan</t>
  </si>
  <si>
    <t>Zeste D’Orange Séché</t>
  </si>
  <si>
    <t>Sésame</t>
  </si>
  <si>
    <t xml:space="preserve">Sucre Blanc </t>
  </si>
  <si>
    <t>Monarde SEC</t>
  </si>
  <si>
    <t>Mauve SEC</t>
  </si>
  <si>
    <t>Pelargonium SEC (Géranium)</t>
  </si>
  <si>
    <t>Basilic Thaï</t>
  </si>
  <si>
    <t>Citron Jaune</t>
  </si>
  <si>
    <t>Piments Rouge</t>
  </si>
  <si>
    <t>Piment Ancho</t>
  </si>
  <si>
    <t>Concentré De Tomate</t>
  </si>
  <si>
    <t>Huile De Sesame Grillé</t>
  </si>
  <si>
    <t>Sauce Soja</t>
  </si>
  <si>
    <t>Miel</t>
  </si>
  <si>
    <t>Aneth SEC</t>
  </si>
  <si>
    <t>Marjolaine</t>
  </si>
  <si>
    <t>Hibiscus</t>
  </si>
  <si>
    <t>Sureau SEC</t>
  </si>
  <si>
    <t>Camomille Romaine SEC</t>
  </si>
  <si>
    <t>Bleuet SEC</t>
  </si>
  <si>
    <t>La Pensée SEC</t>
  </si>
  <si>
    <t>Fleure Helichrysum SEC</t>
  </si>
  <si>
    <t>Hémérocalle SEC</t>
  </si>
  <si>
    <t>Souci SEC (Calendula Officinalis)</t>
  </si>
  <si>
    <t>Rose SEC</t>
  </si>
  <si>
    <t>Lavande SEC</t>
  </si>
  <si>
    <t>Oeillet D’Inde SEC</t>
  </si>
  <si>
    <t>L'Agastache SEC</t>
  </si>
  <si>
    <t>Sucre de rose</t>
  </si>
  <si>
    <t>Rose</t>
  </si>
  <si>
    <t>Cacahuètes Grillées</t>
  </si>
  <si>
    <t>Bouillon Poulet</t>
  </si>
  <si>
    <t>Piment Jalapeno Vert</t>
  </si>
  <si>
    <t>Piment Habanero Violet</t>
  </si>
  <si>
    <t>Piment Violet Fort - Purple Delight</t>
  </si>
  <si>
    <t>Safran</t>
  </si>
  <si>
    <t>Coriandre Feuille</t>
  </si>
  <si>
    <t>Feuilles De Curry</t>
  </si>
  <si>
    <t>Piments Verts</t>
  </si>
  <si>
    <t>Feuilles De Laurier Sec</t>
  </si>
  <si>
    <t>Timut</t>
  </si>
  <si>
    <t>Graine D'Aneth</t>
  </si>
  <si>
    <t>Produit</t>
  </si>
  <si>
    <t>Nom</t>
  </si>
  <si>
    <t>Bouchon</t>
  </si>
  <si>
    <t>Verre</t>
  </si>
  <si>
    <t>Total</t>
  </si>
  <si>
    <t>Contenance</t>
  </si>
  <si>
    <t>Lien bouchon</t>
  </si>
  <si>
    <t>Lien verre</t>
  </si>
  <si>
    <t>100ml</t>
  </si>
  <si>
    <t>https://www.bouteilles-et-bocaux.com/bouchon-pour-pot-a-epices-distributeur-plastique-pp-rouge-pour-col-gpi-38-400-100000230?referralCode=344f636f14874df59416c60d47218b06&amp;utm_medium=sea&amp;utm_source=google&amp;gad_source=1&amp;gclid=CjwKCAiAopuvBhBCEiwAm8jaMRvkyaCkj4LfwgUmeOXFwEVybp5GM9cMjo6i2XXHdi_SmUDOQN4bRRoCVVAQAvD_BwE</t>
  </si>
  <si>
    <t>https://www.packari.com/fr/Produits/Flacons-en-verre-col-large/Flacons-en-verre-brun-sans-fermeture/Flacon-comprim-s-en-verre-marron-col-large-100-ml-38-400-sans-bouchon.html</t>
  </si>
  <si>
    <t>200ml</t>
  </si>
  <si>
    <t>Huile 1L</t>
  </si>
  <si>
    <t>1000ml</t>
  </si>
  <si>
    <t>Moulin 100ml</t>
  </si>
  <si>
    <t>https://www.bouteilles-et-bocaux.com/bouchon-pour-pot-a-epices-moulin-plastique-pp-noir-pour-col-gpi-38-400-100000220</t>
  </si>
  <si>
    <t>270ml</t>
  </si>
  <si>
    <t>https://www.bouteilles-et-bocaux.com/pot-en-gres-270-ml-ceramique-blanc-col-couvercle-cloche-100035660?referralCode=344f636f14874df59416c60d47218b06&amp;utm_medium=sea&amp;utm_source=google&amp;gad_source=1&amp;gclid=CjwKCAiAopuvBhBCEiwAm8jaMYLe7_a0mGr35npPhJKfVuzxK0lpcyfagab4K3pMzvBsxnSqC3GYDhoCgu0QAvD_BwE</t>
  </si>
  <si>
    <t>265ml</t>
  </si>
  <si>
    <t>https://www.bouteilles-et-bocaux.com/bocal-cylindrique-haut-212-ml-col-twist-off-to-53-100012480</t>
  </si>
  <si>
    <t>212ml</t>
  </si>
  <si>
    <t>https://www.bouteilles-et-bocaux.com/bouteille-en-verre-100-ml-tulipano-col-liege-100018170?referralCode=344f636f14874df59416c60d47218b06&amp;utm_medium=sea&amp;utm_source=google&amp;gad_source=1&amp;gclid=CjwKCAiAopuvBhBCEiwAm8jaMTskXVOIzZ5rIxKF0pqFc9jqHsHuFuUd6kJ7IRF1_elI1heMCZJ8WxoCAGwQAvD_BwE</t>
  </si>
  <si>
    <t>250ml</t>
  </si>
  <si>
    <t>https://www.bouteilles-et-bocaux.com/bouteille-de-vinaigre-d-huile-250-ml-oleum-verre-vert-antique-col-dop-100034870?referralCode=344f636f14874df59416c60d47218b06&amp;utm_medium=sea&amp;utm_source=google&amp;gad_source=1&amp;gclid=CjwKCAiAopuvBhBCEiwAm8jaMeaR3q1S8hCLAwRtq5MXdAumMc4tNe8kzahJPqJxkQvjUHB9PdyHrRoCIKIQAvD_BwE</t>
  </si>
  <si>
    <t>Recharge craft 100ml</t>
  </si>
  <si>
    <t>https://www.bizay.fr/sacs-en-papier?id=3797240&amp;wv=true&amp;shopptop=1&amp;campaignid=21040153090&amp;adgroupid=&amp;creative=&amp;keyword=&amp;matchtype=&amp;adposition=&amp;network=x&amp;placement=&amp;target=&amp;targetid=&amp;device=c&amp;year=&amp;week=&amp;gad_source=1&amp;gclid=CjwKCAiAopuvBhBCEiwAm8jaMQLoYxZEqGndCNvys5KAnCm0suw9ZL0j9D7sh_t5VTgRlogsrF3lkxoCxQcQAvD_BwE&amp;gclsrc=aw.ds&amp;abandonNC=1</t>
  </si>
  <si>
    <t>Recharge craft 250ml</t>
  </si>
  <si>
    <t>Recharge craft 500ml</t>
  </si>
  <si>
    <t>500ml</t>
  </si>
  <si>
    <t>Seau 2,5 l, plastique</t>
  </si>
  <si>
    <t>2500ml</t>
  </si>
  <si>
    <t>https://www.bouteilles-et-bocaux.com/seau-2-5-l-plastique-pp-blanc-100015070?referralCode=344f636f14874df59416c60d47218b06&amp;configurator=%255B%257B%2522productId%2522%253A%25220nolid%2522%252C%2522groupId%2522%253A%25220%2522%257D%252C%257B%2522productId%2522%253A%25221nolid%2522%252C%2522groupId%2522%253A%25221%2522%257D%255D&amp;utm_medium=sea&amp;utm_source=google&amp;galt=Cj0KCQjwlZixBhCoARIsAIC745BA22oQIFzXcivfuWmhgVWGHKmhHv_wy2W8_eDHTHF86yHAjltRI4MaAmbVEALw_wcB&amp;gad_source=1&amp;gclid=Cj0KCQjwlZixBhCoARIsAIC745BA22oQIFzXcivfuWmhgVWGHKmhHv_wy2W8_eDHTHF86yHAjltRI4MaAmbVEALw_wcB</t>
  </si>
  <si>
    <t>https://www.bouteilles-et-bocaux.com/bouteille-pichet-500-ml-verre-col-pp-28-100030600</t>
  </si>
  <si>
    <t>Verrine haute</t>
  </si>
  <si>
    <t>350 ml</t>
  </si>
  <si>
    <t>https://www.bouteilles-et-bocaux.com/verrine-haute-350-ml-col-twist-off-to-82-100036140</t>
  </si>
  <si>
    <t>Verseur inox</t>
  </si>
  <si>
    <t>https://de.aliexpress.com/item/1005005532498174.html1007.40000.327270.0&amp;scm-url=1007.40000.327270.0&amp;pvid=d7f30d2d-9c81-4a76-abd9-d1b5dab0f6ac&amp;_t=gps-id:pcDetailTopMoreOtherSeller,scm-url:1007.40000.327270.0,pvid:d7f30d2d-9c81-4a76-abd9-d1b5dab0f6ac,tpp_buckets:668%232846%238115%232000&amp;pdp_npi=4%40dis%21EUR%215.38%211.88%21%21%2141.12%2114.39%21%402103890117096883118564836e954f%2112000033437633735%21rec%21FR%212461724979%21&amp;utparam-url=scene%3ApcDetailTopMoreOtherSeller%7Cquery_from%3A</t>
  </si>
  <si>
    <t>https://www.berlinpackaging.eu/fr/81/bouteilles-huile-d-olive/11010/bouteille-alex--olio-250-ml-bg-a-vis</t>
  </si>
  <si>
    <t>262ml</t>
  </si>
  <si>
    <t>https://www.bouteilles-et-bocaux.com/bocal-cylindrique-262-ml-monza-col-deep-twist-off-dto-82-100033050</t>
  </si>
  <si>
    <t>490ml</t>
  </si>
  <si>
    <t>https://www.bouteilles-et-bocaux.com/bocal-cylindrique-460-ml-monza-bouchage-deep-twist-off-dto-82-100033060</t>
  </si>
  <si>
    <t>PRODUIT</t>
  </si>
  <si>
    <t>DISTRIBUTION</t>
  </si>
  <si>
    <t>NOM</t>
  </si>
  <si>
    <t>MARQUE</t>
  </si>
  <si>
    <t>GRAMMAGE</t>
  </si>
  <si>
    <t>PRIX</t>
  </si>
  <si>
    <t>PRIX_KG</t>
  </si>
  <si>
    <t>magasin BIO</t>
  </si>
  <si>
    <t>Cook</t>
  </si>
  <si>
    <t>50g</t>
  </si>
  <si>
    <t>magasin NON BIO</t>
  </si>
  <si>
    <t>Advieh Persan</t>
  </si>
  <si>
    <t>Silk Road Spices</t>
  </si>
  <si>
    <t>100g</t>
  </si>
  <si>
    <t>artisanale BIO</t>
  </si>
  <si>
    <t>Advieh artisanal bio</t>
  </si>
  <si>
    <t>Les Jardins de Gaïa</t>
  </si>
  <si>
    <t>mesepices</t>
  </si>
  <si>
    <t>Ail des ours en poudre</t>
  </si>
  <si>
    <t>Ethnoscience</t>
  </si>
  <si>
    <t>Ducros</t>
  </si>
  <si>
    <t>38g</t>
  </si>
  <si>
    <t>Ail noir</t>
  </si>
  <si>
    <t>B par Maison Boutarin</t>
  </si>
  <si>
    <t>120g</t>
  </si>
  <si>
    <t>Baharat Spice Blend</t>
  </si>
  <si>
    <t>Baharat Artisanal Bio</t>
  </si>
  <si>
    <t>Baharat Turkish Spice Blend</t>
  </si>
  <si>
    <t>Baharat Turc Artisanal Bio</t>
  </si>
  <si>
    <t>Carvi Graine Bio</t>
  </si>
  <si>
    <t>Biocoop</t>
  </si>
  <si>
    <t>Carvi graines</t>
  </si>
  <si>
    <t>28g</t>
  </si>
  <si>
    <t>Carvi Graine</t>
  </si>
  <si>
    <t>Carvi moulu</t>
  </si>
  <si>
    <t>Carvi moulu Bio</t>
  </si>
  <si>
    <t>Healing Nature</t>
  </si>
  <si>
    <t>Caraway ground</t>
  </si>
  <si>
    <t>Bulkfoods</t>
  </si>
  <si>
    <t>454g</t>
  </si>
  <si>
    <t>Sonnentor</t>
  </si>
  <si>
    <t>60g</t>
  </si>
  <si>
    <t>Cumin graines</t>
  </si>
  <si>
    <t>500g</t>
  </si>
  <si>
    <t>Arcadie</t>
  </si>
  <si>
    <t>40g</t>
  </si>
  <si>
    <t>35g</t>
  </si>
  <si>
    <t>Curcuma moulu</t>
  </si>
  <si>
    <t>80g</t>
  </si>
  <si>
    <t>Curcuma poudre</t>
  </si>
  <si>
    <t>Le Comptoir Colonial</t>
  </si>
  <si>
    <t>Curry poudre</t>
  </si>
  <si>
    <t>45g</t>
  </si>
  <si>
    <t>Curry Madras</t>
  </si>
  <si>
    <t>Curry Madras fort</t>
  </si>
  <si>
    <t>Curry Madras en poudre</t>
  </si>
  <si>
    <t>Tandoori</t>
  </si>
  <si>
    <t>39g</t>
  </si>
  <si>
    <t>Tandoori Masala</t>
  </si>
  <si>
    <t>Epices viandes rouges</t>
  </si>
  <si>
    <t>Gingembre sec</t>
  </si>
  <si>
    <t>Gingembre poudre</t>
  </si>
  <si>
    <t>Gingembre moulu</t>
  </si>
  <si>
    <t>Herbes de Provence</t>
  </si>
  <si>
    <t>20g</t>
  </si>
  <si>
    <t>25g</t>
  </si>
  <si>
    <t>Le champ de l'air</t>
  </si>
  <si>
    <t>L'Incroyable Ketchup</t>
  </si>
  <si>
    <t>Quintesens</t>
  </si>
  <si>
    <t>280g</t>
  </si>
  <si>
    <t>Emilien</t>
  </si>
  <si>
    <t>360g</t>
  </si>
  <si>
    <t>Ketchup sucre canne squeezer bio</t>
  </si>
  <si>
    <t>Secrets du Midi</t>
  </si>
  <si>
    <t>340g</t>
  </si>
  <si>
    <t>Heinz</t>
  </si>
  <si>
    <t>Ketchup artisanal bio</t>
  </si>
  <si>
    <t>250g</t>
  </si>
  <si>
    <t>Moutarde à l'ancienne aux graines françaises</t>
  </si>
  <si>
    <t>Bioster</t>
  </si>
  <si>
    <t>200g</t>
  </si>
  <si>
    <t>Amora</t>
  </si>
  <si>
    <t>370g</t>
  </si>
  <si>
    <t>Delouis</t>
  </si>
  <si>
    <t>260g</t>
  </si>
  <si>
    <t>Paprika doux en poudre</t>
  </si>
  <si>
    <t>Paprika doux</t>
  </si>
  <si>
    <t>laplantation</t>
  </si>
  <si>
    <t>Aromandise</t>
  </si>
  <si>
    <t>Sirop aux fleurs</t>
  </si>
  <si>
    <t>Sirop hibiscus</t>
  </si>
  <si>
    <t>Maison Meneau</t>
  </si>
  <si>
    <t>50cl</t>
  </si>
  <si>
    <t>Sirop de fleur de sureau</t>
  </si>
  <si>
    <t>Teisseire</t>
  </si>
  <si>
    <t>Sirop de violette</t>
  </si>
  <si>
    <t>Kombucha basilic bio</t>
  </si>
  <si>
    <t>Elixia</t>
  </si>
  <si>
    <t>75cl</t>
  </si>
  <si>
    <t>Monin</t>
  </si>
  <si>
    <t>Sirop de basilic bio</t>
  </si>
  <si>
    <t>Meneau</t>
  </si>
  <si>
    <t>Sirop de menthe au sucre de canne</t>
  </si>
  <si>
    <t>1L</t>
  </si>
  <si>
    <t>70cl</t>
  </si>
  <si>
    <t>Les sirops du barbu</t>
  </si>
  <si>
    <t>Sirop de thym bio</t>
  </si>
  <si>
    <t>Sirop d'hibiscus bio</t>
  </si>
  <si>
    <t>Sirop à l'hibiscus bio</t>
  </si>
  <si>
    <t>Fleurs d'hibiscus bio</t>
  </si>
  <si>
    <t>Cook - Herbier de France</t>
  </si>
  <si>
    <t>Sucre aux fleurs</t>
  </si>
  <si>
    <t>Sucre fleur de Coco complet</t>
  </si>
  <si>
    <t>Biosagesse</t>
  </si>
  <si>
    <t>vrac</t>
  </si>
  <si>
    <t>Sucre de fleur de coco</t>
  </si>
  <si>
    <t>Alter Eco</t>
  </si>
  <si>
    <t>150g</t>
  </si>
  <si>
    <t>60ml</t>
  </si>
  <si>
    <t>Tabasco Cayenne Garlic Pepper Sauce</t>
  </si>
  <si>
    <t>Tabasco</t>
  </si>
  <si>
    <t>Le comptoir du piment</t>
  </si>
  <si>
    <t>50ml</t>
  </si>
  <si>
    <t>Sauce Jalapeño verte bio</t>
  </si>
  <si>
    <t>Tabasco Jalapeño Green Pepper Sauce</t>
  </si>
  <si>
    <t>Sauce Jalapeño verte artisanale bio</t>
  </si>
  <si>
    <t>Tabasco Original Red Sauce</t>
  </si>
  <si>
    <t>Le Comptoir du Piment</t>
  </si>
  <si>
    <t>Vinaigre de Cidre Bio</t>
  </si>
  <si>
    <t>Côteaux Nantais</t>
  </si>
  <si>
    <t>Vinaigre de Cidre</t>
  </si>
  <si>
    <t>Jardin Bio</t>
  </si>
  <si>
    <t>Vinaigre de Cidre Artisanal Bio</t>
  </si>
  <si>
    <t>Les Vergers de la Silve</t>
  </si>
  <si>
    <t>Vinaigre Larzamique à la Fleur de Sureau Bio</t>
  </si>
  <si>
    <t>Aromatiques du Larzac</t>
  </si>
  <si>
    <t>25cl</t>
  </si>
  <si>
    <t>Vinaigre de Sureau Bio</t>
  </si>
  <si>
    <t>Vinaigre de Sureau Artisanal Bio</t>
  </si>
  <si>
    <t>La Maison du Sureau</t>
  </si>
  <si>
    <t>27g</t>
  </si>
  <si>
    <t>Zaatar Artisanal Bio</t>
  </si>
  <si>
    <t>internet BIO</t>
  </si>
  <si>
    <t>Herbes de Provence Bio</t>
  </si>
  <si>
    <t>placedesepices.com</t>
  </si>
  <si>
    <t>Total (kg)</t>
  </si>
  <si>
    <t>Revenue brut</t>
  </si>
  <si>
    <t>Packaging</t>
  </si>
  <si>
    <t>Packaging/Unit</t>
  </si>
  <si>
    <t>PV/kg frais</t>
  </si>
  <si>
    <t>Colonne2</t>
  </si>
  <si>
    <t>Colonne3</t>
  </si>
  <si>
    <t>Colonne4</t>
  </si>
  <si>
    <t>Cornichon</t>
  </si>
  <si>
    <t>Kimchi</t>
  </si>
  <si>
    <t>Logs</t>
  </si>
  <si>
    <t>annee</t>
  </si>
  <si>
    <t>prod</t>
  </si>
  <si>
    <t>recetteProportion</t>
  </si>
  <si>
    <t>productionInKg</t>
  </si>
  <si>
    <t>inversReductionIngredient</t>
  </si>
  <si>
    <t>finalValue</t>
  </si>
  <si>
    <t>PROD</t>
  </si>
  <si>
    <t>productionToAdd</t>
  </si>
  <si>
    <t>currentCell</t>
  </si>
  <si>
    <t>Cumin graineEpice 100ml</t>
  </si>
  <si>
    <t>Cumin mouluEpice 100ml</t>
  </si>
  <si>
    <t>CurryEpice 100ml</t>
  </si>
  <si>
    <t>GingembreEpice 100ml</t>
  </si>
  <si>
    <t>Moutarde à l'estragonMoutarde verre 212 ml</t>
  </si>
  <si>
    <t>Paprika fuméEpice 100ml</t>
  </si>
  <si>
    <t>Sirop de mentheSirop 500 ml</t>
  </si>
  <si>
    <t>Sucre aux fleuresEpice 100ml</t>
  </si>
  <si>
    <t>Ail SEC</t>
  </si>
  <si>
    <t>Carvi graineEpice 100ml</t>
  </si>
  <si>
    <t>CurcumaEpice 100ml</t>
  </si>
  <si>
    <t>Curry MadraEpice 100ml</t>
  </si>
  <si>
    <t>PaprikaEpice 100ml</t>
  </si>
  <si>
    <t>Sirop aux fleuresSirop 500 ml</t>
  </si>
  <si>
    <t>Sirop de basilicSirop 500 ml</t>
  </si>
  <si>
    <t>Sirop de thymSirop 500 ml</t>
  </si>
  <si>
    <t>Sucre à l'hibiscusEpice 200ml</t>
  </si>
  <si>
    <t>Tabasco cayenne jauneEpice 100ml</t>
  </si>
  <si>
    <t>Tabasco jalapenoEpice 100ml</t>
  </si>
  <si>
    <t>Tabasco Rouge moyenEpice 100ml</t>
  </si>
  <si>
    <t>Vinaigre du soleilVinaigre 250 ml</t>
  </si>
  <si>
    <t>Vinaigre du sureauVinaigre 250 ml</t>
  </si>
  <si>
    <t>ZaatarEpice 100ml</t>
  </si>
  <si>
    <t>Tabasco violet fortEpice 100ml</t>
  </si>
  <si>
    <t>Garam maslaEpice 100ml</t>
  </si>
  <si>
    <t>Nuoc chanEpice 100ml</t>
  </si>
  <si>
    <t>Panch phoronEpice 100ml</t>
  </si>
  <si>
    <t>Pâte vindalooEpice 100ml</t>
  </si>
  <si>
    <t>Quatre épicesEpice 100ml</t>
  </si>
  <si>
    <t>Ras el hanoutEpice 100ml</t>
  </si>
  <si>
    <t>Sans selEpice 100ml</t>
  </si>
  <si>
    <t>Shichimi togarashiEpice 100ml</t>
  </si>
  <si>
    <t>SriratchaEpice 100ml</t>
  </si>
  <si>
    <t>Steak de MontréalEpice 100ml</t>
  </si>
  <si>
    <t>Suya ghanéenEpice 100ml</t>
  </si>
  <si>
    <t>Tabel ou Tabil tunisienEpice 100ml</t>
  </si>
  <si>
    <t>TakliaEpice 100ml</t>
  </si>
  <si>
    <t>Timur ko chhopEpice 100ml</t>
  </si>
  <si>
    <t>Vindaloo masalaEpice 100ml</t>
  </si>
  <si>
    <t>ZhugEpice 100ml</t>
  </si>
  <si>
    <t>cumin noir</t>
  </si>
  <si>
    <t xml:space="preserve">Sucre blanc </t>
  </si>
  <si>
    <t>Camomille romaine SEC</t>
  </si>
  <si>
    <t>La pensée SEC</t>
  </si>
  <si>
    <t>Total (kg) N1</t>
  </si>
  <si>
    <t>Cornichons aigres-douxCornichon doux</t>
  </si>
  <si>
    <t>Ail semouleEpice 100ml</t>
  </si>
  <si>
    <t>Poids (g) / unite</t>
  </si>
  <si>
    <t>Packaging / unite</t>
  </si>
  <si>
    <t>Objectif de vente en unite N1</t>
  </si>
  <si>
    <t>Objectif de vente en unite N2</t>
  </si>
  <si>
    <t>Achat plante / kg de melange N2</t>
  </si>
  <si>
    <t>Objectif de vente en unite N3</t>
  </si>
  <si>
    <t>Achat plante / kg de melange N3</t>
  </si>
  <si>
    <t>Objectif de vente en unite N4</t>
  </si>
  <si>
    <t>Achat plante / kg de melange N4</t>
  </si>
  <si>
    <t>Objectif de vente en unite N5</t>
  </si>
  <si>
    <t>Achat plante / kg de melange N5</t>
  </si>
  <si>
    <t>Objectif de vente en unite N6</t>
  </si>
  <si>
    <t>Achat plante / kg de melange N6</t>
  </si>
  <si>
    <t>Objectif de vente en unite N7</t>
  </si>
  <si>
    <t>Achat plante / kg de melange N7</t>
  </si>
  <si>
    <t>Objectif de vente en unite N8</t>
  </si>
  <si>
    <t>Achat plante / kg de melange N8</t>
  </si>
  <si>
    <t>Objectif de vente en unite N9</t>
  </si>
  <si>
    <t>Achat plante / kg de melange N9</t>
  </si>
  <si>
    <t>epices viandes rouges</t>
  </si>
  <si>
    <t>Paprika fume</t>
  </si>
  <si>
    <t>epices tandoori</t>
  </si>
  <si>
    <t>epices cajun</t>
  </si>
  <si>
    <t>epices pour marinade</t>
  </si>
  <si>
    <t>epices poissons et fruits de mer</t>
  </si>
  <si>
    <t>Suya ghaneen</t>
  </si>
  <si>
    <t>Steak de Montreal</t>
  </si>
  <si>
    <t>epices guacamole</t>
  </si>
  <si>
    <t>Quatre epices</t>
  </si>
  <si>
    <t>anis etoile</t>
  </si>
  <si>
    <t>https://vracbio.com/products/anis etoile-anis-etoile-bio-en-vrac?variant=31584511361139&amp;currency=EUR&amp;utm_medium=product_sync&amp;utm_source=google&amp;utm_content=sag_organic&amp;utm_campaign=sag_organic&amp;utm_campaign=gs-2020-05-12&amp;utm_source=google&amp;utm_medium=smart_campaign&amp;gad_source=1&amp;gclid=Cj0KCQjwwMqvBhCtARIsAIXsZpbzhzDINtZH-k_NigcEf1sWrPuGZLuWxNXCpnF2Jb13CK9238FySTMaAgwfEALw_wcB</t>
  </si>
  <si>
    <t>cacahuètes grillees</t>
  </si>
  <si>
    <t>celeri</t>
  </si>
  <si>
    <t>celeri en poudre</t>
  </si>
  <si>
    <t>chenpi (peau de mandarine sechee)</t>
  </si>
  <si>
    <t>feuille de 4 epices</t>
  </si>
  <si>
    <t>graine de sesame</t>
  </si>
  <si>
    <t>helichryse</t>
  </si>
  <si>
    <t>hemerocalle</t>
  </si>
  <si>
    <t>huile de sesame grille</t>
  </si>
  <si>
    <t>pensee</t>
  </si>
  <si>
    <t>melilot</t>
  </si>
  <si>
    <t>pelargonium geranium</t>
  </si>
  <si>
    <t>petale de rose</t>
  </si>
  <si>
    <t>quatre epices</t>
  </si>
  <si>
    <t>graines de sesame</t>
  </si>
  <si>
    <t>zeste d’orange seche</t>
  </si>
  <si>
    <t>poids / unite</t>
  </si>
  <si>
    <t>kg / annee 1</t>
  </si>
  <si>
    <t>kg / annee 2</t>
  </si>
  <si>
    <t>kg / annee 3</t>
  </si>
  <si>
    <t>kg / annee 4</t>
  </si>
  <si>
    <t>kg / annee 5</t>
  </si>
  <si>
    <t>kg / annee 6</t>
  </si>
  <si>
    <t>kg / annee 7</t>
  </si>
  <si>
    <t>kg / annee 8</t>
  </si>
  <si>
    <t>kg / annee 9</t>
  </si>
  <si>
    <t>egypte</t>
  </si>
  <si>
    <t>Peninsule Arabique</t>
  </si>
  <si>
    <t>Oignon Seche</t>
  </si>
  <si>
    <t>Piments Rouge Seches</t>
  </si>
  <si>
    <t>½ Feuille D’Algue Nori Sechee</t>
  </si>
  <si>
    <t>Sesame</t>
  </si>
  <si>
    <t>Pelargonium SEC (Geranium)</t>
  </si>
  <si>
    <t>La Pensee SEC</t>
  </si>
  <si>
    <t>Hemerocalle SEC</t>
  </si>
  <si>
    <t>annee 1</t>
  </si>
  <si>
    <t>annee 2</t>
  </si>
  <si>
    <t>annee 3</t>
  </si>
  <si>
    <t>annee 4</t>
  </si>
  <si>
    <t>annee 6</t>
  </si>
  <si>
    <t>annee 7</t>
  </si>
  <si>
    <t>annee 8</t>
  </si>
  <si>
    <t>annee 9</t>
  </si>
  <si>
    <t>Melange d'epices Advieh Bio</t>
  </si>
  <si>
    <t>Melange d'epices persan Advieh</t>
  </si>
  <si>
    <t>Melange d'epices Baharat Bio</t>
  </si>
  <si>
    <t>Cumin graine eco-recharge</t>
  </si>
  <si>
    <t>epices Tandoori</t>
  </si>
  <si>
    <t>Melange epices viandes rouges</t>
  </si>
  <si>
    <t>Melange d'epices pour viandes rouges</t>
  </si>
  <si>
    <t>Melange epices grillades viandes rouges</t>
  </si>
  <si>
    <t>Ketchup tomate sans sucre ajoute</t>
  </si>
  <si>
    <t>Bio Loire Ocean</t>
  </si>
  <si>
    <t>epicerie de Provence</t>
  </si>
  <si>
    <t>Sauce pimentee à base de Cayenne et Ail</t>
  </si>
  <si>
    <t>Sauce pimentee artisanale à base de Cayenne et Ail</t>
  </si>
  <si>
    <t>Sauce pimentee rouge bio</t>
  </si>
  <si>
    <t>Sauce pimentee artisanale rouge bio</t>
  </si>
  <si>
    <t>Sauce pimentee bio</t>
  </si>
  <si>
    <t>Sauce pimentee artisanale bio</t>
  </si>
  <si>
    <t>Baiser Acidule</t>
  </si>
  <si>
    <t>Melange Zaatar Bio</t>
  </si>
  <si>
    <t>Melange Zaatar</t>
  </si>
  <si>
    <t>Objectif en unite</t>
  </si>
  <si>
    <t>poids/unite (g)</t>
  </si>
  <si>
    <t>Oigon seche</t>
  </si>
  <si>
    <t>epices viandes rougesEpice 100ml</t>
  </si>
  <si>
    <t>Paprika fumeEpice 100ml</t>
  </si>
  <si>
    <t>epices tandooriEpice 100ml</t>
  </si>
  <si>
    <t>Choucroute</t>
  </si>
  <si>
    <t>choux</t>
  </si>
  <si>
    <t>Choux</t>
  </si>
  <si>
    <t>https://esytube.com/fr/products/50-ml-kraft-push-up-paper-deodorant-tube?variant=42952838250665</t>
  </si>
  <si>
    <t>Tube kraft 50ml</t>
  </si>
  <si>
    <t>Ail Sec</t>
  </si>
  <si>
    <t>Quatre Épices</t>
  </si>
  <si>
    <t>Chenpi (Peau De Mandarine Séchée)</t>
  </si>
  <si>
    <t>Céleri En Poudre</t>
  </si>
  <si>
    <t>Feuille De 4 Épices</t>
  </si>
  <si>
    <t>Graines De Sésame</t>
  </si>
  <si>
    <t>Hélichryse</t>
  </si>
  <si>
    <t>Pelargonium Sec (Géranium)</t>
  </si>
  <si>
    <t>Pelargonium (Géranium)</t>
  </si>
  <si>
    <t>La Pensée Sec</t>
  </si>
  <si>
    <t>Fleure Helichrysum 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</si>
</sst>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#,##0.00\ &quot;€&quot;_);[Red]\(#,##0.00\ &quot;€&quot;\)"/>
    <numFmt numFmtId="44" formatCode="_ * #,##0.00_)\ &quot;€&quot;_ ;_ * \(#,##0.00\)\ &quot;€&quot;_ ;_ * &quot;-&quot;??_)\ &quot;€&quot;_ ;_ @_ "/>
    <numFmt numFmtId="164" formatCode="0.0"/>
    <numFmt numFmtId="165" formatCode="_-* #,##0.00\ [$€-40C]_-;\-* #,##0.00\ [$€-40C]_-;_-* &quot;-&quot;??\ [$€-40C]_-;_-@_-"/>
    <numFmt numFmtId="166" formatCode="_-* #,##0\ [$€-40C]_-;\-* #,##0\ [$€-40C]_-;_-* &quot;-&quot;??\ [$€-40C]_-;_-@_-"/>
  </numFmts>
  <fonts count="2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2"/>
      <color theme="1" tint="0.1499984740745262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2"/>
      <name val="Aptos Narrow"/>
      <scheme val="minor"/>
    </font>
    <font>
      <b/>
      <sz val="12"/>
      <color theme="1"/>
      <name val="Aptos Narrow"/>
      <scheme val="minor"/>
    </font>
    <font>
      <sz val="12"/>
      <color rgb="FF010101"/>
      <name val="Aptos Narrow"/>
      <family val="2"/>
      <scheme val="minor"/>
    </font>
    <font>
      <sz val="12"/>
      <color rgb="FF010101"/>
      <name val="Helvetica Neue"/>
      <family val="2"/>
    </font>
    <font>
      <b/>
      <sz val="12"/>
      <color rgb="FF010101"/>
      <name val="Aptos Narrow"/>
      <scheme val="minor"/>
    </font>
    <font>
      <sz val="12"/>
      <color theme="1"/>
      <name val="Aptos Narrow"/>
      <scheme val="minor"/>
    </font>
    <font>
      <sz val="12"/>
      <color rgb="FF010101"/>
      <name val="Aptos Narrow"/>
      <scheme val="minor"/>
    </font>
    <font>
      <sz val="12"/>
      <color theme="0"/>
      <name val="Aptos Narrow"/>
      <scheme val="minor"/>
    </font>
    <font>
      <sz val="12"/>
      <color rgb="FF000000"/>
      <name val="Aptos"/>
    </font>
    <font>
      <sz val="12"/>
      <color rgb="FF000000"/>
      <name val="Aptos Narrow"/>
    </font>
    <font>
      <sz val="12"/>
      <color theme="0"/>
      <name val="Aptos Narrow"/>
      <family val="2"/>
      <scheme val="minor"/>
    </font>
  </fonts>
  <fills count="204">
    <fill>
      <patternFill patternType="none"/>
    </fill>
    <fill>
      <patternFill patternType="gray125"/>
    </fill>
    <fill>
      <patternFill patternType="solid">
        <fgColor rgb="FFFFFD78"/>
        <bgColor indexed="64"/>
      </patternFill>
    </fill>
    <fill>
      <patternFill patternType="solid">
        <fgColor rgb="FFD5FC79"/>
        <bgColor indexed="64"/>
      </patternFill>
    </fill>
    <fill>
      <patternFill patternType="solid">
        <fgColor rgb="FFD883FF"/>
        <bgColor indexed="64"/>
      </patternFill>
    </fill>
    <fill>
      <patternFill patternType="solid">
        <fgColor rgb="FFFFD579"/>
        <bgColor indexed="64"/>
      </patternFill>
    </fill>
    <fill>
      <patternFill patternType="solid">
        <fgColor rgb="FF76D6FF"/>
        <bgColor indexed="64"/>
      </patternFill>
    </fill>
    <fill>
      <patternFill patternType="solid">
        <fgColor rgb="FF73FDD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0"/>
        <bgColor indexed="64"/>
      </patternFill>
    </fill>
    <fill>
      <patternFill patternType="solid">
        <fgColor rgb="FF73FEFF"/>
        <bgColor indexed="64"/>
      </patternFill>
    </fill>
    <fill>
      <patternFill patternType="solid">
        <fgColor rgb="FFFF8AD8"/>
        <bgColor indexed="64"/>
      </patternFill>
    </fill>
    <fill>
      <patternFill patternType="solid">
        <fgColor rgb="FFE19CAD"/>
        <bgColor indexed="64"/>
      </patternFill>
    </fill>
    <fill>
      <patternFill patternType="solid">
        <fgColor rgb="FFF8C3FB"/>
        <bgColor indexed="64"/>
      </patternFill>
    </fill>
    <fill>
      <patternFill patternType="solid">
        <fgColor rgb="FFFBD4AC"/>
        <bgColor indexed="64"/>
      </patternFill>
    </fill>
    <fill>
      <patternFill patternType="solid">
        <fgColor rgb="FFF8B5C6"/>
        <bgColor indexed="64"/>
      </patternFill>
    </fill>
    <fill>
      <patternFill patternType="solid">
        <fgColor rgb="FF9DB9DA"/>
        <bgColor indexed="64"/>
      </patternFill>
    </fill>
    <fill>
      <patternFill patternType="solid">
        <fgColor rgb="FFE1B4C7"/>
        <bgColor indexed="64"/>
      </patternFill>
    </fill>
    <fill>
      <patternFill patternType="solid">
        <fgColor rgb="FFE9AFA1"/>
        <bgColor indexed="64"/>
      </patternFill>
    </fill>
    <fill>
      <patternFill patternType="solid">
        <fgColor rgb="FFEBCEC1"/>
        <bgColor indexed="64"/>
      </patternFill>
    </fill>
    <fill>
      <patternFill patternType="solid">
        <fgColor rgb="FFF4C1D5"/>
        <bgColor indexed="64"/>
      </patternFill>
    </fill>
    <fill>
      <patternFill patternType="solid">
        <fgColor rgb="FFDDBDB2"/>
        <bgColor indexed="64"/>
      </patternFill>
    </fill>
    <fill>
      <patternFill patternType="solid">
        <fgColor rgb="FFECACA9"/>
        <bgColor indexed="64"/>
      </patternFill>
    </fill>
    <fill>
      <patternFill patternType="solid">
        <fgColor rgb="FF9EC8D2"/>
        <bgColor indexed="64"/>
      </patternFill>
    </fill>
    <fill>
      <patternFill patternType="solid">
        <fgColor rgb="FFE3BEC9"/>
        <bgColor indexed="64"/>
      </patternFill>
    </fill>
    <fill>
      <patternFill patternType="solid">
        <fgColor rgb="FFE6A9A2"/>
        <bgColor indexed="64"/>
      </patternFill>
    </fill>
    <fill>
      <patternFill patternType="solid">
        <fgColor rgb="FFA8AFB8"/>
        <bgColor indexed="64"/>
      </patternFill>
    </fill>
    <fill>
      <patternFill patternType="solid">
        <fgColor rgb="FFDFB8AC"/>
        <bgColor indexed="64"/>
      </patternFill>
    </fill>
    <fill>
      <patternFill patternType="solid">
        <fgColor rgb="FFDFB5C5"/>
        <bgColor indexed="64"/>
      </patternFill>
    </fill>
    <fill>
      <patternFill patternType="solid">
        <fgColor rgb="FFE7B1AB"/>
        <bgColor indexed="64"/>
      </patternFill>
    </fill>
    <fill>
      <patternFill patternType="solid">
        <fgColor rgb="FFF8C9E5"/>
        <bgColor indexed="64"/>
      </patternFill>
    </fill>
    <fill>
      <patternFill patternType="solid">
        <fgColor rgb="FFEEC6B7"/>
        <bgColor indexed="64"/>
      </patternFill>
    </fill>
    <fill>
      <patternFill patternType="solid">
        <fgColor rgb="FFE8DFE5"/>
        <bgColor indexed="64"/>
      </patternFill>
    </fill>
    <fill>
      <patternFill patternType="solid">
        <fgColor rgb="FFE5A6D8"/>
        <bgColor indexed="64"/>
      </patternFill>
    </fill>
    <fill>
      <patternFill patternType="solid">
        <fgColor rgb="FFF09ED8"/>
        <bgColor indexed="64"/>
      </patternFill>
    </fill>
    <fill>
      <patternFill patternType="solid">
        <fgColor rgb="FFF79DA2"/>
        <bgColor indexed="64"/>
      </patternFill>
    </fill>
    <fill>
      <patternFill patternType="solid">
        <fgColor rgb="FFE3AFAE"/>
        <bgColor indexed="64"/>
      </patternFill>
    </fill>
    <fill>
      <patternFill patternType="solid">
        <fgColor rgb="FFF2DAC1"/>
        <bgColor indexed="64"/>
      </patternFill>
    </fill>
    <fill>
      <patternFill patternType="solid">
        <fgColor rgb="FFE8A7B8"/>
        <bgColor indexed="64"/>
      </patternFill>
    </fill>
    <fill>
      <patternFill patternType="solid">
        <fgColor rgb="FFE09DAE"/>
        <bgColor indexed="64"/>
      </patternFill>
    </fill>
    <fill>
      <patternFill patternType="solid">
        <fgColor rgb="FFFEADFE"/>
        <bgColor indexed="64"/>
      </patternFill>
    </fill>
    <fill>
      <patternFill patternType="solid">
        <fgColor rgb="FFECE8F0"/>
        <bgColor indexed="64"/>
      </patternFill>
    </fill>
    <fill>
      <patternFill patternType="solid">
        <fgColor rgb="FFC5A8D1"/>
        <bgColor indexed="64"/>
      </patternFill>
    </fill>
    <fill>
      <patternFill patternType="solid">
        <fgColor rgb="FFE5A0BC"/>
        <bgColor indexed="64"/>
      </patternFill>
    </fill>
    <fill>
      <patternFill patternType="solid">
        <fgColor rgb="FFE8D0ED"/>
        <bgColor indexed="64"/>
      </patternFill>
    </fill>
    <fill>
      <patternFill patternType="solid">
        <fgColor rgb="FFECC9A5"/>
        <bgColor indexed="64"/>
      </patternFill>
    </fill>
    <fill>
      <patternFill patternType="solid">
        <fgColor rgb="FFA0ABD0"/>
        <bgColor indexed="64"/>
      </patternFill>
    </fill>
    <fill>
      <patternFill patternType="solid">
        <fgColor rgb="FFF99DAE"/>
        <bgColor indexed="64"/>
      </patternFill>
    </fill>
    <fill>
      <patternFill patternType="solid">
        <fgColor rgb="FFA3C6B0"/>
        <bgColor indexed="64"/>
      </patternFill>
    </fill>
    <fill>
      <patternFill patternType="solid">
        <fgColor rgb="FFEEF2C8"/>
        <bgColor indexed="64"/>
      </patternFill>
    </fill>
    <fill>
      <patternFill patternType="solid">
        <fgColor rgb="FFBDE3A6"/>
        <bgColor indexed="64"/>
      </patternFill>
    </fill>
    <fill>
      <patternFill patternType="solid">
        <fgColor rgb="FFD3A8C0"/>
        <bgColor indexed="64"/>
      </patternFill>
    </fill>
    <fill>
      <patternFill patternType="solid">
        <fgColor rgb="FFFEB8B4"/>
        <bgColor indexed="64"/>
      </patternFill>
    </fill>
    <fill>
      <patternFill patternType="solid">
        <fgColor rgb="FFAEC5C5"/>
        <bgColor indexed="64"/>
      </patternFill>
    </fill>
    <fill>
      <patternFill patternType="solid">
        <fgColor rgb="FFFBAAB0"/>
        <bgColor indexed="64"/>
      </patternFill>
    </fill>
    <fill>
      <patternFill patternType="solid">
        <fgColor rgb="FFE1CCAC"/>
        <bgColor indexed="64"/>
      </patternFill>
    </fill>
    <fill>
      <patternFill patternType="solid">
        <fgColor rgb="FFB5CABD"/>
        <bgColor indexed="64"/>
      </patternFill>
    </fill>
    <fill>
      <patternFill patternType="solid">
        <fgColor rgb="FFCBF6FA"/>
        <bgColor indexed="64"/>
      </patternFill>
    </fill>
    <fill>
      <patternFill patternType="solid">
        <fgColor rgb="FF9CD0A5"/>
        <bgColor indexed="64"/>
      </patternFill>
    </fill>
    <fill>
      <patternFill patternType="solid">
        <fgColor rgb="FFAAA9F7"/>
        <bgColor indexed="64"/>
      </patternFill>
    </fill>
    <fill>
      <patternFill patternType="solid">
        <fgColor rgb="FF9BEDE0"/>
        <bgColor indexed="64"/>
      </patternFill>
    </fill>
    <fill>
      <patternFill patternType="solid">
        <fgColor rgb="FFA2D6A2"/>
        <bgColor indexed="64"/>
      </patternFill>
    </fill>
    <fill>
      <patternFill patternType="solid">
        <fgColor rgb="FFADBDE8"/>
        <bgColor indexed="64"/>
      </patternFill>
    </fill>
    <fill>
      <patternFill patternType="solid">
        <fgColor rgb="FF9EADDC"/>
        <bgColor indexed="64"/>
      </patternFill>
    </fill>
    <fill>
      <patternFill patternType="solid">
        <fgColor rgb="FFA1F9FC"/>
        <bgColor indexed="64"/>
      </patternFill>
    </fill>
    <fill>
      <patternFill patternType="solid">
        <fgColor rgb="FFF59FAC"/>
        <bgColor indexed="64"/>
      </patternFill>
    </fill>
    <fill>
      <patternFill patternType="solid">
        <fgColor rgb="FFFCA09B"/>
        <bgColor indexed="64"/>
      </patternFill>
    </fill>
    <fill>
      <patternFill patternType="solid">
        <fgColor rgb="FFD3A3A4"/>
        <bgColor indexed="64"/>
      </patternFill>
    </fill>
    <fill>
      <patternFill patternType="solid">
        <fgColor rgb="FF9CB5FE"/>
        <bgColor indexed="64"/>
      </patternFill>
    </fill>
    <fill>
      <patternFill patternType="solid">
        <fgColor rgb="FFBFD0CF"/>
        <bgColor indexed="64"/>
      </patternFill>
    </fill>
    <fill>
      <patternFill patternType="solid">
        <fgColor rgb="FFAABAFD"/>
        <bgColor indexed="64"/>
      </patternFill>
    </fill>
    <fill>
      <patternFill patternType="solid">
        <fgColor rgb="FF9EA0AF"/>
        <bgColor indexed="64"/>
      </patternFill>
    </fill>
    <fill>
      <patternFill patternType="solid">
        <fgColor rgb="FFA1BDBF"/>
        <bgColor indexed="64"/>
      </patternFill>
    </fill>
    <fill>
      <patternFill patternType="solid">
        <fgColor rgb="FFE7FBB8"/>
        <bgColor indexed="64"/>
      </patternFill>
    </fill>
    <fill>
      <patternFill patternType="solid">
        <fgColor rgb="FFACFDAD"/>
        <bgColor indexed="64"/>
      </patternFill>
    </fill>
    <fill>
      <patternFill patternType="solid">
        <fgColor rgb="FFA9FCAA"/>
        <bgColor indexed="64"/>
      </patternFill>
    </fill>
    <fill>
      <patternFill patternType="solid">
        <fgColor rgb="FFAAFED6"/>
        <bgColor indexed="64"/>
      </patternFill>
    </fill>
    <fill>
      <patternFill patternType="solid">
        <fgColor rgb="FFD9BBB2"/>
        <bgColor indexed="64"/>
      </patternFill>
    </fill>
    <fill>
      <patternFill patternType="solid">
        <fgColor rgb="FFD6BDB6"/>
        <bgColor indexed="64"/>
      </patternFill>
    </fill>
    <fill>
      <patternFill patternType="solid">
        <fgColor rgb="FFB9BAFC"/>
        <bgColor indexed="64"/>
      </patternFill>
    </fill>
    <fill>
      <patternFill patternType="solid">
        <fgColor rgb="FFD8B8BD"/>
        <bgColor indexed="64"/>
      </patternFill>
    </fill>
    <fill>
      <patternFill patternType="solid">
        <fgColor rgb="FFBCB9CC"/>
        <bgColor indexed="64"/>
      </patternFill>
    </fill>
    <fill>
      <patternFill patternType="solid">
        <fgColor rgb="FFFDBDB2"/>
        <bgColor indexed="64"/>
      </patternFill>
    </fill>
    <fill>
      <patternFill patternType="solid">
        <fgColor rgb="FFB9B6A2"/>
        <bgColor indexed="64"/>
      </patternFill>
    </fill>
    <fill>
      <patternFill patternType="solid">
        <fgColor rgb="FFAEA09E"/>
        <bgColor indexed="64"/>
      </patternFill>
    </fill>
    <fill>
      <patternFill patternType="solid">
        <fgColor rgb="FFCCE3CE"/>
        <bgColor indexed="64"/>
      </patternFill>
    </fill>
    <fill>
      <patternFill patternType="solid">
        <fgColor rgb="FF9FAFAE"/>
        <bgColor indexed="64"/>
      </patternFill>
    </fill>
    <fill>
      <patternFill patternType="solid">
        <fgColor rgb="FFCCB7AA"/>
        <bgColor indexed="64"/>
      </patternFill>
    </fill>
    <fill>
      <patternFill patternType="solid">
        <fgColor rgb="FFF1C1BF"/>
        <bgColor indexed="64"/>
      </patternFill>
    </fill>
    <fill>
      <patternFill patternType="solid">
        <fgColor rgb="FFFABD9E"/>
        <bgColor indexed="64"/>
      </patternFill>
    </fill>
    <fill>
      <patternFill patternType="solid">
        <fgColor rgb="FFF1C4FB"/>
        <bgColor indexed="64"/>
      </patternFill>
    </fill>
    <fill>
      <patternFill patternType="solid">
        <fgColor rgb="FFF2C0AC"/>
        <bgColor indexed="64"/>
      </patternFill>
    </fill>
    <fill>
      <patternFill patternType="solid">
        <fgColor rgb="FFFBC79E"/>
        <bgColor indexed="64"/>
      </patternFill>
    </fill>
    <fill>
      <patternFill patternType="solid">
        <fgColor rgb="FF9ECCA2"/>
        <bgColor indexed="64"/>
      </patternFill>
    </fill>
    <fill>
      <patternFill patternType="solid">
        <fgColor rgb="FFC3E4AE"/>
        <bgColor indexed="64"/>
      </patternFill>
    </fill>
    <fill>
      <patternFill patternType="solid">
        <fgColor rgb="FFEEBEA7"/>
        <bgColor indexed="64"/>
      </patternFill>
    </fill>
    <fill>
      <patternFill patternType="solid">
        <fgColor rgb="FFF2BFCD"/>
        <bgColor indexed="64"/>
      </patternFill>
    </fill>
    <fill>
      <patternFill patternType="solid">
        <fgColor rgb="FFD8B9A7"/>
        <bgColor indexed="64"/>
      </patternFill>
    </fill>
    <fill>
      <patternFill patternType="solid">
        <fgColor rgb="FFF4EFCA"/>
        <bgColor indexed="64"/>
      </patternFill>
    </fill>
    <fill>
      <patternFill patternType="solid">
        <fgColor rgb="FFB2D9B6"/>
        <bgColor indexed="64"/>
      </patternFill>
    </fill>
    <fill>
      <patternFill patternType="solid">
        <fgColor rgb="FFD8C3A2"/>
        <bgColor indexed="64"/>
      </patternFill>
    </fill>
    <fill>
      <patternFill patternType="solid">
        <fgColor rgb="FFA4FDAC"/>
        <bgColor indexed="64"/>
      </patternFill>
    </fill>
    <fill>
      <patternFill patternType="solid">
        <fgColor rgb="FF9CC1AA"/>
        <bgColor indexed="64"/>
      </patternFill>
    </fill>
    <fill>
      <patternFill patternType="solid">
        <fgColor rgb="FFA0A2AD"/>
        <bgColor indexed="64"/>
      </patternFill>
    </fill>
    <fill>
      <patternFill patternType="solid">
        <fgColor rgb="FFA9FCFE"/>
        <bgColor indexed="64"/>
      </patternFill>
    </fill>
    <fill>
      <patternFill patternType="solid">
        <fgColor rgb="FFE2C2A7"/>
        <bgColor indexed="64"/>
      </patternFill>
    </fill>
    <fill>
      <patternFill patternType="solid">
        <fgColor rgb="FFA3A9AA"/>
        <bgColor indexed="64"/>
      </patternFill>
    </fill>
    <fill>
      <patternFill patternType="solid">
        <fgColor rgb="FFC4A7B0"/>
        <bgColor indexed="64"/>
      </patternFill>
    </fill>
    <fill>
      <patternFill patternType="solid">
        <fgColor rgb="FFB0AB9E"/>
        <bgColor indexed="64"/>
      </patternFill>
    </fill>
    <fill>
      <patternFill patternType="solid">
        <fgColor rgb="FFA9A6A0"/>
        <bgColor indexed="64"/>
      </patternFill>
    </fill>
    <fill>
      <patternFill patternType="solid">
        <fgColor rgb="FFB6A1A9"/>
        <bgColor indexed="64"/>
      </patternFill>
    </fill>
    <fill>
      <patternFill patternType="solid">
        <fgColor rgb="FFF3DBB8"/>
        <bgColor indexed="64"/>
      </patternFill>
    </fill>
    <fill>
      <patternFill patternType="solid">
        <fgColor rgb="FFB3A8ED"/>
        <bgColor indexed="64"/>
      </patternFill>
    </fill>
    <fill>
      <patternFill patternType="solid">
        <fgColor rgb="FFB4B6ED"/>
        <bgColor indexed="64"/>
      </patternFill>
    </fill>
    <fill>
      <patternFill patternType="solid">
        <fgColor rgb="FFEAC9F0"/>
        <bgColor indexed="64"/>
      </patternFill>
    </fill>
    <fill>
      <patternFill patternType="solid">
        <fgColor rgb="FFF2D3CC"/>
        <bgColor indexed="64"/>
      </patternFill>
    </fill>
    <fill>
      <patternFill patternType="solid">
        <fgColor rgb="FF9BC9C9"/>
        <bgColor indexed="64"/>
      </patternFill>
    </fill>
    <fill>
      <patternFill patternType="solid">
        <fgColor rgb="FFA2DDBB"/>
        <bgColor indexed="64"/>
      </patternFill>
    </fill>
    <fill>
      <patternFill patternType="solid">
        <fgColor rgb="FFBDDECD"/>
        <bgColor indexed="64"/>
      </patternFill>
    </fill>
    <fill>
      <patternFill patternType="solid">
        <fgColor rgb="FFEEBBFD"/>
        <bgColor indexed="64"/>
      </patternFill>
    </fill>
    <fill>
      <patternFill patternType="solid">
        <fgColor rgb="FFB8D8D6"/>
        <bgColor indexed="64"/>
      </patternFill>
    </fill>
    <fill>
      <patternFill patternType="solid">
        <fgColor rgb="FFF5C7B8"/>
        <bgColor indexed="64"/>
      </patternFill>
    </fill>
    <fill>
      <patternFill patternType="solid">
        <fgColor rgb="FF9ED5A7"/>
        <bgColor indexed="64"/>
      </patternFill>
    </fill>
    <fill>
      <patternFill patternType="solid">
        <fgColor rgb="FFF4D9B5"/>
        <bgColor indexed="64"/>
      </patternFill>
    </fill>
    <fill>
      <patternFill patternType="solid">
        <fgColor rgb="FFDEBEAC"/>
        <bgColor indexed="64"/>
      </patternFill>
    </fill>
    <fill>
      <patternFill patternType="solid">
        <fgColor rgb="FFA6B4A9"/>
        <bgColor indexed="64"/>
      </patternFill>
    </fill>
    <fill>
      <patternFill patternType="solid">
        <fgColor rgb="FFC8ADAA"/>
        <bgColor indexed="64"/>
      </patternFill>
    </fill>
    <fill>
      <patternFill patternType="solid">
        <fgColor rgb="FFB8A4D2"/>
        <bgColor indexed="64"/>
      </patternFill>
    </fill>
    <fill>
      <patternFill patternType="solid">
        <fgColor rgb="FFADFCAC"/>
        <bgColor indexed="64"/>
      </patternFill>
    </fill>
    <fill>
      <patternFill patternType="solid">
        <fgColor rgb="FFA7ACA4"/>
        <bgColor indexed="64"/>
      </patternFill>
    </fill>
    <fill>
      <patternFill patternType="solid">
        <fgColor rgb="FFAB9FB0"/>
        <bgColor indexed="64"/>
      </patternFill>
    </fill>
    <fill>
      <patternFill patternType="solid">
        <fgColor rgb="FFD9C7B0"/>
        <bgColor indexed="64"/>
      </patternFill>
    </fill>
    <fill>
      <patternFill patternType="solid">
        <fgColor rgb="FF9BD3A3"/>
        <bgColor indexed="64"/>
      </patternFill>
    </fill>
    <fill>
      <patternFill patternType="solid">
        <fgColor rgb="FFA8A59C"/>
        <bgColor indexed="64"/>
      </patternFill>
    </fill>
    <fill>
      <patternFill patternType="solid">
        <fgColor rgb="FFA7A8BB"/>
        <bgColor indexed="64"/>
      </patternFill>
    </fill>
    <fill>
      <patternFill patternType="solid">
        <fgColor rgb="FFA6A3B4"/>
        <bgColor indexed="64"/>
      </patternFill>
    </fill>
    <fill>
      <patternFill patternType="solid">
        <fgColor rgb="FFECE0CB"/>
        <bgColor indexed="64"/>
      </patternFill>
    </fill>
    <fill>
      <patternFill patternType="solid">
        <fgColor rgb="FF9CFC9B"/>
        <bgColor indexed="64"/>
      </patternFill>
    </fill>
    <fill>
      <patternFill patternType="solid">
        <fgColor rgb="FFC9A9F5"/>
        <bgColor indexed="64"/>
      </patternFill>
    </fill>
    <fill>
      <patternFill patternType="solid">
        <fgColor rgb="FFF5B3A2"/>
        <bgColor indexed="64"/>
      </patternFill>
    </fill>
    <fill>
      <patternFill patternType="solid">
        <fgColor rgb="FFB0C59E"/>
        <bgColor indexed="64"/>
      </patternFill>
    </fill>
    <fill>
      <patternFill patternType="solid">
        <fgColor rgb="FFB0A1B0"/>
        <bgColor indexed="64"/>
      </patternFill>
    </fill>
    <fill>
      <patternFill patternType="solid">
        <fgColor rgb="FFE69EA5"/>
        <bgColor indexed="64"/>
      </patternFill>
    </fill>
    <fill>
      <patternFill patternType="solid">
        <fgColor rgb="FFAFD9DD"/>
        <bgColor indexed="64"/>
      </patternFill>
    </fill>
    <fill>
      <patternFill patternType="solid">
        <fgColor rgb="FFD4CEF2"/>
        <bgColor indexed="64"/>
      </patternFill>
    </fill>
    <fill>
      <patternFill patternType="solid">
        <fgColor rgb="FFA4A09C"/>
        <bgColor indexed="64"/>
      </patternFill>
    </fill>
    <fill>
      <patternFill patternType="solid">
        <fgColor rgb="FFC9D9AF"/>
        <bgColor indexed="64"/>
      </patternFill>
    </fill>
    <fill>
      <patternFill patternType="solid">
        <fgColor rgb="FFC7ABBE"/>
        <bgColor indexed="64"/>
      </patternFill>
    </fill>
    <fill>
      <patternFill patternType="solid">
        <fgColor rgb="FFCEB99B"/>
        <bgColor indexed="64"/>
      </patternFill>
    </fill>
    <fill>
      <patternFill patternType="solid">
        <fgColor rgb="FFD6BCA9"/>
        <bgColor indexed="64"/>
      </patternFill>
    </fill>
    <fill>
      <patternFill patternType="solid">
        <fgColor rgb="FFABA8D0"/>
        <bgColor indexed="64"/>
      </patternFill>
    </fill>
    <fill>
      <patternFill patternType="solid">
        <fgColor rgb="FFDDE3A6"/>
        <bgColor indexed="64"/>
      </patternFill>
    </fill>
    <fill>
      <patternFill patternType="solid">
        <fgColor rgb="FFB8F99D"/>
        <bgColor indexed="64"/>
      </patternFill>
    </fill>
    <fill>
      <patternFill patternType="solid">
        <fgColor rgb="FFAA9C9B"/>
        <bgColor indexed="64"/>
      </patternFill>
    </fill>
    <fill>
      <patternFill patternType="solid">
        <fgColor rgb="FFCDABE2"/>
        <bgColor indexed="64"/>
      </patternFill>
    </fill>
    <fill>
      <patternFill patternType="solid">
        <fgColor rgb="FFBCA0A4"/>
        <bgColor indexed="64"/>
      </patternFill>
    </fill>
    <fill>
      <patternFill patternType="solid">
        <fgColor rgb="FFC5ACE8"/>
        <bgColor indexed="64"/>
      </patternFill>
    </fill>
    <fill>
      <patternFill patternType="solid">
        <fgColor rgb="FFE5D2FE"/>
        <bgColor indexed="64"/>
      </patternFill>
    </fill>
    <fill>
      <patternFill patternType="solid">
        <fgColor rgb="FFC7ECD7"/>
        <bgColor indexed="64"/>
      </patternFill>
    </fill>
    <fill>
      <patternFill patternType="solid">
        <fgColor rgb="FFA1B4A5"/>
        <bgColor indexed="64"/>
      </patternFill>
    </fill>
    <fill>
      <patternFill patternType="solid">
        <fgColor rgb="FFB6FCAC"/>
        <bgColor indexed="64"/>
      </patternFill>
    </fill>
    <fill>
      <patternFill patternType="solid">
        <fgColor rgb="FFABA9A9"/>
        <bgColor indexed="64"/>
      </patternFill>
    </fill>
    <fill>
      <patternFill patternType="solid">
        <fgColor rgb="FFE0B4BA"/>
        <bgColor indexed="64"/>
      </patternFill>
    </fill>
    <fill>
      <patternFill patternType="solid">
        <fgColor rgb="FFAAA49C"/>
        <bgColor indexed="64"/>
      </patternFill>
    </fill>
    <fill>
      <patternFill patternType="solid">
        <fgColor rgb="FFB6C6A5"/>
        <bgColor indexed="64"/>
      </patternFill>
    </fill>
    <fill>
      <patternFill patternType="solid">
        <fgColor rgb="FFE9D9B2"/>
        <bgColor indexed="64"/>
      </patternFill>
    </fill>
    <fill>
      <patternFill patternType="solid">
        <fgColor rgb="FFD0D0B7"/>
        <bgColor indexed="64"/>
      </patternFill>
    </fill>
    <fill>
      <patternFill patternType="solid">
        <fgColor rgb="FFA9A6AC"/>
        <bgColor indexed="64"/>
      </patternFill>
    </fill>
    <fill>
      <patternFill patternType="solid">
        <fgColor rgb="FFA9A6AA"/>
        <bgColor indexed="64"/>
      </patternFill>
    </fill>
    <fill>
      <patternFill patternType="solid">
        <fgColor rgb="FFD1F1DE"/>
        <bgColor indexed="64"/>
      </patternFill>
    </fill>
    <fill>
      <patternFill patternType="solid">
        <fgColor rgb="FFCBA9AB"/>
        <bgColor indexed="64"/>
      </patternFill>
    </fill>
    <fill>
      <patternFill patternType="solid">
        <fgColor rgb="FFB5AFFC"/>
        <bgColor indexed="64"/>
      </patternFill>
    </fill>
    <fill>
      <patternFill patternType="solid">
        <fgColor rgb="FFA6B2F9"/>
        <bgColor indexed="64"/>
      </patternFill>
    </fill>
    <fill>
      <patternFill patternType="solid">
        <fgColor rgb="FFB7D1E4"/>
        <bgColor indexed="64"/>
      </patternFill>
    </fill>
    <fill>
      <patternFill patternType="solid">
        <fgColor rgb="FFE0E7D6"/>
        <bgColor indexed="64"/>
      </patternFill>
    </fill>
    <fill>
      <patternFill patternType="solid">
        <fgColor rgb="FFA6B9E9"/>
        <bgColor indexed="64"/>
      </patternFill>
    </fill>
    <fill>
      <patternFill patternType="solid">
        <fgColor rgb="FFA8C5F6"/>
        <bgColor indexed="64"/>
      </patternFill>
    </fill>
    <fill>
      <patternFill patternType="solid">
        <fgColor rgb="FFA8C7F0"/>
        <bgColor indexed="64"/>
      </patternFill>
    </fill>
    <fill>
      <patternFill patternType="solid">
        <fgColor rgb="FFA5B1FE"/>
        <bgColor indexed="64"/>
      </patternFill>
    </fill>
    <fill>
      <patternFill patternType="solid">
        <fgColor rgb="FFB4D0F3"/>
        <bgColor indexed="64"/>
      </patternFill>
    </fill>
    <fill>
      <patternFill patternType="solid">
        <fgColor rgb="FFF2DEEE"/>
        <bgColor indexed="64"/>
      </patternFill>
    </fill>
    <fill>
      <patternFill patternType="solid">
        <fgColor rgb="FFFBE2D5"/>
        <bgColor rgb="FFFBE2D5"/>
      </patternFill>
    </fill>
    <fill>
      <patternFill patternType="solid">
        <fgColor rgb="FFEEC6B7"/>
        <bgColor rgb="FF000000"/>
      </patternFill>
    </fill>
    <fill>
      <patternFill patternType="solid">
        <fgColor rgb="FFA8AFB8"/>
        <bgColor rgb="FF000000"/>
      </patternFill>
    </fill>
    <fill>
      <patternFill patternType="solid">
        <fgColor rgb="FFE7B1AB"/>
        <bgColor rgb="FF000000"/>
      </patternFill>
    </fill>
    <fill>
      <patternFill patternType="solid">
        <fgColor rgb="FFF8C9E5"/>
        <bgColor rgb="FF000000"/>
      </patternFill>
    </fill>
    <fill>
      <patternFill patternType="solid">
        <fgColor rgb="FFC5A8D1"/>
        <bgColor rgb="FF000000"/>
      </patternFill>
    </fill>
    <fill>
      <patternFill patternType="solid">
        <fgColor rgb="FFBDE3A6"/>
        <bgColor rgb="FF000000"/>
      </patternFill>
    </fill>
    <fill>
      <patternFill patternType="solid">
        <fgColor rgb="FFD3A8C0"/>
        <bgColor rgb="FF000000"/>
      </patternFill>
    </fill>
    <fill>
      <patternFill patternType="solid">
        <fgColor rgb="FFAEC5C5"/>
        <bgColor rgb="FF000000"/>
      </patternFill>
    </fill>
    <fill>
      <patternFill patternType="solid">
        <fgColor rgb="FFB5CABD"/>
        <bgColor rgb="FF000000"/>
      </patternFill>
    </fill>
    <fill>
      <patternFill patternType="solid">
        <fgColor rgb="FFA2D6A2"/>
        <bgColor rgb="FF000000"/>
      </patternFill>
    </fill>
    <fill>
      <patternFill patternType="solid">
        <fgColor rgb="FF9EADDC"/>
        <bgColor rgb="FF000000"/>
      </patternFill>
    </fill>
    <fill>
      <patternFill patternType="solid">
        <fgColor rgb="FFAEB2F3"/>
        <bgColor indexed="64"/>
      </patternFill>
    </fill>
    <fill>
      <patternFill patternType="solid">
        <fgColor rgb="FFFCB2FD"/>
        <bgColor indexed="64"/>
      </patternFill>
    </fill>
    <fill>
      <patternFill patternType="solid">
        <fgColor rgb="FFA9BAB5"/>
        <bgColor indexed="64"/>
      </patternFill>
    </fill>
    <fill>
      <patternFill patternType="solid">
        <fgColor rgb="FFADB9D2"/>
        <bgColor indexed="64"/>
      </patternFill>
    </fill>
    <fill>
      <patternFill patternType="solid">
        <fgColor rgb="FF9DF3FB"/>
        <bgColor indexed="64"/>
      </patternFill>
    </fill>
    <fill>
      <patternFill patternType="solid">
        <fgColor rgb="FFA0A0A3"/>
        <bgColor indexed="64"/>
      </patternFill>
    </fill>
    <fill>
      <patternFill patternType="solid">
        <fgColor rgb="FFB5A7AE"/>
        <bgColor indexed="64"/>
      </patternFill>
    </fill>
    <fill>
      <patternFill patternType="solid">
        <fgColor rgb="FFA8B6A8"/>
        <bgColor indexed="64"/>
      </patternFill>
    </fill>
    <fill>
      <patternFill patternType="solid">
        <fgColor rgb="FFCDC1C4"/>
        <bgColor indexed="64"/>
      </patternFill>
    </fill>
    <fill>
      <patternFill patternType="solid">
        <fgColor rgb="FF76D6FF"/>
        <bgColor theme="8" tint="0.59999389629810485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rgb="FFD86DCD"/>
      </top>
      <bottom style="thin">
        <color rgb="FFD86DC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86DCD"/>
      </left>
      <right style="thin">
        <color indexed="64"/>
      </right>
      <top style="thin">
        <color rgb="FFD86DCD"/>
      </top>
      <bottom style="thin">
        <color rgb="FFD86DCD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rgb="FFD86DCD"/>
      </left>
      <right style="thin">
        <color indexed="64"/>
      </right>
      <top style="thin">
        <color rgb="FFD86DCD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887">
    <xf numFmtId="0" fontId="0" fillId="0" borderId="0" xfId="0"/>
    <xf numFmtId="0" fontId="2" fillId="0" borderId="0" xfId="0" applyFont="1"/>
    <xf numFmtId="0" fontId="1" fillId="0" borderId="0" xfId="1"/>
    <xf numFmtId="44" fontId="0" fillId="0" borderId="0" xfId="2" applyFont="1"/>
    <xf numFmtId="0" fontId="0" fillId="0" borderId="0" xfId="0" applyAlignment="1">
      <alignment textRotation="45"/>
    </xf>
    <xf numFmtId="0" fontId="0" fillId="0" borderId="0" xfId="0" applyAlignment="1">
      <alignment horizontal="center" vertical="top"/>
    </xf>
    <xf numFmtId="0" fontId="5" fillId="6" borderId="8" xfId="0" applyFont="1" applyFill="1" applyBorder="1"/>
    <xf numFmtId="0" fontId="5" fillId="6" borderId="9" xfId="0" applyFont="1" applyFill="1" applyBorder="1"/>
    <xf numFmtId="0" fontId="5" fillId="6" borderId="6" xfId="0" applyFont="1" applyFill="1" applyBorder="1" applyAlignment="1">
      <alignment horizontal="center" vertical="top" textRotation="45"/>
    </xf>
    <xf numFmtId="0" fontId="5" fillId="6" borderId="12" xfId="0" applyFont="1" applyFill="1" applyBorder="1" applyAlignment="1">
      <alignment horizontal="center" vertical="top" textRotation="45"/>
    </xf>
    <xf numFmtId="0" fontId="0" fillId="8" borderId="1" xfId="0" applyFill="1" applyBorder="1" applyAlignment="1">
      <alignment horizontal="center" vertical="top" textRotation="45"/>
    </xf>
    <xf numFmtId="0" fontId="0" fillId="8" borderId="0" xfId="0" applyFill="1"/>
    <xf numFmtId="0" fontId="0" fillId="8" borderId="1" xfId="0" applyFill="1" applyBorder="1" applyAlignment="1">
      <alignment horizontal="left" vertical="top" textRotation="45"/>
    </xf>
    <xf numFmtId="0" fontId="0" fillId="8" borderId="0" xfId="0" applyFill="1" applyAlignment="1">
      <alignment horizontal="left"/>
    </xf>
    <xf numFmtId="0" fontId="0" fillId="0" borderId="0" xfId="0" applyAlignment="1">
      <alignment horizontal="left" vertical="top" textRotation="45"/>
    </xf>
    <xf numFmtId="0" fontId="0" fillId="0" borderId="0" xfId="0" applyAlignment="1">
      <alignment horizontal="left" vertical="top" textRotation="45" wrapText="1"/>
    </xf>
    <xf numFmtId="44" fontId="1" fillId="0" borderId="0" xfId="1" applyNumberFormat="1"/>
    <xf numFmtId="0" fontId="5" fillId="5" borderId="16" xfId="0" applyFont="1" applyFill="1" applyBorder="1" applyAlignment="1">
      <alignment horizontal="center" vertical="top" textRotation="45"/>
    </xf>
    <xf numFmtId="0" fontId="5" fillId="5" borderId="8" xfId="0" applyFont="1" applyFill="1" applyBorder="1" applyAlignment="1">
      <alignment horizontal="center" vertical="top" textRotation="45"/>
    </xf>
    <xf numFmtId="0" fontId="0" fillId="0" borderId="13" xfId="0" applyBorder="1"/>
    <xf numFmtId="0" fontId="0" fillId="0" borderId="14" xfId="0" applyBorder="1"/>
    <xf numFmtId="0" fontId="0" fillId="2" borderId="14" xfId="0" applyFill="1" applyBorder="1"/>
    <xf numFmtId="0" fontId="0" fillId="0" borderId="15" xfId="0" applyBorder="1"/>
    <xf numFmtId="0" fontId="2" fillId="0" borderId="13" xfId="0" applyFont="1" applyBorder="1"/>
    <xf numFmtId="0" fontId="6" fillId="9" borderId="11" xfId="0" applyFont="1" applyFill="1" applyBorder="1" applyAlignment="1">
      <alignment horizontal="right" vertical="top" textRotation="45"/>
    </xf>
    <xf numFmtId="0" fontId="8" fillId="2" borderId="11" xfId="0" applyFont="1" applyFill="1" applyBorder="1" applyAlignment="1">
      <alignment horizontal="right" vertical="top" textRotation="45"/>
    </xf>
    <xf numFmtId="0" fontId="0" fillId="0" borderId="4" xfId="0" applyBorder="1"/>
    <xf numFmtId="164" fontId="0" fillId="0" borderId="4" xfId="0" applyNumberFormat="1" applyBorder="1"/>
    <xf numFmtId="0" fontId="3" fillId="3" borderId="1" xfId="0" applyFont="1" applyFill="1" applyBorder="1" applyAlignment="1">
      <alignment horizontal="center" vertical="top" textRotation="45" wrapText="1"/>
    </xf>
    <xf numFmtId="166" fontId="10" fillId="3" borderId="7" xfId="0" applyNumberFormat="1" applyFont="1" applyFill="1" applyBorder="1" applyAlignment="1">
      <alignment horizontal="center" vertical="top" textRotation="45" wrapText="1"/>
    </xf>
    <xf numFmtId="0" fontId="10" fillId="3" borderId="11" xfId="0" applyFont="1" applyFill="1" applyBorder="1" applyAlignment="1">
      <alignment horizontal="center" vertical="top" textRotation="45"/>
    </xf>
    <xf numFmtId="0" fontId="10" fillId="7" borderId="10" xfId="0" applyFont="1" applyFill="1" applyBorder="1" applyAlignment="1">
      <alignment horizontal="center" vertical="top" textRotation="45" wrapText="1"/>
    </xf>
    <xf numFmtId="0" fontId="10" fillId="11" borderId="10" xfId="0" applyFont="1" applyFill="1" applyBorder="1" applyAlignment="1">
      <alignment horizontal="center" vertical="top" textRotation="45" wrapText="1"/>
    </xf>
    <xf numFmtId="0" fontId="10" fillId="6" borderId="11" xfId="0" applyFont="1" applyFill="1" applyBorder="1" applyAlignment="1">
      <alignment horizontal="center" vertical="top" textRotation="45"/>
    </xf>
    <xf numFmtId="0" fontId="10" fillId="4" borderId="11" xfId="0" applyFont="1" applyFill="1" applyBorder="1" applyAlignment="1">
      <alignment horizontal="center" vertical="top" textRotation="45"/>
    </xf>
    <xf numFmtId="0" fontId="10" fillId="12" borderId="11" xfId="0" applyFont="1" applyFill="1" applyBorder="1" applyAlignment="1">
      <alignment horizontal="center" vertical="top" textRotation="45"/>
    </xf>
    <xf numFmtId="0" fontId="7" fillId="2" borderId="20" xfId="0" applyFont="1" applyFill="1" applyBorder="1" applyAlignment="1">
      <alignment horizontal="center" vertical="top" textRotation="45"/>
    </xf>
    <xf numFmtId="166" fontId="7" fillId="2" borderId="22" xfId="0" applyNumberFormat="1" applyFont="1" applyFill="1" applyBorder="1" applyAlignment="1">
      <alignment horizontal="center" vertical="top" textRotation="45"/>
    </xf>
    <xf numFmtId="166" fontId="7" fillId="5" borderId="11" xfId="0" applyNumberFormat="1" applyFont="1" applyFill="1" applyBorder="1" applyAlignment="1">
      <alignment horizontal="center" vertical="top" textRotation="45"/>
    </xf>
    <xf numFmtId="166" fontId="10" fillId="7" borderId="7" xfId="0" applyNumberFormat="1" applyFont="1" applyFill="1" applyBorder="1" applyAlignment="1">
      <alignment horizontal="center" vertical="top" textRotation="45" wrapText="1"/>
    </xf>
    <xf numFmtId="166" fontId="10" fillId="11" borderId="7" xfId="0" applyNumberFormat="1" applyFont="1" applyFill="1" applyBorder="1" applyAlignment="1">
      <alignment horizontal="center" vertical="top" textRotation="45" wrapText="1"/>
    </xf>
    <xf numFmtId="166" fontId="10" fillId="6" borderId="11" xfId="0" applyNumberFormat="1" applyFont="1" applyFill="1" applyBorder="1" applyAlignment="1">
      <alignment horizontal="center" vertical="top" textRotation="45"/>
    </xf>
    <xf numFmtId="166" fontId="10" fillId="4" borderId="11" xfId="0" applyNumberFormat="1" applyFont="1" applyFill="1" applyBorder="1" applyAlignment="1">
      <alignment horizontal="center" vertical="top" textRotation="45"/>
    </xf>
    <xf numFmtId="166" fontId="10" fillId="12" borderId="11" xfId="0" applyNumberFormat="1" applyFont="1" applyFill="1" applyBorder="1" applyAlignment="1">
      <alignment horizontal="center" vertical="top" textRotation="45"/>
    </xf>
    <xf numFmtId="166" fontId="10" fillId="3" borderId="18" xfId="0" applyNumberFormat="1" applyFont="1" applyFill="1" applyBorder="1" applyAlignment="1">
      <alignment horizontal="center" vertical="top" textRotation="45"/>
    </xf>
    <xf numFmtId="0" fontId="3" fillId="7" borderId="1" xfId="0" applyFont="1" applyFill="1" applyBorder="1" applyAlignment="1">
      <alignment horizontal="center" vertical="top" textRotation="45" wrapText="1"/>
    </xf>
    <xf numFmtId="0" fontId="3" fillId="11" borderId="1" xfId="0" applyFont="1" applyFill="1" applyBorder="1" applyAlignment="1">
      <alignment horizontal="center" vertical="top" textRotation="45" wrapText="1"/>
    </xf>
    <xf numFmtId="0" fontId="3" fillId="6" borderId="11" xfId="0" applyFont="1" applyFill="1" applyBorder="1" applyAlignment="1">
      <alignment horizontal="center" vertical="top" textRotation="45"/>
    </xf>
    <xf numFmtId="0" fontId="3" fillId="4" borderId="11" xfId="0" applyFont="1" applyFill="1" applyBorder="1" applyAlignment="1">
      <alignment horizontal="center" vertical="top" textRotation="45"/>
    </xf>
    <xf numFmtId="0" fontId="3" fillId="12" borderId="11" xfId="0" applyFont="1" applyFill="1" applyBorder="1" applyAlignment="1">
      <alignment horizontal="center" vertical="top" textRotation="45"/>
    </xf>
    <xf numFmtId="0" fontId="3" fillId="3" borderId="11" xfId="0" applyFont="1" applyFill="1" applyBorder="1" applyAlignment="1">
      <alignment horizontal="center" vertical="top" textRotation="45"/>
    </xf>
    <xf numFmtId="0" fontId="3" fillId="2" borderId="21" xfId="0" applyFont="1" applyFill="1" applyBorder="1" applyAlignment="1">
      <alignment horizontal="center" vertical="top" textRotation="45"/>
    </xf>
    <xf numFmtId="0" fontId="3" fillId="5" borderId="11" xfId="0" applyFont="1" applyFill="1" applyBorder="1" applyAlignment="1">
      <alignment horizontal="center" vertical="top" textRotation="45"/>
    </xf>
    <xf numFmtId="0" fontId="7" fillId="5" borderId="19" xfId="0" applyFont="1" applyFill="1" applyBorder="1" applyAlignment="1">
      <alignment horizontal="center" vertical="top" textRotation="45"/>
    </xf>
    <xf numFmtId="0" fontId="9" fillId="8" borderId="0" xfId="0" applyFont="1" applyFill="1" applyAlignment="1">
      <alignment horizontal="left"/>
    </xf>
    <xf numFmtId="0" fontId="12" fillId="13" borderId="4" xfId="0" applyFont="1" applyFill="1" applyBorder="1"/>
    <xf numFmtId="0" fontId="12" fillId="14" borderId="4" xfId="0" applyFont="1" applyFill="1" applyBorder="1"/>
    <xf numFmtId="0" fontId="12" fillId="15" borderId="4" xfId="0" applyFont="1" applyFill="1" applyBorder="1"/>
    <xf numFmtId="0" fontId="12" fillId="16" borderId="4" xfId="0" applyFont="1" applyFill="1" applyBorder="1"/>
    <xf numFmtId="0" fontId="12" fillId="17" borderId="4" xfId="0" applyFont="1" applyFill="1" applyBorder="1"/>
    <xf numFmtId="0" fontId="12" fillId="18" borderId="4" xfId="0" applyFont="1" applyFill="1" applyBorder="1"/>
    <xf numFmtId="0" fontId="12" fillId="19" borderId="4" xfId="0" applyFont="1" applyFill="1" applyBorder="1"/>
    <xf numFmtId="0" fontId="12" fillId="20" borderId="4" xfId="0" applyFont="1" applyFill="1" applyBorder="1"/>
    <xf numFmtId="0" fontId="12" fillId="21" borderId="4" xfId="0" applyFont="1" applyFill="1" applyBorder="1"/>
    <xf numFmtId="0" fontId="12" fillId="22" borderId="4" xfId="0" applyFont="1" applyFill="1" applyBorder="1"/>
    <xf numFmtId="0" fontId="12" fillId="23" borderId="4" xfId="0" applyFont="1" applyFill="1" applyBorder="1"/>
    <xf numFmtId="0" fontId="12" fillId="24" borderId="4" xfId="0" applyFont="1" applyFill="1" applyBorder="1"/>
    <xf numFmtId="0" fontId="12" fillId="25" borderId="4" xfId="0" applyFont="1" applyFill="1" applyBorder="1"/>
    <xf numFmtId="0" fontId="12" fillId="26" borderId="4" xfId="0" applyFont="1" applyFill="1" applyBorder="1"/>
    <xf numFmtId="0" fontId="12" fillId="27" borderId="4" xfId="0" applyFont="1" applyFill="1" applyBorder="1"/>
    <xf numFmtId="0" fontId="12" fillId="28" borderId="4" xfId="0" applyFont="1" applyFill="1" applyBorder="1"/>
    <xf numFmtId="0" fontId="12" fillId="29" borderId="4" xfId="0" applyFont="1" applyFill="1" applyBorder="1"/>
    <xf numFmtId="0" fontId="12" fillId="30" borderId="4" xfId="0" applyFont="1" applyFill="1" applyBorder="1"/>
    <xf numFmtId="0" fontId="12" fillId="31" borderId="4" xfId="0" applyFont="1" applyFill="1" applyBorder="1"/>
    <xf numFmtId="0" fontId="12" fillId="32" borderId="4" xfId="0" applyFont="1" applyFill="1" applyBorder="1"/>
    <xf numFmtId="0" fontId="12" fillId="33" borderId="4" xfId="0" applyFont="1" applyFill="1" applyBorder="1"/>
    <xf numFmtId="0" fontId="12" fillId="34" borderId="4" xfId="0" applyFont="1" applyFill="1" applyBorder="1"/>
    <xf numFmtId="0" fontId="12" fillId="35" borderId="4" xfId="0" applyFont="1" applyFill="1" applyBorder="1"/>
    <xf numFmtId="0" fontId="12" fillId="36" borderId="4" xfId="0" applyFont="1" applyFill="1" applyBorder="1"/>
    <xf numFmtId="0" fontId="12" fillId="37" borderId="4" xfId="0" applyFont="1" applyFill="1" applyBorder="1"/>
    <xf numFmtId="0" fontId="12" fillId="38" borderId="4" xfId="0" applyFont="1" applyFill="1" applyBorder="1"/>
    <xf numFmtId="0" fontId="12" fillId="39" borderId="4" xfId="0" applyFont="1" applyFill="1" applyBorder="1"/>
    <xf numFmtId="0" fontId="12" fillId="40" borderId="4" xfId="0" applyFont="1" applyFill="1" applyBorder="1"/>
    <xf numFmtId="0" fontId="12" fillId="41" borderId="4" xfId="0" applyFont="1" applyFill="1" applyBorder="1"/>
    <xf numFmtId="0" fontId="12" fillId="42" borderId="4" xfId="0" applyFont="1" applyFill="1" applyBorder="1"/>
    <xf numFmtId="0" fontId="12" fillId="43" borderId="4" xfId="0" applyFont="1" applyFill="1" applyBorder="1"/>
    <xf numFmtId="0" fontId="12" fillId="44" borderId="4" xfId="0" applyFont="1" applyFill="1" applyBorder="1"/>
    <xf numFmtId="0" fontId="12" fillId="45" borderId="4" xfId="0" applyFont="1" applyFill="1" applyBorder="1"/>
    <xf numFmtId="0" fontId="12" fillId="46" borderId="4" xfId="0" applyFont="1" applyFill="1" applyBorder="1"/>
    <xf numFmtId="0" fontId="12" fillId="47" borderId="4" xfId="0" applyFont="1" applyFill="1" applyBorder="1"/>
    <xf numFmtId="0" fontId="14" fillId="48" borderId="4" xfId="0" applyFont="1" applyFill="1" applyBorder="1"/>
    <xf numFmtId="0" fontId="12" fillId="48" borderId="4" xfId="0" applyFont="1" applyFill="1" applyBorder="1"/>
    <xf numFmtId="0" fontId="14" fillId="49" borderId="4" xfId="0" applyFont="1" applyFill="1" applyBorder="1"/>
    <xf numFmtId="0" fontId="12" fillId="49" borderId="4" xfId="0" applyFont="1" applyFill="1" applyBorder="1"/>
    <xf numFmtId="0" fontId="12" fillId="50" borderId="4" xfId="0" applyFont="1" applyFill="1" applyBorder="1"/>
    <xf numFmtId="0" fontId="12" fillId="51" borderId="4" xfId="0" applyFont="1" applyFill="1" applyBorder="1"/>
    <xf numFmtId="0" fontId="12" fillId="52" borderId="4" xfId="0" applyFont="1" applyFill="1" applyBorder="1"/>
    <xf numFmtId="0" fontId="12" fillId="53" borderId="4" xfId="0" applyFont="1" applyFill="1" applyBorder="1"/>
    <xf numFmtId="0" fontId="12" fillId="54" borderId="4" xfId="0" applyFont="1" applyFill="1" applyBorder="1"/>
    <xf numFmtId="0" fontId="12" fillId="55" borderId="4" xfId="0" applyFont="1" applyFill="1" applyBorder="1"/>
    <xf numFmtId="0" fontId="12" fillId="56" borderId="4" xfId="0" applyFont="1" applyFill="1" applyBorder="1"/>
    <xf numFmtId="0" fontId="12" fillId="57" borderId="4" xfId="0" applyFont="1" applyFill="1" applyBorder="1"/>
    <xf numFmtId="0" fontId="12" fillId="58" borderId="4" xfId="0" applyFont="1" applyFill="1" applyBorder="1"/>
    <xf numFmtId="0" fontId="12" fillId="59" borderId="4" xfId="0" applyFont="1" applyFill="1" applyBorder="1"/>
    <xf numFmtId="0" fontId="12" fillId="60" borderId="4" xfId="0" applyFont="1" applyFill="1" applyBorder="1"/>
    <xf numFmtId="0" fontId="12" fillId="61" borderId="4" xfId="0" applyFont="1" applyFill="1" applyBorder="1"/>
    <xf numFmtId="0" fontId="12" fillId="62" borderId="4" xfId="0" applyFont="1" applyFill="1" applyBorder="1"/>
    <xf numFmtId="0" fontId="12" fillId="63" borderId="4" xfId="0" applyFont="1" applyFill="1" applyBorder="1"/>
    <xf numFmtId="0" fontId="12" fillId="64" borderId="4" xfId="0" applyFont="1" applyFill="1" applyBorder="1"/>
    <xf numFmtId="0" fontId="12" fillId="65" borderId="4" xfId="0" applyFont="1" applyFill="1" applyBorder="1"/>
    <xf numFmtId="0" fontId="12" fillId="66" borderId="4" xfId="0" applyFont="1" applyFill="1" applyBorder="1"/>
    <xf numFmtId="0" fontId="12" fillId="67" borderId="0" xfId="0" applyFont="1" applyFill="1"/>
    <xf numFmtId="0" fontId="12" fillId="68" borderId="0" xfId="0" applyFont="1" applyFill="1"/>
    <xf numFmtId="0" fontId="12" fillId="69" borderId="0" xfId="0" applyFont="1" applyFill="1"/>
    <xf numFmtId="0" fontId="12" fillId="70" borderId="0" xfId="0" applyFont="1" applyFill="1"/>
    <xf numFmtId="0" fontId="12" fillId="71" borderId="0" xfId="0" applyFont="1" applyFill="1"/>
    <xf numFmtId="0" fontId="12" fillId="72" borderId="0" xfId="0" applyFont="1" applyFill="1"/>
    <xf numFmtId="0" fontId="12" fillId="73" borderId="0" xfId="0" applyFont="1" applyFill="1"/>
    <xf numFmtId="0" fontId="12" fillId="74" borderId="0" xfId="0" applyFont="1" applyFill="1"/>
    <xf numFmtId="0" fontId="12" fillId="75" borderId="0" xfId="0" applyFont="1" applyFill="1"/>
    <xf numFmtId="0" fontId="12" fillId="76" borderId="0" xfId="0" applyFont="1" applyFill="1"/>
    <xf numFmtId="0" fontId="12" fillId="77" borderId="0" xfId="0" applyFont="1" applyFill="1"/>
    <xf numFmtId="0" fontId="12" fillId="78" borderId="0" xfId="0" applyFont="1" applyFill="1"/>
    <xf numFmtId="0" fontId="12" fillId="79" borderId="0" xfId="0" applyFont="1" applyFill="1"/>
    <xf numFmtId="0" fontId="12" fillId="80" borderId="0" xfId="0" applyFont="1" applyFill="1"/>
    <xf numFmtId="0" fontId="12" fillId="81" borderId="0" xfId="0" applyFont="1" applyFill="1"/>
    <xf numFmtId="0" fontId="12" fillId="82" borderId="0" xfId="0" applyFont="1" applyFill="1"/>
    <xf numFmtId="0" fontId="12" fillId="83" borderId="0" xfId="0" applyFont="1" applyFill="1"/>
    <xf numFmtId="0" fontId="12" fillId="84" borderId="0" xfId="0" applyFont="1" applyFill="1"/>
    <xf numFmtId="0" fontId="12" fillId="85" borderId="0" xfId="0" applyFont="1" applyFill="1"/>
    <xf numFmtId="0" fontId="12" fillId="86" borderId="0" xfId="0" applyFont="1" applyFill="1"/>
    <xf numFmtId="0" fontId="12" fillId="87" borderId="0" xfId="0" applyFont="1" applyFill="1"/>
    <xf numFmtId="0" fontId="12" fillId="88" borderId="0" xfId="0" applyFont="1" applyFill="1"/>
    <xf numFmtId="0" fontId="12" fillId="89" borderId="0" xfId="0" applyFont="1" applyFill="1"/>
    <xf numFmtId="0" fontId="12" fillId="90" borderId="0" xfId="0" applyFont="1" applyFill="1"/>
    <xf numFmtId="0" fontId="12" fillId="91" borderId="0" xfId="0" applyFont="1" applyFill="1"/>
    <xf numFmtId="0" fontId="12" fillId="92" borderId="0" xfId="0" applyFont="1" applyFill="1"/>
    <xf numFmtId="0" fontId="12" fillId="93" borderId="0" xfId="0" applyFont="1" applyFill="1"/>
    <xf numFmtId="0" fontId="12" fillId="94" borderId="0" xfId="0" applyFont="1" applyFill="1"/>
    <xf numFmtId="0" fontId="12" fillId="95" borderId="0" xfId="0" applyFont="1" applyFill="1"/>
    <xf numFmtId="0" fontId="12" fillId="96" borderId="0" xfId="0" applyFont="1" applyFill="1"/>
    <xf numFmtId="0" fontId="12" fillId="97" borderId="0" xfId="0" applyFont="1" applyFill="1"/>
    <xf numFmtId="0" fontId="12" fillId="98" borderId="0" xfId="0" applyFont="1" applyFill="1"/>
    <xf numFmtId="0" fontId="12" fillId="99" borderId="0" xfId="0" applyFont="1" applyFill="1"/>
    <xf numFmtId="0" fontId="12" fillId="100" borderId="0" xfId="0" applyFont="1" applyFill="1"/>
    <xf numFmtId="0" fontId="12" fillId="101" borderId="0" xfId="0" applyFont="1" applyFill="1"/>
    <xf numFmtId="0" fontId="12" fillId="102" borderId="0" xfId="0" applyFont="1" applyFill="1"/>
    <xf numFmtId="0" fontId="12" fillId="103" borderId="0" xfId="0" applyFont="1" applyFill="1"/>
    <xf numFmtId="0" fontId="12" fillId="104" borderId="0" xfId="0" applyFont="1" applyFill="1"/>
    <xf numFmtId="0" fontId="12" fillId="105" borderId="0" xfId="0" applyFont="1" applyFill="1"/>
    <xf numFmtId="0" fontId="12" fillId="106" borderId="0" xfId="0" applyFont="1" applyFill="1"/>
    <xf numFmtId="0" fontId="12" fillId="107" borderId="0" xfId="0" applyFont="1" applyFill="1"/>
    <xf numFmtId="0" fontId="12" fillId="108" borderId="0" xfId="0" applyFont="1" applyFill="1"/>
    <xf numFmtId="0" fontId="12" fillId="109" borderId="0" xfId="0" applyFont="1" applyFill="1"/>
    <xf numFmtId="0" fontId="12" fillId="110" borderId="0" xfId="0" applyFont="1" applyFill="1"/>
    <xf numFmtId="0" fontId="12" fillId="111" borderId="0" xfId="0" applyFont="1" applyFill="1"/>
    <xf numFmtId="0" fontId="12" fillId="112" borderId="0" xfId="0" applyFont="1" applyFill="1"/>
    <xf numFmtId="0" fontId="12" fillId="113" borderId="0" xfId="0" applyFont="1" applyFill="1"/>
    <xf numFmtId="0" fontId="12" fillId="114" borderId="0" xfId="0" applyFont="1" applyFill="1"/>
    <xf numFmtId="0" fontId="12" fillId="116" borderId="0" xfId="0" applyFont="1" applyFill="1"/>
    <xf numFmtId="0" fontId="12" fillId="117" borderId="0" xfId="0" applyFont="1" applyFill="1"/>
    <xf numFmtId="0" fontId="12" fillId="118" borderId="0" xfId="0" applyFont="1" applyFill="1"/>
    <xf numFmtId="0" fontId="12" fillId="119" borderId="0" xfId="0" applyFont="1" applyFill="1"/>
    <xf numFmtId="0" fontId="12" fillId="120" borderId="0" xfId="0" applyFont="1" applyFill="1"/>
    <xf numFmtId="0" fontId="12" fillId="121" borderId="0" xfId="0" applyFont="1" applyFill="1"/>
    <xf numFmtId="0" fontId="12" fillId="122" borderId="0" xfId="0" applyFont="1" applyFill="1"/>
    <xf numFmtId="0" fontId="12" fillId="123" borderId="0" xfId="0" applyFont="1" applyFill="1"/>
    <xf numFmtId="0" fontId="12" fillId="124" borderId="0" xfId="0" applyFont="1" applyFill="1"/>
    <xf numFmtId="0" fontId="12" fillId="125" borderId="0" xfId="0" applyFont="1" applyFill="1"/>
    <xf numFmtId="0" fontId="12" fillId="126" borderId="0" xfId="0" applyFont="1" applyFill="1"/>
    <xf numFmtId="0" fontId="12" fillId="127" borderId="0" xfId="0" applyFont="1" applyFill="1"/>
    <xf numFmtId="0" fontId="12" fillId="128" borderId="0" xfId="0" applyFont="1" applyFill="1"/>
    <xf numFmtId="0" fontId="12" fillId="129" borderId="0" xfId="0" applyFont="1" applyFill="1"/>
    <xf numFmtId="0" fontId="12" fillId="130" borderId="0" xfId="0" applyFont="1" applyFill="1"/>
    <xf numFmtId="0" fontId="12" fillId="131" borderId="0" xfId="0" applyFont="1" applyFill="1"/>
    <xf numFmtId="0" fontId="12" fillId="132" borderId="0" xfId="0" applyFont="1" applyFill="1"/>
    <xf numFmtId="0" fontId="12" fillId="133" borderId="0" xfId="0" applyFont="1" applyFill="1"/>
    <xf numFmtId="0" fontId="12" fillId="134" borderId="0" xfId="0" applyFont="1" applyFill="1"/>
    <xf numFmtId="0" fontId="12" fillId="135" borderId="0" xfId="0" applyFont="1" applyFill="1"/>
    <xf numFmtId="2" fontId="12" fillId="13" borderId="4" xfId="0" applyNumberFormat="1" applyFont="1" applyFill="1" applyBorder="1"/>
    <xf numFmtId="2" fontId="12" fillId="14" borderId="4" xfId="0" applyNumberFormat="1" applyFont="1" applyFill="1" applyBorder="1"/>
    <xf numFmtId="2" fontId="12" fillId="15" borderId="4" xfId="0" applyNumberFormat="1" applyFont="1" applyFill="1" applyBorder="1"/>
    <xf numFmtId="2" fontId="12" fillId="16" borderId="4" xfId="0" applyNumberFormat="1" applyFont="1" applyFill="1" applyBorder="1"/>
    <xf numFmtId="2" fontId="12" fillId="17" borderId="4" xfId="0" applyNumberFormat="1" applyFont="1" applyFill="1" applyBorder="1"/>
    <xf numFmtId="2" fontId="12" fillId="18" borderId="4" xfId="0" applyNumberFormat="1" applyFont="1" applyFill="1" applyBorder="1"/>
    <xf numFmtId="2" fontId="12" fillId="19" borderId="4" xfId="0" applyNumberFormat="1" applyFont="1" applyFill="1" applyBorder="1"/>
    <xf numFmtId="2" fontId="12" fillId="20" borderId="4" xfId="0" applyNumberFormat="1" applyFont="1" applyFill="1" applyBorder="1"/>
    <xf numFmtId="2" fontId="12" fillId="21" borderId="4" xfId="0" applyNumberFormat="1" applyFont="1" applyFill="1" applyBorder="1"/>
    <xf numFmtId="2" fontId="12" fillId="22" borderId="4" xfId="0" applyNumberFormat="1" applyFont="1" applyFill="1" applyBorder="1"/>
    <xf numFmtId="2" fontId="12" fillId="23" borderId="4" xfId="0" applyNumberFormat="1" applyFont="1" applyFill="1" applyBorder="1"/>
    <xf numFmtId="2" fontId="12" fillId="24" borderId="4" xfId="0" applyNumberFormat="1" applyFont="1" applyFill="1" applyBorder="1"/>
    <xf numFmtId="2" fontId="12" fillId="25" borderId="4" xfId="0" applyNumberFormat="1" applyFont="1" applyFill="1" applyBorder="1"/>
    <xf numFmtId="2" fontId="12" fillId="26" borderId="4" xfId="0" applyNumberFormat="1" applyFont="1" applyFill="1" applyBorder="1"/>
    <xf numFmtId="2" fontId="12" fillId="27" borderId="4" xfId="0" applyNumberFormat="1" applyFont="1" applyFill="1" applyBorder="1"/>
    <xf numFmtId="2" fontId="12" fillId="28" borderId="4" xfId="0" applyNumberFormat="1" applyFont="1" applyFill="1" applyBorder="1"/>
    <xf numFmtId="2" fontId="12" fillId="29" borderId="4" xfId="0" applyNumberFormat="1" applyFont="1" applyFill="1" applyBorder="1"/>
    <xf numFmtId="2" fontId="12" fillId="30" borderId="4" xfId="0" applyNumberFormat="1" applyFont="1" applyFill="1" applyBorder="1"/>
    <xf numFmtId="2" fontId="12" fillId="31" borderId="4" xfId="0" applyNumberFormat="1" applyFont="1" applyFill="1" applyBorder="1"/>
    <xf numFmtId="2" fontId="12" fillId="32" borderId="4" xfId="0" applyNumberFormat="1" applyFont="1" applyFill="1" applyBorder="1"/>
    <xf numFmtId="2" fontId="12" fillId="33" borderId="4" xfId="0" applyNumberFormat="1" applyFont="1" applyFill="1" applyBorder="1"/>
    <xf numFmtId="2" fontId="12" fillId="34" borderId="4" xfId="0" applyNumberFormat="1" applyFont="1" applyFill="1" applyBorder="1"/>
    <xf numFmtId="2" fontId="12" fillId="35" borderId="4" xfId="0" applyNumberFormat="1" applyFont="1" applyFill="1" applyBorder="1"/>
    <xf numFmtId="2" fontId="12" fillId="36" borderId="4" xfId="0" applyNumberFormat="1" applyFont="1" applyFill="1" applyBorder="1"/>
    <xf numFmtId="2" fontId="12" fillId="37" borderId="4" xfId="0" applyNumberFormat="1" applyFont="1" applyFill="1" applyBorder="1"/>
    <xf numFmtId="2" fontId="12" fillId="38" borderId="4" xfId="0" applyNumberFormat="1" applyFont="1" applyFill="1" applyBorder="1"/>
    <xf numFmtId="2" fontId="12" fillId="39" borderId="4" xfId="0" applyNumberFormat="1" applyFont="1" applyFill="1" applyBorder="1"/>
    <xf numFmtId="2" fontId="12" fillId="40" borderId="4" xfId="0" applyNumberFormat="1" applyFont="1" applyFill="1" applyBorder="1"/>
    <xf numFmtId="2" fontId="12" fillId="41" borderId="4" xfId="0" applyNumberFormat="1" applyFont="1" applyFill="1" applyBorder="1"/>
    <xf numFmtId="2" fontId="12" fillId="42" borderId="4" xfId="0" applyNumberFormat="1" applyFont="1" applyFill="1" applyBorder="1"/>
    <xf numFmtId="2" fontId="12" fillId="43" borderId="4" xfId="0" applyNumberFormat="1" applyFont="1" applyFill="1" applyBorder="1"/>
    <xf numFmtId="2" fontId="12" fillId="44" borderId="4" xfId="0" applyNumberFormat="1" applyFont="1" applyFill="1" applyBorder="1"/>
    <xf numFmtId="2" fontId="12" fillId="45" borderId="4" xfId="0" applyNumberFormat="1" applyFont="1" applyFill="1" applyBorder="1"/>
    <xf numFmtId="2" fontId="13" fillId="45" borderId="4" xfId="0" applyNumberFormat="1" applyFont="1" applyFill="1" applyBorder="1"/>
    <xf numFmtId="2" fontId="12" fillId="46" borderId="4" xfId="0" applyNumberFormat="1" applyFont="1" applyFill="1" applyBorder="1"/>
    <xf numFmtId="2" fontId="12" fillId="47" borderId="4" xfId="0" applyNumberFormat="1" applyFont="1" applyFill="1" applyBorder="1"/>
    <xf numFmtId="2" fontId="14" fillId="48" borderId="4" xfId="0" applyNumberFormat="1" applyFont="1" applyFill="1" applyBorder="1"/>
    <xf numFmtId="2" fontId="14" fillId="49" borderId="4" xfId="0" applyNumberFormat="1" applyFont="1" applyFill="1" applyBorder="1"/>
    <xf numFmtId="2" fontId="12" fillId="50" borderId="4" xfId="0" applyNumberFormat="1" applyFont="1" applyFill="1" applyBorder="1"/>
    <xf numFmtId="2" fontId="12" fillId="51" borderId="4" xfId="0" applyNumberFormat="1" applyFont="1" applyFill="1" applyBorder="1"/>
    <xf numFmtId="2" fontId="12" fillId="52" borderId="4" xfId="0" applyNumberFormat="1" applyFont="1" applyFill="1" applyBorder="1"/>
    <xf numFmtId="2" fontId="12" fillId="53" borderId="4" xfId="0" applyNumberFormat="1" applyFont="1" applyFill="1" applyBorder="1"/>
    <xf numFmtId="2" fontId="12" fillId="54" borderId="4" xfId="0" applyNumberFormat="1" applyFont="1" applyFill="1" applyBorder="1"/>
    <xf numFmtId="2" fontId="12" fillId="55" borderId="4" xfId="0" applyNumberFormat="1" applyFont="1" applyFill="1" applyBorder="1"/>
    <xf numFmtId="2" fontId="12" fillId="56" borderId="4" xfId="0" applyNumberFormat="1" applyFont="1" applyFill="1" applyBorder="1"/>
    <xf numFmtId="2" fontId="12" fillId="57" borderId="4" xfId="0" applyNumberFormat="1" applyFont="1" applyFill="1" applyBorder="1"/>
    <xf numFmtId="2" fontId="12" fillId="58" borderId="4" xfId="0" applyNumberFormat="1" applyFont="1" applyFill="1" applyBorder="1"/>
    <xf numFmtId="2" fontId="12" fillId="59" borderId="4" xfId="0" applyNumberFormat="1" applyFont="1" applyFill="1" applyBorder="1"/>
    <xf numFmtId="2" fontId="12" fillId="60" borderId="4" xfId="0" applyNumberFormat="1" applyFont="1" applyFill="1" applyBorder="1"/>
    <xf numFmtId="2" fontId="12" fillId="61" borderId="4" xfId="0" applyNumberFormat="1" applyFont="1" applyFill="1" applyBorder="1"/>
    <xf numFmtId="2" fontId="12" fillId="62" borderId="4" xfId="0" applyNumberFormat="1" applyFont="1" applyFill="1" applyBorder="1"/>
    <xf numFmtId="2" fontId="12" fillId="63" borderId="4" xfId="0" applyNumberFormat="1" applyFont="1" applyFill="1" applyBorder="1"/>
    <xf numFmtId="2" fontId="12" fillId="64" borderId="4" xfId="0" applyNumberFormat="1" applyFont="1" applyFill="1" applyBorder="1"/>
    <xf numFmtId="2" fontId="12" fillId="65" borderId="4" xfId="0" applyNumberFormat="1" applyFont="1" applyFill="1" applyBorder="1"/>
    <xf numFmtId="2" fontId="12" fillId="66" borderId="4" xfId="0" applyNumberFormat="1" applyFont="1" applyFill="1" applyBorder="1"/>
    <xf numFmtId="1" fontId="12" fillId="67" borderId="0" xfId="0" applyNumberFormat="1" applyFont="1" applyFill="1"/>
    <xf numFmtId="1" fontId="12" fillId="68" borderId="0" xfId="0" applyNumberFormat="1" applyFont="1" applyFill="1"/>
    <xf numFmtId="1" fontId="12" fillId="69" borderId="0" xfId="0" applyNumberFormat="1" applyFont="1" applyFill="1"/>
    <xf numFmtId="1" fontId="12" fillId="134" borderId="0" xfId="0" applyNumberFormat="1" applyFont="1" applyFill="1"/>
    <xf numFmtId="1" fontId="12" fillId="70" borderId="0" xfId="0" applyNumberFormat="1" applyFont="1" applyFill="1"/>
    <xf numFmtId="1" fontId="12" fillId="71" borderId="0" xfId="0" applyNumberFormat="1" applyFont="1" applyFill="1"/>
    <xf numFmtId="1" fontId="12" fillId="72" borderId="0" xfId="0" applyNumberFormat="1" applyFont="1" applyFill="1"/>
    <xf numFmtId="1" fontId="12" fillId="73" borderId="0" xfId="0" applyNumberFormat="1" applyFont="1" applyFill="1"/>
    <xf numFmtId="1" fontId="12" fillId="74" borderId="0" xfId="0" applyNumberFormat="1" applyFont="1" applyFill="1"/>
    <xf numFmtId="1" fontId="12" fillId="75" borderId="0" xfId="0" applyNumberFormat="1" applyFont="1" applyFill="1"/>
    <xf numFmtId="1" fontId="12" fillId="76" borderId="0" xfId="0" applyNumberFormat="1" applyFont="1" applyFill="1"/>
    <xf numFmtId="1" fontId="12" fillId="133" borderId="0" xfId="0" applyNumberFormat="1" applyFont="1" applyFill="1"/>
    <xf numFmtId="1" fontId="12" fillId="77" borderId="0" xfId="0" applyNumberFormat="1" applyFont="1" applyFill="1"/>
    <xf numFmtId="1" fontId="12" fillId="78" borderId="0" xfId="0" applyNumberFormat="1" applyFont="1" applyFill="1"/>
    <xf numFmtId="1" fontId="12" fillId="79" borderId="0" xfId="0" applyNumberFormat="1" applyFont="1" applyFill="1"/>
    <xf numFmtId="1" fontId="12" fillId="80" borderId="0" xfId="0" applyNumberFormat="1" applyFont="1" applyFill="1"/>
    <xf numFmtId="1" fontId="12" fillId="81" borderId="0" xfId="0" applyNumberFormat="1" applyFont="1" applyFill="1"/>
    <xf numFmtId="1" fontId="12" fillId="82" borderId="0" xfId="0" applyNumberFormat="1" applyFont="1" applyFill="1"/>
    <xf numFmtId="1" fontId="12" fillId="83" borderId="0" xfId="0" applyNumberFormat="1" applyFont="1" applyFill="1"/>
    <xf numFmtId="1" fontId="12" fillId="84" borderId="0" xfId="0" applyNumberFormat="1" applyFont="1" applyFill="1"/>
    <xf numFmtId="1" fontId="12" fillId="85" borderId="0" xfId="0" applyNumberFormat="1" applyFont="1" applyFill="1"/>
    <xf numFmtId="1" fontId="12" fillId="86" borderId="0" xfId="0" applyNumberFormat="1" applyFont="1" applyFill="1"/>
    <xf numFmtId="1" fontId="12" fillId="87" borderId="0" xfId="0" applyNumberFormat="1" applyFont="1" applyFill="1"/>
    <xf numFmtId="1" fontId="12" fillId="88" borderId="0" xfId="0" applyNumberFormat="1" applyFont="1" applyFill="1"/>
    <xf numFmtId="1" fontId="12" fillId="89" borderId="0" xfId="0" applyNumberFormat="1" applyFont="1" applyFill="1"/>
    <xf numFmtId="1" fontId="12" fillId="90" borderId="0" xfId="0" applyNumberFormat="1" applyFont="1" applyFill="1"/>
    <xf numFmtId="1" fontId="12" fillId="91" borderId="0" xfId="0" applyNumberFormat="1" applyFont="1" applyFill="1"/>
    <xf numFmtId="1" fontId="12" fillId="92" borderId="0" xfId="0" applyNumberFormat="1" applyFont="1" applyFill="1"/>
    <xf numFmtId="1" fontId="12" fillId="93" borderId="0" xfId="0" applyNumberFormat="1" applyFont="1" applyFill="1"/>
    <xf numFmtId="1" fontId="12" fillId="94" borderId="0" xfId="0" applyNumberFormat="1" applyFont="1" applyFill="1"/>
    <xf numFmtId="1" fontId="12" fillId="95" borderId="0" xfId="0" applyNumberFormat="1" applyFont="1" applyFill="1"/>
    <xf numFmtId="1" fontId="12" fillId="96" borderId="0" xfId="0" applyNumberFormat="1" applyFont="1" applyFill="1"/>
    <xf numFmtId="1" fontId="12" fillId="97" borderId="0" xfId="0" applyNumberFormat="1" applyFont="1" applyFill="1"/>
    <xf numFmtId="1" fontId="12" fillId="98" borderId="0" xfId="0" applyNumberFormat="1" applyFont="1" applyFill="1"/>
    <xf numFmtId="1" fontId="12" fillId="99" borderId="0" xfId="0" applyNumberFormat="1" applyFont="1" applyFill="1"/>
    <xf numFmtId="1" fontId="12" fillId="100" borderId="0" xfId="0" applyNumberFormat="1" applyFont="1" applyFill="1"/>
    <xf numFmtId="1" fontId="12" fillId="101" borderId="0" xfId="0" applyNumberFormat="1" applyFont="1" applyFill="1"/>
    <xf numFmtId="1" fontId="12" fillId="102" borderId="0" xfId="0" applyNumberFormat="1" applyFont="1" applyFill="1"/>
    <xf numFmtId="1" fontId="12" fillId="103" borderId="0" xfId="0" applyNumberFormat="1" applyFont="1" applyFill="1"/>
    <xf numFmtId="1" fontId="12" fillId="104" borderId="0" xfId="0" applyNumberFormat="1" applyFont="1" applyFill="1"/>
    <xf numFmtId="1" fontId="12" fillId="105" borderId="0" xfId="0" applyNumberFormat="1" applyFont="1" applyFill="1"/>
    <xf numFmtId="1" fontId="12" fillId="135" borderId="0" xfId="0" applyNumberFormat="1" applyFont="1" applyFill="1"/>
    <xf numFmtId="1" fontId="12" fillId="106" borderId="0" xfId="0" applyNumberFormat="1" applyFont="1" applyFill="1"/>
    <xf numFmtId="1" fontId="12" fillId="107" borderId="0" xfId="0" applyNumberFormat="1" applyFont="1" applyFill="1"/>
    <xf numFmtId="1" fontId="12" fillId="108" borderId="0" xfId="0" applyNumberFormat="1" applyFont="1" applyFill="1"/>
    <xf numFmtId="1" fontId="12" fillId="109" borderId="0" xfId="0" applyNumberFormat="1" applyFont="1" applyFill="1"/>
    <xf numFmtId="1" fontId="12" fillId="110" borderId="0" xfId="0" applyNumberFormat="1" applyFont="1" applyFill="1"/>
    <xf numFmtId="1" fontId="12" fillId="111" borderId="0" xfId="0" applyNumberFormat="1" applyFont="1" applyFill="1"/>
    <xf numFmtId="1" fontId="12" fillId="112" borderId="0" xfId="0" applyNumberFormat="1" applyFont="1" applyFill="1"/>
    <xf numFmtId="1" fontId="12" fillId="113" borderId="0" xfId="0" applyNumberFormat="1" applyFont="1" applyFill="1"/>
    <xf numFmtId="1" fontId="12" fillId="114" borderId="0" xfId="0" applyNumberFormat="1" applyFont="1" applyFill="1"/>
    <xf numFmtId="1" fontId="12" fillId="115" borderId="0" xfId="0" applyNumberFormat="1" applyFont="1" applyFill="1"/>
    <xf numFmtId="1" fontId="12" fillId="116" borderId="0" xfId="0" applyNumberFormat="1" applyFont="1" applyFill="1"/>
    <xf numFmtId="1" fontId="12" fillId="117" borderId="0" xfId="0" applyNumberFormat="1" applyFont="1" applyFill="1"/>
    <xf numFmtId="1" fontId="12" fillId="118" borderId="0" xfId="0" applyNumberFormat="1" applyFont="1" applyFill="1"/>
    <xf numFmtId="1" fontId="12" fillId="119" borderId="0" xfId="0" applyNumberFormat="1" applyFont="1" applyFill="1"/>
    <xf numFmtId="1" fontId="12" fillId="120" borderId="0" xfId="0" applyNumberFormat="1" applyFont="1" applyFill="1"/>
    <xf numFmtId="1" fontId="12" fillId="121" borderId="0" xfId="0" applyNumberFormat="1" applyFont="1" applyFill="1"/>
    <xf numFmtId="1" fontId="12" fillId="122" borderId="0" xfId="0" applyNumberFormat="1" applyFont="1" applyFill="1"/>
    <xf numFmtId="1" fontId="12" fillId="123" borderId="0" xfId="0" applyNumberFormat="1" applyFont="1" applyFill="1"/>
    <xf numFmtId="1" fontId="12" fillId="124" borderId="0" xfId="0" applyNumberFormat="1" applyFont="1" applyFill="1"/>
    <xf numFmtId="1" fontId="12" fillId="125" borderId="0" xfId="0" applyNumberFormat="1" applyFont="1" applyFill="1"/>
    <xf numFmtId="1" fontId="12" fillId="126" borderId="0" xfId="0" applyNumberFormat="1" applyFont="1" applyFill="1"/>
    <xf numFmtId="1" fontId="12" fillId="127" borderId="0" xfId="0" applyNumberFormat="1" applyFont="1" applyFill="1"/>
    <xf numFmtId="1" fontId="12" fillId="128" borderId="0" xfId="0" applyNumberFormat="1" applyFont="1" applyFill="1"/>
    <xf numFmtId="1" fontId="12" fillId="129" borderId="0" xfId="0" applyNumberFormat="1" applyFont="1" applyFill="1"/>
    <xf numFmtId="1" fontId="12" fillId="130" borderId="0" xfId="0" applyNumberFormat="1" applyFont="1" applyFill="1"/>
    <xf numFmtId="1" fontId="12" fillId="131" borderId="0" xfId="0" applyNumberFormat="1" applyFont="1" applyFill="1"/>
    <xf numFmtId="1" fontId="12" fillId="132" borderId="0" xfId="0" applyNumberFormat="1" applyFont="1" applyFill="1"/>
    <xf numFmtId="1" fontId="0" fillId="0" borderId="0" xfId="0" applyNumberFormat="1"/>
    <xf numFmtId="0" fontId="12" fillId="136" borderId="0" xfId="0" applyFont="1" applyFill="1"/>
    <xf numFmtId="1" fontId="12" fillId="136" borderId="0" xfId="0" applyNumberFormat="1" applyFont="1" applyFill="1"/>
    <xf numFmtId="0" fontId="12" fillId="137" borderId="0" xfId="0" applyFont="1" applyFill="1"/>
    <xf numFmtId="1" fontId="12" fillId="137" borderId="0" xfId="0" applyNumberFormat="1" applyFont="1" applyFill="1"/>
    <xf numFmtId="0" fontId="12" fillId="138" borderId="0" xfId="0" applyFont="1" applyFill="1"/>
    <xf numFmtId="1" fontId="12" fillId="138" borderId="0" xfId="0" applyNumberFormat="1" applyFont="1" applyFill="1"/>
    <xf numFmtId="0" fontId="12" fillId="139" borderId="0" xfId="0" applyFont="1" applyFill="1"/>
    <xf numFmtId="1" fontId="12" fillId="139" borderId="0" xfId="0" applyNumberFormat="1" applyFont="1" applyFill="1"/>
    <xf numFmtId="0" fontId="12" fillId="140" borderId="0" xfId="0" applyFont="1" applyFill="1"/>
    <xf numFmtId="1" fontId="12" fillId="140" borderId="0" xfId="0" applyNumberFormat="1" applyFont="1" applyFill="1"/>
    <xf numFmtId="0" fontId="12" fillId="141" borderId="0" xfId="0" applyFont="1" applyFill="1"/>
    <xf numFmtId="1" fontId="12" fillId="141" borderId="0" xfId="0" applyNumberFormat="1" applyFont="1" applyFill="1"/>
    <xf numFmtId="0" fontId="12" fillId="142" borderId="0" xfId="0" applyFont="1" applyFill="1"/>
    <xf numFmtId="1" fontId="12" fillId="142" borderId="0" xfId="0" applyNumberFormat="1" applyFont="1" applyFill="1"/>
    <xf numFmtId="0" fontId="12" fillId="143" borderId="0" xfId="0" applyFont="1" applyFill="1"/>
    <xf numFmtId="1" fontId="12" fillId="143" borderId="0" xfId="0" applyNumberFormat="1" applyFont="1" applyFill="1"/>
    <xf numFmtId="0" fontId="12" fillId="144" borderId="0" xfId="0" applyFont="1" applyFill="1"/>
    <xf numFmtId="1" fontId="12" fillId="144" borderId="0" xfId="0" applyNumberFormat="1" applyFont="1" applyFill="1"/>
    <xf numFmtId="0" fontId="12" fillId="145" borderId="0" xfId="0" applyFont="1" applyFill="1"/>
    <xf numFmtId="1" fontId="12" fillId="145" borderId="0" xfId="0" applyNumberFormat="1" applyFont="1" applyFill="1"/>
    <xf numFmtId="0" fontId="12" fillId="146" borderId="0" xfId="0" applyFont="1" applyFill="1"/>
    <xf numFmtId="1" fontId="12" fillId="146" borderId="0" xfId="0" applyNumberFormat="1" applyFont="1" applyFill="1"/>
    <xf numFmtId="0" fontId="12" fillId="147" borderId="0" xfId="0" applyFont="1" applyFill="1"/>
    <xf numFmtId="1" fontId="12" fillId="147" borderId="0" xfId="0" applyNumberFormat="1" applyFont="1" applyFill="1"/>
    <xf numFmtId="0" fontId="12" fillId="148" borderId="0" xfId="0" applyFont="1" applyFill="1"/>
    <xf numFmtId="1" fontId="12" fillId="148" borderId="0" xfId="0" applyNumberFormat="1" applyFont="1" applyFill="1"/>
    <xf numFmtId="0" fontId="12" fillId="149" borderId="0" xfId="0" applyFont="1" applyFill="1"/>
    <xf numFmtId="1" fontId="12" fillId="149" borderId="0" xfId="0" applyNumberFormat="1" applyFont="1" applyFill="1"/>
    <xf numFmtId="0" fontId="12" fillId="150" borderId="0" xfId="0" applyFont="1" applyFill="1"/>
    <xf numFmtId="1" fontId="12" fillId="150" borderId="0" xfId="0" applyNumberFormat="1" applyFont="1" applyFill="1"/>
    <xf numFmtId="0" fontId="12" fillId="151" borderId="0" xfId="0" applyFont="1" applyFill="1"/>
    <xf numFmtId="1" fontId="12" fillId="151" borderId="0" xfId="0" applyNumberFormat="1" applyFont="1" applyFill="1"/>
    <xf numFmtId="0" fontId="12" fillId="152" borderId="0" xfId="0" applyFont="1" applyFill="1"/>
    <xf numFmtId="1" fontId="12" fillId="152" borderId="0" xfId="0" applyNumberFormat="1" applyFont="1" applyFill="1"/>
    <xf numFmtId="0" fontId="12" fillId="153" borderId="0" xfId="0" applyFont="1" applyFill="1"/>
    <xf numFmtId="1" fontId="12" fillId="153" borderId="0" xfId="0" applyNumberFormat="1" applyFont="1" applyFill="1"/>
    <xf numFmtId="0" fontId="12" fillId="154" borderId="0" xfId="0" applyFont="1" applyFill="1"/>
    <xf numFmtId="1" fontId="12" fillId="154" borderId="0" xfId="0" applyNumberFormat="1" applyFont="1" applyFill="1"/>
    <xf numFmtId="0" fontId="12" fillId="155" borderId="0" xfId="0" applyFont="1" applyFill="1"/>
    <xf numFmtId="1" fontId="12" fillId="155" borderId="0" xfId="0" applyNumberFormat="1" applyFont="1" applyFill="1"/>
    <xf numFmtId="0" fontId="12" fillId="156" borderId="0" xfId="0" applyFont="1" applyFill="1"/>
    <xf numFmtId="1" fontId="12" fillId="156" borderId="0" xfId="0" applyNumberFormat="1" applyFont="1" applyFill="1"/>
    <xf numFmtId="0" fontId="12" fillId="157" borderId="0" xfId="0" applyFont="1" applyFill="1"/>
    <xf numFmtId="1" fontId="12" fillId="157" borderId="0" xfId="0" applyNumberFormat="1" applyFont="1" applyFill="1"/>
    <xf numFmtId="0" fontId="12" fillId="158" borderId="0" xfId="0" applyFont="1" applyFill="1"/>
    <xf numFmtId="1" fontId="12" fillId="158" borderId="0" xfId="0" applyNumberFormat="1" applyFont="1" applyFill="1"/>
    <xf numFmtId="164" fontId="12" fillId="67" borderId="0" xfId="0" applyNumberFormat="1" applyFont="1" applyFill="1"/>
    <xf numFmtId="164" fontId="12" fillId="68" borderId="0" xfId="0" applyNumberFormat="1" applyFont="1" applyFill="1"/>
    <xf numFmtId="164" fontId="12" fillId="69" borderId="0" xfId="0" applyNumberFormat="1" applyFont="1" applyFill="1"/>
    <xf numFmtId="164" fontId="12" fillId="134" borderId="0" xfId="0" applyNumberFormat="1" applyFont="1" applyFill="1"/>
    <xf numFmtId="164" fontId="12" fillId="70" borderId="0" xfId="0" applyNumberFormat="1" applyFont="1" applyFill="1"/>
    <xf numFmtId="164" fontId="12" fillId="71" borderId="0" xfId="0" applyNumberFormat="1" applyFont="1" applyFill="1"/>
    <xf numFmtId="164" fontId="12" fillId="72" borderId="0" xfId="0" applyNumberFormat="1" applyFont="1" applyFill="1"/>
    <xf numFmtId="164" fontId="12" fillId="73" borderId="0" xfId="0" applyNumberFormat="1" applyFont="1" applyFill="1"/>
    <xf numFmtId="164" fontId="12" fillId="74" borderId="0" xfId="0" applyNumberFormat="1" applyFont="1" applyFill="1"/>
    <xf numFmtId="164" fontId="12" fillId="75" borderId="0" xfId="0" applyNumberFormat="1" applyFont="1" applyFill="1"/>
    <xf numFmtId="164" fontId="12" fillId="76" borderId="0" xfId="0" applyNumberFormat="1" applyFont="1" applyFill="1"/>
    <xf numFmtId="164" fontId="12" fillId="136" borderId="0" xfId="0" applyNumberFormat="1" applyFont="1" applyFill="1"/>
    <xf numFmtId="164" fontId="12" fillId="133" borderId="0" xfId="0" applyNumberFormat="1" applyFont="1" applyFill="1"/>
    <xf numFmtId="164" fontId="12" fillId="137" borderId="0" xfId="0" applyNumberFormat="1" applyFont="1" applyFill="1"/>
    <xf numFmtId="164" fontId="12" fillId="77" borderId="0" xfId="0" applyNumberFormat="1" applyFont="1" applyFill="1"/>
    <xf numFmtId="164" fontId="12" fillId="78" borderId="0" xfId="0" applyNumberFormat="1" applyFont="1" applyFill="1"/>
    <xf numFmtId="164" fontId="12" fillId="79" borderId="0" xfId="0" applyNumberFormat="1" applyFont="1" applyFill="1"/>
    <xf numFmtId="164" fontId="12" fillId="80" borderId="0" xfId="0" applyNumberFormat="1" applyFont="1" applyFill="1"/>
    <xf numFmtId="164" fontId="12" fillId="81" borderId="0" xfId="0" applyNumberFormat="1" applyFont="1" applyFill="1"/>
    <xf numFmtId="164" fontId="12" fillId="82" borderId="0" xfId="0" applyNumberFormat="1" applyFont="1" applyFill="1"/>
    <xf numFmtId="164" fontId="12" fillId="83" borderId="0" xfId="0" applyNumberFormat="1" applyFont="1" applyFill="1"/>
    <xf numFmtId="164" fontId="12" fillId="138" borderId="0" xfId="0" applyNumberFormat="1" applyFont="1" applyFill="1"/>
    <xf numFmtId="164" fontId="12" fillId="139" borderId="0" xfId="0" applyNumberFormat="1" applyFont="1" applyFill="1"/>
    <xf numFmtId="164" fontId="12" fillId="140" borderId="0" xfId="0" applyNumberFormat="1" applyFont="1" applyFill="1"/>
    <xf numFmtId="164" fontId="12" fillId="141" borderId="0" xfId="0" applyNumberFormat="1" applyFont="1" applyFill="1"/>
    <xf numFmtId="164" fontId="12" fillId="84" borderId="0" xfId="0" applyNumberFormat="1" applyFont="1" applyFill="1"/>
    <xf numFmtId="164" fontId="12" fillId="85" borderId="0" xfId="0" applyNumberFormat="1" applyFont="1" applyFill="1"/>
    <xf numFmtId="164" fontId="12" fillId="86" borderId="0" xfId="0" applyNumberFormat="1" applyFont="1" applyFill="1"/>
    <xf numFmtId="164" fontId="12" fillId="87" borderId="0" xfId="0" applyNumberFormat="1" applyFont="1" applyFill="1"/>
    <xf numFmtId="164" fontId="12" fillId="88" borderId="0" xfId="0" applyNumberFormat="1" applyFont="1" applyFill="1"/>
    <xf numFmtId="164" fontId="12" fillId="89" borderId="0" xfId="0" applyNumberFormat="1" applyFont="1" applyFill="1"/>
    <xf numFmtId="164" fontId="12" fillId="90" borderId="0" xfId="0" applyNumberFormat="1" applyFont="1" applyFill="1"/>
    <xf numFmtId="164" fontId="12" fillId="91" borderId="0" xfId="0" applyNumberFormat="1" applyFont="1" applyFill="1"/>
    <xf numFmtId="164" fontId="12" fillId="92" borderId="0" xfId="0" applyNumberFormat="1" applyFont="1" applyFill="1"/>
    <xf numFmtId="164" fontId="12" fillId="93" borderId="0" xfId="0" applyNumberFormat="1" applyFont="1" applyFill="1"/>
    <xf numFmtId="164" fontId="12" fillId="94" borderId="0" xfId="0" applyNumberFormat="1" applyFont="1" applyFill="1"/>
    <xf numFmtId="164" fontId="12" fillId="95" borderId="0" xfId="0" applyNumberFormat="1" applyFont="1" applyFill="1"/>
    <xf numFmtId="164" fontId="12" fillId="96" borderId="0" xfId="0" applyNumberFormat="1" applyFont="1" applyFill="1"/>
    <xf numFmtId="164" fontId="12" fillId="97" borderId="0" xfId="0" applyNumberFormat="1" applyFont="1" applyFill="1"/>
    <xf numFmtId="164" fontId="12" fillId="142" borderId="0" xfId="0" applyNumberFormat="1" applyFont="1" applyFill="1"/>
    <xf numFmtId="164" fontId="12" fillId="143" borderId="0" xfId="0" applyNumberFormat="1" applyFont="1" applyFill="1"/>
    <xf numFmtId="164" fontId="12" fillId="98" borderId="0" xfId="0" applyNumberFormat="1" applyFont="1" applyFill="1"/>
    <xf numFmtId="164" fontId="12" fillId="99" borderId="0" xfId="0" applyNumberFormat="1" applyFont="1" applyFill="1"/>
    <xf numFmtId="164" fontId="12" fillId="100" borderId="0" xfId="0" applyNumberFormat="1" applyFont="1" applyFill="1"/>
    <xf numFmtId="164" fontId="12" fillId="144" borderId="0" xfId="0" applyNumberFormat="1" applyFont="1" applyFill="1"/>
    <xf numFmtId="164" fontId="12" fillId="101" borderId="0" xfId="0" applyNumberFormat="1" applyFont="1" applyFill="1"/>
    <xf numFmtId="164" fontId="12" fillId="145" borderId="0" xfId="0" applyNumberFormat="1" applyFont="1" applyFill="1"/>
    <xf numFmtId="164" fontId="12" fillId="102" borderId="0" xfId="0" applyNumberFormat="1" applyFont="1" applyFill="1"/>
    <xf numFmtId="164" fontId="12" fillId="103" borderId="0" xfId="0" applyNumberFormat="1" applyFont="1" applyFill="1"/>
    <xf numFmtId="164" fontId="12" fillId="104" borderId="0" xfId="0" applyNumberFormat="1" applyFont="1" applyFill="1"/>
    <xf numFmtId="164" fontId="12" fillId="105" borderId="0" xfId="0" applyNumberFormat="1" applyFont="1" applyFill="1"/>
    <xf numFmtId="164" fontId="12" fillId="135" borderId="0" xfId="0" applyNumberFormat="1" applyFont="1" applyFill="1"/>
    <xf numFmtId="164" fontId="12" fillId="106" borderId="0" xfId="0" applyNumberFormat="1" applyFont="1" applyFill="1"/>
    <xf numFmtId="164" fontId="12" fillId="146" borderId="0" xfId="0" applyNumberFormat="1" applyFont="1" applyFill="1"/>
    <xf numFmtId="164" fontId="12" fillId="107" borderId="0" xfId="0" applyNumberFormat="1" applyFont="1" applyFill="1"/>
    <xf numFmtId="164" fontId="12" fillId="108" borderId="0" xfId="0" applyNumberFormat="1" applyFont="1" applyFill="1"/>
    <xf numFmtId="164" fontId="12" fillId="147" borderId="0" xfId="0" applyNumberFormat="1" applyFont="1" applyFill="1"/>
    <xf numFmtId="164" fontId="12" fillId="109" borderId="0" xfId="0" applyNumberFormat="1" applyFont="1" applyFill="1"/>
    <xf numFmtId="164" fontId="12" fillId="110" borderId="0" xfId="0" applyNumberFormat="1" applyFont="1" applyFill="1"/>
    <xf numFmtId="164" fontId="12" fillId="111" borderId="0" xfId="0" applyNumberFormat="1" applyFont="1" applyFill="1"/>
    <xf numFmtId="164" fontId="12" fillId="112" borderId="0" xfId="0" applyNumberFormat="1" applyFont="1" applyFill="1"/>
    <xf numFmtId="164" fontId="12" fillId="148" borderId="0" xfId="0" applyNumberFormat="1" applyFont="1" applyFill="1"/>
    <xf numFmtId="164" fontId="12" fillId="113" borderId="0" xfId="0" applyNumberFormat="1" applyFont="1" applyFill="1"/>
    <xf numFmtId="164" fontId="12" fillId="114" borderId="0" xfId="0" applyNumberFormat="1" applyFont="1" applyFill="1"/>
    <xf numFmtId="164" fontId="12" fillId="115" borderId="0" xfId="0" applyNumberFormat="1" applyFont="1" applyFill="1"/>
    <xf numFmtId="164" fontId="12" fillId="116" borderId="0" xfId="0" applyNumberFormat="1" applyFont="1" applyFill="1"/>
    <xf numFmtId="164" fontId="12" fillId="117" borderId="0" xfId="0" applyNumberFormat="1" applyFont="1" applyFill="1"/>
    <xf numFmtId="164" fontId="12" fillId="118" borderId="0" xfId="0" applyNumberFormat="1" applyFont="1" applyFill="1"/>
    <xf numFmtId="164" fontId="12" fillId="149" borderId="0" xfId="0" applyNumberFormat="1" applyFont="1" applyFill="1"/>
    <xf numFmtId="164" fontId="12" fillId="119" borderId="0" xfId="0" applyNumberFormat="1" applyFont="1" applyFill="1"/>
    <xf numFmtId="164" fontId="12" fillId="120" borderId="0" xfId="0" applyNumberFormat="1" applyFont="1" applyFill="1"/>
    <xf numFmtId="164" fontId="12" fillId="121" borderId="0" xfId="0" applyNumberFormat="1" applyFont="1" applyFill="1"/>
    <xf numFmtId="164" fontId="12" fillId="150" borderId="0" xfId="0" applyNumberFormat="1" applyFont="1" applyFill="1"/>
    <xf numFmtId="164" fontId="12" fillId="151" borderId="0" xfId="0" applyNumberFormat="1" applyFont="1" applyFill="1"/>
    <xf numFmtId="164" fontId="12" fillId="122" borderId="0" xfId="0" applyNumberFormat="1" applyFont="1" applyFill="1"/>
    <xf numFmtId="164" fontId="12" fillId="123" borderId="0" xfId="0" applyNumberFormat="1" applyFont="1" applyFill="1"/>
    <xf numFmtId="164" fontId="12" fillId="124" borderId="0" xfId="0" applyNumberFormat="1" applyFont="1" applyFill="1"/>
    <xf numFmtId="164" fontId="12" fillId="125" borderId="0" xfId="0" applyNumberFormat="1" applyFont="1" applyFill="1"/>
    <xf numFmtId="164" fontId="12" fillId="152" borderId="0" xfId="0" applyNumberFormat="1" applyFont="1" applyFill="1"/>
    <xf numFmtId="164" fontId="12" fillId="126" borderId="0" xfId="0" applyNumberFormat="1" applyFont="1" applyFill="1"/>
    <xf numFmtId="164" fontId="12" fillId="153" borderId="0" xfId="0" applyNumberFormat="1" applyFont="1" applyFill="1"/>
    <xf numFmtId="164" fontId="12" fillId="127" borderId="0" xfId="0" applyNumberFormat="1" applyFont="1" applyFill="1"/>
    <xf numFmtId="164" fontId="12" fillId="128" borderId="0" xfId="0" applyNumberFormat="1" applyFont="1" applyFill="1"/>
    <xf numFmtId="164" fontId="12" fillId="129" borderId="0" xfId="0" applyNumberFormat="1" applyFont="1" applyFill="1"/>
    <xf numFmtId="164" fontId="12" fillId="154" borderId="0" xfId="0" applyNumberFormat="1" applyFont="1" applyFill="1"/>
    <xf numFmtId="164" fontId="12" fillId="155" borderId="0" xfId="0" applyNumberFormat="1" applyFont="1" applyFill="1"/>
    <xf numFmtId="164" fontId="12" fillId="130" borderId="0" xfId="0" applyNumberFormat="1" applyFont="1" applyFill="1"/>
    <xf numFmtId="164" fontId="12" fillId="131" borderId="0" xfId="0" applyNumberFormat="1" applyFont="1" applyFill="1"/>
    <xf numFmtId="164" fontId="12" fillId="156" borderId="0" xfId="0" applyNumberFormat="1" applyFont="1" applyFill="1"/>
    <xf numFmtId="164" fontId="12" fillId="132" borderId="0" xfId="0" applyNumberFormat="1" applyFont="1" applyFill="1"/>
    <xf numFmtId="164" fontId="12" fillId="157" borderId="0" xfId="0" applyNumberFormat="1" applyFont="1" applyFill="1"/>
    <xf numFmtId="164" fontId="12" fillId="158" borderId="0" xfId="0" applyNumberFormat="1" applyFont="1" applyFill="1"/>
    <xf numFmtId="0" fontId="0" fillId="0" borderId="2" xfId="0" applyBorder="1"/>
    <xf numFmtId="0" fontId="15" fillId="0" borderId="25" xfId="0" applyFont="1" applyBorder="1"/>
    <xf numFmtId="0" fontId="12" fillId="159" borderId="4" xfId="0" applyFont="1" applyFill="1" applyBorder="1"/>
    <xf numFmtId="2" fontId="12" fillId="159" borderId="4" xfId="0" applyNumberFormat="1" applyFont="1" applyFill="1" applyBorder="1"/>
    <xf numFmtId="0" fontId="12" fillId="60" borderId="0" xfId="0" applyFont="1" applyFill="1"/>
    <xf numFmtId="0" fontId="12" fillId="61" borderId="0" xfId="0" applyFont="1" applyFill="1"/>
    <xf numFmtId="0" fontId="12" fillId="62" borderId="0" xfId="0" applyFont="1" applyFill="1"/>
    <xf numFmtId="0" fontId="12" fillId="63" borderId="0" xfId="0" applyFont="1" applyFill="1"/>
    <xf numFmtId="164" fontId="10" fillId="3" borderId="4" xfId="0" applyNumberFormat="1" applyFont="1" applyFill="1" applyBorder="1"/>
    <xf numFmtId="164" fontId="10" fillId="7" borderId="1" xfId="0" applyNumberFormat="1" applyFont="1" applyFill="1" applyBorder="1" applyAlignment="1">
      <alignment horizontal="center" vertical="top" textRotation="45" wrapText="1"/>
    </xf>
    <xf numFmtId="164" fontId="10" fillId="7" borderId="4" xfId="0" applyNumberFormat="1" applyFont="1" applyFill="1" applyBorder="1"/>
    <xf numFmtId="164" fontId="10" fillId="7" borderId="8" xfId="0" applyNumberFormat="1" applyFont="1" applyFill="1" applyBorder="1"/>
    <xf numFmtId="164" fontId="7" fillId="3" borderId="1" xfId="0" applyNumberFormat="1" applyFont="1" applyFill="1" applyBorder="1" applyAlignment="1">
      <alignment horizontal="center" vertical="top" textRotation="45" wrapText="1"/>
    </xf>
    <xf numFmtId="164" fontId="10" fillId="11" borderId="1" xfId="0" applyNumberFormat="1" applyFont="1" applyFill="1" applyBorder="1" applyAlignment="1">
      <alignment horizontal="center" vertical="top" textRotation="45" wrapText="1"/>
    </xf>
    <xf numFmtId="164" fontId="10" fillId="11" borderId="4" xfId="0" applyNumberFormat="1" applyFont="1" applyFill="1" applyBorder="1"/>
    <xf numFmtId="164" fontId="10" fillId="6" borderId="11" xfId="0" applyNumberFormat="1" applyFont="1" applyFill="1" applyBorder="1" applyAlignment="1">
      <alignment horizontal="center" vertical="top" textRotation="45"/>
    </xf>
    <xf numFmtId="164" fontId="10" fillId="6" borderId="4" xfId="0" applyNumberFormat="1" applyFont="1" applyFill="1" applyBorder="1"/>
    <xf numFmtId="164" fontId="10" fillId="4" borderId="11" xfId="0" applyNumberFormat="1" applyFont="1" applyFill="1" applyBorder="1" applyAlignment="1">
      <alignment horizontal="center" vertical="top" textRotation="45"/>
    </xf>
    <xf numFmtId="164" fontId="10" fillId="4" borderId="4" xfId="0" applyNumberFormat="1" applyFont="1" applyFill="1" applyBorder="1"/>
    <xf numFmtId="164" fontId="10" fillId="12" borderId="11" xfId="0" applyNumberFormat="1" applyFont="1" applyFill="1" applyBorder="1" applyAlignment="1">
      <alignment horizontal="center" vertical="top" textRotation="45"/>
    </xf>
    <xf numFmtId="164" fontId="10" fillId="12" borderId="4" xfId="0" applyNumberFormat="1" applyFont="1" applyFill="1" applyBorder="1"/>
    <xf numFmtId="164" fontId="10" fillId="3" borderId="11" xfId="0" applyNumberFormat="1" applyFont="1" applyFill="1" applyBorder="1" applyAlignment="1">
      <alignment horizontal="center" vertical="top" textRotation="45"/>
    </xf>
    <xf numFmtId="164" fontId="7" fillId="2" borderId="21" xfId="0" applyNumberFormat="1" applyFont="1" applyFill="1" applyBorder="1" applyAlignment="1">
      <alignment horizontal="center" vertical="top" textRotation="45"/>
    </xf>
    <xf numFmtId="164" fontId="10" fillId="2" borderId="4" xfId="0" applyNumberFormat="1" applyFont="1" applyFill="1" applyBorder="1"/>
    <xf numFmtId="164" fontId="7" fillId="5" borderId="11" xfId="0" applyNumberFormat="1" applyFont="1" applyFill="1" applyBorder="1" applyAlignment="1">
      <alignment horizontal="center" vertical="top" textRotation="45"/>
    </xf>
    <xf numFmtId="164" fontId="10" fillId="5" borderId="4" xfId="0" applyNumberFormat="1" applyFont="1" applyFill="1" applyBorder="1"/>
    <xf numFmtId="0" fontId="14" fillId="115" borderId="0" xfId="0" applyFont="1" applyFill="1"/>
    <xf numFmtId="0" fontId="12" fillId="160" borderId="0" xfId="0" applyFont="1" applyFill="1"/>
    <xf numFmtId="164" fontId="12" fillId="160" borderId="0" xfId="0" applyNumberFormat="1" applyFont="1" applyFill="1"/>
    <xf numFmtId="1" fontId="12" fillId="160" borderId="0" xfId="0" applyNumberFormat="1" applyFont="1" applyFill="1"/>
    <xf numFmtId="0" fontId="12" fillId="161" borderId="0" xfId="0" applyFont="1" applyFill="1"/>
    <xf numFmtId="164" fontId="12" fillId="161" borderId="0" xfId="0" applyNumberFormat="1" applyFont="1" applyFill="1"/>
    <xf numFmtId="1" fontId="12" fillId="161" borderId="0" xfId="0" applyNumberFormat="1" applyFont="1" applyFill="1"/>
    <xf numFmtId="0" fontId="12" fillId="162" borderId="0" xfId="0" applyFont="1" applyFill="1"/>
    <xf numFmtId="164" fontId="12" fillId="162" borderId="0" xfId="0" applyNumberFormat="1" applyFont="1" applyFill="1"/>
    <xf numFmtId="1" fontId="12" fillId="162" borderId="0" xfId="0" applyNumberFormat="1" applyFont="1" applyFill="1"/>
    <xf numFmtId="0" fontId="12" fillId="163" borderId="0" xfId="0" applyFont="1" applyFill="1"/>
    <xf numFmtId="164" fontId="12" fillId="163" borderId="0" xfId="0" applyNumberFormat="1" applyFont="1" applyFill="1"/>
    <xf numFmtId="1" fontId="12" fillId="163" borderId="0" xfId="0" applyNumberFormat="1" applyFont="1" applyFill="1"/>
    <xf numFmtId="0" fontId="12" fillId="164" borderId="0" xfId="0" applyFont="1" applyFill="1"/>
    <xf numFmtId="164" fontId="12" fillId="164" borderId="0" xfId="0" applyNumberFormat="1" applyFont="1" applyFill="1"/>
    <xf numFmtId="1" fontId="12" fillId="164" borderId="0" xfId="0" applyNumberFormat="1" applyFont="1" applyFill="1"/>
    <xf numFmtId="0" fontId="12" fillId="165" borderId="0" xfId="0" applyFont="1" applyFill="1"/>
    <xf numFmtId="164" fontId="12" fillId="165" borderId="0" xfId="0" applyNumberFormat="1" applyFont="1" applyFill="1"/>
    <xf numFmtId="1" fontId="12" fillId="165" borderId="0" xfId="0" applyNumberFormat="1" applyFont="1" applyFill="1"/>
    <xf numFmtId="0" fontId="12" fillId="166" borderId="0" xfId="0" applyFont="1" applyFill="1"/>
    <xf numFmtId="164" fontId="12" fillId="166" borderId="0" xfId="0" applyNumberFormat="1" applyFont="1" applyFill="1"/>
    <xf numFmtId="1" fontId="12" fillId="166" borderId="0" xfId="0" applyNumberFormat="1" applyFont="1" applyFill="1"/>
    <xf numFmtId="0" fontId="12" fillId="167" borderId="0" xfId="0" applyFont="1" applyFill="1"/>
    <xf numFmtId="164" fontId="12" fillId="167" borderId="0" xfId="0" applyNumberFormat="1" applyFont="1" applyFill="1"/>
    <xf numFmtId="1" fontId="12" fillId="167" borderId="0" xfId="0" applyNumberFormat="1" applyFont="1" applyFill="1"/>
    <xf numFmtId="0" fontId="12" fillId="168" borderId="0" xfId="0" applyFont="1" applyFill="1"/>
    <xf numFmtId="164" fontId="12" fillId="168" borderId="0" xfId="0" applyNumberFormat="1" applyFont="1" applyFill="1"/>
    <xf numFmtId="1" fontId="12" fillId="168" borderId="0" xfId="0" applyNumberFormat="1" applyFont="1" applyFill="1"/>
    <xf numFmtId="0" fontId="12" fillId="169" borderId="0" xfId="0" applyFont="1" applyFill="1"/>
    <xf numFmtId="164" fontId="12" fillId="169" borderId="0" xfId="0" applyNumberFormat="1" applyFont="1" applyFill="1"/>
    <xf numFmtId="1" fontId="12" fillId="169" borderId="0" xfId="0" applyNumberFormat="1" applyFont="1" applyFill="1"/>
    <xf numFmtId="0" fontId="12" fillId="170" borderId="0" xfId="0" applyFont="1" applyFill="1"/>
    <xf numFmtId="164" fontId="12" fillId="170" borderId="0" xfId="0" applyNumberFormat="1" applyFont="1" applyFill="1"/>
    <xf numFmtId="1" fontId="12" fillId="170" borderId="0" xfId="0" applyNumberFormat="1" applyFont="1" applyFill="1"/>
    <xf numFmtId="0" fontId="12" fillId="171" borderId="0" xfId="0" applyFont="1" applyFill="1"/>
    <xf numFmtId="164" fontId="12" fillId="171" borderId="0" xfId="0" applyNumberFormat="1" applyFont="1" applyFill="1"/>
    <xf numFmtId="1" fontId="12" fillId="171" borderId="0" xfId="0" applyNumberFormat="1" applyFont="1" applyFill="1"/>
    <xf numFmtId="0" fontId="12" fillId="172" borderId="0" xfId="0" applyFont="1" applyFill="1"/>
    <xf numFmtId="164" fontId="12" fillId="172" borderId="0" xfId="0" applyNumberFormat="1" applyFont="1" applyFill="1"/>
    <xf numFmtId="1" fontId="12" fillId="172" borderId="0" xfId="0" applyNumberFormat="1" applyFont="1" applyFill="1"/>
    <xf numFmtId="0" fontId="12" fillId="173" borderId="0" xfId="0" applyFont="1" applyFill="1"/>
    <xf numFmtId="164" fontId="12" fillId="173" borderId="0" xfId="0" applyNumberFormat="1" applyFont="1" applyFill="1"/>
    <xf numFmtId="1" fontId="12" fillId="173" borderId="0" xfId="0" applyNumberFormat="1" applyFont="1" applyFill="1"/>
    <xf numFmtId="0" fontId="12" fillId="174" borderId="4" xfId="0" applyFont="1" applyFill="1" applyBorder="1"/>
    <xf numFmtId="2" fontId="12" fillId="174" borderId="4" xfId="0" applyNumberFormat="1" applyFont="1" applyFill="1" applyBorder="1"/>
    <xf numFmtId="164" fontId="10" fillId="7" borderId="17" xfId="0" applyNumberFormat="1" applyFont="1" applyFill="1" applyBorder="1"/>
    <xf numFmtId="164" fontId="10" fillId="11" borderId="17" xfId="0" applyNumberFormat="1" applyFont="1" applyFill="1" applyBorder="1"/>
    <xf numFmtId="164" fontId="10" fillId="6" borderId="17" xfId="0" applyNumberFormat="1" applyFont="1" applyFill="1" applyBorder="1"/>
    <xf numFmtId="164" fontId="10" fillId="4" borderId="17" xfId="0" applyNumberFormat="1" applyFont="1" applyFill="1" applyBorder="1"/>
    <xf numFmtId="164" fontId="10" fillId="12" borderId="17" xfId="0" applyNumberFormat="1" applyFont="1" applyFill="1" applyBorder="1"/>
    <xf numFmtId="164" fontId="10" fillId="3" borderId="17" xfId="0" applyNumberFormat="1" applyFont="1" applyFill="1" applyBorder="1"/>
    <xf numFmtId="164" fontId="10" fillId="2" borderId="17" xfId="0" applyNumberFormat="1" applyFont="1" applyFill="1" applyBorder="1"/>
    <xf numFmtId="164" fontId="10" fillId="5" borderId="17" xfId="0" applyNumberFormat="1" applyFont="1" applyFill="1" applyBorder="1"/>
    <xf numFmtId="0" fontId="12" fillId="175" borderId="4" xfId="0" applyFont="1" applyFill="1" applyBorder="1"/>
    <xf numFmtId="2" fontId="12" fillId="175" borderId="4" xfId="0" applyNumberFormat="1" applyFont="1" applyFill="1" applyBorder="1"/>
    <xf numFmtId="0" fontId="12" fillId="176" borderId="4" xfId="0" applyFont="1" applyFill="1" applyBorder="1"/>
    <xf numFmtId="2" fontId="12" fillId="176" borderId="4" xfId="0" applyNumberFormat="1" applyFont="1" applyFill="1" applyBorder="1"/>
    <xf numFmtId="0" fontId="12" fillId="177" borderId="17" xfId="0" applyFont="1" applyFill="1" applyBorder="1"/>
    <xf numFmtId="0" fontId="12" fillId="177" borderId="4" xfId="0" applyFont="1" applyFill="1" applyBorder="1"/>
    <xf numFmtId="2" fontId="12" fillId="177" borderId="4" xfId="0" applyNumberFormat="1" applyFont="1" applyFill="1" applyBorder="1"/>
    <xf numFmtId="0" fontId="12" fillId="178" borderId="17" xfId="0" applyFont="1" applyFill="1" applyBorder="1"/>
    <xf numFmtId="0" fontId="12" fillId="178" borderId="4" xfId="0" applyFont="1" applyFill="1" applyBorder="1"/>
    <xf numFmtId="2" fontId="12" fillId="178" borderId="4" xfId="0" applyNumberFormat="1" applyFont="1" applyFill="1" applyBorder="1"/>
    <xf numFmtId="0" fontId="12" fillId="178" borderId="0" xfId="0" applyFont="1" applyFill="1"/>
    <xf numFmtId="0" fontId="12" fillId="179" borderId="4" xfId="0" applyFont="1" applyFill="1" applyBorder="1"/>
    <xf numFmtId="2" fontId="12" fillId="179" borderId="4" xfId="0" applyNumberFormat="1" applyFont="1" applyFill="1" applyBorder="1"/>
    <xf numFmtId="0" fontId="12" fillId="180" borderId="4" xfId="0" applyFont="1" applyFill="1" applyBorder="1"/>
    <xf numFmtId="2" fontId="12" fillId="180" borderId="4" xfId="0" applyNumberFormat="1" applyFont="1" applyFill="1" applyBorder="1"/>
    <xf numFmtId="0" fontId="0" fillId="8" borderId="17" xfId="0" applyFill="1" applyBorder="1" applyAlignment="1">
      <alignment horizontal="left"/>
    </xf>
    <xf numFmtId="9" fontId="0" fillId="0" borderId="0" xfId="3" applyFont="1" applyAlignment="1">
      <alignment horizontal="left" vertical="top" textRotation="45"/>
    </xf>
    <xf numFmtId="9" fontId="0" fillId="0" borderId="0" xfId="3" applyFont="1"/>
    <xf numFmtId="0" fontId="12" fillId="181" borderId="4" xfId="0" applyFont="1" applyFill="1" applyBorder="1"/>
    <xf numFmtId="2" fontId="12" fillId="181" borderId="4" xfId="0" applyNumberFormat="1" applyFont="1" applyFill="1" applyBorder="1"/>
    <xf numFmtId="2" fontId="13" fillId="181" borderId="4" xfId="0" applyNumberFormat="1" applyFont="1" applyFill="1" applyBorder="1"/>
    <xf numFmtId="0" fontId="2" fillId="182" borderId="27" xfId="0" applyFont="1" applyFill="1" applyBorder="1"/>
    <xf numFmtId="0" fontId="12" fillId="36" borderId="17" xfId="0" applyFont="1" applyFill="1" applyBorder="1"/>
    <xf numFmtId="0" fontId="12" fillId="66" borderId="17" xfId="0" applyFont="1" applyFill="1" applyBorder="1"/>
    <xf numFmtId="0" fontId="12" fillId="62" borderId="17" xfId="0" applyFont="1" applyFill="1" applyBorder="1"/>
    <xf numFmtId="0" fontId="12" fillId="63" borderId="17" xfId="0" applyFont="1" applyFill="1" applyBorder="1"/>
    <xf numFmtId="0" fontId="12" fillId="64" borderId="17" xfId="0" applyFont="1" applyFill="1" applyBorder="1"/>
    <xf numFmtId="0" fontId="12" fillId="65" borderId="17" xfId="0" applyFont="1" applyFill="1" applyBorder="1"/>
    <xf numFmtId="0" fontId="12" fillId="194" borderId="4" xfId="0" applyFont="1" applyFill="1" applyBorder="1"/>
    <xf numFmtId="2" fontId="12" fillId="194" borderId="4" xfId="0" applyNumberFormat="1" applyFont="1" applyFill="1" applyBorder="1"/>
    <xf numFmtId="0" fontId="12" fillId="195" borderId="4" xfId="0" applyFont="1" applyFill="1" applyBorder="1"/>
    <xf numFmtId="2" fontId="12" fillId="195" borderId="4" xfId="0" applyNumberFormat="1" applyFont="1" applyFill="1" applyBorder="1"/>
    <xf numFmtId="0" fontId="12" fillId="8" borderId="0" xfId="0" applyFont="1" applyFill="1" applyAlignment="1">
      <alignment horizontal="left"/>
    </xf>
    <xf numFmtId="2" fontId="0" fillId="0" borderId="0" xfId="0" applyNumberFormat="1"/>
    <xf numFmtId="0" fontId="12" fillId="187" borderId="4" xfId="0" applyFont="1" applyFill="1" applyBorder="1"/>
    <xf numFmtId="0" fontId="12" fillId="192" borderId="4" xfId="0" applyFont="1" applyFill="1" applyBorder="1"/>
    <xf numFmtId="0" fontId="12" fillId="193" borderId="4" xfId="0" applyFont="1" applyFill="1" applyBorder="1"/>
    <xf numFmtId="0" fontId="12" fillId="191" borderId="4" xfId="0" applyFont="1" applyFill="1" applyBorder="1"/>
    <xf numFmtId="0" fontId="12" fillId="184" borderId="4" xfId="0" applyFont="1" applyFill="1" applyBorder="1"/>
    <xf numFmtId="0" fontId="12" fillId="27" borderId="26" xfId="0" applyFont="1" applyFill="1" applyBorder="1"/>
    <xf numFmtId="0" fontId="12" fillId="183" borderId="4" xfId="0" applyFont="1" applyFill="1" applyBorder="1"/>
    <xf numFmtId="2" fontId="5" fillId="2" borderId="3" xfId="0" applyNumberFormat="1" applyFont="1" applyFill="1" applyBorder="1" applyAlignment="1">
      <alignment horizontal="center" vertical="top" textRotation="45"/>
    </xf>
    <xf numFmtId="2" fontId="5" fillId="2" borderId="5" xfId="0" applyNumberFormat="1" applyFont="1" applyFill="1" applyBorder="1" applyAlignment="1">
      <alignment horizontal="center" vertical="top" textRotation="45"/>
    </xf>
    <xf numFmtId="164" fontId="10" fillId="3" borderId="8" xfId="0" applyNumberFormat="1" applyFont="1" applyFill="1" applyBorder="1"/>
    <xf numFmtId="164" fontId="10" fillId="7" borderId="9" xfId="0" applyNumberFormat="1" applyFont="1" applyFill="1" applyBorder="1"/>
    <xf numFmtId="164" fontId="10" fillId="11" borderId="8" xfId="0" applyNumberFormat="1" applyFont="1" applyFill="1" applyBorder="1"/>
    <xf numFmtId="164" fontId="10" fillId="11" borderId="2" xfId="0" applyNumberFormat="1" applyFont="1" applyFill="1" applyBorder="1"/>
    <xf numFmtId="164" fontId="10" fillId="2" borderId="23" xfId="0" applyNumberFormat="1" applyFont="1" applyFill="1" applyBorder="1"/>
    <xf numFmtId="164" fontId="10" fillId="2" borderId="25" xfId="0" applyNumberFormat="1" applyFont="1" applyFill="1" applyBorder="1"/>
    <xf numFmtId="0" fontId="5" fillId="5" borderId="5" xfId="0" applyFont="1" applyFill="1" applyBorder="1" applyAlignment="1">
      <alignment horizontal="center" vertical="top" textRotation="45" wrapText="1"/>
    </xf>
    <xf numFmtId="164" fontId="3" fillId="7" borderId="4" xfId="0" applyNumberFormat="1" applyFont="1" applyFill="1" applyBorder="1"/>
    <xf numFmtId="164" fontId="3" fillId="7" borderId="17" xfId="0" applyNumberFormat="1" applyFont="1" applyFill="1" applyBorder="1"/>
    <xf numFmtId="164" fontId="3" fillId="7" borderId="2" xfId="0" applyNumberFormat="1" applyFont="1" applyFill="1" applyBorder="1"/>
    <xf numFmtId="164" fontId="3" fillId="11" borderId="4" xfId="0" applyNumberFormat="1" applyFont="1" applyFill="1" applyBorder="1"/>
    <xf numFmtId="164" fontId="3" fillId="11" borderId="17" xfId="0" applyNumberFormat="1" applyFont="1" applyFill="1" applyBorder="1"/>
    <xf numFmtId="164" fontId="3" fillId="11" borderId="2" xfId="0" applyNumberFormat="1" applyFont="1" applyFill="1" applyBorder="1"/>
    <xf numFmtId="164" fontId="3" fillId="6" borderId="4" xfId="0" applyNumberFormat="1" applyFont="1" applyFill="1" applyBorder="1"/>
    <xf numFmtId="164" fontId="3" fillId="6" borderId="17" xfId="0" applyNumberFormat="1" applyFont="1" applyFill="1" applyBorder="1"/>
    <xf numFmtId="164" fontId="3" fillId="3" borderId="4" xfId="0" applyNumberFormat="1" applyFont="1" applyFill="1" applyBorder="1"/>
    <xf numFmtId="164" fontId="3" fillId="3" borderId="17" xfId="0" applyNumberFormat="1" applyFont="1" applyFill="1" applyBorder="1"/>
    <xf numFmtId="164" fontId="3" fillId="3" borderId="2" xfId="0" applyNumberFormat="1" applyFont="1" applyFill="1" applyBorder="1"/>
    <xf numFmtId="164" fontId="10" fillId="3" borderId="9" xfId="0" applyNumberFormat="1" applyFont="1" applyFill="1" applyBorder="1"/>
    <xf numFmtId="164" fontId="10" fillId="11" borderId="9" xfId="0" applyNumberFormat="1" applyFont="1" applyFill="1" applyBorder="1"/>
    <xf numFmtId="164" fontId="3" fillId="4" borderId="4" xfId="0" applyNumberFormat="1" applyFont="1" applyFill="1" applyBorder="1"/>
    <xf numFmtId="164" fontId="3" fillId="12" borderId="4" xfId="0" applyNumberFormat="1" applyFont="1" applyFill="1" applyBorder="1"/>
    <xf numFmtId="164" fontId="10" fillId="3" borderId="2" xfId="0" applyNumberFormat="1" applyFont="1" applyFill="1" applyBorder="1"/>
    <xf numFmtId="164" fontId="3" fillId="2" borderId="4" xfId="0" applyNumberFormat="1" applyFont="1" applyFill="1" applyBorder="1"/>
    <xf numFmtId="164" fontId="10" fillId="2" borderId="24" xfId="0" applyNumberFormat="1" applyFont="1" applyFill="1" applyBorder="1"/>
    <xf numFmtId="164" fontId="3" fillId="5" borderId="4" xfId="0" applyNumberFormat="1" applyFont="1" applyFill="1" applyBorder="1"/>
    <xf numFmtId="164" fontId="3" fillId="6" borderId="2" xfId="0" applyNumberFormat="1" applyFont="1" applyFill="1" applyBorder="1"/>
    <xf numFmtId="164" fontId="10" fillId="6" borderId="2" xfId="0" applyNumberFormat="1" applyFont="1" applyFill="1" applyBorder="1"/>
    <xf numFmtId="164" fontId="3" fillId="4" borderId="17" xfId="0" applyNumberFormat="1" applyFont="1" applyFill="1" applyBorder="1"/>
    <xf numFmtId="164" fontId="3" fillId="4" borderId="2" xfId="0" applyNumberFormat="1" applyFont="1" applyFill="1" applyBorder="1"/>
    <xf numFmtId="164" fontId="10" fillId="4" borderId="2" xfId="0" applyNumberFormat="1" applyFont="1" applyFill="1" applyBorder="1"/>
    <xf numFmtId="164" fontId="3" fillId="12" borderId="17" xfId="0" applyNumberFormat="1" applyFont="1" applyFill="1" applyBorder="1"/>
    <xf numFmtId="164" fontId="3" fillId="12" borderId="2" xfId="0" applyNumberFormat="1" applyFont="1" applyFill="1" applyBorder="1"/>
    <xf numFmtId="164" fontId="10" fillId="12" borderId="2" xfId="0" applyNumberFormat="1" applyFont="1" applyFill="1" applyBorder="1"/>
    <xf numFmtId="164" fontId="3" fillId="2" borderId="17" xfId="0" applyNumberFormat="1" applyFont="1" applyFill="1" applyBorder="1"/>
    <xf numFmtId="164" fontId="3" fillId="2" borderId="2" xfId="0" applyNumberFormat="1" applyFont="1" applyFill="1" applyBorder="1"/>
    <xf numFmtId="164" fontId="10" fillId="2" borderId="2" xfId="0" applyNumberFormat="1" applyFont="1" applyFill="1" applyBorder="1"/>
    <xf numFmtId="164" fontId="3" fillId="5" borderId="17" xfId="0" applyNumberFormat="1" applyFont="1" applyFill="1" applyBorder="1"/>
    <xf numFmtId="164" fontId="3" fillId="5" borderId="2" xfId="0" applyNumberFormat="1" applyFont="1" applyFill="1" applyBorder="1"/>
    <xf numFmtId="2" fontId="11" fillId="10" borderId="9" xfId="0" applyNumberFormat="1" applyFont="1" applyFill="1" applyBorder="1"/>
    <xf numFmtId="165" fontId="8" fillId="10" borderId="7" xfId="0" applyNumberFormat="1" applyFont="1" applyFill="1" applyBorder="1" applyAlignment="1">
      <alignment horizontal="center" vertical="top" textRotation="45" wrapText="1"/>
    </xf>
    <xf numFmtId="8" fontId="0" fillId="0" borderId="0" xfId="0" applyNumberFormat="1"/>
    <xf numFmtId="0" fontId="12" fillId="196" borderId="4" xfId="0" applyFont="1" applyFill="1" applyBorder="1"/>
    <xf numFmtId="2" fontId="12" fillId="196" borderId="4" xfId="0" applyNumberFormat="1" applyFont="1" applyFill="1" applyBorder="1"/>
    <xf numFmtId="0" fontId="12" fillId="197" borderId="4" xfId="0" applyFont="1" applyFill="1" applyBorder="1"/>
    <xf numFmtId="2" fontId="12" fillId="197" borderId="4" xfId="0" applyNumberFormat="1" applyFont="1" applyFill="1" applyBorder="1"/>
    <xf numFmtId="0" fontId="12" fillId="198" borderId="4" xfId="0" applyFont="1" applyFill="1" applyBorder="1"/>
    <xf numFmtId="2" fontId="12" fillId="198" borderId="4" xfId="0" applyNumberFormat="1" applyFont="1" applyFill="1" applyBorder="1"/>
    <xf numFmtId="164" fontId="12" fillId="198" borderId="4" xfId="0" applyNumberFormat="1" applyFont="1" applyFill="1" applyBorder="1"/>
    <xf numFmtId="0" fontId="16" fillId="198" borderId="25" xfId="0" applyFont="1" applyFill="1" applyBorder="1"/>
    <xf numFmtId="0" fontId="12" fillId="198" borderId="0" xfId="0" applyFont="1" applyFill="1"/>
    <xf numFmtId="0" fontId="12" fillId="198" borderId="2" xfId="0" applyFont="1" applyFill="1" applyBorder="1"/>
    <xf numFmtId="164" fontId="10" fillId="3" borderId="24" xfId="0" applyNumberFormat="1" applyFont="1" applyFill="1" applyBorder="1"/>
    <xf numFmtId="164" fontId="10" fillId="3" borderId="0" xfId="0" applyNumberFormat="1" applyFont="1" applyFill="1"/>
    <xf numFmtId="164" fontId="10" fillId="7" borderId="0" xfId="0" applyNumberFormat="1" applyFont="1" applyFill="1"/>
    <xf numFmtId="164" fontId="10" fillId="11" borderId="0" xfId="0" applyNumberFormat="1" applyFont="1" applyFill="1"/>
    <xf numFmtId="164" fontId="10" fillId="6" borderId="0" xfId="0" applyNumberFormat="1" applyFont="1" applyFill="1"/>
    <xf numFmtId="164" fontId="10" fillId="4" borderId="0" xfId="0" applyNumberFormat="1" applyFont="1" applyFill="1"/>
    <xf numFmtId="164" fontId="10" fillId="12" borderId="0" xfId="0" applyNumberFormat="1" applyFont="1" applyFill="1"/>
    <xf numFmtId="164" fontId="10" fillId="2" borderId="0" xfId="0" applyNumberFormat="1" applyFont="1" applyFill="1"/>
    <xf numFmtId="164" fontId="10" fillId="5" borderId="0" xfId="0" applyNumberFormat="1" applyFont="1" applyFill="1"/>
    <xf numFmtId="0" fontId="0" fillId="8" borderId="30" xfId="0" applyFill="1" applyBorder="1" applyAlignment="1">
      <alignment horizontal="left"/>
    </xf>
    <xf numFmtId="0" fontId="0" fillId="8" borderId="28" xfId="0" applyFill="1" applyBorder="1" applyAlignment="1">
      <alignment horizontal="left"/>
    </xf>
    <xf numFmtId="164" fontId="11" fillId="10" borderId="9" xfId="0" applyNumberFormat="1" applyFont="1" applyFill="1" applyBorder="1"/>
    <xf numFmtId="164" fontId="5" fillId="2" borderId="0" xfId="0" applyNumberFormat="1" applyFont="1" applyFill="1"/>
    <xf numFmtId="164" fontId="5" fillId="10" borderId="17" xfId="0" applyNumberFormat="1" applyFont="1" applyFill="1" applyBorder="1"/>
    <xf numFmtId="164" fontId="5" fillId="5" borderId="8" xfId="0" applyNumberFormat="1" applyFont="1" applyFill="1" applyBorder="1"/>
    <xf numFmtId="164" fontId="5" fillId="5" borderId="17" xfId="0" applyNumberFormat="1" applyFont="1" applyFill="1" applyBorder="1"/>
    <xf numFmtId="164" fontId="5" fillId="5" borderId="4" xfId="0" applyNumberFormat="1" applyFont="1" applyFill="1" applyBorder="1"/>
    <xf numFmtId="164" fontId="5" fillId="2" borderId="8" xfId="0" applyNumberFormat="1" applyFont="1" applyFill="1" applyBorder="1"/>
    <xf numFmtId="164" fontId="0" fillId="2" borderId="0" xfId="0" applyNumberFormat="1" applyFill="1"/>
    <xf numFmtId="164" fontId="0" fillId="5" borderId="17" xfId="0" applyNumberFormat="1" applyFill="1" applyBorder="1"/>
    <xf numFmtId="164" fontId="0" fillId="5" borderId="4" xfId="0" applyNumberFormat="1" applyFill="1" applyBorder="1"/>
    <xf numFmtId="164" fontId="11" fillId="10" borderId="0" xfId="0" applyNumberFormat="1" applyFont="1" applyFill="1"/>
    <xf numFmtId="164" fontId="5" fillId="5" borderId="0" xfId="0" applyNumberFormat="1" applyFont="1" applyFill="1"/>
    <xf numFmtId="164" fontId="5" fillId="5" borderId="29" xfId="0" applyNumberFormat="1" applyFont="1" applyFill="1" applyBorder="1"/>
    <xf numFmtId="0" fontId="7" fillId="3" borderId="10" xfId="0" applyFont="1" applyFill="1" applyBorder="1" applyAlignment="1">
      <alignment horizontal="center" vertical="top" textRotation="45" wrapText="1"/>
    </xf>
    <xf numFmtId="2" fontId="0" fillId="0" borderId="0" xfId="2" applyNumberFormat="1" applyFont="1"/>
    <xf numFmtId="2" fontId="12" fillId="48" borderId="4" xfId="0" applyNumberFormat="1" applyFont="1" applyFill="1" applyBorder="1"/>
    <xf numFmtId="2" fontId="12" fillId="49" borderId="4" xfId="0" applyNumberFormat="1" applyFont="1" applyFill="1" applyBorder="1"/>
    <xf numFmtId="0" fontId="12" fillId="199" borderId="0" xfId="0" applyFont="1" applyFill="1"/>
    <xf numFmtId="164" fontId="12" fillId="199" borderId="0" xfId="0" applyNumberFormat="1" applyFont="1" applyFill="1"/>
    <xf numFmtId="1" fontId="12" fillId="199" borderId="0" xfId="0" applyNumberFormat="1" applyFont="1" applyFill="1"/>
    <xf numFmtId="0" fontId="12" fillId="200" borderId="0" xfId="0" applyFont="1" applyFill="1"/>
    <xf numFmtId="164" fontId="12" fillId="200" borderId="0" xfId="0" applyNumberFormat="1" applyFont="1" applyFill="1"/>
    <xf numFmtId="1" fontId="12" fillId="200" borderId="0" xfId="0" applyNumberFormat="1" applyFont="1" applyFill="1"/>
    <xf numFmtId="0" fontId="12" fillId="201" borderId="0" xfId="0" applyFont="1" applyFill="1"/>
    <xf numFmtId="164" fontId="12" fillId="201" borderId="0" xfId="0" applyNumberFormat="1" applyFont="1" applyFill="1"/>
    <xf numFmtId="1" fontId="12" fillId="201" borderId="0" xfId="0" applyNumberFormat="1" applyFont="1" applyFill="1"/>
    <xf numFmtId="0" fontId="12" fillId="202" borderId="0" xfId="0" applyFont="1" applyFill="1"/>
    <xf numFmtId="164" fontId="12" fillId="202" borderId="0" xfId="0" applyNumberFormat="1" applyFont="1" applyFill="1"/>
    <xf numFmtId="1" fontId="12" fillId="202" borderId="0" xfId="0" applyNumberFormat="1" applyFont="1" applyFill="1"/>
    <xf numFmtId="0" fontId="12" fillId="60" borderId="17" xfId="0" applyFont="1" applyFill="1" applyBorder="1"/>
    <xf numFmtId="0" fontId="12" fillId="61" borderId="17" xfId="0" applyFont="1" applyFill="1" applyBorder="1"/>
    <xf numFmtId="0" fontId="12" fillId="39" borderId="17" xfId="0" applyFont="1" applyFill="1" applyBorder="1"/>
    <xf numFmtId="0" fontId="12" fillId="186" borderId="4" xfId="0" applyFont="1" applyFill="1" applyBorder="1"/>
    <xf numFmtId="0" fontId="12" fillId="28" borderId="26" xfId="0" applyFont="1" applyFill="1" applyBorder="1"/>
    <xf numFmtId="0" fontId="12" fillId="180" borderId="26" xfId="0" applyFont="1" applyFill="1" applyBorder="1"/>
    <xf numFmtId="0" fontId="12" fillId="190" borderId="4" xfId="0" applyFont="1" applyFill="1" applyBorder="1"/>
    <xf numFmtId="0" fontId="12" fillId="52" borderId="26" xfId="0" applyFont="1" applyFill="1" applyBorder="1"/>
    <xf numFmtId="0" fontId="12" fillId="189" borderId="4" xfId="0" applyFont="1" applyFill="1" applyBorder="1"/>
    <xf numFmtId="0" fontId="12" fillId="47" borderId="26" xfId="0" applyFont="1" applyFill="1" applyBorder="1"/>
    <xf numFmtId="0" fontId="12" fillId="176" borderId="26" xfId="0" applyFont="1" applyFill="1" applyBorder="1"/>
    <xf numFmtId="0" fontId="12" fillId="188" borderId="4" xfId="0" applyFont="1" applyFill="1" applyBorder="1"/>
    <xf numFmtId="0" fontId="12" fillId="185" borderId="4" xfId="0" applyFont="1" applyFill="1" applyBorder="1"/>
    <xf numFmtId="0" fontId="12" fillId="25" borderId="26" xfId="0" applyFont="1" applyFill="1" applyBorder="1"/>
    <xf numFmtId="0" fontId="12" fillId="29" borderId="26" xfId="0" applyFont="1" applyFill="1" applyBorder="1"/>
    <xf numFmtId="0" fontId="12" fillId="175" borderId="26" xfId="0" applyFont="1" applyFill="1" applyBorder="1"/>
    <xf numFmtId="0" fontId="12" fillId="41" borderId="26" xfId="0" applyFont="1" applyFill="1" applyBorder="1"/>
    <xf numFmtId="0" fontId="5" fillId="6" borderId="31" xfId="0" applyFont="1" applyFill="1" applyBorder="1"/>
    <xf numFmtId="2" fontId="0" fillId="203" borderId="9" xfId="0" applyNumberFormat="1" applyFill="1" applyBorder="1"/>
    <xf numFmtId="0" fontId="17" fillId="0" borderId="4" xfId="0" applyFont="1" applyBorder="1" applyAlignment="1">
      <alignment horizontal="center" vertical="top" textRotation="45"/>
    </xf>
    <xf numFmtId="164" fontId="17" fillId="0" borderId="4" xfId="0" applyNumberFormat="1" applyFont="1" applyBorder="1" applyAlignment="1">
      <alignment horizontal="center" vertical="top" textRotation="45"/>
    </xf>
    <xf numFmtId="0" fontId="17" fillId="0" borderId="4" xfId="0" applyFont="1" applyBorder="1" applyAlignment="1">
      <alignment horizontal="center" vertical="top" textRotation="45" wrapText="1"/>
    </xf>
    <xf numFmtId="0" fontId="20" fillId="0" borderId="4" xfId="0" applyFont="1" applyBorder="1" applyAlignment="1">
      <alignment horizontal="center" vertical="top" textRotation="45"/>
    </xf>
    <xf numFmtId="0" fontId="17" fillId="0" borderId="2" xfId="0" applyFont="1" applyBorder="1" applyAlignment="1">
      <alignment horizontal="center" vertical="top" textRotation="45"/>
    </xf>
    <xf numFmtId="0" fontId="15" fillId="0" borderId="23" xfId="0" applyFont="1" applyBorder="1" applyAlignment="1">
      <alignment horizontal="center" vertical="top" textRotation="45"/>
    </xf>
    <xf numFmtId="2" fontId="12" fillId="13" borderId="2" xfId="0" applyNumberFormat="1" applyFont="1" applyFill="1" applyBorder="1"/>
    <xf numFmtId="2" fontId="16" fillId="13" borderId="25" xfId="0" applyNumberFormat="1" applyFont="1" applyFill="1" applyBorder="1"/>
    <xf numFmtId="2" fontId="12" fillId="13" borderId="0" xfId="0" applyNumberFormat="1" applyFont="1" applyFill="1"/>
    <xf numFmtId="2" fontId="12" fillId="196" borderId="2" xfId="0" applyNumberFormat="1" applyFont="1" applyFill="1" applyBorder="1"/>
    <xf numFmtId="2" fontId="16" fillId="196" borderId="25" xfId="0" applyNumberFormat="1" applyFont="1" applyFill="1" applyBorder="1"/>
    <xf numFmtId="2" fontId="12" fillId="196" borderId="0" xfId="0" applyNumberFormat="1" applyFont="1" applyFill="1"/>
    <xf numFmtId="2" fontId="12" fillId="14" borderId="2" xfId="0" applyNumberFormat="1" applyFont="1" applyFill="1" applyBorder="1"/>
    <xf numFmtId="2" fontId="16" fillId="14" borderId="25" xfId="0" applyNumberFormat="1" applyFont="1" applyFill="1" applyBorder="1"/>
    <xf numFmtId="2" fontId="12" fillId="14" borderId="0" xfId="0" applyNumberFormat="1" applyFont="1" applyFill="1"/>
    <xf numFmtId="2" fontId="12" fillId="15" borderId="2" xfId="0" applyNumberFormat="1" applyFont="1" applyFill="1" applyBorder="1"/>
    <xf numFmtId="2" fontId="16" fillId="15" borderId="25" xfId="0" applyNumberFormat="1" applyFont="1" applyFill="1" applyBorder="1"/>
    <xf numFmtId="2" fontId="12" fillId="15" borderId="0" xfId="0" applyNumberFormat="1" applyFont="1" applyFill="1"/>
    <xf numFmtId="2" fontId="12" fillId="16" borderId="2" xfId="0" applyNumberFormat="1" applyFont="1" applyFill="1" applyBorder="1"/>
    <xf numFmtId="2" fontId="16" fillId="16" borderId="25" xfId="0" applyNumberFormat="1" applyFont="1" applyFill="1" applyBorder="1"/>
    <xf numFmtId="2" fontId="12" fillId="16" borderId="0" xfId="0" applyNumberFormat="1" applyFont="1" applyFill="1"/>
    <xf numFmtId="2" fontId="12" fillId="17" borderId="2" xfId="0" applyNumberFormat="1" applyFont="1" applyFill="1" applyBorder="1"/>
    <xf numFmtId="2" fontId="16" fillId="17" borderId="25" xfId="0" applyNumberFormat="1" applyFont="1" applyFill="1" applyBorder="1"/>
    <xf numFmtId="2" fontId="12" fillId="17" borderId="0" xfId="0" applyNumberFormat="1" applyFont="1" applyFill="1"/>
    <xf numFmtId="2" fontId="12" fillId="18" borderId="2" xfId="0" applyNumberFormat="1" applyFont="1" applyFill="1" applyBorder="1"/>
    <xf numFmtId="2" fontId="16" fillId="18" borderId="25" xfId="0" applyNumberFormat="1" applyFont="1" applyFill="1" applyBorder="1"/>
    <xf numFmtId="2" fontId="12" fillId="18" borderId="0" xfId="0" applyNumberFormat="1" applyFont="1" applyFill="1"/>
    <xf numFmtId="2" fontId="12" fillId="19" borderId="2" xfId="0" applyNumberFormat="1" applyFont="1" applyFill="1" applyBorder="1"/>
    <xf numFmtId="2" fontId="16" fillId="19" borderId="25" xfId="0" applyNumberFormat="1" applyFont="1" applyFill="1" applyBorder="1"/>
    <xf numFmtId="2" fontId="12" fillId="19" borderId="0" xfId="0" applyNumberFormat="1" applyFont="1" applyFill="1"/>
    <xf numFmtId="2" fontId="12" fillId="198" borderId="2" xfId="0" applyNumberFormat="1" applyFont="1" applyFill="1" applyBorder="1"/>
    <xf numFmtId="2" fontId="16" fillId="198" borderId="25" xfId="0" applyNumberFormat="1" applyFont="1" applyFill="1" applyBorder="1"/>
    <xf numFmtId="2" fontId="12" fillId="198" borderId="0" xfId="0" applyNumberFormat="1" applyFont="1" applyFill="1"/>
    <xf numFmtId="2" fontId="12" fillId="197" borderId="2" xfId="0" applyNumberFormat="1" applyFont="1" applyFill="1" applyBorder="1"/>
    <xf numFmtId="2" fontId="16" fillId="197" borderId="25" xfId="0" applyNumberFormat="1" applyFont="1" applyFill="1" applyBorder="1"/>
    <xf numFmtId="2" fontId="12" fillId="197" borderId="0" xfId="0" applyNumberFormat="1" applyFont="1" applyFill="1"/>
    <xf numFmtId="2" fontId="12" fillId="20" borderId="2" xfId="0" applyNumberFormat="1" applyFont="1" applyFill="1" applyBorder="1"/>
    <xf numFmtId="2" fontId="16" fillId="20" borderId="25" xfId="0" applyNumberFormat="1" applyFont="1" applyFill="1" applyBorder="1"/>
    <xf numFmtId="2" fontId="12" fillId="20" borderId="0" xfId="0" applyNumberFormat="1" applyFont="1" applyFill="1"/>
    <xf numFmtId="2" fontId="12" fillId="21" borderId="2" xfId="0" applyNumberFormat="1" applyFont="1" applyFill="1" applyBorder="1"/>
    <xf numFmtId="2" fontId="16" fillId="21" borderId="25" xfId="0" applyNumberFormat="1" applyFont="1" applyFill="1" applyBorder="1"/>
    <xf numFmtId="2" fontId="12" fillId="21" borderId="0" xfId="0" applyNumberFormat="1" applyFont="1" applyFill="1"/>
    <xf numFmtId="2" fontId="12" fillId="22" borderId="2" xfId="0" applyNumberFormat="1" applyFont="1" applyFill="1" applyBorder="1"/>
    <xf numFmtId="2" fontId="16" fillId="22" borderId="25" xfId="0" applyNumberFormat="1" applyFont="1" applyFill="1" applyBorder="1"/>
    <xf numFmtId="2" fontId="12" fillId="22" borderId="0" xfId="0" applyNumberFormat="1" applyFont="1" applyFill="1"/>
    <xf numFmtId="2" fontId="12" fillId="23" borderId="2" xfId="0" applyNumberFormat="1" applyFont="1" applyFill="1" applyBorder="1"/>
    <xf numFmtId="2" fontId="16" fillId="23" borderId="25" xfId="0" applyNumberFormat="1" applyFont="1" applyFill="1" applyBorder="1"/>
    <xf numFmtId="2" fontId="12" fillId="23" borderId="0" xfId="0" applyNumberFormat="1" applyFont="1" applyFill="1"/>
    <xf numFmtId="2" fontId="12" fillId="24" borderId="2" xfId="0" applyNumberFormat="1" applyFont="1" applyFill="1" applyBorder="1"/>
    <xf numFmtId="2" fontId="16" fillId="24" borderId="25" xfId="0" applyNumberFormat="1" applyFont="1" applyFill="1" applyBorder="1"/>
    <xf numFmtId="2" fontId="12" fillId="24" borderId="0" xfId="0" applyNumberFormat="1" applyFont="1" applyFill="1"/>
    <xf numFmtId="2" fontId="12" fillId="25" borderId="2" xfId="0" applyNumberFormat="1" applyFont="1" applyFill="1" applyBorder="1"/>
    <xf numFmtId="2" fontId="16" fillId="25" borderId="25" xfId="0" applyNumberFormat="1" applyFont="1" applyFill="1" applyBorder="1"/>
    <xf numFmtId="2" fontId="12" fillId="25" borderId="0" xfId="0" applyNumberFormat="1" applyFont="1" applyFill="1"/>
    <xf numFmtId="2" fontId="12" fillId="26" borderId="2" xfId="0" applyNumberFormat="1" applyFont="1" applyFill="1" applyBorder="1"/>
    <xf numFmtId="2" fontId="16" fillId="26" borderId="25" xfId="0" applyNumberFormat="1" applyFont="1" applyFill="1" applyBorder="1"/>
    <xf numFmtId="2" fontId="12" fillId="26" borderId="0" xfId="0" applyNumberFormat="1" applyFont="1" applyFill="1"/>
    <xf numFmtId="2" fontId="12" fillId="27" borderId="2" xfId="0" applyNumberFormat="1" applyFont="1" applyFill="1" applyBorder="1"/>
    <xf numFmtId="2" fontId="16" fillId="27" borderId="25" xfId="0" applyNumberFormat="1" applyFont="1" applyFill="1" applyBorder="1"/>
    <xf numFmtId="2" fontId="12" fillId="27" borderId="0" xfId="0" applyNumberFormat="1" applyFont="1" applyFill="1"/>
    <xf numFmtId="2" fontId="12" fillId="28" borderId="2" xfId="0" applyNumberFormat="1" applyFont="1" applyFill="1" applyBorder="1"/>
    <xf numFmtId="2" fontId="16" fillId="28" borderId="25" xfId="0" applyNumberFormat="1" applyFont="1" applyFill="1" applyBorder="1"/>
    <xf numFmtId="2" fontId="12" fillId="28" borderId="0" xfId="0" applyNumberFormat="1" applyFont="1" applyFill="1"/>
    <xf numFmtId="2" fontId="12" fillId="29" borderId="2" xfId="0" applyNumberFormat="1" applyFont="1" applyFill="1" applyBorder="1"/>
    <xf numFmtId="2" fontId="16" fillId="29" borderId="25" xfId="0" applyNumberFormat="1" applyFont="1" applyFill="1" applyBorder="1"/>
    <xf numFmtId="2" fontId="12" fillId="29" borderId="0" xfId="0" applyNumberFormat="1" applyFont="1" applyFill="1"/>
    <xf numFmtId="2" fontId="12" fillId="30" borderId="2" xfId="0" applyNumberFormat="1" applyFont="1" applyFill="1" applyBorder="1"/>
    <xf numFmtId="2" fontId="16" fillId="30" borderId="25" xfId="0" applyNumberFormat="1" applyFont="1" applyFill="1" applyBorder="1"/>
    <xf numFmtId="2" fontId="12" fillId="30" borderId="0" xfId="0" applyNumberFormat="1" applyFont="1" applyFill="1"/>
    <xf numFmtId="2" fontId="12" fillId="31" borderId="2" xfId="0" applyNumberFormat="1" applyFont="1" applyFill="1" applyBorder="1"/>
    <xf numFmtId="2" fontId="16" fillId="31" borderId="25" xfId="0" applyNumberFormat="1" applyFont="1" applyFill="1" applyBorder="1"/>
    <xf numFmtId="2" fontId="12" fillId="31" borderId="0" xfId="0" applyNumberFormat="1" applyFont="1" applyFill="1"/>
    <xf numFmtId="2" fontId="12" fillId="32" borderId="2" xfId="0" applyNumberFormat="1" applyFont="1" applyFill="1" applyBorder="1"/>
    <xf numFmtId="2" fontId="16" fillId="32" borderId="25" xfId="0" applyNumberFormat="1" applyFont="1" applyFill="1" applyBorder="1"/>
    <xf numFmtId="2" fontId="12" fillId="32" borderId="0" xfId="0" applyNumberFormat="1" applyFont="1" applyFill="1"/>
    <xf numFmtId="2" fontId="12" fillId="33" borderId="2" xfId="0" applyNumberFormat="1" applyFont="1" applyFill="1" applyBorder="1"/>
    <xf numFmtId="2" fontId="16" fillId="33" borderId="25" xfId="0" applyNumberFormat="1" applyFont="1" applyFill="1" applyBorder="1"/>
    <xf numFmtId="2" fontId="12" fillId="33" borderId="0" xfId="0" applyNumberFormat="1" applyFont="1" applyFill="1"/>
    <xf numFmtId="2" fontId="12" fillId="34" borderId="2" xfId="0" applyNumberFormat="1" applyFont="1" applyFill="1" applyBorder="1"/>
    <xf numFmtId="2" fontId="16" fillId="34" borderId="25" xfId="0" applyNumberFormat="1" applyFont="1" applyFill="1" applyBorder="1"/>
    <xf numFmtId="2" fontId="12" fillId="34" borderId="0" xfId="0" applyNumberFormat="1" applyFont="1" applyFill="1"/>
    <xf numFmtId="2" fontId="12" fillId="35" borderId="2" xfId="0" applyNumberFormat="1" applyFont="1" applyFill="1" applyBorder="1"/>
    <xf numFmtId="2" fontId="16" fillId="35" borderId="25" xfId="0" applyNumberFormat="1" applyFont="1" applyFill="1" applyBorder="1"/>
    <xf numFmtId="2" fontId="12" fillId="35" borderId="0" xfId="0" applyNumberFormat="1" applyFont="1" applyFill="1"/>
    <xf numFmtId="2" fontId="12" fillId="36" borderId="2" xfId="0" applyNumberFormat="1" applyFont="1" applyFill="1" applyBorder="1"/>
    <xf numFmtId="2" fontId="16" fillId="36" borderId="25" xfId="0" applyNumberFormat="1" applyFont="1" applyFill="1" applyBorder="1"/>
    <xf numFmtId="2" fontId="12" fillId="36" borderId="0" xfId="0" applyNumberFormat="1" applyFont="1" applyFill="1"/>
    <xf numFmtId="2" fontId="12" fillId="37" borderId="2" xfId="0" applyNumberFormat="1" applyFont="1" applyFill="1" applyBorder="1"/>
    <xf numFmtId="2" fontId="16" fillId="37" borderId="25" xfId="0" applyNumberFormat="1" applyFont="1" applyFill="1" applyBorder="1"/>
    <xf numFmtId="2" fontId="12" fillId="37" borderId="0" xfId="0" applyNumberFormat="1" applyFont="1" applyFill="1"/>
    <xf numFmtId="2" fontId="12" fillId="38" borderId="2" xfId="0" applyNumberFormat="1" applyFont="1" applyFill="1" applyBorder="1"/>
    <xf numFmtId="2" fontId="16" fillId="38" borderId="25" xfId="0" applyNumberFormat="1" applyFont="1" applyFill="1" applyBorder="1"/>
    <xf numFmtId="2" fontId="12" fillId="38" borderId="0" xfId="0" applyNumberFormat="1" applyFont="1" applyFill="1"/>
    <xf numFmtId="2" fontId="12" fillId="39" borderId="2" xfId="0" applyNumberFormat="1" applyFont="1" applyFill="1" applyBorder="1"/>
    <xf numFmtId="2" fontId="16" fillId="39" borderId="25" xfId="0" applyNumberFormat="1" applyFont="1" applyFill="1" applyBorder="1"/>
    <xf numFmtId="2" fontId="12" fillId="39" borderId="0" xfId="0" applyNumberFormat="1" applyFont="1" applyFill="1"/>
    <xf numFmtId="2" fontId="12" fillId="40" borderId="2" xfId="0" applyNumberFormat="1" applyFont="1" applyFill="1" applyBorder="1"/>
    <xf numFmtId="2" fontId="16" fillId="40" borderId="25" xfId="0" applyNumberFormat="1" applyFont="1" applyFill="1" applyBorder="1"/>
    <xf numFmtId="2" fontId="12" fillId="40" borderId="0" xfId="0" applyNumberFormat="1" applyFont="1" applyFill="1"/>
    <xf numFmtId="2" fontId="12" fillId="41" borderId="2" xfId="0" applyNumberFormat="1" applyFont="1" applyFill="1" applyBorder="1"/>
    <xf numFmtId="2" fontId="16" fillId="41" borderId="25" xfId="0" applyNumberFormat="1" applyFont="1" applyFill="1" applyBorder="1"/>
    <xf numFmtId="2" fontId="12" fillId="41" borderId="0" xfId="0" applyNumberFormat="1" applyFont="1" applyFill="1"/>
    <xf numFmtId="2" fontId="12" fillId="42" borderId="2" xfId="0" applyNumberFormat="1" applyFont="1" applyFill="1" applyBorder="1"/>
    <xf numFmtId="2" fontId="16" fillId="42" borderId="25" xfId="0" applyNumberFormat="1" applyFont="1" applyFill="1" applyBorder="1"/>
    <xf numFmtId="2" fontId="12" fillId="42" borderId="0" xfId="0" applyNumberFormat="1" applyFont="1" applyFill="1"/>
    <xf numFmtId="2" fontId="12" fillId="159" borderId="2" xfId="0" applyNumberFormat="1" applyFont="1" applyFill="1" applyBorder="1"/>
    <xf numFmtId="2" fontId="16" fillId="159" borderId="25" xfId="0" applyNumberFormat="1" applyFont="1" applyFill="1" applyBorder="1"/>
    <xf numFmtId="2" fontId="12" fillId="159" borderId="0" xfId="0" applyNumberFormat="1" applyFont="1" applyFill="1"/>
    <xf numFmtId="2" fontId="12" fillId="43" borderId="2" xfId="0" applyNumberFormat="1" applyFont="1" applyFill="1" applyBorder="1"/>
    <xf numFmtId="2" fontId="16" fillId="43" borderId="25" xfId="0" applyNumberFormat="1" applyFont="1" applyFill="1" applyBorder="1"/>
    <xf numFmtId="2" fontId="12" fillId="43" borderId="0" xfId="0" applyNumberFormat="1" applyFont="1" applyFill="1"/>
    <xf numFmtId="2" fontId="12" fillId="43" borderId="24" xfId="0" applyNumberFormat="1" applyFont="1" applyFill="1" applyBorder="1"/>
    <xf numFmtId="2" fontId="12" fillId="44" borderId="2" xfId="0" applyNumberFormat="1" applyFont="1" applyFill="1" applyBorder="1"/>
    <xf numFmtId="2" fontId="16" fillId="44" borderId="25" xfId="0" applyNumberFormat="1" applyFont="1" applyFill="1" applyBorder="1"/>
    <xf numFmtId="2" fontId="12" fillId="44" borderId="0" xfId="0" applyNumberFormat="1" applyFont="1" applyFill="1"/>
    <xf numFmtId="2" fontId="12" fillId="45" borderId="2" xfId="0" applyNumberFormat="1" applyFont="1" applyFill="1" applyBorder="1"/>
    <xf numFmtId="2" fontId="16" fillId="45" borderId="25" xfId="0" applyNumberFormat="1" applyFont="1" applyFill="1" applyBorder="1"/>
    <xf numFmtId="2" fontId="12" fillId="45" borderId="0" xfId="0" applyNumberFormat="1" applyFont="1" applyFill="1"/>
    <xf numFmtId="2" fontId="12" fillId="181" borderId="2" xfId="0" applyNumberFormat="1" applyFont="1" applyFill="1" applyBorder="1"/>
    <xf numFmtId="2" fontId="16" fillId="181" borderId="25" xfId="0" applyNumberFormat="1" applyFont="1" applyFill="1" applyBorder="1"/>
    <xf numFmtId="2" fontId="12" fillId="181" borderId="0" xfId="0" applyNumberFormat="1" applyFont="1" applyFill="1"/>
    <xf numFmtId="2" fontId="12" fillId="46" borderId="2" xfId="0" applyNumberFormat="1" applyFont="1" applyFill="1" applyBorder="1"/>
    <xf numFmtId="2" fontId="16" fillId="46" borderId="25" xfId="0" applyNumberFormat="1" applyFont="1" applyFill="1" applyBorder="1"/>
    <xf numFmtId="2" fontId="12" fillId="46" borderId="0" xfId="0" applyNumberFormat="1" applyFont="1" applyFill="1"/>
    <xf numFmtId="2" fontId="12" fillId="47" borderId="2" xfId="0" applyNumberFormat="1" applyFont="1" applyFill="1" applyBorder="1"/>
    <xf numFmtId="2" fontId="16" fillId="47" borderId="25" xfId="0" applyNumberFormat="1" applyFont="1" applyFill="1" applyBorder="1"/>
    <xf numFmtId="2" fontId="12" fillId="47" borderId="0" xfId="0" applyNumberFormat="1" applyFont="1" applyFill="1"/>
    <xf numFmtId="2" fontId="14" fillId="48" borderId="2" xfId="0" applyNumberFormat="1" applyFont="1" applyFill="1" applyBorder="1"/>
    <xf numFmtId="2" fontId="16" fillId="48" borderId="25" xfId="0" applyNumberFormat="1" applyFont="1" applyFill="1" applyBorder="1"/>
    <xf numFmtId="2" fontId="12" fillId="48" borderId="0" xfId="0" applyNumberFormat="1" applyFont="1" applyFill="1"/>
    <xf numFmtId="2" fontId="14" fillId="49" borderId="2" xfId="0" applyNumberFormat="1" applyFont="1" applyFill="1" applyBorder="1"/>
    <xf numFmtId="2" fontId="16" fillId="49" borderId="25" xfId="0" applyNumberFormat="1" applyFont="1" applyFill="1" applyBorder="1"/>
    <xf numFmtId="2" fontId="12" fillId="49" borderId="0" xfId="0" applyNumberFormat="1" applyFont="1" applyFill="1"/>
    <xf numFmtId="2" fontId="12" fillId="50" borderId="2" xfId="0" applyNumberFormat="1" applyFont="1" applyFill="1" applyBorder="1"/>
    <xf numFmtId="2" fontId="16" fillId="50" borderId="25" xfId="0" applyNumberFormat="1" applyFont="1" applyFill="1" applyBorder="1"/>
    <xf numFmtId="2" fontId="12" fillId="50" borderId="0" xfId="0" applyNumberFormat="1" applyFont="1" applyFill="1"/>
    <xf numFmtId="2" fontId="12" fillId="51" borderId="2" xfId="0" applyNumberFormat="1" applyFont="1" applyFill="1" applyBorder="1"/>
    <xf numFmtId="2" fontId="16" fillId="51" borderId="25" xfId="0" applyNumberFormat="1" applyFont="1" applyFill="1" applyBorder="1"/>
    <xf numFmtId="2" fontId="12" fillId="51" borderId="0" xfId="0" applyNumberFormat="1" applyFont="1" applyFill="1"/>
    <xf numFmtId="2" fontId="12" fillId="52" borderId="2" xfId="0" applyNumberFormat="1" applyFont="1" applyFill="1" applyBorder="1"/>
    <xf numFmtId="2" fontId="16" fillId="52" borderId="25" xfId="0" applyNumberFormat="1" applyFont="1" applyFill="1" applyBorder="1"/>
    <xf numFmtId="2" fontId="12" fillId="52" borderId="0" xfId="0" applyNumberFormat="1" applyFont="1" applyFill="1"/>
    <xf numFmtId="2" fontId="12" fillId="53" borderId="2" xfId="0" applyNumberFormat="1" applyFont="1" applyFill="1" applyBorder="1"/>
    <xf numFmtId="2" fontId="16" fillId="53" borderId="25" xfId="0" applyNumberFormat="1" applyFont="1" applyFill="1" applyBorder="1"/>
    <xf numFmtId="2" fontId="12" fillId="53" borderId="0" xfId="0" applyNumberFormat="1" applyFont="1" applyFill="1"/>
    <xf numFmtId="2" fontId="12" fillId="54" borderId="2" xfId="0" applyNumberFormat="1" applyFont="1" applyFill="1" applyBorder="1"/>
    <xf numFmtId="2" fontId="16" fillId="54" borderId="25" xfId="0" applyNumberFormat="1" applyFont="1" applyFill="1" applyBorder="1"/>
    <xf numFmtId="2" fontId="12" fillId="54" borderId="0" xfId="0" applyNumberFormat="1" applyFont="1" applyFill="1"/>
    <xf numFmtId="2" fontId="12" fillId="180" borderId="2" xfId="0" applyNumberFormat="1" applyFont="1" applyFill="1" applyBorder="1"/>
    <xf numFmtId="2" fontId="16" fillId="180" borderId="25" xfId="0" applyNumberFormat="1" applyFont="1" applyFill="1" applyBorder="1"/>
    <xf numFmtId="2" fontId="12" fillId="180" borderId="0" xfId="0" applyNumberFormat="1" applyFont="1" applyFill="1"/>
    <xf numFmtId="2" fontId="12" fillId="195" borderId="2" xfId="0" applyNumberFormat="1" applyFont="1" applyFill="1" applyBorder="1"/>
    <xf numFmtId="2" fontId="16" fillId="195" borderId="25" xfId="0" applyNumberFormat="1" applyFont="1" applyFill="1" applyBorder="1"/>
    <xf numFmtId="2" fontId="12" fillId="195" borderId="0" xfId="0" applyNumberFormat="1" applyFont="1" applyFill="1"/>
    <xf numFmtId="2" fontId="12" fillId="194" borderId="2" xfId="0" applyNumberFormat="1" applyFont="1" applyFill="1" applyBorder="1"/>
    <xf numFmtId="2" fontId="16" fillId="194" borderId="25" xfId="0" applyNumberFormat="1" applyFont="1" applyFill="1" applyBorder="1"/>
    <xf numFmtId="2" fontId="12" fillId="194" borderId="0" xfId="0" applyNumberFormat="1" applyFont="1" applyFill="1"/>
    <xf numFmtId="2" fontId="12" fillId="179" borderId="2" xfId="0" applyNumberFormat="1" applyFont="1" applyFill="1" applyBorder="1"/>
    <xf numFmtId="2" fontId="16" fillId="179" borderId="25" xfId="0" applyNumberFormat="1" applyFont="1" applyFill="1" applyBorder="1"/>
    <xf numFmtId="2" fontId="12" fillId="179" borderId="0" xfId="0" applyNumberFormat="1" applyFont="1" applyFill="1"/>
    <xf numFmtId="2" fontId="12" fillId="55" borderId="2" xfId="0" applyNumberFormat="1" applyFont="1" applyFill="1" applyBorder="1"/>
    <xf numFmtId="2" fontId="16" fillId="55" borderId="25" xfId="0" applyNumberFormat="1" applyFont="1" applyFill="1" applyBorder="1"/>
    <xf numFmtId="2" fontId="12" fillId="55" borderId="0" xfId="0" applyNumberFormat="1" applyFont="1" applyFill="1"/>
    <xf numFmtId="2" fontId="12" fillId="56" borderId="2" xfId="0" applyNumberFormat="1" applyFont="1" applyFill="1" applyBorder="1"/>
    <xf numFmtId="2" fontId="16" fillId="56" borderId="25" xfId="0" applyNumberFormat="1" applyFont="1" applyFill="1" applyBorder="1"/>
    <xf numFmtId="2" fontId="12" fillId="56" borderId="0" xfId="0" applyNumberFormat="1" applyFont="1" applyFill="1"/>
    <xf numFmtId="2" fontId="12" fillId="175" borderId="2" xfId="0" applyNumberFormat="1" applyFont="1" applyFill="1" applyBorder="1"/>
    <xf numFmtId="2" fontId="16" fillId="175" borderId="25" xfId="0" applyNumberFormat="1" applyFont="1" applyFill="1" applyBorder="1"/>
    <xf numFmtId="2" fontId="12" fillId="175" borderId="0" xfId="0" applyNumberFormat="1" applyFont="1" applyFill="1"/>
    <xf numFmtId="2" fontId="12" fillId="174" borderId="2" xfId="0" applyNumberFormat="1" applyFont="1" applyFill="1" applyBorder="1"/>
    <xf numFmtId="2" fontId="16" fillId="174" borderId="25" xfId="0" applyNumberFormat="1" applyFont="1" applyFill="1" applyBorder="1"/>
    <xf numFmtId="2" fontId="12" fillId="174" borderId="0" xfId="0" applyNumberFormat="1" applyFont="1" applyFill="1"/>
    <xf numFmtId="2" fontId="12" fillId="176" borderId="2" xfId="0" applyNumberFormat="1" applyFont="1" applyFill="1" applyBorder="1"/>
    <xf numFmtId="2" fontId="16" fillId="176" borderId="25" xfId="0" applyNumberFormat="1" applyFont="1" applyFill="1" applyBorder="1"/>
    <xf numFmtId="2" fontId="12" fillId="176" borderId="0" xfId="0" applyNumberFormat="1" applyFont="1" applyFill="1"/>
    <xf numFmtId="2" fontId="12" fillId="57" borderId="2" xfId="0" applyNumberFormat="1" applyFont="1" applyFill="1" applyBorder="1"/>
    <xf numFmtId="2" fontId="16" fillId="57" borderId="25" xfId="0" applyNumberFormat="1" applyFont="1" applyFill="1" applyBorder="1"/>
    <xf numFmtId="2" fontId="12" fillId="57" borderId="0" xfId="0" applyNumberFormat="1" applyFont="1" applyFill="1"/>
    <xf numFmtId="2" fontId="12" fillId="58" borderId="2" xfId="0" applyNumberFormat="1" applyFont="1" applyFill="1" applyBorder="1"/>
    <xf numFmtId="2" fontId="16" fillId="58" borderId="25" xfId="0" applyNumberFormat="1" applyFont="1" applyFill="1" applyBorder="1"/>
    <xf numFmtId="2" fontId="12" fillId="58" borderId="0" xfId="0" applyNumberFormat="1" applyFont="1" applyFill="1"/>
    <xf numFmtId="2" fontId="12" fillId="59" borderId="2" xfId="0" applyNumberFormat="1" applyFont="1" applyFill="1" applyBorder="1"/>
    <xf numFmtId="2" fontId="16" fillId="59" borderId="25" xfId="0" applyNumberFormat="1" applyFont="1" applyFill="1" applyBorder="1"/>
    <xf numFmtId="2" fontId="12" fillId="59" borderId="0" xfId="0" applyNumberFormat="1" applyFont="1" applyFill="1"/>
    <xf numFmtId="2" fontId="12" fillId="60" borderId="24" xfId="0" applyNumberFormat="1" applyFont="1" applyFill="1" applyBorder="1"/>
    <xf numFmtId="2" fontId="16" fillId="60" borderId="25" xfId="0" applyNumberFormat="1" applyFont="1" applyFill="1" applyBorder="1"/>
    <xf numFmtId="2" fontId="12" fillId="60" borderId="0" xfId="0" applyNumberFormat="1" applyFont="1" applyFill="1"/>
    <xf numFmtId="2" fontId="12" fillId="61" borderId="24" xfId="0" applyNumberFormat="1" applyFont="1" applyFill="1" applyBorder="1"/>
    <xf numFmtId="2" fontId="16" fillId="61" borderId="25" xfId="0" applyNumberFormat="1" applyFont="1" applyFill="1" applyBorder="1"/>
    <xf numFmtId="2" fontId="12" fillId="61" borderId="0" xfId="0" applyNumberFormat="1" applyFont="1" applyFill="1"/>
    <xf numFmtId="2" fontId="12" fillId="62" borderId="24" xfId="0" applyNumberFormat="1" applyFont="1" applyFill="1" applyBorder="1"/>
    <xf numFmtId="2" fontId="16" fillId="62" borderId="25" xfId="0" applyNumberFormat="1" applyFont="1" applyFill="1" applyBorder="1"/>
    <xf numFmtId="2" fontId="12" fillId="62" borderId="0" xfId="0" applyNumberFormat="1" applyFont="1" applyFill="1"/>
    <xf numFmtId="2" fontId="12" fillId="36" borderId="24" xfId="0" applyNumberFormat="1" applyFont="1" applyFill="1" applyBorder="1"/>
    <xf numFmtId="2" fontId="12" fillId="63" borderId="24" xfId="0" applyNumberFormat="1" applyFont="1" applyFill="1" applyBorder="1"/>
    <xf numFmtId="2" fontId="16" fillId="63" borderId="25" xfId="0" applyNumberFormat="1" applyFont="1" applyFill="1" applyBorder="1"/>
    <xf numFmtId="2" fontId="12" fillId="63" borderId="0" xfId="0" applyNumberFormat="1" applyFont="1" applyFill="1"/>
    <xf numFmtId="2" fontId="12" fillId="178" borderId="24" xfId="0" applyNumberFormat="1" applyFont="1" applyFill="1" applyBorder="1"/>
    <xf numFmtId="2" fontId="16" fillId="178" borderId="25" xfId="0" applyNumberFormat="1" applyFont="1" applyFill="1" applyBorder="1"/>
    <xf numFmtId="2" fontId="12" fillId="178" borderId="0" xfId="0" applyNumberFormat="1" applyFont="1" applyFill="1"/>
    <xf numFmtId="2" fontId="12" fillId="177" borderId="24" xfId="0" applyNumberFormat="1" applyFont="1" applyFill="1" applyBorder="1"/>
    <xf numFmtId="2" fontId="16" fillId="177" borderId="25" xfId="0" applyNumberFormat="1" applyFont="1" applyFill="1" applyBorder="1"/>
    <xf numFmtId="2" fontId="12" fillId="177" borderId="0" xfId="0" applyNumberFormat="1" applyFont="1" applyFill="1"/>
    <xf numFmtId="2" fontId="12" fillId="64" borderId="24" xfId="0" applyNumberFormat="1" applyFont="1" applyFill="1" applyBorder="1"/>
    <xf numFmtId="2" fontId="16" fillId="64" borderId="25" xfId="0" applyNumberFormat="1" applyFont="1" applyFill="1" applyBorder="1"/>
    <xf numFmtId="2" fontId="12" fillId="64" borderId="0" xfId="0" applyNumberFormat="1" applyFont="1" applyFill="1"/>
    <xf numFmtId="2" fontId="12" fillId="65" borderId="24" xfId="0" applyNumberFormat="1" applyFont="1" applyFill="1" applyBorder="1"/>
    <xf numFmtId="2" fontId="16" fillId="65" borderId="25" xfId="0" applyNumberFormat="1" applyFont="1" applyFill="1" applyBorder="1"/>
    <xf numFmtId="2" fontId="12" fillId="65" borderId="0" xfId="0" applyNumberFormat="1" applyFont="1" applyFill="1"/>
    <xf numFmtId="2" fontId="12" fillId="66" borderId="24" xfId="0" applyNumberFormat="1" applyFont="1" applyFill="1" applyBorder="1"/>
    <xf numFmtId="2" fontId="16" fillId="66" borderId="25" xfId="0" applyNumberFormat="1" applyFont="1" applyFill="1" applyBorder="1"/>
    <xf numFmtId="2" fontId="12" fillId="66" borderId="0" xfId="0" applyNumberFormat="1" applyFont="1" applyFill="1"/>
  </cellXfs>
  <cellStyles count="4">
    <cellStyle name="Lien hypertexte" xfId="1" builtinId="8"/>
    <cellStyle name="Monétaire" xfId="2" builtinId="4"/>
    <cellStyle name="Normal" xfId="0" builtinId="0"/>
    <cellStyle name="Pourcentage" xfId="3" builtinId="5"/>
  </cellStyles>
  <dxfs count="130">
    <dxf>
      <font>
        <color rgb="FF010101"/>
      </font>
      <numFmt numFmtId="2" formatCode="0.00"/>
      <fill>
        <patternFill patternType="solid">
          <fgColor indexed="64"/>
          <bgColor rgb="FFE19CAD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10101"/>
        <name val="Aptos Narrow"/>
        <family val="2"/>
        <scheme val="minor"/>
      </font>
      <numFmt numFmtId="2" formatCode="0.00"/>
      <fill>
        <patternFill patternType="solid">
          <fgColor indexed="64"/>
          <bgColor rgb="FFE19CAD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010101"/>
      </font>
      <numFmt numFmtId="2" formatCode="0.00"/>
      <fill>
        <patternFill patternType="solid">
          <fgColor indexed="64"/>
          <bgColor rgb="FFE19CAD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D78"/>
        </patternFill>
      </fill>
    </dxf>
    <dxf>
      <fill>
        <patternFill>
          <bgColor theme="6" tint="0.39994506668294322"/>
        </patternFill>
      </fill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border diagonalUp="0" diagonalDown="0">
        <left/>
        <right/>
        <top style="thin">
          <color theme="9"/>
        </top>
        <bottom/>
        <vertical/>
        <horizontal/>
      </border>
    </dxf>
    <dxf>
      <border diagonalUp="0" diagonalDown="0">
        <left/>
        <right style="thin">
          <color theme="9"/>
        </right>
        <top style="thin">
          <color theme="9"/>
        </top>
        <bottom/>
        <vertical/>
        <horizontal/>
      </border>
    </dxf>
    <dxf>
      <border diagonalUp="0" diagonalDown="0">
        <left/>
        <right/>
        <top style="thin">
          <color theme="9"/>
        </top>
        <bottom/>
        <vertical/>
        <horizontal/>
      </border>
    </dxf>
    <dxf>
      <border diagonalUp="0" diagonalDown="0">
        <left/>
        <right/>
        <top style="thin">
          <color theme="9"/>
        </top>
        <bottom/>
        <vertical/>
        <horizontal/>
      </border>
    </dxf>
    <dxf>
      <border diagonalUp="0" diagonalDown="0">
        <left/>
        <right/>
        <top style="thin">
          <color theme="9"/>
        </top>
        <bottom/>
        <vertical/>
        <horizontal/>
      </border>
    </dxf>
    <dxf>
      <border diagonalUp="0" diagonalDown="0">
        <left/>
        <right/>
        <top style="thin">
          <color theme="9"/>
        </top>
        <bottom/>
        <vertical/>
        <horizontal/>
      </border>
    </dxf>
    <dxf>
      <border diagonalUp="0" diagonalDown="0">
        <left/>
        <right/>
        <top style="thin">
          <color theme="9"/>
        </top>
        <bottom/>
        <vertical/>
        <horizontal/>
      </border>
    </dxf>
    <dxf>
      <border diagonalUp="0" diagonalDown="0">
        <left/>
        <right/>
        <top style="thin">
          <color theme="9"/>
        </top>
        <bottom/>
        <vertical/>
        <horizontal/>
      </border>
    </dxf>
    <dxf>
      <border diagonalUp="0" diagonalDown="0">
        <left/>
        <right/>
        <top style="thin">
          <color theme="9"/>
        </top>
        <bottom/>
        <vertical/>
        <horizontal/>
      </border>
    </dxf>
    <dxf>
      <fill>
        <patternFill patternType="solid">
          <fgColor indexed="64"/>
          <bgColor rgb="FFFFFD78"/>
        </patternFill>
      </fill>
      <border diagonalUp="0" diagonalDown="0">
        <left/>
        <right/>
        <top style="thin">
          <color theme="9"/>
        </top>
        <bottom/>
        <vertical/>
        <horizontal/>
      </border>
    </dxf>
    <dxf>
      <border diagonalUp="0" diagonalDown="0">
        <left/>
        <right/>
        <top style="thin">
          <color theme="9"/>
        </top>
        <bottom/>
        <vertical/>
        <horizontal/>
      </border>
    </dxf>
    <dxf>
      <border diagonalUp="0" diagonalDown="0">
        <left/>
        <right/>
        <top style="thin">
          <color theme="9"/>
        </top>
        <bottom/>
        <vertical/>
        <horizontal/>
      </border>
    </dxf>
    <dxf>
      <border diagonalUp="0" diagonalDown="0">
        <left/>
        <right/>
        <top style="thin">
          <color theme="9"/>
        </top>
        <bottom/>
        <vertical/>
        <horizontal/>
      </border>
    </dxf>
    <dxf>
      <border diagonalUp="0" diagonalDown="0">
        <left/>
        <right/>
        <top style="thin">
          <color theme="9"/>
        </top>
        <bottom/>
        <vertical/>
        <horizontal/>
      </border>
    </dxf>
    <dxf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border outline="0">
        <top style="thin">
          <color theme="9"/>
        </top>
      </border>
    </dxf>
    <dxf>
      <border outline="0">
        <top style="thin">
          <color indexed="64"/>
        </top>
        <bottom style="thin">
          <color theme="9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  <alignment horizontal="right" vertical="top" textRotation="45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010101"/>
      </font>
      <numFmt numFmtId="1" formatCode="0"/>
      <fill>
        <patternFill patternType="solid">
          <fgColor indexed="64"/>
          <bgColor rgb="FF9ECCA2"/>
        </patternFill>
      </fill>
    </dxf>
    <dxf>
      <font>
        <color rgb="FF010101"/>
      </font>
      <numFmt numFmtId="1" formatCode="0"/>
      <fill>
        <patternFill patternType="solid">
          <fgColor indexed="64"/>
          <bgColor rgb="FF9ECCA2"/>
        </patternFill>
      </fill>
    </dxf>
    <dxf>
      <font>
        <color rgb="FF010101"/>
      </font>
      <numFmt numFmtId="1" formatCode="0"/>
      <fill>
        <patternFill patternType="solid">
          <fgColor indexed="64"/>
          <bgColor rgb="FF9ECCA2"/>
        </patternFill>
      </fill>
    </dxf>
    <dxf>
      <font>
        <color rgb="FF010101"/>
      </font>
      <numFmt numFmtId="1" formatCode="0"/>
      <fill>
        <patternFill patternType="solid">
          <fgColor indexed="64"/>
          <bgColor rgb="FF9ECCA2"/>
        </patternFill>
      </fill>
    </dxf>
    <dxf>
      <font>
        <color rgb="FF010101"/>
      </font>
      <numFmt numFmtId="1" formatCode="0"/>
      <fill>
        <patternFill patternType="solid">
          <fgColor indexed="64"/>
          <bgColor rgb="FF9ECCA2"/>
        </patternFill>
      </fill>
    </dxf>
    <dxf>
      <font>
        <color rgb="FF010101"/>
      </font>
      <numFmt numFmtId="1" formatCode="0"/>
      <fill>
        <patternFill patternType="solid">
          <fgColor indexed="64"/>
          <bgColor rgb="FF9ECCA2"/>
        </patternFill>
      </fill>
    </dxf>
    <dxf>
      <font>
        <color rgb="FF010101"/>
      </font>
      <numFmt numFmtId="1" formatCode="0"/>
      <fill>
        <patternFill patternType="solid">
          <fgColor indexed="64"/>
          <bgColor rgb="FF9ECCA2"/>
        </patternFill>
      </fill>
    </dxf>
    <dxf>
      <font>
        <color rgb="FF010101"/>
      </font>
      <numFmt numFmtId="1" formatCode="0"/>
      <fill>
        <patternFill patternType="solid">
          <fgColor indexed="64"/>
          <bgColor rgb="FF9ECCA2"/>
        </patternFill>
      </fill>
    </dxf>
    <dxf>
      <font>
        <color rgb="FF010101"/>
      </font>
      <numFmt numFmtId="164" formatCode="0.0"/>
      <fill>
        <patternFill patternType="solid">
          <fgColor indexed="64"/>
          <bgColor rgb="FF9ECCA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10101"/>
        <name val="Aptos Narrow"/>
        <family val="2"/>
        <scheme val="minor"/>
      </font>
      <fill>
        <patternFill patternType="solid">
          <fgColor indexed="64"/>
          <bgColor rgb="FF9ECCA2"/>
        </patternFill>
      </fill>
    </dxf>
    <dxf>
      <font>
        <color rgb="FF010101"/>
      </font>
      <fill>
        <patternFill patternType="solid">
          <fgColor indexed="64"/>
          <bgColor rgb="FF9ECCA2"/>
        </patternFill>
      </fill>
    </dxf>
    <dxf>
      <alignment horizontal="general" vertical="bottom" textRotation="45" wrapText="0" indent="0" justifyLastLine="0" shrinkToFit="0" readingOrder="0"/>
    </dxf>
    <dxf>
      <font>
        <color rgb="FF010101"/>
      </font>
      <numFmt numFmtId="2" formatCode="0.00"/>
      <fill>
        <patternFill patternType="solid">
          <fgColor indexed="64"/>
          <bgColor rgb="FFE19CAD"/>
        </patternFill>
      </fill>
    </dxf>
    <dxf>
      <font>
        <color rgb="FF010101"/>
      </font>
      <numFmt numFmtId="2" formatCode="0.00"/>
      <fill>
        <patternFill patternType="solid">
          <fgColor indexed="64"/>
          <bgColor rgb="FFE19CAD"/>
        </patternFill>
      </fill>
    </dxf>
    <dxf>
      <font>
        <color rgb="FF010101"/>
      </font>
      <numFmt numFmtId="2" formatCode="0.00"/>
      <fill>
        <patternFill patternType="solid">
          <fgColor indexed="64"/>
          <bgColor rgb="FFE19CAD"/>
        </patternFill>
      </fill>
    </dxf>
    <dxf>
      <font>
        <color rgb="FF010101"/>
      </font>
      <numFmt numFmtId="2" formatCode="0.00"/>
      <fill>
        <patternFill patternType="solid">
          <fgColor indexed="64"/>
          <bgColor rgb="FFE19CAD"/>
        </patternFill>
      </fill>
    </dxf>
    <dxf>
      <font>
        <color rgb="FF010101"/>
      </font>
      <numFmt numFmtId="2" formatCode="0.00"/>
      <fill>
        <patternFill patternType="solid">
          <fgColor indexed="64"/>
          <bgColor rgb="FFE19CAD"/>
        </patternFill>
      </fill>
    </dxf>
    <dxf>
      <font>
        <color rgb="FF010101"/>
      </font>
      <numFmt numFmtId="2" formatCode="0.00"/>
      <fill>
        <patternFill patternType="solid">
          <fgColor indexed="64"/>
          <bgColor rgb="FFE19CAD"/>
        </patternFill>
      </fill>
    </dxf>
    <dxf>
      <font>
        <color rgb="FF010101"/>
      </font>
      <numFmt numFmtId="2" formatCode="0.00"/>
      <fill>
        <patternFill patternType="solid">
          <fgColor indexed="64"/>
          <bgColor rgb="FFE19CAD"/>
        </patternFill>
      </fill>
    </dxf>
    <dxf>
      <font>
        <color rgb="FF010101"/>
      </font>
      <numFmt numFmtId="2" formatCode="0.00"/>
      <fill>
        <patternFill patternType="solid">
          <fgColor indexed="64"/>
          <bgColor rgb="FFE19CAD"/>
        </patternFill>
      </fill>
    </dxf>
    <dxf>
      <font>
        <b val="0"/>
        <strike val="0"/>
        <outline val="0"/>
        <shadow val="0"/>
        <u val="none"/>
        <vertAlign val="baseline"/>
        <sz val="12"/>
        <color rgb="FF010101"/>
        <name val="Aptos Narrow"/>
        <scheme val="minor"/>
      </font>
      <numFmt numFmtId="2" formatCode="0.00"/>
      <fill>
        <patternFill patternType="solid">
          <fgColor indexed="64"/>
          <bgColor rgb="FFE19CAD"/>
        </patternFill>
      </fill>
      <border diagonalUp="0" diagonalDown="0" outline="0">
        <left style="medium">
          <color indexed="64"/>
        </left>
        <right/>
        <top/>
        <bottom/>
      </border>
    </dxf>
    <dxf>
      <font>
        <color rgb="FF010101"/>
      </font>
      <numFmt numFmtId="2" formatCode="0.00"/>
      <fill>
        <patternFill patternType="solid">
          <fgColor indexed="64"/>
          <bgColor rgb="FFE19CAD"/>
        </patternFill>
      </fill>
      <border diagonalUp="0" diagonalDown="0" outline="0">
        <left style="thin">
          <color indexed="64"/>
        </left>
        <right style="medium">
          <color indexed="64"/>
        </right>
        <top/>
        <bottom/>
      </border>
    </dxf>
    <dxf>
      <font>
        <color rgb="FF010101"/>
      </font>
      <numFmt numFmtId="2" formatCode="0.00"/>
      <fill>
        <patternFill patternType="solid">
          <fgColor indexed="64"/>
          <bgColor rgb="FFE19CAD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010101"/>
      </font>
      <numFmt numFmtId="2" formatCode="0.00"/>
      <fill>
        <patternFill patternType="solid">
          <fgColor indexed="64"/>
          <bgColor rgb="FFE19CAD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010101"/>
      </font>
      <fill>
        <patternFill patternType="solid">
          <fgColor indexed="64"/>
          <bgColor rgb="FFE19CAD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010101"/>
      </font>
      <numFmt numFmtId="2" formatCode="0.00"/>
      <fill>
        <patternFill patternType="solid">
          <fgColor indexed="64"/>
          <bgColor rgb="FFE19CAD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010101"/>
      </font>
      <fill>
        <patternFill patternType="solid">
          <fgColor indexed="64"/>
          <bgColor rgb="FFE19CAD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10101"/>
        <name val="Aptos Narrow"/>
        <family val="2"/>
        <scheme val="minor"/>
      </font>
      <fill>
        <patternFill patternType="solid">
          <fgColor indexed="64"/>
          <bgColor rgb="FFE19CAD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010101"/>
      </font>
      <fill>
        <patternFill patternType="solid">
          <fgColor indexed="64"/>
          <bgColor rgb="FFE19CAD"/>
        </patternFill>
      </fill>
      <border diagonalUp="0" diagonalDown="0" outline="0">
        <left/>
        <right style="thin">
          <color indexed="64"/>
        </right>
        <top/>
        <bottom/>
      </border>
    </dxf>
    <dxf>
      <font>
        <color rgb="FF010101"/>
      </font>
      <fill>
        <patternFill patternType="solid">
          <fgColor indexed="64"/>
          <bgColor rgb="FFE19CAD"/>
        </patternFill>
      </fill>
    </dxf>
    <dxf>
      <font>
        <strike val="0"/>
        <outline val="0"/>
        <shadow val="0"/>
        <u val="none"/>
        <vertAlign val="baseline"/>
        <sz val="12"/>
        <color theme="0"/>
        <name val="Aptos Narrow"/>
        <scheme val="minor"/>
      </font>
      <alignment horizontal="center" vertical="center" textRotation="45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alignment horizontal="left" vertical="top" textRotation="45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164" formatCode="0.0"/>
      <fill>
        <patternFill patternType="solid">
          <fgColor indexed="64"/>
          <bgColor rgb="FFFFD579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4" formatCode="0.0"/>
      <fill>
        <patternFill patternType="solid">
          <fgColor indexed="64"/>
          <bgColor rgb="FFFFD579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4" formatCode="0.0"/>
      <fill>
        <patternFill patternType="solid">
          <fgColor indexed="64"/>
          <bgColor rgb="FFFFD579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4" formatCode="0.0"/>
      <fill>
        <patternFill patternType="solid">
          <fgColor indexed="64"/>
          <bgColor rgb="FFFFD579"/>
        </patternFill>
      </fill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164" formatCode="0.0"/>
      <fill>
        <patternFill patternType="solid">
          <fgColor indexed="64"/>
          <bgColor rgb="FFFFD579"/>
        </patternFill>
      </fill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164" formatCode="0.0"/>
      <fill>
        <patternFill patternType="solid">
          <fgColor indexed="64"/>
          <bgColor rgb="FFFFD57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164" formatCode="0.0"/>
      <fill>
        <patternFill patternType="solid">
          <fgColor indexed="64"/>
          <bgColor rgb="FFFFFD78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4" formatCode="0.0"/>
      <fill>
        <patternFill patternType="solid">
          <fgColor indexed="64"/>
          <bgColor rgb="FFFFFD78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4" formatCode="0.0"/>
      <fill>
        <patternFill patternType="solid">
          <fgColor indexed="64"/>
          <bgColor rgb="FFFFFD78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4" formatCode="0.0"/>
      <fill>
        <patternFill patternType="solid">
          <fgColor indexed="64"/>
          <bgColor rgb="FFFFFD78"/>
        </patternFill>
      </fill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164" formatCode="0.0"/>
      <fill>
        <patternFill patternType="solid">
          <fgColor indexed="64"/>
          <bgColor rgb="FFFFFD78"/>
        </patternFill>
      </fill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164" formatCode="0.0"/>
      <fill>
        <patternFill patternType="solid">
          <fgColor indexed="64"/>
          <bgColor rgb="FFFFFD78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164" formatCode="0.0"/>
      <fill>
        <patternFill patternType="solid">
          <fgColor indexed="64"/>
          <bgColor rgb="FFD5FC79"/>
        </patternFill>
      </fill>
      <border diagonalUp="0" diagonalDown="0" outline="0">
        <left style="thin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4" formatCode="0.0"/>
      <fill>
        <patternFill patternType="solid">
          <fgColor indexed="64"/>
          <bgColor rgb="FFD5FC79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4" formatCode="0.0"/>
      <fill>
        <patternFill patternType="solid">
          <fgColor indexed="64"/>
          <bgColor rgb="FFD5FC79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4" formatCode="0.0"/>
      <fill>
        <patternFill patternType="solid">
          <fgColor indexed="64"/>
          <bgColor rgb="FFD5FC79"/>
        </patternFill>
      </fill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164" formatCode="0.0"/>
      <fill>
        <patternFill patternType="solid">
          <fgColor indexed="64"/>
          <bgColor rgb="FFD5FC79"/>
        </patternFill>
      </fill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164" formatCode="0.0"/>
      <fill>
        <patternFill patternType="solid">
          <fgColor indexed="64"/>
          <bgColor rgb="FFD5FC7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164" formatCode="0.0"/>
      <fill>
        <patternFill patternType="solid">
          <fgColor indexed="64"/>
          <bgColor rgb="FFFF8AD8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4" formatCode="0.0"/>
      <fill>
        <patternFill patternType="solid">
          <fgColor indexed="64"/>
          <bgColor rgb="FFFF8AD8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4" formatCode="0.0"/>
      <fill>
        <patternFill patternType="solid">
          <fgColor indexed="64"/>
          <bgColor rgb="FFFF8AD8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4" formatCode="0.0"/>
      <fill>
        <patternFill patternType="solid">
          <fgColor indexed="64"/>
          <bgColor rgb="FFFF8AD8"/>
        </patternFill>
      </fill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164" formatCode="0.0"/>
      <fill>
        <patternFill patternType="solid">
          <fgColor indexed="64"/>
          <bgColor rgb="FFFF8AD8"/>
        </patternFill>
      </fill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164" formatCode="0.0"/>
      <fill>
        <patternFill patternType="solid">
          <fgColor indexed="64"/>
          <bgColor rgb="FFFF8AD8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164" formatCode="0.0"/>
      <fill>
        <patternFill patternType="solid">
          <fgColor indexed="64"/>
          <bgColor rgb="FFD883FF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4" formatCode="0.0"/>
      <fill>
        <patternFill patternType="solid">
          <fgColor indexed="64"/>
          <bgColor rgb="FFD883FF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4" formatCode="0.0"/>
      <fill>
        <patternFill patternType="solid">
          <fgColor indexed="64"/>
          <bgColor rgb="FFD883FF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4" formatCode="0.0"/>
      <fill>
        <patternFill patternType="solid">
          <fgColor indexed="64"/>
          <bgColor rgb="FFD883FF"/>
        </patternFill>
      </fill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164" formatCode="0.0"/>
      <fill>
        <patternFill patternType="solid">
          <fgColor indexed="64"/>
          <bgColor rgb="FFD883FF"/>
        </patternFill>
      </fill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164" formatCode="0.0"/>
      <fill>
        <patternFill patternType="solid">
          <fgColor indexed="64"/>
          <bgColor rgb="FFD883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164" formatCode="0.0"/>
      <fill>
        <patternFill patternType="solid">
          <fgColor indexed="64"/>
          <bgColor rgb="FF76D6FF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4" formatCode="0.0"/>
      <fill>
        <patternFill patternType="solid">
          <fgColor indexed="64"/>
          <bgColor rgb="FF76D6FF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4" formatCode="0.0"/>
      <fill>
        <patternFill patternType="solid">
          <fgColor indexed="64"/>
          <bgColor rgb="FF76D6FF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4" formatCode="0.0"/>
      <fill>
        <patternFill patternType="solid">
          <fgColor indexed="64"/>
          <bgColor rgb="FF76D6FF"/>
        </patternFill>
      </fill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164" formatCode="0.0"/>
      <fill>
        <patternFill patternType="solid">
          <fgColor indexed="64"/>
          <bgColor rgb="FF76D6FF"/>
        </patternFill>
      </fill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164" formatCode="0.0"/>
      <fill>
        <patternFill patternType="solid">
          <fgColor indexed="64"/>
          <bgColor rgb="FF76D6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164" formatCode="0.0"/>
      <fill>
        <patternFill patternType="solid">
          <fgColor indexed="64"/>
          <bgColor rgb="FF73FE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4" formatCode="0.0"/>
      <fill>
        <patternFill patternType="solid">
          <fgColor indexed="64"/>
          <bgColor rgb="FF73FEFF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4" formatCode="0.0"/>
      <fill>
        <patternFill patternType="solid">
          <fgColor indexed="64"/>
          <bgColor rgb="FF73FEFF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4" formatCode="0.0"/>
      <fill>
        <patternFill patternType="solid">
          <fgColor indexed="64"/>
          <bgColor rgb="FF73FEFF"/>
        </patternFill>
      </fill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164" formatCode="0.0"/>
      <fill>
        <patternFill patternType="solid">
          <fgColor indexed="64"/>
          <bgColor rgb="FF73FEFF"/>
        </patternFill>
      </fill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164" formatCode="0.0"/>
      <fill>
        <patternFill patternType="solid">
          <fgColor indexed="64"/>
          <bgColor rgb="FF73FE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164" formatCode="0.0"/>
      <fill>
        <patternFill patternType="solid">
          <fgColor indexed="64"/>
          <bgColor rgb="FF73FDD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4" formatCode="0.0"/>
      <fill>
        <patternFill patternType="solid">
          <fgColor indexed="64"/>
          <bgColor rgb="FF73FDD6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4" formatCode="0.0"/>
      <fill>
        <patternFill patternType="solid">
          <fgColor indexed="64"/>
          <bgColor rgb="FF73FDD6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4" formatCode="0.0"/>
      <fill>
        <patternFill patternType="solid">
          <fgColor indexed="64"/>
          <bgColor rgb="FF73FDD6"/>
        </patternFill>
      </fill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164" formatCode="0.0"/>
      <fill>
        <patternFill patternType="solid">
          <fgColor indexed="64"/>
          <bgColor rgb="FF73FDD6"/>
        </patternFill>
      </fill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164" formatCode="0.0"/>
      <fill>
        <patternFill patternType="solid">
          <fgColor indexed="64"/>
          <bgColor rgb="FF73FDD6"/>
        </patternFill>
      </fill>
    </dxf>
    <dxf>
      <font>
        <b/>
        <strike val="0"/>
        <outline val="0"/>
        <shadow val="0"/>
        <u val="none"/>
        <vertAlign val="baseline"/>
        <sz val="12"/>
        <name val="Aptos Narrow"/>
        <scheme val="minor"/>
      </font>
      <numFmt numFmtId="164" formatCode="0.0"/>
      <border outline="0">
        <left style="thin">
          <color indexed="64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4" formatCode="0.0"/>
      <fill>
        <patternFill patternType="solid">
          <fgColor indexed="64"/>
          <bgColor rgb="FFD5FC79"/>
        </patternFill>
      </fill>
      <border diagonalUp="0" diagonalDown="0" outline="0">
        <left style="thin">
          <color indexed="64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4" formatCode="0.0"/>
      <fill>
        <patternFill patternType="solid">
          <fgColor indexed="64"/>
          <bgColor rgb="FFD5FC79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4" formatCode="0.0"/>
      <fill>
        <patternFill patternType="solid">
          <fgColor indexed="64"/>
          <bgColor rgb="FFD5FC79"/>
        </patternFill>
      </fill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164" formatCode="0.0"/>
      <fill>
        <patternFill patternType="solid">
          <fgColor indexed="64"/>
          <bgColor rgb="FFD5FC7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164" formatCode="0.0"/>
      <fill>
        <patternFill patternType="solid">
          <fgColor indexed="64"/>
          <bgColor rgb="FFD5FC79"/>
        </patternFill>
      </fill>
    </dxf>
    <dxf>
      <numFmt numFmtId="164" formatCode="0.0"/>
      <fill>
        <patternFill patternType="solid">
          <fgColor indexed="64"/>
          <bgColor rgb="FFFFD579"/>
        </patternFill>
      </fill>
      <border outline="0">
        <left style="thin">
          <color indexed="64"/>
        </left>
        <right style="thick">
          <color indexed="64"/>
        </right>
      </border>
    </dxf>
    <dxf>
      <numFmt numFmtId="164" formatCode="0.0"/>
      <fill>
        <patternFill patternType="solid">
          <fgColor indexed="64"/>
          <bgColor rgb="FFFFD5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64" formatCode="0.0"/>
      <fill>
        <patternFill patternType="solid">
          <fgColor indexed="64"/>
          <bgColor rgb="FFFFD579"/>
        </patternFill>
      </fill>
      <border diagonalUp="0" diagonalDown="0" outline="0">
        <left style="thick">
          <color auto="1"/>
        </left>
        <right/>
        <top/>
        <bottom/>
      </border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64" formatCode="0.0"/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/>
        <bottom/>
      </border>
    </dxf>
    <dxf>
      <numFmt numFmtId="164" formatCode="0.0"/>
      <fill>
        <patternFill>
          <fgColor indexed="64"/>
          <bgColor rgb="FFFFFD78"/>
        </patternFill>
      </fill>
      <border outline="0">
        <left style="thick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164" formatCode="0.0"/>
      <fill>
        <patternFill patternType="solid">
          <fgColor indexed="64"/>
          <bgColor theme="0"/>
        </patternFill>
      </fill>
      <border outline="0">
        <left style="thick">
          <color indexed="64"/>
        </left>
      </border>
    </dxf>
    <dxf>
      <numFmt numFmtId="0" formatCode="General"/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rgb="FF92D050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92D050"/>
        </patternFill>
      </fill>
      <alignment horizontal="left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top" textRotation="45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76D6FF"/>
      <color rgb="FF73FEFF"/>
      <color rgb="FFFFFD78"/>
      <color rgb="FFFFD579"/>
      <color rgb="FFFF8AD8"/>
      <color rgb="FFFF85FF"/>
      <color rgb="FFD883FF"/>
      <color rgb="FF7A81FF"/>
      <color rgb="FF73FDD6"/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https://www.pharma5avenue.com/blog/mode-de-production-du-curcuma-longa-n63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38</xdr:row>
      <xdr:rowOff>0</xdr:rowOff>
    </xdr:from>
    <xdr:to>
      <xdr:col>6</xdr:col>
      <xdr:colOff>406400</xdr:colOff>
      <xdr:row>39</xdr:row>
      <xdr:rowOff>127000</xdr:rowOff>
    </xdr:to>
    <xdr:pic>
      <xdr:nvPicPr>
        <xdr:cNvPr id="2" name="Imag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8100" y="8572500"/>
          <a:ext cx="4064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711200</xdr:colOff>
          <xdr:row>0</xdr:row>
          <xdr:rowOff>254000</xdr:rowOff>
        </xdr:to>
        <xdr:sp macro="" textlink="">
          <xdr:nvSpPr>
            <xdr:cNvPr id="1438" name="Button 414" hidden="1">
              <a:extLst>
                <a:ext uri="{63B3BB69-23CF-44E3-9099-C40C66FF867C}">
                  <a14:compatExt spid="_x0000_s1438"/>
                </a:ext>
                <a:ext uri="{FF2B5EF4-FFF2-40B4-BE49-F238E27FC236}">
                  <a16:creationId xmlns:a16="http://schemas.microsoft.com/office/drawing/2014/main" id="{00000000-0008-0000-0200-00009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fr-FR" sz="1200" b="0" i="0" u="none" strike="noStrike" baseline="0">
                  <a:solidFill>
                    <a:srgbClr val="000000"/>
                  </a:solidFill>
                  <a:latin typeface="Aptos" charset="0"/>
                </a:rPr>
                <a:t>Couleur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50800</xdr:colOff>
          <xdr:row>0</xdr:row>
          <xdr:rowOff>50800</xdr:rowOff>
        </xdr:from>
        <xdr:to>
          <xdr:col>0</xdr:col>
          <xdr:colOff>939800</xdr:colOff>
          <xdr:row>0</xdr:row>
          <xdr:rowOff>266700</xdr:rowOff>
        </xdr:to>
        <xdr:sp macro="" textlink="">
          <xdr:nvSpPr>
            <xdr:cNvPr id="4097" name="Butto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fr-FR" sz="1200" b="0" i="0" u="none" strike="noStrike" baseline="0">
                  <a:solidFill>
                    <a:srgbClr val="000000"/>
                  </a:solidFill>
                  <a:latin typeface="Aptos Narrow" charset="0"/>
                </a:rPr>
                <a:t>CouleurBouton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1003300</xdr:colOff>
          <xdr:row>0</xdr:row>
          <xdr:rowOff>50800</xdr:rowOff>
        </xdr:from>
        <xdr:to>
          <xdr:col>0</xdr:col>
          <xdr:colOff>1714500</xdr:colOff>
          <xdr:row>0</xdr:row>
          <xdr:rowOff>279400</xdr:rowOff>
        </xdr:to>
        <xdr:sp macro="" textlink="">
          <xdr:nvSpPr>
            <xdr:cNvPr id="4098" name="Button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fr-FR" sz="1200" b="0" i="0" u="none" strike="noStrike" baseline="0">
                  <a:solidFill>
                    <a:srgbClr val="000000"/>
                  </a:solidFill>
                  <a:latin typeface="Aptos Narrow" charset="0"/>
                </a:rPr>
                <a:t>rodBouton 2</a:t>
              </a:r>
            </a:p>
          </xdr:txBody>
        </xdr:sp>
        <xdr:clientData fPrintsWithSheet="0"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054595-2CE2-CB43-833C-530DC9ABE8A4}" name="TableauProduit" displayName="TableauProduit" ref="A1:BN71" totalsRowShown="0" headerRowDxfId="129" headerRowBorderDxfId="128">
  <autoFilter ref="A1:BN71" xr:uid="{F4054595-2CE2-CB43-833C-530DC9ABE8A4}"/>
  <sortState xmlns:xlrd2="http://schemas.microsoft.com/office/spreadsheetml/2017/richdata2" ref="A2:BN71">
    <sortCondition descending="1" ref="M1:M71"/>
  </sortState>
  <tableColumns count="66">
    <tableColumn id="1" xr3:uid="{0243A743-0B70-9245-A8B7-B1908FC127F1}" name="Recette" dataDxfId="127"/>
    <tableColumn id="14" xr3:uid="{58D841AF-BCA1-F447-BC97-0C7F0EF7FD41}" name="ID" dataDxfId="126">
      <calculatedColumnFormula>TableauProduit[[#This Row],[Recette]]&amp;TableauProduit[[#This Row],[Conditionnement]]</calculatedColumnFormula>
    </tableColumn>
    <tableColumn id="27" xr3:uid="{A90765D3-CAFF-CA4B-85D3-906F2BFAAB00}" name="Ratio travail" dataDxfId="125"/>
    <tableColumn id="3" xr3:uid="{9C81ED09-B33E-DD4E-98E8-BC017A710910}" name="Poids (g) / unite" dataDxfId="124">
      <calculatedColumnFormula>VLOOKUP(TableauProduit[[#This Row],[Recette]],Temporaire!A$1:B$25,2)</calculatedColumnFormula>
    </tableColumn>
    <tableColumn id="8" xr3:uid="{5798A747-8D74-FF45-977F-CD9A697BF1F8}" name="Conditionnement"/>
    <tableColumn id="9" xr3:uid="{82BB8C60-06F9-DA41-943B-4EFC18743177}" name="Packaging / unite" dataDxfId="123">
      <calculatedColumnFormula>IFERROR(VLOOKUP(TableauProduit[[#This Row],[Conditionnement]],TableauConditionnement[[Nom]:[Contenance]],4,TRUE),"")</calculatedColumnFormula>
    </tableColumn>
    <tableColumn id="13" xr3:uid="{410CF0AE-4FFC-0544-8FF4-12FFFAEA13ED}" name="Prix Achat de plante par kg" dataDxfId="122">
      <calculatedColumnFormula>SUMIFS(TableauRecette[Prix d''achat / kg],TableauRecette[Recette],TableauProduit[[#This Row],[Recette]],TableauRecette[Conditionnement],TableauProduit[[#This Row],[Conditionnement]])</calculatedColumnFormula>
    </tableColumn>
    <tableColumn id="5" xr3:uid="{17AAF2BC-F87F-A74A-A6C2-2828103CC52B}" name="Prix de vente/U" dataDxfId="121"/>
    <tableColumn id="6" xr3:uid="{C5BE4A4C-977E-064B-91E7-A883FB8DE999}" name="Prix de vente/kg" dataDxfId="120">
      <calculatedColumnFormula>1000*TableauProduit[[#This Row],[Prix de vente/U]]/TableauProduit[[#This Row],[Poids (g) / unite]]</calculatedColumnFormula>
    </tableColumn>
    <tableColumn id="2" xr3:uid="{CE8C6984-C7F1-1A41-B464-247690C670E1}" name="Prix/kg (no BIO)" dataDxfId="119">
      <calculatedColumnFormula>SUMIFS(TableauConcurence[PRIX_KG],TableauConcurence[PRODUIT],TableauProduit[[#This Row],[Recette]],TableauConcurence[DISTRIBUTION],"magasin NON BIO")</calculatedColumnFormula>
    </tableColumn>
    <tableColumn id="11" xr3:uid="{933A2E5E-7CC3-3C48-B521-B855C7826021}" name="Prix/kg (cook)" dataDxfId="118">
      <calculatedColumnFormula>SUMIFS(TableauConcurence[PRIX_KG],TableauConcurence[PRODUIT],TableauProduit[[#This Row],[Recette]],TableauConcurence[DISTRIBUTION],"magasin BIO")</calculatedColumnFormula>
    </tableColumn>
    <tableColumn id="12" xr3:uid="{0329ABF2-C3FF-E04E-9556-577653BAF88F}" name="Prix/kg (artisant)" dataDxfId="117">
      <calculatedColumnFormula>SUMIFS(TableauConcurence[PRIX_KG],TableauConcurence[PRODUIT],TableauProduit[[#This Row],[Recette]],TableauConcurence[DISTRIBUTION],"artisanale BIO")</calculatedColumnFormula>
    </tableColumn>
    <tableColumn id="17" xr3:uid="{135FBA48-5AE7-FA41-AA32-2A642EEABD69}" name="Objectif de vente en unite N1" dataDxfId="116"/>
    <tableColumn id="4" xr3:uid="{6EC4538B-AAA1-C74D-9AC2-476D5AFA622A}" name="Total (kg) N1" dataDxfId="115">
      <calculatedColumnFormula>TableauProduit[[#This Row],[Poids (g) / unite]]*TableauProduit[[#This Row],[Objectif de vente en unite N1]]/1000</calculatedColumnFormula>
    </tableColumn>
    <tableColumn id="15" xr3:uid="{95891BBC-720D-A140-A4C5-2CA7466CDF35}" name="Conditionnement N1" dataDxfId="114">
      <calculatedColumnFormula>TableauProduit[[#This Row],[Objectif de vente en unite N1]]*TableauProduit[[#This Row],[Packaging / unite]]</calculatedColumnFormula>
    </tableColumn>
    <tableColumn id="29" xr3:uid="{4AEA056D-8ADC-384F-B736-0E0CDAD0AE4B}" name="Achat par kg N1" dataDxfId="113">
      <calculatedColumnFormula>G2</calculatedColumnFormula>
    </tableColumn>
    <tableColumn id="16" xr3:uid="{8DCD7785-E9FD-6C45-8294-C0B6CCDE83C1}" name="Revenue brut N1" dataDxfId="112">
      <calculatedColumnFormula>TableauProduit[[#This Row],[Prix de vente/kg]]*TableauProduit[[#This Row],[Total (kg) N1]]-TableauProduit[[#This Row],[Achat par kg N1]]</calculatedColumnFormula>
    </tableColumn>
    <tableColumn id="7" xr3:uid="{DB522F80-2AE9-DE40-83A4-2CBBF7073987}" name="Revenue net N1" dataDxfId="111">
      <calculatedColumnFormula>TableauProduit[[#This Row],[Revenue brut N1]]-TableauProduit[[#This Row],[Conditionnement N1]]</calculatedColumnFormula>
    </tableColumn>
    <tableColumn id="18" xr3:uid="{FED37E30-4761-AC4E-B01A-CDED9ADC7C9A}" name="Objectif de vente en unite N2" dataDxfId="110"/>
    <tableColumn id="10" xr3:uid="{26EA9101-7DF9-B44A-B6CF-AAB101F17C0D}" name="Total (kg) N2" dataDxfId="109">
      <calculatedColumnFormula>TableauProduit[[#This Row],[Poids (g) / unite]]*TableauProduit[[#This Row],[Objectif de vente en unite N1]]/1000</calculatedColumnFormula>
    </tableColumn>
    <tableColumn id="19" xr3:uid="{75762BF4-2BD8-094A-939A-F4BF28492CCD}" name="Conditionnement N2" dataDxfId="108">
      <calculatedColumnFormula>TableauProduit[[#This Row],[Objectif de vente en unite N1]]*TableauProduit[[#This Row],[Packaging / unite]]</calculatedColumnFormula>
    </tableColumn>
    <tableColumn id="30" xr3:uid="{E1A0E584-8A3E-AE43-8302-5375D0CC082B}" name="Achat plante / kg de melange N2" dataDxfId="107">
      <calculatedColumnFormula>TableauProduit[[#This Row],[Prix Achat de plante par kg]]*TableauProduit[[#This Row],[Total (kg) N1]]</calculatedColumnFormula>
    </tableColumn>
    <tableColumn id="21" xr3:uid="{917C5FF0-98CE-B04D-85F2-4C5BF44E17E7}" name="Revenue brut N2" dataDxfId="106">
      <calculatedColumnFormula>TableauProduit[[#This Row],[Prix de vente/kg]]*TableauProduit[[#This Row],[Total (kg) N1]]</calculatedColumnFormula>
    </tableColumn>
    <tableColumn id="31" xr3:uid="{2EF6F8EA-224C-6F4E-98A3-D06AC82643D9}" name="Revenue net N2" dataDxfId="105">
      <calculatedColumnFormula>TableauProduit[[#This Row],[Revenue brut N1]]-TableauProduit[[#This Row],[Achat par kg N1]]-TableauProduit[[#This Row],[Conditionnement N1]]</calculatedColumnFormula>
    </tableColumn>
    <tableColumn id="22" xr3:uid="{6131BED7-844C-234B-85E9-2502F02ADADE}" name="Objectif de vente en unite N3" dataDxfId="104"/>
    <tableColumn id="23" xr3:uid="{5DBBE525-F726-3C4D-956C-1E79EF1EF9C9}" name="Total (kg) N3" dataDxfId="103">
      <calculatedColumnFormula>TableauProduit[[#This Row],[Poids (g) / unite]]*TableauProduit[[#This Row],[Objectif de vente en unite N1]]/1000</calculatedColumnFormula>
    </tableColumn>
    <tableColumn id="24" xr3:uid="{44F70D28-CC30-F247-86EC-169A3D27A59C}" name="Conditionnement N3" dataDxfId="102">
      <calculatedColumnFormula>TableauProduit[[#This Row],[Objectif de vente en unite N1]]*TableauProduit[[#This Row],[Packaging / unite]]</calculatedColumnFormula>
    </tableColumn>
    <tableColumn id="32" xr3:uid="{2A9F8E6C-9CB3-B144-9C1C-351C8E4CBCAD}" name="Achat plante / kg de melange N3" dataDxfId="101">
      <calculatedColumnFormula>TableauProduit[[#This Row],[Prix Achat de plante par kg]]*TableauProduit[[#This Row],[Total (kg) N1]]</calculatedColumnFormula>
    </tableColumn>
    <tableColumn id="25" xr3:uid="{D38257EE-929B-CA45-8325-47A424D5FC67}" name="Revenue brut N3" dataDxfId="100">
      <calculatedColumnFormula>TableauProduit[[#This Row],[Prix de vente/kg]]*TableauProduit[[#This Row],[Total (kg) N1]]</calculatedColumnFormula>
    </tableColumn>
    <tableColumn id="26" xr3:uid="{E379C9F1-4FFA-5345-A129-6A3550C32A6E}" name="Revenue net N3" dataDxfId="99">
      <calculatedColumnFormula>TableauProduit[[#This Row],[Revenue brut N1]]-TableauProduit[[#This Row],[Achat par kg N1]]-TableauProduit[[#This Row],[Conditionnement N1]]</calculatedColumnFormula>
    </tableColumn>
    <tableColumn id="20" xr3:uid="{AEF77DC8-0495-CF45-9B85-FBDF71CA4AF4}" name="Objectif de vente en unite N4" dataDxfId="98"/>
    <tableColumn id="28" xr3:uid="{12192AAD-EA7F-0C45-B779-48BB6A8E0DDC}" name="Total (kg) N4" dataDxfId="97">
      <calculatedColumnFormula>TableauProduit[[#This Row],[Poids (g) / unite]]*TableauProduit[[#This Row],[Objectif de vente en unite N1]]/1000</calculatedColumnFormula>
    </tableColumn>
    <tableColumn id="33" xr3:uid="{B7D12814-6AC8-7046-8F63-168734DE700E}" name="Conditionnement N4" dataDxfId="96">
      <calculatedColumnFormula>TableauProduit[[#This Row],[Objectif de vente en unite N1]]*TableauProduit[[#This Row],[Packaging / unite]]</calculatedColumnFormula>
    </tableColumn>
    <tableColumn id="34" xr3:uid="{70F31DC1-2C22-8F49-B95D-6E1FE3F84BDD}" name="Achat plante / kg de melange N4" dataDxfId="95">
      <calculatedColumnFormula>TableauProduit[[#This Row],[Prix Achat de plante par kg]]*TableauProduit[[#This Row],[Total (kg) N1]]</calculatedColumnFormula>
    </tableColumn>
    <tableColumn id="35" xr3:uid="{82424F30-F6FB-314D-9331-859D4FB28712}" name="Revenue brut N4" dataDxfId="94">
      <calculatedColumnFormula>TableauProduit[[#This Row],[Prix de vente/kg]]*TableauProduit[[#This Row],[Total (kg) N1]]</calculatedColumnFormula>
    </tableColumn>
    <tableColumn id="36" xr3:uid="{24F279B3-CF33-444D-BD59-DF7CA93F86EB}" name="Revenue net N4" dataDxfId="93">
      <calculatedColumnFormula>TableauProduit[[#This Row],[Revenue brut N1]]-TableauProduit[[#This Row],[Achat par kg N1]]-TableauProduit[[#This Row],[Conditionnement N1]]</calculatedColumnFormula>
    </tableColumn>
    <tableColumn id="37" xr3:uid="{68EDE6B0-F958-FD44-96FA-D93716883044}" name="Objectif de vente en unite N5" dataDxfId="92"/>
    <tableColumn id="38" xr3:uid="{554B41A2-4E3E-D540-977F-862AF9ECB42B}" name="Total (kg) N5" dataDxfId="91">
      <calculatedColumnFormula>TableauProduit[[#This Row],[Poids (g) / unite]]*TableauProduit[[#This Row],[Objectif de vente en unite N1]]/1000</calculatedColumnFormula>
    </tableColumn>
    <tableColumn id="39" xr3:uid="{A24492BA-A606-EF43-884F-768B3D0750A5}" name="Conditionnement N5" dataDxfId="90">
      <calculatedColumnFormula>TableauProduit[[#This Row],[Objectif de vente en unite N1]]*TableauProduit[[#This Row],[Packaging / unite]]</calculatedColumnFormula>
    </tableColumn>
    <tableColumn id="40" xr3:uid="{5EA5E17A-BC41-CB49-9448-3AAB5A4706F7}" name="Achat plante / kg de melange N5" dataDxfId="89">
      <calculatedColumnFormula>TableauProduit[[#This Row],[Prix Achat de plante par kg]]*TableauProduit[[#This Row],[Total (kg) N1]]</calculatedColumnFormula>
    </tableColumn>
    <tableColumn id="41" xr3:uid="{0ABDD816-B589-CB4C-B5FD-962FDA41B9FA}" name="Revenue brut N5" dataDxfId="88">
      <calculatedColumnFormula>TableauProduit[[#This Row],[Prix de vente/kg]]*TableauProduit[[#This Row],[Total (kg) N1]]</calculatedColumnFormula>
    </tableColumn>
    <tableColumn id="42" xr3:uid="{46BCF6F8-768D-4C4A-B6BD-D176ACEDA060}" name="Revenue net N5" dataDxfId="87">
      <calculatedColumnFormula>TableauProduit[[#This Row],[Revenue brut N1]]-TableauProduit[[#This Row],[Achat par kg N1]]-TableauProduit[[#This Row],[Conditionnement N1]]</calculatedColumnFormula>
    </tableColumn>
    <tableColumn id="43" xr3:uid="{21F97156-43F7-7E4C-ACCF-6FDDDB00856F}" name="Objectif de vente en unite N6" dataDxfId="86"/>
    <tableColumn id="44" xr3:uid="{85A9F842-26E5-2448-989A-FE1ADAB8BC44}" name="Total (kg) N6" dataDxfId="85">
      <calculatedColumnFormula>TableauProduit[[#This Row],[Poids (g) / unite]]*TableauProduit[[#This Row],[Objectif de vente en unite N1]]/1000</calculatedColumnFormula>
    </tableColumn>
    <tableColumn id="45" xr3:uid="{422F0F0B-0FD9-F944-ABA3-803D8325783E}" name="Conditionnement N6" dataDxfId="84">
      <calculatedColumnFormula>TableauProduit[[#This Row],[Objectif de vente en unite N1]]*TableauProduit[[#This Row],[Packaging / unite]]</calculatedColumnFormula>
    </tableColumn>
    <tableColumn id="46" xr3:uid="{F8994130-B0F0-8941-AB72-9BC6A825BF5B}" name="Achat plante / kg de melange N6" dataDxfId="83">
      <calculatedColumnFormula>TableauProduit[[#This Row],[Prix Achat de plante par kg]]*TableauProduit[[#This Row],[Total (kg) N1]]</calculatedColumnFormula>
    </tableColumn>
    <tableColumn id="47" xr3:uid="{2CBE202F-4291-9C40-82B2-6180C8C188D3}" name="Revenue brut N6" dataDxfId="82">
      <calculatedColumnFormula>TableauProduit[[#This Row],[Prix de vente/kg]]*TableauProduit[[#This Row],[Total (kg) N1]]</calculatedColumnFormula>
    </tableColumn>
    <tableColumn id="48" xr3:uid="{88ECCD9D-6B72-9F43-A422-B3655EA4FDFD}" name="Revenue net N6" dataDxfId="81">
      <calculatedColumnFormula>TableauProduit[[#This Row],[Revenue brut N1]]-TableauProduit[[#This Row],[Achat par kg N1]]-TableauProduit[[#This Row],[Conditionnement N1]]</calculatedColumnFormula>
    </tableColumn>
    <tableColumn id="49" xr3:uid="{EBC768BF-BAE8-3240-A388-5D16C80CFA1C}" name="Objectif de vente en unite N7" dataDxfId="80"/>
    <tableColumn id="50" xr3:uid="{6558B08B-6A53-8D48-97E8-1D3DF5DCB71C}" name="Total (kg) N7" dataDxfId="79">
      <calculatedColumnFormula>TableauProduit[[#This Row],[Poids (g) / unite]]*TableauProduit[[#This Row],[Objectif de vente en unite N1]]/1000</calculatedColumnFormula>
    </tableColumn>
    <tableColumn id="51" xr3:uid="{60D957CA-BD74-0F4E-8B68-EC066EDCCAEC}" name="Conditionnement N7" dataDxfId="78">
      <calculatedColumnFormula>TableauProduit[[#This Row],[Objectif de vente en unite N1]]*TableauProduit[[#This Row],[Packaging / unite]]</calculatedColumnFormula>
    </tableColumn>
    <tableColumn id="52" xr3:uid="{A15C337E-C9AD-D242-A62C-C32128C6F1C1}" name="Achat plante / kg de melange N7" dataDxfId="77">
      <calculatedColumnFormula>TableauProduit[[#This Row],[Prix Achat de plante par kg]]*TableauProduit[[#This Row],[Total (kg) N1]]</calculatedColumnFormula>
    </tableColumn>
    <tableColumn id="53" xr3:uid="{1AEB52D4-3C24-C940-8DC6-F1B2568B19D9}" name="Revenue brut N7" dataDxfId="76">
      <calculatedColumnFormula>TableauProduit[[#This Row],[Prix de vente/kg]]*TableauProduit[[#This Row],[Total (kg) N1]]</calculatedColumnFormula>
    </tableColumn>
    <tableColumn id="54" xr3:uid="{9F0000FC-1CA4-E146-9249-81A0EA6BD94A}" name="Revenue net N7" dataDxfId="75">
      <calculatedColumnFormula>TableauProduit[[#This Row],[Revenue brut N1]]-TableauProduit[[#This Row],[Achat par kg N1]]-TableauProduit[[#This Row],[Conditionnement N1]]</calculatedColumnFormula>
    </tableColumn>
    <tableColumn id="55" xr3:uid="{95CBD4F8-2BD6-F548-98CD-5F45AA090D9A}" name="Objectif de vente en unite N8" dataDxfId="74"/>
    <tableColumn id="56" xr3:uid="{A8AAB7B3-44CF-BD43-9F51-1D3BEBD9AA7A}" name="Total (kg) N8" dataDxfId="73">
      <calculatedColumnFormula>TableauProduit[[#This Row],[Poids (g) / unite]]*TableauProduit[[#This Row],[Objectif de vente en unite N1]]/1000</calculatedColumnFormula>
    </tableColumn>
    <tableColumn id="57" xr3:uid="{C71EB1F4-1EDB-EE40-88D3-C1BAC08D8F5B}" name="Conditionnement N8" dataDxfId="72">
      <calculatedColumnFormula>TableauProduit[[#This Row],[Objectif de vente en unite N1]]*TableauProduit[[#This Row],[Packaging / unite]]</calculatedColumnFormula>
    </tableColumn>
    <tableColumn id="58" xr3:uid="{76FA1897-A862-1A4D-9134-DE529C4C97A4}" name="Achat plante / kg de melange N8" dataDxfId="71">
      <calculatedColumnFormula>TableauProduit[[#This Row],[Prix Achat de plante par kg]]*TableauProduit[[#This Row],[Total (kg) N1]]</calculatedColumnFormula>
    </tableColumn>
    <tableColumn id="59" xr3:uid="{A8A48663-938E-534E-A1F0-D4C3EE0B59CA}" name="Revenue brut N8" dataDxfId="70">
      <calculatedColumnFormula>TableauProduit[[#This Row],[Prix de vente/kg]]*TableauProduit[[#This Row],[Total (kg) N1]]</calculatedColumnFormula>
    </tableColumn>
    <tableColumn id="60" xr3:uid="{7A7249F7-0AD4-4642-A41F-04063A907A6A}" name="Revenue net N8" dataDxfId="69">
      <calculatedColumnFormula>TableauProduit[[#This Row],[Revenue brut N1]]-TableauProduit[[#This Row],[Achat par kg N1]]-TableauProduit[[#This Row],[Conditionnement N1]]</calculatedColumnFormula>
    </tableColumn>
    <tableColumn id="61" xr3:uid="{D226C2BA-E3E4-3E43-8614-A59A20669772}" name="Objectif de vente en unite N9" dataDxfId="68"/>
    <tableColumn id="62" xr3:uid="{D7561BDC-042E-F343-B1CE-1E86D11545D5}" name="Total (kg) N9" dataDxfId="67">
      <calculatedColumnFormula>TableauProduit[[#This Row],[Poids (g) / unite]]*TableauProduit[[#This Row],[Objectif de vente en unite N1]]/1000</calculatedColumnFormula>
    </tableColumn>
    <tableColumn id="63" xr3:uid="{7D667F63-956F-D44B-9E09-F2294FB985FF}" name="Conditionnement N9" dataDxfId="66">
      <calculatedColumnFormula>TableauProduit[[#This Row],[Objectif de vente en unite N1]]*TableauProduit[[#This Row],[Packaging / unite]]</calculatedColumnFormula>
    </tableColumn>
    <tableColumn id="64" xr3:uid="{5359355C-1598-A04E-A18E-CC51E65B31A6}" name="Achat plante / kg de melange N9" dataDxfId="65">
      <calculatedColumnFormula>TableauProduit[[#This Row],[Prix Achat de plante par kg]]*TableauProduit[[#This Row],[Total (kg) N1]]</calculatedColumnFormula>
    </tableColumn>
    <tableColumn id="65" xr3:uid="{3ABBB92A-C3D5-7C47-9245-6E6A08BECE01}" name="Revenue brut N9" dataDxfId="64">
      <calculatedColumnFormula>TableauProduit[[#This Row],[Prix de vente/kg]]*TableauProduit[[#This Row],[Total (kg) N1]]</calculatedColumnFormula>
    </tableColumn>
    <tableColumn id="66" xr3:uid="{D0213429-4FE4-5643-898B-10B5EFB1AC55}" name="Revenue net N9" dataDxfId="63">
      <calculatedColumnFormula>TableauProduit[[#This Row],[Revenue brut N1]]-TableauProduit[[#This Row],[Achat par kg N1]]-TableauProduit[[#This Row],[Conditionnement N1]]</calculatedColumnFormula>
    </tableColumn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A49EA7-4F77-DC49-825F-606C8F2A4D43}" name="TableauIngredients" displayName="TableauIngredients" ref="A1:G166" totalsRowShown="0" headerRowDxfId="62">
  <autoFilter ref="A1:G166" xr:uid="{04A49EA7-4F77-DC49-825F-606C8F2A4D43}"/>
  <sortState xmlns:xlrd2="http://schemas.microsoft.com/office/spreadsheetml/2017/richdata2" ref="A2:G160">
    <sortCondition ref="A1:A160"/>
  </sortState>
  <tableColumns count="7">
    <tableColumn id="1" xr3:uid="{7568B4CE-966D-D140-A320-4CA4A229F32A}" name="Ingredients" dataDxfId="61">
      <calculatedColumnFormula>PROPER(TableauIngredients[[#This Row],[Ingredients]])</calculatedColumnFormula>
    </tableColumn>
    <tableColumn id="3" xr3:uid="{92B0F8DA-5132-0D4F-A46F-65624140512C}" name="ratio sechage" dataCellStyle="Pourcentage">
      <calculatedColumnFormula>IF(IFERROR((100-TableauIngredients[[#This Row],[% eau]])/100, 1) &lt; 20,0.2)</calculatedColumnFormula>
    </tableColumn>
    <tableColumn id="4" xr3:uid="{D4796A4C-9A65-9843-8141-390A4FE48207}" name="% eau"/>
    <tableColumn id="7" xr3:uid="{B791126D-8F73-F944-BBCD-19B8B536472A}" name="Nom de la Production"/>
    <tableColumn id="2" xr3:uid="{DFDC4EE2-097C-6C41-BC80-58F4983B6596}" name="Prix de vente"/>
    <tableColumn id="5" xr3:uid="{A2228194-D92A-4D41-A723-78BD29D7A93C}" name="Prix d'achat (kg)" dataDxfId="60" dataCellStyle="Monétaire"/>
    <tableColumn id="6" xr3:uid="{615A848A-9C38-1E46-9D9D-C8DA3836337D}" name="Lien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45B65FF-BEDC-1C4A-B981-4F71A45865A0}" name="TableauRecette" displayName="TableauRecette" ref="A1:T462" totalsRowShown="0" headerRowDxfId="59" dataDxfId="58">
  <autoFilter ref="A1:T462" xr:uid="{F45B65FF-BEDC-1C4A-B981-4F71A45865A0}"/>
  <sortState xmlns:xlrd2="http://schemas.microsoft.com/office/spreadsheetml/2017/richdata2" ref="A2:T462">
    <sortCondition ref="A1:A462"/>
  </sortState>
  <tableColumns count="20">
    <tableColumn id="1" xr3:uid="{CAD3BBBB-07A8-6E4D-A60C-F8031922660D}" name="Recette" dataDxfId="57"/>
    <tableColumn id="12" xr3:uid="{23311D1D-8B15-4741-AEFE-5C2FD9D944DB}" name="ID" dataDxfId="56">
      <calculatedColumnFormula>TableauRecette[[#This Row],[Recette]]&amp;TableauRecette[[#This Row],[Conditionnement]]</calculatedColumnFormula>
    </tableColumn>
    <tableColumn id="2" xr3:uid="{635737D1-894F-2B41-A733-E24FE2BA70B5}" name="Ingredients" dataDxfId="55"/>
    <tableColumn id="3" xr3:uid="{CA48CF0F-8661-2E44-8F42-D31523BED43B}" name="Proportion" dataDxfId="54"/>
    <tableColumn id="4" xr3:uid="{75BE461A-16AD-CC44-B5C0-C0AD7185338A}" name="Conditionnement" dataDxfId="53"/>
    <tableColumn id="5" xr3:uid="{6A836545-C307-1D4C-98E3-A2B753AB5B2F}" name="poids / unite" dataDxfId="52">
      <calculatedColumnFormula>D2/SUMIFS(TableauRecette[Proportion],TableauRecette[Recette],TableauRecette[[#This Row],[Recette]],TableauRecette[Conditionnement],TableauRecette[[#This Row],[Conditionnement]])</calculatedColumnFormula>
    </tableColumn>
    <tableColumn id="6" xr3:uid="{72227E8A-629E-5148-B019-3872AED3C561}" name="Prix d'achat / kg" dataDxfId="2">
      <calculatedColumnFormula>_xlfn.XLOOKUP(TableauRecette[[#This Row],[Ingredients]],TableauIngredients[Ingredients],TableauIngredients[Prix d''achat (kg)],0)*TableauRecette[[#This Row],[poids / unite]]</calculatedColumnFormula>
    </tableColumn>
    <tableColumn id="10" xr3:uid="{B06896EC-8951-724C-85D6-A4947B0C72FF}" name="Total Proportion" dataDxfId="0">
      <calculatedColumnFormula>SUMIFS(TableauRecette[Proportion],TableauRecette[Recette],TableauRecette[[#This Row],[Recette]],TableauRecette[Conditionnement],TableauRecette[[#This Row],[Conditionnement]])</calculatedColumnFormula>
    </tableColumn>
    <tableColumn id="11" xr3:uid="{C33046DC-4BF3-1748-9B8E-7E3C0FDB992C}" name="Prix pour kg/ de melange" dataDxfId="1">
      <calculatedColumnFormula>TableauRecette[[#This Row],[Proportion]]*TableauRecette[[#This Row],[Prix d''achat / kg]]/TableauRecette[[#This Row],[Total Proportion]]</calculatedColumnFormula>
    </tableColumn>
    <tableColumn id="7" xr3:uid="{3E40AE90-1A35-3541-93D9-1D8841B56458}" name="Pays" dataDxfId="51"/>
    <tableColumn id="8" xr3:uid="{464C5DB5-CC6F-7D45-884D-DA9530B85314}" name="Type" dataDxfId="50"/>
    <tableColumn id="9" xr3:uid="{5FBD4E09-12F9-F14B-A7A9-7BA19AAEF94B}" name="kg / annee 1" dataDxfId="49">
      <calculatedColumnFormula>_xlfn.XLOOKUP(TableauRecette[[#This Row],[ID]],TableauProduit[ID],TableauProduit[Total (kg) N1],0,0,1)*TableauRecette[[#This Row],[poids / unite]]</calculatedColumnFormula>
    </tableColumn>
    <tableColumn id="28" xr3:uid="{24417D73-EF5D-A745-AA16-53D358D0F1D0}" name="kg / annee 2" dataDxfId="48">
      <calculatedColumnFormula>_xlfn.XLOOKUP(TableauRecette[[#This Row],[ID]],TableauProduit[ID],TableauProduit[Total (kg) N2],0,0,1)*TableauRecette[[#This Row],[poids / unite]]</calculatedColumnFormula>
    </tableColumn>
    <tableColumn id="29" xr3:uid="{B1196B5B-CEDB-154F-A496-D609A443BCFB}" name="kg / annee 3" dataDxfId="47">
      <calculatedColumnFormula>_xlfn.XLOOKUP(TableauRecette[[#This Row],[ID]],TableauProduit[ID],TableauProduit[Total (kg) N3],0,0,1)*TableauRecette[[#This Row],[poids / unite]]</calculatedColumnFormula>
    </tableColumn>
    <tableColumn id="30" xr3:uid="{663D6816-4B1A-E540-BB6B-C1CC2ECAC91E}" name="kg / annee 4" dataDxfId="46">
      <calculatedColumnFormula>_xlfn.XLOOKUP(TableauRecette[[#This Row],[ID]],TableauProduit[ID],TableauProduit[Total (kg) N4],0,0,1)*TableauRecette[[#This Row],[poids / unite]]</calculatedColumnFormula>
    </tableColumn>
    <tableColumn id="31" xr3:uid="{293461B7-1A0B-7D42-A538-E4FDF391043B}" name="kg / annee 5" dataDxfId="45">
      <calculatedColumnFormula>_xlfn.XLOOKUP(TableauRecette[[#This Row],[ID]],TableauProduit[ID],TableauProduit[Total (kg) N5],0,0,1)*TableauRecette[[#This Row],[poids / unite]]</calculatedColumnFormula>
    </tableColumn>
    <tableColumn id="32" xr3:uid="{A2A261DB-927C-1948-9469-D08358C819F5}" name="kg / annee 6" dataDxfId="44">
      <calculatedColumnFormula>_xlfn.XLOOKUP(TableauRecette[[#This Row],[ID]],TableauProduit[ID],TableauProduit[Total (kg) N6],0,0,1)*TableauRecette[[#This Row],[poids / unite]]</calculatedColumnFormula>
    </tableColumn>
    <tableColumn id="33" xr3:uid="{2A0115AB-B342-2141-B44A-05429B37EC68}" name="kg / annee 7" dataDxfId="43">
      <calculatedColumnFormula>_xlfn.XLOOKUP(TableauRecette[[#This Row],[ID]],TableauProduit[ID],TableauProduit[Total (kg) N7],0,0,1)*TableauRecette[[#This Row],[poids / unite]]</calculatedColumnFormula>
    </tableColumn>
    <tableColumn id="34" xr3:uid="{28A8BF94-E272-BB40-A514-B5851BDA35A4}" name="kg / annee 8" dataDxfId="42">
      <calculatedColumnFormula>_xlfn.XLOOKUP(TableauRecette[[#This Row],[ID]],TableauProduit[ID],TableauProduit[Total (kg) N8],0,0,1)*TableauRecette[[#This Row],[poids / unite]]</calculatedColumnFormula>
    </tableColumn>
    <tableColumn id="35" xr3:uid="{D9BAA4C6-9430-794C-AFFB-DFA94EEE3645}" name="kg / annee 9" dataDxfId="41">
      <calculatedColumnFormula>_xlfn.XLOOKUP(TableauRecette[[#This Row],[ID]],TableauProduit[ID],TableauProduit[Total (kg) N9],0,0,1)*TableauRecette[[#This Row],[poids / unite]]</calculatedColumnFormula>
    </tableColumn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76B1FE0-F82F-E64D-9173-518C62B5A1D5}" name="TableauProduction" displayName="TableauProduction" ref="A1:J112" totalsRowShown="0" headerRowDxfId="40" dataDxfId="39">
  <autoFilter ref="A1:J112" xr:uid="{876B1FE0-F82F-E64D-9173-518C62B5A1D5}"/>
  <sortState xmlns:xlrd2="http://schemas.microsoft.com/office/spreadsheetml/2017/richdata2" ref="A2:J112">
    <sortCondition descending="1" ref="B1:B112"/>
  </sortState>
  <tableColumns count="10">
    <tableColumn id="1" xr3:uid="{44564F62-3B12-5B45-9866-A214817AD418}" name="Produit" dataDxfId="38"/>
    <tableColumn id="3" xr3:uid="{04905642-2366-0F40-B3CC-569C5EB3E115}" name="annee 1" dataDxfId="37"/>
    <tableColumn id="7" xr3:uid="{8B0666C9-A4DF-7C43-8FF6-4E6BABBA4AA7}" name="annee 2" dataDxfId="36"/>
    <tableColumn id="8" xr3:uid="{68530E63-B77F-A948-AF92-1E6850D32D0D}" name="annee 3" dataDxfId="35"/>
    <tableColumn id="9" xr3:uid="{E6ED98D7-427D-4E40-99E0-0B613628293E}" name="annee 4" dataDxfId="34"/>
    <tableColumn id="10" xr3:uid="{69B0D051-BE19-8548-85AD-A7ED81D75921}" name="poids / unite" dataDxfId="33"/>
    <tableColumn id="11" xr3:uid="{4FCF37B8-2414-464B-96C2-2238790032E7}" name="annee 6" dataDxfId="32"/>
    <tableColumn id="12" xr3:uid="{53EEF492-39DA-564E-82B7-ABCFC78F150C}" name="annee 7" dataDxfId="31"/>
    <tableColumn id="13" xr3:uid="{1BA18A51-78A8-C54A-A713-66E914FD35A8}" name="annee 8" dataDxfId="30"/>
    <tableColumn id="14" xr3:uid="{4FA518F3-CF61-CC47-A836-6291E3297BC2}" name="annee 9" dataDxfId="29"/>
  </tableColumns>
  <tableStyleInfo name="TableStyleMedium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89A199-8AC5-8346-B714-DA88846319BE}" name="TableauConditionnement" displayName="TableauConditionnement" ref="A1:G21" totalsRowShown="0">
  <autoFilter ref="A1:G21" xr:uid="{A489A199-8AC5-8346-B714-DA88846319BE}"/>
  <sortState xmlns:xlrd2="http://schemas.microsoft.com/office/spreadsheetml/2017/richdata2" ref="A2:G18">
    <sortCondition ref="A1:A19"/>
  </sortState>
  <tableColumns count="7">
    <tableColumn id="1" xr3:uid="{5A97E630-CEF1-AF4F-8F0A-3D9116C39F72}" name="Nom"/>
    <tableColumn id="2" xr3:uid="{06C9FD0C-2AAA-AF47-A7A7-DC388DE836C8}" name="Bouchon"/>
    <tableColumn id="3" xr3:uid="{FBED7E91-5DC2-3448-89CD-9238A1CAFE69}" name="Verre"/>
    <tableColumn id="4" xr3:uid="{B73D0AFC-2FA6-7C43-A2D8-F7D0291FD095}" name="Total" dataDxfId="3"/>
    <tableColumn id="5" xr3:uid="{88C72DF8-646A-9741-981B-B152CB7B0E03}" name="Contenance"/>
    <tableColumn id="6" xr3:uid="{E59B101C-CBC1-C444-B766-0B575777016B}" name="Lien bouchon"/>
    <tableColumn id="7" xr3:uid="{A5A3A315-CF6E-144C-A780-938A85988FC9}" name="Lien verre"/>
  </tableColumns>
  <tableStyleInfo name="TableStyleMedium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D695B5D-5EBF-6E43-8A16-869B2BEC4008}" name="TableauConcurence" displayName="TableauConcurence" ref="A1:G168" totalsRowShown="0">
  <sortState xmlns:xlrd2="http://schemas.microsoft.com/office/spreadsheetml/2017/richdata2" ref="A2:G103">
    <sortCondition ref="A1:A103"/>
  </sortState>
  <tableColumns count="7">
    <tableColumn id="1" xr3:uid="{6693CA68-41F6-494E-A4AC-48C6C767A438}" name="PRODUIT"/>
    <tableColumn id="2" xr3:uid="{EB860BD2-A322-7841-ABCE-84A36D7B664C}" name="DISTRIBUTION"/>
    <tableColumn id="3" xr3:uid="{0B93C957-BA5D-9845-BA9A-BDF05677FE40}" name="NOM"/>
    <tableColumn id="4" xr3:uid="{B5CF6747-6880-484A-9389-7A6BFBEC4C88}" name="MARQUE"/>
    <tableColumn id="5" xr3:uid="{38F46944-466B-2442-9EE3-EF56C1102F7D}" name="GRAMMAGE"/>
    <tableColumn id="6" xr3:uid="{83A66E6F-9602-A142-A1CC-1459944B0087}" name="PRIX"/>
    <tableColumn id="7" xr3:uid="{FB3444E0-961F-1749-98CA-52924161161F}" name="PRIX_KG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41FA747-2B5B-D342-ADE3-E1CB80C9F760}" name="Old" displayName="Old" ref="A1:O39" totalsRowShown="0" headerRowDxfId="28" headerRowBorderDxfId="27" tableBorderDxfId="26" totalsRowBorderDxfId="25">
  <autoFilter ref="A1:O39" xr:uid="{841FA747-2B5B-D342-ADE3-E1CB80C9F760}"/>
  <tableColumns count="15">
    <tableColumn id="1" xr3:uid="{A2C0404E-68EB-F94B-9271-D5412405A61E}" name="Recette" dataDxfId="24"/>
    <tableColumn id="2" xr3:uid="{E7A714EA-ED4A-FD4E-B289-922696FD336F}" name="Objectif en unite" dataDxfId="23"/>
    <tableColumn id="3" xr3:uid="{2C3D12CB-EE24-A243-9349-F0CED6224B99}" name="poids/unite (g)" dataDxfId="22"/>
    <tableColumn id="4" xr3:uid="{C25BB12D-BF60-FB45-B803-515F4A3C48EF}" name="Total (kg)" dataDxfId="21"/>
    <tableColumn id="5" xr3:uid="{F6671F1A-3738-4342-9BCA-5AFC6E733E60}" name="Prix de vente/U" dataDxfId="20"/>
    <tableColumn id="6" xr3:uid="{43D4079E-C353-7640-8116-470834939096}" name="Prix de vente/kg" dataDxfId="19"/>
    <tableColumn id="7" xr3:uid="{B220C62C-737A-1C4E-A4E6-CD0E9D6DD3F4}" name="Revenue brut" dataDxfId="18"/>
    <tableColumn id="8" xr3:uid="{BB7C69DA-A26B-3E45-908E-3DD29A134394}" name="Packaging" dataDxfId="17"/>
    <tableColumn id="9" xr3:uid="{DECD3BB1-11FE-774E-B534-3C8B36E894CA}" name="Packaging/Unit" dataDxfId="16"/>
    <tableColumn id="10" xr3:uid="{F930E841-809C-3C44-9E81-9AC075FEF305}" name="PV/kg frais" dataDxfId="15"/>
    <tableColumn id="11" xr3:uid="{B2D8CE15-6A90-0A40-9609-C3A66BF86938}" name="Prix/kg (cook)" dataDxfId="14"/>
    <tableColumn id="12" xr3:uid="{43F0F56E-5BE7-3C40-9DE6-91E3E83AB413}" name="Prix/kg (artisant)" dataDxfId="13"/>
    <tableColumn id="13" xr3:uid="{938D8FE4-A470-7142-8D58-14010354DED1}" name="Colonne2" dataDxfId="12"/>
    <tableColumn id="14" xr3:uid="{C910AE53-78ED-7540-940E-3089AE78F49A}" name="Colonne3" dataDxfId="11"/>
    <tableColumn id="15" xr3:uid="{75D24C88-D121-0047-BDC8-67B1FDE7AEE2}" name="Colonne4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etsy.com/fr/listing/1671728644/zeste-de-mandarine-sechee-biologique?gpla=1&amp;gao=1&amp;" TargetMode="External"/><Relationship Id="rId18" Type="http://schemas.openxmlformats.org/officeDocument/2006/relationships/hyperlink" Target="https://thesdirect.com/products/gingembre-rhizome-poudre-bio?_pos=7&amp;_sid=90d482203&amp;_ss=r" TargetMode="External"/><Relationship Id="rId26" Type="http://schemas.openxmlformats.org/officeDocument/2006/relationships/hyperlink" Target="https://thesdirect.com/products/ortie-piquante-partie-aerienne-poudre-bio-origine-france?_pos=3&amp;_sid=da77c7ad6&amp;_ss=r" TargetMode="External"/><Relationship Id="rId39" Type="http://schemas.openxmlformats.org/officeDocument/2006/relationships/table" Target="../tables/table2.xml"/><Relationship Id="rId21" Type="http://schemas.openxmlformats.org/officeDocument/2006/relationships/hyperlink" Target="https://thesdirect.com/products/grosssite-cumin-graine-poudre-bio-vente-en-gros?_pos=2&amp;_sid=3c51b5f81&amp;_ss=r" TargetMode="External"/><Relationship Id="rId34" Type="http://schemas.openxmlformats.org/officeDocument/2006/relationships/hyperlink" Target="https://www.pharma5avenue.com/blog/mode-de-production-du-curcuma-longa-n63" TargetMode="External"/><Relationship Id="rId7" Type="http://schemas.openxmlformats.org/officeDocument/2006/relationships/hyperlink" Target="https://www.autourduriz.com/sauces-asiatiques-bio/423-sauce-nuoc-mam-bio-veggie-3760275575203.html" TargetMode="External"/><Relationship Id="rId12" Type="http://schemas.openxmlformats.org/officeDocument/2006/relationships/hyperlink" Target="https://www.googleadservices.com/pagead/aclk?sa=L&amp;ai=DChcSEwjImt71kvSEAxX4qGgJHfm2DMsYABAOGgJ3Zg&amp;ase=2&amp;gclid=Cj0KCQjwwMqvBhCtARIsAIXsZpZzuxlLYPk3jEbz2sSJyN4bocZn-7fGZ1l02xJ2SChDI7pgp8LAST8aAnq9EALw_wcB&amp;ohost=www.google.com&amp;cid=CAESV-D2Uxx-XLqYE_XjwL-kVovH9HTLCB4KlP7kJAwkGppGskGIF94N5JykIfKxIhGF_WNbbGhZMrxjSTAQ4FwvjJubk8RCtjodMYrRsrubTeHFyJdngqwO-Q&amp;sig=AOD64_24hJKAn2HpOv8TAFHuCr4695zSpw&amp;ctype=5&amp;q=&amp;nis=4&amp;ved=2ahUKEwjbttj1kvSEAxXWSKQEHcVUBosQ9aACKAB6BAgBEBM&amp;adurl=" TargetMode="External"/><Relationship Id="rId17" Type="http://schemas.openxmlformats.org/officeDocument/2006/relationships/hyperlink" Target="https://thesdirect.com/products/laurier-feuille-coupee-bio?_pos=1&amp;_sid=01cd0a848&amp;_ss=r" TargetMode="External"/><Relationship Id="rId25" Type="http://schemas.openxmlformats.org/officeDocument/2006/relationships/hyperlink" Target="https://thesdirect.com/products/cumin-noir-nigelle-graine-entiere-bio?_pos=1&amp;_sid=952bb7c98&amp;_ss=r" TargetMode="External"/><Relationship Id="rId33" Type="http://schemas.openxmlformats.org/officeDocument/2006/relationships/hyperlink" Target="https://www.pharma5avenue.com/blog/mode-de-production-du-curcuma-longa-n63" TargetMode="External"/><Relationship Id="rId38" Type="http://schemas.openxmlformats.org/officeDocument/2006/relationships/drawing" Target="../drawings/drawing1.xml"/><Relationship Id="rId2" Type="http://schemas.openxmlformats.org/officeDocument/2006/relationships/hyperlink" Target="https://www.etsy.com/fr/listing/538432371/poudre-de-mangue-biologique-poudre?gpla=1&amp;gao=1&amp;" TargetMode="External"/><Relationship Id="rId16" Type="http://schemas.openxmlformats.org/officeDocument/2006/relationships/hyperlink" Target="https://thesdirect.com/products/cumin-noir-nigelle-graine-entiere-bio?_pos=1&amp;_sid=3c51b5f81&amp;_ss=r" TargetMode="External"/><Relationship Id="rId20" Type="http://schemas.openxmlformats.org/officeDocument/2006/relationships/hyperlink" Target="https://thesdirect.com/products/carvi-graine-entiere-bio?_pos=1&amp;_sid=0340e6674&amp;_ss=r" TargetMode="External"/><Relationship Id="rId29" Type="http://schemas.openxmlformats.org/officeDocument/2006/relationships/hyperlink" Target="https://thesdirect.com/products/origan-vert-feuille-entiere-bio-origine-france?_pos=1&amp;_sid=92a128b15&amp;_ss=r" TargetMode="External"/><Relationship Id="rId1" Type="http://schemas.openxmlformats.org/officeDocument/2006/relationships/hyperlink" Target="https://parisbelleville01.lecodrive.com/boutique/amande-douce-decortiquee-bio-espagne/" TargetMode="External"/><Relationship Id="rId6" Type="http://schemas.openxmlformats.org/officeDocument/2006/relationships/hyperlink" Target="https://www.googleadservices.com/pagead/aclk?sa=L&amp;ai=DChcSEwjImt71kvSEAxX4qGgJHfm2DMsYABAOGgJ3Zg&amp;ase=2&amp;gclid=Cj0KCQjwwMqvBhCtARIsAIXsZpZzuxlLYPk3jEbz2sSJyN4bocZn-7fGZ1l02xJ2SChDI7pgp8LAST8aAnq9EALw_wcB&amp;ohost=www.google.com&amp;cid=CAESV-D2Uxx-XLqYE_XjwL-kVovH9HTLCB4KlP7kJAwkGppGskGIF94N5JykIfKxIhGF_WNbbGhZMrxjSTAQ4FwvjJubk8RCtjodMYrRsrubTeHFyJdngqwO-Q&amp;sig=AOD64_24hJKAn2HpOv8TAFHuCr4695zSpw&amp;ctype=5&amp;q=&amp;nis=4&amp;ved=2ahUKEwjbttj1kvSEAxXWSKQEHcVUBosQ9aACKAB6BAgBEBM&amp;adurl=" TargetMode="External"/><Relationship Id="rId11" Type="http://schemas.openxmlformats.org/officeDocument/2006/relationships/hyperlink" Target="https://thesdirect.com/products/girofle-clou-entier-bio?variant=42278504759535&amp;utm_medium=paidsearch&amp;utm_source=google&amp;utm_campaign=FR-PMC-Global&amp;utm_term=&amp;utm_content=&amp;gad_source=1&amp;gclid=Cj0KCQjwwMqvBhCtARIsAIXsZpYMcYHxWw4LzdPFYu1RLdfNCwEEgQ89WYbpA_kBagvr-9lOLjM_5DwaAt_uEALw_wcB" TargetMode="External"/><Relationship Id="rId24" Type="http://schemas.openxmlformats.org/officeDocument/2006/relationships/hyperlink" Target="https://thesdirect.com/products/graine-de-moutarde-noir-bio-en-vrac?_pos=1&amp;_sid=ed731c47b&amp;_ss=r" TargetMode="External"/><Relationship Id="rId32" Type="http://schemas.openxmlformats.org/officeDocument/2006/relationships/hyperlink" Target="https://www.pharma5avenue.com/blog/mode-de-production-du-curcuma-longa-n63" TargetMode="External"/><Relationship Id="rId37" Type="http://schemas.openxmlformats.org/officeDocument/2006/relationships/hyperlink" Target="https://occitanie.chambre-agriculture.fr/fileadmin/user_upload/Occitanie/076_Inst-Occitanie/Documents/Productions_techniques/Agriculture_biologique/Espace_ressource_bio/Maraichage_bio/ITK-LR-PoivronVenteDirecte.pdf" TargetMode="External"/><Relationship Id="rId5" Type="http://schemas.openxmlformats.org/officeDocument/2006/relationships/hyperlink" Target="https://www.googleadservices.com/pagead/aclk?sa=L&amp;ai=DChcSEwi8_L7IkfSEAxWWtWgJHdrGBpYYABAFGgJ3Zg&amp;ase=2&amp;gclid=Cj0KCQjwwMqvBhCtARIsAIXsZpYLT1VmI5Kq1BaXTkjkzxCxD3tRu3FW4QihyZ5AVHNacB5EEIP-EacaAtVBEALw_wcB&amp;ohost=www.google.com&amp;cid=CAESV-D25s4w_xgCt61JSCPtz_-6MB53MwZOqMSR3C53fMpAlGsUxYYNIVZyeD-U7TQmjoP8BSO5N0eb6P53Wc_pyXFm3Td7A7f5dhB2yVtf84Fpc8W6xGvNkg&amp;sig=AOD64_1j_v1y63lx74Qe3EwzAJMUknrPPQ&amp;ctype=5&amp;q=&amp;nis=4&amp;ved=2ahUKEwii3bjIkfSEAxUTUKQEHfKUBKUQ9aACKAB6BAgBECM&amp;adurl=" TargetMode="External"/><Relationship Id="rId15" Type="http://schemas.openxmlformats.org/officeDocument/2006/relationships/hyperlink" Target="https://thesdirect.com/products/grosssite-cumin-graine-poudre-bio-vente-en-gros?_pos=2&amp;_sid=3c51b5f81&amp;_ss=r" TargetMode="External"/><Relationship Id="rId23" Type="http://schemas.openxmlformats.org/officeDocument/2006/relationships/hyperlink" Target="https://thesdirect.com/products/graine-de-moutarde-jaune-bio-en-vrac?_pos=2&amp;_sid=ed731c47b&amp;_ss=r" TargetMode="External"/><Relationship Id="rId28" Type="http://schemas.openxmlformats.org/officeDocument/2006/relationships/hyperlink" Target="https://thesdirect.com/products/lavandin-fleur-entiere-bio-origine-france?variant=46723154575702" TargetMode="External"/><Relationship Id="rId36" Type="http://schemas.openxmlformats.org/officeDocument/2006/relationships/hyperlink" Target="https://occitanie.chambre-agriculture.fr/fileadmin/user_upload/Occitanie/076_Inst-Occitanie/Documents/Productions_techniques/Agriculture_biologique/Espace_ressource_bio/Maraichage_bio/ITK-LR-PoivronVenteDirecte.pdf" TargetMode="External"/><Relationship Id="rId10" Type="http://schemas.openxmlformats.org/officeDocument/2006/relationships/hyperlink" Target="https://thesdirect.com/products/harpagophytum-racine-coupee-bio?variant=46723154116950&amp;utm_medium=paidsearch&amp;utm_source=google&amp;utm_campaign=FR-PMC-Global&amp;utm_term=&amp;utm_content=&amp;gad_source=1" TargetMode="External"/><Relationship Id="rId19" Type="http://schemas.openxmlformats.org/officeDocument/2006/relationships/hyperlink" Target="https://thesdirect.com/products/cardamome-fruit-entier-bio?_pos=1&amp;_sid=0d54a836c&amp;_ss=r" TargetMode="External"/><Relationship Id="rId31" Type="http://schemas.openxmlformats.org/officeDocument/2006/relationships/hyperlink" Target="https://www.pharma5avenue.com/blog/mode-de-production-du-curcuma-longa-n63" TargetMode="External"/><Relationship Id="rId4" Type="http://schemas.openxmlformats.org/officeDocument/2006/relationships/hyperlink" Target="https://www.googleadservices.com/pagead/aclk?sa=L&amp;ai=DChcSEwichuSekfSEAxVyQUECHat2BNwYABAMGgJ3cw&amp;ase=2&amp;gclid=Cj0KCQjwwMqvBhCtARIsAIXsZpZmpmc8fHRm_JGzy1Gmr0JI0grkfyuAV2XraPO2cYJ_I7mDJZoaepwaAlFBEALw_wcB&amp;ohost=www.google.com&amp;cid=CAESV-D2fcXVl2hyBhRmKKHyR9Mar6Ywa7Gxq7dChedDWqueLOlHIrSO08ZTbW6I8tjACgEP8JedobbYSxK8ul5eMEPhhJEPba-FfAwg293CrvZFTOWQMeyZvg&amp;sig=AOD64_00twfFYjSyymtiLPJAcag4fPwi1w&amp;ctype=5&amp;q=&amp;nis=4&amp;ved=2ahUKEwjQud6ekfSEAxVXU6QEHZs-CdUQ9aACKAB6BAgEEBM&amp;adurl=" TargetMode="External"/><Relationship Id="rId9" Type="http://schemas.openxmlformats.org/officeDocument/2006/relationships/hyperlink" Target="https://www.apiculture.net/sirop/7606-palette-sucre-de-canne-biologique-1080kg-alimentaire-54x20kg.html?kk=a4c626f-18e411b23ef-a3fee&amp;kgclid=CjwKCAjw48-vBhBbEiwAzqrZVI_0Pn7Eoe7X5_JvZvbTWxkK5E4ji2yIrkTdaQkY6n_lq79bD6I5HBoCb08QAvD_BwE&amp;utm_source=kelkoofr&amp;utm_medium=cpc&amp;utm_campaign=kelkooclick&amp;utm_term=Apiculture.net+-+Mat%C3%A9riel+apicole+fran%C3%A7a" TargetMode="External"/><Relationship Id="rId14" Type="http://schemas.openxmlformats.org/officeDocument/2006/relationships/hyperlink" Target="https://thesdirect.com/products/coriandre-graine-entiere-bio-origine-france?variant=46717581754710" TargetMode="External"/><Relationship Id="rId22" Type="http://schemas.openxmlformats.org/officeDocument/2006/relationships/hyperlink" Target="https://thesdirect.com/products/graine-de-fenugrec-bio-en-vrac?_pos=1&amp;_sid=e3b571ae1&amp;_ss=r" TargetMode="External"/><Relationship Id="rId27" Type="http://schemas.openxmlformats.org/officeDocument/2006/relationships/hyperlink" Target="https://www.etsy.com/fr/listing/897347569/tisane-en-vrac-helichrysum-immortelle" TargetMode="External"/><Relationship Id="rId30" Type="http://schemas.openxmlformats.org/officeDocument/2006/relationships/hyperlink" Target="https://www.capsicums.fr/piments/piment-mexicain-ancho-entier/" TargetMode="External"/><Relationship Id="rId35" Type="http://schemas.openxmlformats.org/officeDocument/2006/relationships/hyperlink" Target="https://occitanie.chambre-agriculture.fr/fileadmin/user_upload/Occitanie/076_Inst-Occitanie/Documents/Productions_techniques/Agriculture_biologique/Espace_ressource_bio/Maraichage_bio/ITK-LR-PoivronVenteDirecte.pdf" TargetMode="External"/><Relationship Id="rId8" Type="http://schemas.openxmlformats.org/officeDocument/2006/relationships/hyperlink" Target="https://www.autourduriz.com/sauces-asiatiques-vrac/332-shoyu-sauce-soja-5-l-3760275573025.html" TargetMode="External"/><Relationship Id="rId3" Type="http://schemas.openxmlformats.org/officeDocument/2006/relationships/hyperlink" Target="https://vracbio.com/products/badiane-anis-etoile-bio-en-vrac?variant=31584511361139&amp;currency=EUR&amp;utm_medium=product_sync&amp;utm_source=google&amp;utm_content=sag_organic&amp;utm_campaign=sag_organic&amp;utm_campaign=gs-2020-05-12&amp;utm_source=google&amp;utm_medium=smart_campaign&amp;gad_source=1&amp;gclid=Cj0KCQjwwMqvBhCtARIsAIXsZpbzhzDINtZH-k_NigcEf1sWrPuGZLuWxNXCpnF2Jb13CK9238FySTMaAgwfEALw_wcB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5" Type="http://schemas.openxmlformats.org/officeDocument/2006/relationships/table" Target="../tables/table4.xml"/><Relationship Id="rId4" Type="http://schemas.openxmlformats.org/officeDocument/2006/relationships/ctrlProp" Target="../ctrlProps/ctrlProp3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outeilles-et-bocaux.com/verrine-haute-350-ml-col-twist-off-to-82-100036140" TargetMode="External"/><Relationship Id="rId13" Type="http://schemas.openxmlformats.org/officeDocument/2006/relationships/hyperlink" Target="https://www.bouteilles-et-bocaux.com/bocal-cylindrique-haut-212-ml-col-twist-off-to-53-100012480" TargetMode="External"/><Relationship Id="rId3" Type="http://schemas.openxmlformats.org/officeDocument/2006/relationships/hyperlink" Target="https://www.packari.com/fr/Produits/Flacons-en-verre-col-large/Flacons-en-verre-brun-sans-fermeture/Flacon-comprim-s-en-verre-marron-col-large-100-ml-38-400-sans-bouchon.html" TargetMode="External"/><Relationship Id="rId7" Type="http://schemas.openxmlformats.org/officeDocument/2006/relationships/hyperlink" Target="https://www.bouteilles-et-bocaux.com/pot-en-gres-270-ml-ceramique-blanc-col-couvercle-cloche-100035660?referralCode=344f636f14874df59416c60d47218b06&amp;utm_medium=sea&amp;utm_source=google&amp;gad_source=1&amp;gclid=CjwKCAiAopuvBhBCEiwAm8jaMYLe7_a0mGr35npPhJKfVuzxK0lpcyfagab4K3pMzvBsxnSqC3GYDhoCgu0QAvD_BwE" TargetMode="External"/><Relationship Id="rId12" Type="http://schemas.openxmlformats.org/officeDocument/2006/relationships/hyperlink" Target="https://www.bouteilles-et-bocaux.com/bocal-cylindrique-262-ml-monza-col-deep-twist-off-dto-82-100033050" TargetMode="External"/><Relationship Id="rId2" Type="http://schemas.openxmlformats.org/officeDocument/2006/relationships/hyperlink" Target="https://www.packari.com/fr/Produits/Flacons-en-verre-col-large/Flacons-en-verre-brun-sans-fermeture/Flacon-comprim-s-en-verre-marron-col-large-100-ml-38-400-sans-bouchon.html" TargetMode="External"/><Relationship Id="rId1" Type="http://schemas.openxmlformats.org/officeDocument/2006/relationships/hyperlink" Target="https://www.bouteilles-et-bocaux.com/bouchon-pour-pot-a-epices-distributeur-plastique-pp-rouge-pour-col-gpi-38-400-100000230?referralCode=344f636f14874df59416c60d47218b06&amp;utm_medium=sea&amp;utm_source=google&amp;gad_source=1&amp;gclid=CjwKCAiAopuvBhBCEiwAm8jaMRvkyaCkj4LfwgUmeOXFwEVybp5GM9cMjo6i2XXHdi_SmUDOQN4bRRoCVVAQAvD_BwE" TargetMode="External"/><Relationship Id="rId6" Type="http://schemas.openxmlformats.org/officeDocument/2006/relationships/hyperlink" Target="https://www.bouteilles-et-bocaux.com/bouteille-en-verre-100-ml-tulipano-col-liege-100018170?referralCode=344f636f14874df59416c60d47218b06&amp;utm_medium=sea&amp;utm_source=google&amp;gad_source=1&amp;gclid=CjwKCAiAopuvBhBCEiwAm8jaMTskXVOIzZ5rIxKF0pqFc9jqHsHuFuUd6kJ7IRF1_elI1heMCZJ8WxoCAGwQAvD_BwE" TargetMode="External"/><Relationship Id="rId11" Type="http://schemas.openxmlformats.org/officeDocument/2006/relationships/hyperlink" Target="https://www.bouteilles-et-bocaux.com/bocal-cylindrique-haut-212-ml-col-twist-off-to-53-100012480" TargetMode="External"/><Relationship Id="rId5" Type="http://schemas.openxmlformats.org/officeDocument/2006/relationships/hyperlink" Target="https://www.bouteilles-et-bocaux.com/bouteille-de-vinaigre-d-huile-250-ml-oleum-verre-vert-antique-col-dop-100034870?referralCode=344f636f14874df59416c60d47218b06&amp;utm_medium=sea&amp;utm_source=google&amp;gad_source=1&amp;gclid=CjwKCAiAopuvBhBCEiwAm8jaMeaR3q1S8hCLAwRtq5MXdAumMc4tNe8kzahJPqJxkQvjUHB9PdyHrRoCIKIQAvD_BwE" TargetMode="External"/><Relationship Id="rId15" Type="http://schemas.openxmlformats.org/officeDocument/2006/relationships/table" Target="../tables/table5.xml"/><Relationship Id="rId10" Type="http://schemas.openxmlformats.org/officeDocument/2006/relationships/hyperlink" Target="https://www.bouteilles-et-bocaux.com/seau-2-5-l-plastique-pp-blanc-100015070?referralCode=344f636f14874df59416c60d47218b06&amp;configurator=%255B%257B%2522productId%2522%253A%25220nolid%2522%252C%2522groupId%2522%253A%25220%2522%257D%252C%257B%2522productId%2522%253A%25221nolid%2522%252C%2522groupId%2522%253A%25221%2522%257D%255D&amp;utm_medium=sea&amp;utm_source=google&amp;galt=Cj0KCQjwlZixBhCoARIsAIC745BA22oQIFzXcivfuWmhgVWGHKmhHv_wy2W8_eDHTHF86yHAjltRI4MaAmbVEALw_wcB&amp;gad_source=1&amp;gclid=Cj0KCQjwlZixBhCoARIsAIC745BA22oQIFzXcivfuWmhgVWGHKmhHv_wy2W8_eDHTHF86yHAjltRI4MaAmbVEALw_wcB" TargetMode="External"/><Relationship Id="rId4" Type="http://schemas.openxmlformats.org/officeDocument/2006/relationships/hyperlink" Target="https://www.bouteilles-et-bocaux.com/bouchon-pour-pot-a-epices-moulin-plastique-pp-noir-pour-col-gpi-38-400-100000220" TargetMode="External"/><Relationship Id="rId9" Type="http://schemas.openxmlformats.org/officeDocument/2006/relationships/hyperlink" Target="https://www.berlinpackaging.eu/fr/81/bouteilles-huile-d-olive/11010/bouteille-alex--olio-250-ml-bg-a-vis" TargetMode="External"/><Relationship Id="rId14" Type="http://schemas.openxmlformats.org/officeDocument/2006/relationships/hyperlink" Target="https://de.aliexpress.com/item/1005005532498174.html1007.40000.327270.0&amp;scm-url=1007.40000.327270.0&amp;pvid=d7f30d2d-9c81-4a76-abd9-d1b5dab0f6ac&amp;_t=gps-id:pcDetailTopMoreOtherSeller,scm-url:1007.40000.327270.0,pvid:d7f30d2d-9c81-4a76-abd9-d1b5dab0f6ac,tpp_buckets:668%232846%238115%232000&amp;pdp_npi=4%40dis%21EUR%215.38%211.88%21%21%2141.12%2114.39%21%402103890117096883118564836e954f%2112000033437633735%21rec%21FR%212461724979%21&amp;utparam-url=scene%3ApcDetailTopMoreOtherSeller%7Cquery_from%3A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9B591-C921-D94C-804C-829B84E90DC6}">
  <sheetPr codeName="Feuil2"/>
  <dimension ref="A1:BN71"/>
  <sheetViews>
    <sheetView zoomScale="144" workbookViewId="0">
      <pane ySplit="1" topLeftCell="A19" activePane="bottomLeft" state="frozen"/>
      <selection pane="bottomLeft" activeCell="G8" sqref="G8"/>
    </sheetView>
  </sheetViews>
  <sheetFormatPr baseColWidth="10" defaultColWidth="11" defaultRowHeight="16"/>
  <cols>
    <col min="1" max="1" width="26.6640625" bestFit="1" customWidth="1"/>
    <col min="2" max="2" width="24.83203125" bestFit="1" customWidth="1"/>
    <col min="3" max="3" width="10" bestFit="1" customWidth="1"/>
    <col min="4" max="4" width="5.33203125" customWidth="1"/>
    <col min="5" max="5" width="19.83203125" customWidth="1"/>
    <col min="6" max="6" width="5.6640625" customWidth="1"/>
    <col min="7" max="7" width="10.5" customWidth="1"/>
    <col min="9" max="10" width="7.6640625" customWidth="1"/>
    <col min="11" max="11" width="6" customWidth="1"/>
    <col min="12" max="12" width="6.33203125" customWidth="1"/>
    <col min="13" max="13" width="8.5" customWidth="1"/>
    <col min="14" max="14" width="7" customWidth="1"/>
    <col min="15" max="15" width="4.1640625" customWidth="1"/>
    <col min="16" max="16" width="4.5" customWidth="1"/>
    <col min="17" max="17" width="5.6640625" customWidth="1"/>
    <col min="18" max="18" width="11.5" customWidth="1"/>
    <col min="19" max="19" width="8.1640625" customWidth="1"/>
    <col min="20" max="20" width="7" customWidth="1"/>
    <col min="21" max="22" width="4" customWidth="1"/>
    <col min="23" max="23" width="4.5" customWidth="1"/>
    <col min="24" max="24" width="8.83203125" customWidth="1"/>
    <col min="25" max="26" width="7" customWidth="1"/>
    <col min="27" max="28" width="4" customWidth="1"/>
    <col min="29" max="29" width="4.5" customWidth="1"/>
    <col min="30" max="30" width="8.83203125" customWidth="1"/>
    <col min="31" max="32" width="7" customWidth="1"/>
    <col min="33" max="34" width="4" customWidth="1"/>
    <col min="35" max="35" width="4.5" customWidth="1"/>
    <col min="36" max="36" width="8.83203125" customWidth="1"/>
    <col min="37" max="38" width="7" customWidth="1"/>
    <col min="39" max="40" width="4" customWidth="1"/>
    <col min="41" max="41" width="4.5" customWidth="1"/>
    <col min="42" max="42" width="8.83203125" customWidth="1"/>
    <col min="43" max="44" width="7" customWidth="1"/>
    <col min="45" max="46" width="4" customWidth="1"/>
    <col min="47" max="47" width="4.5" customWidth="1"/>
    <col min="48" max="48" width="8.83203125" customWidth="1"/>
    <col min="49" max="50" width="7" customWidth="1"/>
    <col min="51" max="52" width="4" customWidth="1"/>
    <col min="53" max="53" width="4.5" customWidth="1"/>
    <col min="54" max="54" width="8.83203125" customWidth="1"/>
    <col min="55" max="56" width="7" customWidth="1"/>
    <col min="57" max="58" width="4" customWidth="1"/>
    <col min="59" max="59" width="4.5" customWidth="1"/>
    <col min="60" max="60" width="8.83203125" customWidth="1"/>
    <col min="61" max="62" width="7" customWidth="1"/>
    <col min="63" max="64" width="4" customWidth="1"/>
    <col min="65" max="65" width="4.5" customWidth="1"/>
    <col min="66" max="66" width="8.83203125" customWidth="1"/>
  </cols>
  <sheetData>
    <row r="1" spans="1:66" s="5" customFormat="1" ht="142" customHeight="1">
      <c r="A1" s="12" t="s">
        <v>0</v>
      </c>
      <c r="B1" s="12" t="s">
        <v>1</v>
      </c>
      <c r="C1" s="10" t="s">
        <v>2</v>
      </c>
      <c r="D1" s="10" t="s">
        <v>672</v>
      </c>
      <c r="E1" s="8" t="s">
        <v>3</v>
      </c>
      <c r="F1" s="9" t="s">
        <v>673</v>
      </c>
      <c r="G1" s="604" t="s">
        <v>4</v>
      </c>
      <c r="H1" s="563" t="s">
        <v>5</v>
      </c>
      <c r="I1" s="562" t="s">
        <v>6</v>
      </c>
      <c r="J1" s="18" t="s">
        <v>7</v>
      </c>
      <c r="K1" s="17" t="s">
        <v>8</v>
      </c>
      <c r="L1" s="570" t="s">
        <v>9</v>
      </c>
      <c r="M1" s="640" t="s">
        <v>674</v>
      </c>
      <c r="N1" s="454" t="s">
        <v>669</v>
      </c>
      <c r="O1" s="28" t="s">
        <v>10</v>
      </c>
      <c r="P1" s="28" t="s">
        <v>11</v>
      </c>
      <c r="Q1" s="28" t="s">
        <v>12</v>
      </c>
      <c r="R1" s="29" t="s">
        <v>13</v>
      </c>
      <c r="S1" s="31" t="s">
        <v>675</v>
      </c>
      <c r="T1" s="451" t="s">
        <v>14</v>
      </c>
      <c r="U1" s="45" t="s">
        <v>15</v>
      </c>
      <c r="V1" s="45" t="s">
        <v>676</v>
      </c>
      <c r="W1" s="45" t="s">
        <v>16</v>
      </c>
      <c r="X1" s="39" t="s">
        <v>17</v>
      </c>
      <c r="Y1" s="32" t="s">
        <v>677</v>
      </c>
      <c r="Z1" s="455" t="s">
        <v>18</v>
      </c>
      <c r="AA1" s="46" t="s">
        <v>19</v>
      </c>
      <c r="AB1" s="46" t="s">
        <v>678</v>
      </c>
      <c r="AC1" s="46" t="s">
        <v>20</v>
      </c>
      <c r="AD1" s="40" t="s">
        <v>21</v>
      </c>
      <c r="AE1" s="33" t="s">
        <v>679</v>
      </c>
      <c r="AF1" s="457" t="s">
        <v>22</v>
      </c>
      <c r="AG1" s="47" t="s">
        <v>23</v>
      </c>
      <c r="AH1" s="47" t="s">
        <v>680</v>
      </c>
      <c r="AI1" s="47" t="s">
        <v>24</v>
      </c>
      <c r="AJ1" s="41" t="s">
        <v>25</v>
      </c>
      <c r="AK1" s="34" t="s">
        <v>681</v>
      </c>
      <c r="AL1" s="459" t="s">
        <v>26</v>
      </c>
      <c r="AM1" s="48" t="s">
        <v>27</v>
      </c>
      <c r="AN1" s="48" t="s">
        <v>682</v>
      </c>
      <c r="AO1" s="48" t="s">
        <v>28</v>
      </c>
      <c r="AP1" s="42" t="s">
        <v>29</v>
      </c>
      <c r="AQ1" s="35" t="s">
        <v>683</v>
      </c>
      <c r="AR1" s="461" t="s">
        <v>30</v>
      </c>
      <c r="AS1" s="49" t="s">
        <v>31</v>
      </c>
      <c r="AT1" s="49" t="s">
        <v>684</v>
      </c>
      <c r="AU1" s="49" t="s">
        <v>32</v>
      </c>
      <c r="AV1" s="43" t="s">
        <v>33</v>
      </c>
      <c r="AW1" s="30" t="s">
        <v>685</v>
      </c>
      <c r="AX1" s="463" t="s">
        <v>34</v>
      </c>
      <c r="AY1" s="50" t="s">
        <v>35</v>
      </c>
      <c r="AZ1" s="50" t="s">
        <v>686</v>
      </c>
      <c r="BA1" s="50" t="s">
        <v>36</v>
      </c>
      <c r="BB1" s="44" t="s">
        <v>37</v>
      </c>
      <c r="BC1" s="36" t="s">
        <v>687</v>
      </c>
      <c r="BD1" s="464" t="s">
        <v>38</v>
      </c>
      <c r="BE1" s="51" t="s">
        <v>39</v>
      </c>
      <c r="BF1" s="51" t="s">
        <v>688</v>
      </c>
      <c r="BG1" s="51" t="s">
        <v>40</v>
      </c>
      <c r="BH1" s="37" t="s">
        <v>41</v>
      </c>
      <c r="BI1" s="53" t="s">
        <v>689</v>
      </c>
      <c r="BJ1" s="466" t="s">
        <v>42</v>
      </c>
      <c r="BK1" s="52" t="s">
        <v>43</v>
      </c>
      <c r="BL1" s="52" t="s">
        <v>690</v>
      </c>
      <c r="BM1" s="52" t="s">
        <v>44</v>
      </c>
      <c r="BN1" s="38" t="s">
        <v>45</v>
      </c>
    </row>
    <row r="2" spans="1:66">
      <c r="A2" s="13" t="s">
        <v>46</v>
      </c>
      <c r="B2" s="54" t="str">
        <f>TableauProduit[[#This Row],[Recette]]&amp;TableauProduit[[#This Row],[Conditionnement]]</f>
        <v>Herbe de provenceEpice 200ml</v>
      </c>
      <c r="C2" s="11">
        <v>1</v>
      </c>
      <c r="D2" s="11">
        <v>80</v>
      </c>
      <c r="E2" s="6" t="s">
        <v>47</v>
      </c>
      <c r="F2" s="7">
        <f>IFERROR(VLOOKUP(TableauProduit[[#This Row],[Conditionnement]],TableauConditionnement[[Nom]:[Contenance]],4,TRUE),"")</f>
        <v>0.66</v>
      </c>
      <c r="G2" s="627">
        <f>SUMIFS(TableauRecette[Prix d''achat / kg],TableauRecette[Recette],TableauProduit[[#This Row],[Recette]],TableauRecette[Conditionnement],TableauProduit[[#This Row],[Conditionnement]])</f>
        <v>0</v>
      </c>
      <c r="H2" s="628">
        <v>7.5</v>
      </c>
      <c r="I2" s="629">
        <f>1000*TableauProduit[[#This Row],[Prix de vente/U]]/TableauProduit[[#This Row],[Poids (g) / unite]]</f>
        <v>93.75</v>
      </c>
      <c r="J2" s="630">
        <f>SUMIFS(TableauConcurence[PRIX_KG],TableauConcurence[PRODUIT],TableauProduit[[#This Row],[Recette]],TableauConcurence[DISTRIBUTION],"magasin NON BIO")</f>
        <v>75.599999999999994</v>
      </c>
      <c r="K2" s="631">
        <f>SUMIFS(TableauConcurence[PRIX_KG],TableauConcurence[PRODUIT],TableauProduit[[#This Row],[Recette]],TableauConcurence[DISTRIBUTION],"magasin BIO")</f>
        <v>139.5</v>
      </c>
      <c r="L2" s="632">
        <f>SUMIFS(TableauConcurence[PRIX_KG],TableauConcurence[PRODUIT],TableauProduit[[#This Row],[Recette]],TableauConcurence[DISTRIBUTION],"artisanale BIO")</f>
        <v>168</v>
      </c>
      <c r="M2" s="564">
        <v>500</v>
      </c>
      <c r="N2" s="450">
        <f>TableauProduit[[#This Row],[Poids (g) / unite]]*TableauProduit[[#This Row],[Objectif de vente en unite N1]]/1000</f>
        <v>40</v>
      </c>
      <c r="O2" s="579">
        <f>TableauProduit[[#This Row],[Objectif de vente en unite N1]]*TableauProduit[[#This Row],[Packaging / unite]]</f>
        <v>330</v>
      </c>
      <c r="P2" s="579">
        <f t="shared" ref="P2:P32" si="0">G2</f>
        <v>0</v>
      </c>
      <c r="Q2" s="579">
        <f>TableauProduit[[#This Row],[Prix de vente/kg]]*TableauProduit[[#This Row],[Total (kg) N1]]</f>
        <v>3750</v>
      </c>
      <c r="R2" s="582">
        <f>TableauProduit[[#This Row],[Revenue brut N1]]-TableauProduit[[#This Row],[Conditionnement N1]]</f>
        <v>3420</v>
      </c>
      <c r="S2" s="453">
        <v>1000</v>
      </c>
      <c r="T2" s="452">
        <f>TableauProduit[[#This Row],[Poids (g) / unite]]*TableauProduit[[#This Row],[Objectif de vente en unite N1]]/1000</f>
        <v>40</v>
      </c>
      <c r="U2" s="571">
        <f>TableauProduit[[#This Row],[Objectif de vente en unite N1]]*TableauProduit[[#This Row],[Packaging / unite]]</f>
        <v>330</v>
      </c>
      <c r="V2" s="571">
        <f>TableauProduit[[#This Row],[Prix Achat de plante par kg]]*TableauProduit[[#This Row],[Total (kg) N1]]</f>
        <v>0</v>
      </c>
      <c r="W2" s="571">
        <f>TableauProduit[[#This Row],[Prix de vente/kg]]*TableauProduit[[#This Row],[Total (kg) N1]]</f>
        <v>3750</v>
      </c>
      <c r="X2" s="565">
        <f>TableauProduit[[#This Row],[Revenue brut N1]]-TableauProduit[[#This Row],[Achat par kg N1]]-TableauProduit[[#This Row],[Conditionnement N1]]</f>
        <v>3420</v>
      </c>
      <c r="Y2" s="566">
        <v>2400</v>
      </c>
      <c r="Z2" s="456">
        <f>TableauProduit[[#This Row],[Poids (g) / unite]]*TableauProduit[[#This Row],[Objectif de vente en unite N1]]/1000</f>
        <v>40</v>
      </c>
      <c r="AA2" s="574">
        <f>TableauProduit[[#This Row],[Objectif de vente en unite N1]]*TableauProduit[[#This Row],[Packaging / unite]]</f>
        <v>330</v>
      </c>
      <c r="AB2" s="574">
        <f>TableauProduit[[#This Row],[Prix Achat de plante par kg]]*TableauProduit[[#This Row],[Total (kg) N1]]</f>
        <v>0</v>
      </c>
      <c r="AC2" s="574">
        <f>TableauProduit[[#This Row],[Prix de vente/kg]]*TableauProduit[[#This Row],[Total (kg) N1]]</f>
        <v>3750</v>
      </c>
      <c r="AD2" s="583">
        <f>TableauProduit[[#This Row],[Revenue brut N1]]-TableauProduit[[#This Row],[Achat par kg N1]]-TableauProduit[[#This Row],[Conditionnement N1]]</f>
        <v>3420</v>
      </c>
      <c r="AE2" s="458">
        <v>2400</v>
      </c>
      <c r="AF2" s="458">
        <f>TableauProduit[[#This Row],[Poids (g) / unite]]*TableauProduit[[#This Row],[Objectif de vente en unite N1]]/1000</f>
        <v>40</v>
      </c>
      <c r="AG2" s="577">
        <f>TableauProduit[[#This Row],[Objectif de vente en unite N1]]*TableauProduit[[#This Row],[Packaging / unite]]</f>
        <v>330</v>
      </c>
      <c r="AH2" s="577">
        <f>TableauProduit[[#This Row],[Prix Achat de plante par kg]]*TableauProduit[[#This Row],[Total (kg) N1]]</f>
        <v>0</v>
      </c>
      <c r="AI2" s="577">
        <f>TableauProduit[[#This Row],[Prix de vente/kg]]*TableauProduit[[#This Row],[Total (kg) N1]]</f>
        <v>3750</v>
      </c>
      <c r="AJ2" s="458">
        <f>TableauProduit[[#This Row],[Revenue brut N1]]-TableauProduit[[#This Row],[Achat par kg N1]]-TableauProduit[[#This Row],[Conditionnement N1]]</f>
        <v>3420</v>
      </c>
      <c r="AK2" s="460">
        <v>2400</v>
      </c>
      <c r="AL2" s="460">
        <f>TableauProduit[[#This Row],[Poids (g) / unite]]*TableauProduit[[#This Row],[Objectif de vente en unite N1]]/1000</f>
        <v>40</v>
      </c>
      <c r="AM2" s="584">
        <f>TableauProduit[[#This Row],[Objectif de vente en unite N1]]*TableauProduit[[#This Row],[Packaging / unite]]</f>
        <v>330</v>
      </c>
      <c r="AN2" s="584">
        <f>TableauProduit[[#This Row],[Prix Achat de plante par kg]]*TableauProduit[[#This Row],[Total (kg) N1]]</f>
        <v>0</v>
      </c>
      <c r="AO2" s="584">
        <f>TableauProduit[[#This Row],[Prix de vente/kg]]*TableauProduit[[#This Row],[Total (kg) N1]]</f>
        <v>3750</v>
      </c>
      <c r="AP2" s="460">
        <f>TableauProduit[[#This Row],[Revenue brut N1]]-TableauProduit[[#This Row],[Achat par kg N1]]-TableauProduit[[#This Row],[Conditionnement N1]]</f>
        <v>3420</v>
      </c>
      <c r="AQ2" s="462">
        <v>2400</v>
      </c>
      <c r="AR2" s="462">
        <f>TableauProduit[[#This Row],[Poids (g) / unite]]*TableauProduit[[#This Row],[Objectif de vente en unite N1]]/1000</f>
        <v>40</v>
      </c>
      <c r="AS2" s="585">
        <f>TableauProduit[[#This Row],[Objectif de vente en unite N1]]*TableauProduit[[#This Row],[Packaging / unite]]</f>
        <v>330</v>
      </c>
      <c r="AT2" s="585">
        <f>TableauProduit[[#This Row],[Prix Achat de plante par kg]]*TableauProduit[[#This Row],[Total (kg) N1]]</f>
        <v>0</v>
      </c>
      <c r="AU2" s="585">
        <f>TableauProduit[[#This Row],[Prix de vente/kg]]*TableauProduit[[#This Row],[Total (kg) N1]]</f>
        <v>3750</v>
      </c>
      <c r="AV2" s="462">
        <f>TableauProduit[[#This Row],[Revenue brut N1]]-TableauProduit[[#This Row],[Achat par kg N1]]-TableauProduit[[#This Row],[Conditionnement N1]]</f>
        <v>3420</v>
      </c>
      <c r="AW2" s="450">
        <v>2400</v>
      </c>
      <c r="AX2" s="450">
        <f>TableauProduit[[#This Row],[Poids (g) / unite]]*TableauProduit[[#This Row],[Objectif de vente en unite N1]]/1000</f>
        <v>40</v>
      </c>
      <c r="AY2" s="579">
        <f>TableauProduit[[#This Row],[Objectif de vente en unite N1]]*TableauProduit[[#This Row],[Packaging / unite]]</f>
        <v>330</v>
      </c>
      <c r="AZ2" s="579">
        <f>TableauProduit[[#This Row],[Prix Achat de plante par kg]]*TableauProduit[[#This Row],[Total (kg) N1]]</f>
        <v>0</v>
      </c>
      <c r="BA2" s="579">
        <f>TableauProduit[[#This Row],[Prix de vente/kg]]*TableauProduit[[#This Row],[Total (kg) N1]]</f>
        <v>3750</v>
      </c>
      <c r="BB2" s="586">
        <f>TableauProduit[[#This Row],[Revenue brut N1]]-TableauProduit[[#This Row],[Achat par kg N1]]-TableauProduit[[#This Row],[Conditionnement N1]]</f>
        <v>3420</v>
      </c>
      <c r="BC2" s="568">
        <v>2400</v>
      </c>
      <c r="BD2" s="465">
        <f>TableauProduit[[#This Row],[Poids (g) / unite]]*TableauProduit[[#This Row],[Objectif de vente en unite N1]]/1000</f>
        <v>40</v>
      </c>
      <c r="BE2" s="587">
        <f>TableauProduit[[#This Row],[Objectif de vente en unite N1]]*TableauProduit[[#This Row],[Packaging / unite]]</f>
        <v>330</v>
      </c>
      <c r="BF2" s="587">
        <f>TableauProduit[[#This Row],[Prix Achat de plante par kg]]*TableauProduit[[#This Row],[Total (kg) N1]]</f>
        <v>0</v>
      </c>
      <c r="BG2" s="587">
        <f>TableauProduit[[#This Row],[Prix de vente/kg]]*TableauProduit[[#This Row],[Total (kg) N1]]</f>
        <v>3750</v>
      </c>
      <c r="BH2" s="588">
        <f>TableauProduit[[#This Row],[Revenue brut N1]]-TableauProduit[[#This Row],[Achat par kg N1]]-TableauProduit[[#This Row],[Conditionnement N1]]</f>
        <v>3420</v>
      </c>
      <c r="BI2" s="520">
        <v>2400</v>
      </c>
      <c r="BJ2" s="467">
        <f>TableauProduit[[#This Row],[Poids (g) / unite]]*TableauProduit[[#This Row],[Objectif de vente en unite N1]]/1000</f>
        <v>40</v>
      </c>
      <c r="BK2" s="589">
        <f>TableauProduit[[#This Row],[Objectif de vente en unite N1]]*TableauProduit[[#This Row],[Packaging / unite]]</f>
        <v>330</v>
      </c>
      <c r="BL2" s="589">
        <f>TableauProduit[[#This Row],[Prix Achat de plante par kg]]*TableauProduit[[#This Row],[Total (kg) N1]]</f>
        <v>0</v>
      </c>
      <c r="BM2" s="589">
        <f>TableauProduit[[#This Row],[Prix de vente/kg]]*TableauProduit[[#This Row],[Total (kg) N1]]</f>
        <v>3750</v>
      </c>
      <c r="BN2" s="467">
        <f>TableauProduit[[#This Row],[Revenue brut N1]]-TableauProduit[[#This Row],[Achat par kg N1]]-TableauProduit[[#This Row],[Conditionnement N1]]</f>
        <v>3420</v>
      </c>
    </row>
    <row r="3" spans="1:66">
      <c r="A3" s="13" t="s">
        <v>48</v>
      </c>
      <c r="B3" s="54" t="str">
        <f>TableauProduit[[#This Row],[Recette]]&amp;TableauProduit[[#This Row],[Conditionnement]]</f>
        <v>Moutarde à l'ancienneMoutarde verre 265 ml</v>
      </c>
      <c r="C3" s="11">
        <v>1</v>
      </c>
      <c r="D3" s="11">
        <v>250</v>
      </c>
      <c r="E3" s="6" t="s">
        <v>49</v>
      </c>
      <c r="F3" s="7">
        <f>IFERROR(VLOOKUP(TableauProduit[[#This Row],[Conditionnement]],TableauConditionnement[[Nom]:[Contenance]],4,TRUE),"")</f>
        <v>0.74</v>
      </c>
      <c r="G3" s="627">
        <f>SUMIFS(TableauRecette[Prix d''achat / kg],TableauRecette[Recette],TableauProduit[[#This Row],[Recette]],TableauRecette[Conditionnement],TableauProduit[[#This Row],[Conditionnement]])</f>
        <v>0</v>
      </c>
      <c r="H3" s="633">
        <v>5</v>
      </c>
      <c r="I3" s="629">
        <f>1000*TableauProduit[[#This Row],[Prix de vente/U]]/TableauProduit[[#This Row],[Poids (g) / unite]]</f>
        <v>20</v>
      </c>
      <c r="J3" s="630">
        <f>SUMIFS(TableauConcurence[PRIX_KG],TableauConcurence[PRODUIT],TableauProduit[[#This Row],[Recette]],TableauConcurence[DISTRIBUTION],"magasin NON BIO")</f>
        <v>5.81</v>
      </c>
      <c r="K3" s="631">
        <f>SUMIFS(TableauConcurence[PRIX_KG],TableauConcurence[PRODUIT],TableauProduit[[#This Row],[Recette]],TableauConcurence[DISTRIBUTION],"magasin BIO")</f>
        <v>18.25</v>
      </c>
      <c r="L3" s="632">
        <f>SUMIFS(TableauConcurence[PRIX_KG],TableauConcurence[PRODUIT],TableauProduit[[#This Row],[Recette]],TableauConcurence[DISTRIBUTION],"artisanale BIO")</f>
        <v>29.500000000000004</v>
      </c>
      <c r="M3" s="564">
        <v>500</v>
      </c>
      <c r="N3" s="450">
        <f>TableauProduit[[#This Row],[Poids (g) / unite]]*TableauProduit[[#This Row],[Objectif de vente en unite N1]]/1000</f>
        <v>125</v>
      </c>
      <c r="O3" s="579">
        <f>TableauProduit[[#This Row],[Objectif de vente en unite N1]]*TableauProduit[[#This Row],[Packaging / unite]]</f>
        <v>370</v>
      </c>
      <c r="P3" s="579">
        <f t="shared" si="0"/>
        <v>0</v>
      </c>
      <c r="Q3" s="579">
        <f>TableauProduit[[#This Row],[Prix de vente/kg]]*TableauProduit[[#This Row],[Total (kg) N1]]-TableauProduit[[#This Row],[Achat par kg N1]]</f>
        <v>2500</v>
      </c>
      <c r="R3" s="582">
        <f>TableauProduit[[#This Row],[Revenue brut N1]]-TableauProduit[[#This Row],[Conditionnement N1]]</f>
        <v>2130</v>
      </c>
      <c r="S3" s="453">
        <v>1000</v>
      </c>
      <c r="T3" s="513">
        <f>TableauProduit[[#This Row],[Poids (g) / unite]]*TableauProduit[[#This Row],[Objectif de vente en unite N1]]/1000</f>
        <v>125</v>
      </c>
      <c r="U3" s="572">
        <f>TableauProduit[[#This Row],[Objectif de vente en unite N1]]*TableauProduit[[#This Row],[Packaging / unite]]</f>
        <v>370</v>
      </c>
      <c r="V3" s="571">
        <f>TableauProduit[[#This Row],[Prix Achat de plante par kg]]*TableauProduit[[#This Row],[Total (kg) N1]]</f>
        <v>0</v>
      </c>
      <c r="W3" s="573">
        <f>TableauProduit[[#This Row],[Prix de vente/kg]]*TableauProduit[[#This Row],[Total (kg) N1]]</f>
        <v>2500</v>
      </c>
      <c r="X3" s="565">
        <f>TableauProduit[[#This Row],[Revenue brut N1]]-TableauProduit[[#This Row],[Achat par kg N1]]-TableauProduit[[#This Row],[Conditionnement N1]]</f>
        <v>2130</v>
      </c>
      <c r="Y3" s="566">
        <v>2400</v>
      </c>
      <c r="Z3" s="514">
        <f>TableauProduit[[#This Row],[Poids (g) / unite]]*TableauProduit[[#This Row],[Objectif de vente en unite N1]]/1000</f>
        <v>125</v>
      </c>
      <c r="AA3" s="575">
        <f>TableauProduit[[#This Row],[Objectif de vente en unite N1]]*TableauProduit[[#This Row],[Packaging / unite]]</f>
        <v>370</v>
      </c>
      <c r="AB3" s="574">
        <f>TableauProduit[[#This Row],[Prix Achat de plante par kg]]*TableauProduit[[#This Row],[Total (kg) N1]]</f>
        <v>0</v>
      </c>
      <c r="AC3" s="576">
        <f>TableauProduit[[#This Row],[Prix de vente/kg]]*TableauProduit[[#This Row],[Total (kg) N1]]</f>
        <v>2500</v>
      </c>
      <c r="AD3" s="583">
        <f>TableauProduit[[#This Row],[Revenue brut N1]]-TableauProduit[[#This Row],[Achat par kg N1]]-TableauProduit[[#This Row],[Conditionnement N1]]</f>
        <v>2130</v>
      </c>
      <c r="AE3" s="458">
        <v>2400</v>
      </c>
      <c r="AF3" s="515">
        <f>TableauProduit[[#This Row],[Poids (g) / unite]]*TableauProduit[[#This Row],[Objectif de vente en unite N1]]/1000</f>
        <v>125</v>
      </c>
      <c r="AG3" s="578">
        <f>TableauProduit[[#This Row],[Objectif de vente en unite N1]]*TableauProduit[[#This Row],[Packaging / unite]]</f>
        <v>370</v>
      </c>
      <c r="AH3" s="577">
        <f>TableauProduit[[#This Row],[Prix Achat de plante par kg]]*TableauProduit[[#This Row],[Total (kg) N1]]</f>
        <v>0</v>
      </c>
      <c r="AI3" s="590">
        <f>TableauProduit[[#This Row],[Prix de vente/kg]]*TableauProduit[[#This Row],[Total (kg) N1]]</f>
        <v>2500</v>
      </c>
      <c r="AJ3" s="591">
        <f>TableauProduit[[#This Row],[Revenue brut N1]]-TableauProduit[[#This Row],[Achat par kg N1]]-TableauProduit[[#This Row],[Conditionnement N1]]</f>
        <v>2130</v>
      </c>
      <c r="AK3" s="460">
        <v>2400</v>
      </c>
      <c r="AL3" s="516">
        <f>TableauProduit[[#This Row],[Poids (g) / unite]]*TableauProduit[[#This Row],[Objectif de vente en unite N1]]/1000</f>
        <v>125</v>
      </c>
      <c r="AM3" s="592">
        <f>TableauProduit[[#This Row],[Objectif de vente en unite N1]]*TableauProduit[[#This Row],[Packaging / unite]]</f>
        <v>370</v>
      </c>
      <c r="AN3" s="584">
        <f>TableauProduit[[#This Row],[Prix Achat de plante par kg]]*TableauProduit[[#This Row],[Total (kg) N1]]</f>
        <v>0</v>
      </c>
      <c r="AO3" s="593">
        <f>TableauProduit[[#This Row],[Prix de vente/kg]]*TableauProduit[[#This Row],[Total (kg) N1]]</f>
        <v>2500</v>
      </c>
      <c r="AP3" s="594">
        <f>TableauProduit[[#This Row],[Revenue brut N1]]-TableauProduit[[#This Row],[Achat par kg N1]]-TableauProduit[[#This Row],[Conditionnement N1]]</f>
        <v>2130</v>
      </c>
      <c r="AQ3" s="462">
        <v>2400</v>
      </c>
      <c r="AR3" s="517">
        <f>TableauProduit[[#This Row],[Poids (g) / unite]]*TableauProduit[[#This Row],[Objectif de vente en unite N1]]/1000</f>
        <v>125</v>
      </c>
      <c r="AS3" s="595">
        <f>TableauProduit[[#This Row],[Objectif de vente en unite N1]]*TableauProduit[[#This Row],[Packaging / unite]]</f>
        <v>370</v>
      </c>
      <c r="AT3" s="585">
        <f>TableauProduit[[#This Row],[Prix Achat de plante par kg]]*TableauProduit[[#This Row],[Total (kg) N1]]</f>
        <v>0</v>
      </c>
      <c r="AU3" s="596">
        <f>TableauProduit[[#This Row],[Prix de vente/kg]]*TableauProduit[[#This Row],[Total (kg) N1]]</f>
        <v>2500</v>
      </c>
      <c r="AV3" s="597">
        <f>TableauProduit[[#This Row],[Revenue brut N1]]-TableauProduit[[#This Row],[Achat par kg N1]]-TableauProduit[[#This Row],[Conditionnement N1]]</f>
        <v>2130</v>
      </c>
      <c r="AW3" s="450">
        <v>2400</v>
      </c>
      <c r="AX3" s="518">
        <f>TableauProduit[[#This Row],[Poids (g) / unite]]*TableauProduit[[#This Row],[Objectif de vente en unite N1]]/1000</f>
        <v>125</v>
      </c>
      <c r="AY3" s="580">
        <f>TableauProduit[[#This Row],[Objectif de vente en unite N1]]*TableauProduit[[#This Row],[Packaging / unite]]</f>
        <v>370</v>
      </c>
      <c r="AZ3" s="579">
        <f>TableauProduit[[#This Row],[Prix Achat de plante par kg]]*TableauProduit[[#This Row],[Total (kg) N1]]</f>
        <v>0</v>
      </c>
      <c r="BA3" s="581">
        <f>TableauProduit[[#This Row],[Prix de vente/kg]]*TableauProduit[[#This Row],[Total (kg) N1]]</f>
        <v>2500</v>
      </c>
      <c r="BB3" s="586">
        <f>TableauProduit[[#This Row],[Revenue brut N1]]-TableauProduit[[#This Row],[Achat par kg N1]]-TableauProduit[[#This Row],[Conditionnement N1]]</f>
        <v>2130</v>
      </c>
      <c r="BC3" s="568">
        <v>2400</v>
      </c>
      <c r="BD3" s="519">
        <f>TableauProduit[[#This Row],[Poids (g) / unite]]*TableauProduit[[#This Row],[Objectif de vente en unite N1]]/1000</f>
        <v>125</v>
      </c>
      <c r="BE3" s="598">
        <f>TableauProduit[[#This Row],[Objectif de vente en unite N1]]*TableauProduit[[#This Row],[Packaging / unite]]</f>
        <v>370</v>
      </c>
      <c r="BF3" s="587">
        <f>TableauProduit[[#This Row],[Prix Achat de plante par kg]]*TableauProduit[[#This Row],[Total (kg) N1]]</f>
        <v>0</v>
      </c>
      <c r="BG3" s="599">
        <f>TableauProduit[[#This Row],[Prix de vente/kg]]*TableauProduit[[#This Row],[Total (kg) N1]]</f>
        <v>2500</v>
      </c>
      <c r="BH3" s="600">
        <f>TableauProduit[[#This Row],[Revenue brut N1]]-TableauProduit[[#This Row],[Achat par kg N1]]-TableauProduit[[#This Row],[Conditionnement N1]]</f>
        <v>2130</v>
      </c>
      <c r="BI3" s="520">
        <v>2400</v>
      </c>
      <c r="BJ3" s="520">
        <f>TableauProduit[[#This Row],[Poids (g) / unite]]*TableauProduit[[#This Row],[Objectif de vente en unite N1]]/1000</f>
        <v>125</v>
      </c>
      <c r="BK3" s="601">
        <f>TableauProduit[[#This Row],[Objectif de vente en unite N1]]*TableauProduit[[#This Row],[Packaging / unite]]</f>
        <v>370</v>
      </c>
      <c r="BL3" s="589">
        <f>TableauProduit[[#This Row],[Prix Achat de plante par kg]]*TableauProduit[[#This Row],[Total (kg) N1]]</f>
        <v>0</v>
      </c>
      <c r="BM3" s="602">
        <f>TableauProduit[[#This Row],[Prix de vente/kg]]*TableauProduit[[#This Row],[Total (kg) N1]]</f>
        <v>2500</v>
      </c>
      <c r="BN3" s="467">
        <f>TableauProduit[[#This Row],[Revenue brut N1]]-TableauProduit[[#This Row],[Achat par kg N1]]-TableauProduit[[#This Row],[Conditionnement N1]]</f>
        <v>2130</v>
      </c>
    </row>
    <row r="4" spans="1:66">
      <c r="A4" s="13" t="s">
        <v>772</v>
      </c>
      <c r="B4" s="54" t="str">
        <f>TableauProduit[[#This Row],[Recette]]&amp;TableauProduit[[#This Row],[Conditionnement]]</f>
        <v>ChoucrouteSeau 2,5 l, plastique</v>
      </c>
      <c r="C4" s="11">
        <v>1</v>
      </c>
      <c r="D4" s="11">
        <v>1000</v>
      </c>
      <c r="E4" s="6" t="s">
        <v>446</v>
      </c>
      <c r="F4" s="7">
        <f>IFERROR(VLOOKUP(TableauProduit[[#This Row],[Conditionnement]],TableauConditionnement[[Nom]:[Contenance]],4,TRUE),"")</f>
        <v>0.97</v>
      </c>
      <c r="G4" s="627">
        <f ca="1">SUMIFS(TableauRecette[Prix d''achat / kg],TableauRecette[Recette],TableauProduit[[#This Row],[Recette]],TableauRecette[Conditionnement],TableauProduit[[#This Row],[Conditionnement]])</f>
        <v>0</v>
      </c>
      <c r="H4" s="628">
        <v>4</v>
      </c>
      <c r="I4" s="629">
        <f>1000*TableauProduit[[#This Row],[Prix de vente/U]]/TableauProduit[[#This Row],[Poids (g) / unite]]</f>
        <v>4</v>
      </c>
      <c r="J4" s="630">
        <f>SUMIFS(TableauConcurence[PRIX_KG],TableauConcurence[PRODUIT],TableauProduit[[#This Row],[Recette]],TableauConcurence[DISTRIBUTION],"magasin NON BIO")</f>
        <v>0</v>
      </c>
      <c r="K4" s="631">
        <f>SUMIFS(TableauConcurence[PRIX_KG],TableauConcurence[PRODUIT],TableauProduit[[#This Row],[Recette]],TableauConcurence[DISTRIBUTION],"magasin BIO")</f>
        <v>0</v>
      </c>
      <c r="L4" s="632">
        <f>SUMIFS(TableauConcurence[PRIX_KG],TableauConcurence[PRODUIT],TableauProduit[[#This Row],[Recette]],TableauConcurence[DISTRIBUTION],"artisanale BIO")</f>
        <v>0</v>
      </c>
      <c r="M4" s="564">
        <v>500</v>
      </c>
      <c r="N4" s="450">
        <f>TableauProduit[[#This Row],[Poids (g) / unite]]*TableauProduit[[#This Row],[Objectif de vente en unite N1]]/1000</f>
        <v>500</v>
      </c>
      <c r="O4" s="579">
        <f>TableauProduit[[#This Row],[Objectif de vente en unite N1]]*TableauProduit[[#This Row],[Packaging / unite]]</f>
        <v>485</v>
      </c>
      <c r="P4" s="579">
        <f t="shared" ca="1" si="0"/>
        <v>0</v>
      </c>
      <c r="Q4" s="579">
        <f ca="1">TableauProduit[[#This Row],[Prix de vente/kg]]*TableauProduit[[#This Row],[Total (kg) N1]]-TableauProduit[[#This Row],[Achat par kg N1]]</f>
        <v>0</v>
      </c>
      <c r="R4" s="582">
        <f>TableauProduit[[#This Row],[Total (kg) N1]]*TableauProduit[[#This Row],[Prix de vente/U]]</f>
        <v>2000</v>
      </c>
      <c r="S4" s="453"/>
      <c r="T4" s="452">
        <f>TableauProduit[[#This Row],[Poids (g) / unite]]*TableauProduit[[#This Row],[Objectif de vente en unite N1]]/1000</f>
        <v>500</v>
      </c>
      <c r="U4" s="571">
        <f>TableauProduit[[#This Row],[Objectif de vente en unite N1]]*TableauProduit[[#This Row],[Packaging / unite]]</f>
        <v>485</v>
      </c>
      <c r="V4" s="571">
        <f ca="1">TableauProduit[[#This Row],[Prix Achat de plante par kg]]*TableauProduit[[#This Row],[Total (kg) N1]]</f>
        <v>0</v>
      </c>
      <c r="W4" s="571">
        <f>TableauProduit[[#This Row],[Prix de vente/kg]]*TableauProduit[[#This Row],[Total (kg) N1]]</f>
        <v>2000</v>
      </c>
      <c r="X4" s="565" t="e">
        <f ca="1">TableauProduit[[#This Row],[Revenue brut N1]]-TableauProduit[[#This Row],[Achat par kg N1]]-TableauProduit[[#This Row],[Conditionnement N1]]</f>
        <v>#VALUE!</v>
      </c>
      <c r="Y4" s="566"/>
      <c r="Z4" s="456">
        <f>TableauProduit[[#This Row],[Poids (g) / unite]]*TableauProduit[[#This Row],[Objectif de vente en unite N1]]/1000</f>
        <v>500</v>
      </c>
      <c r="AA4" s="574">
        <f>TableauProduit[[#This Row],[Objectif de vente en unite N1]]*TableauProduit[[#This Row],[Packaging / unite]]</f>
        <v>485</v>
      </c>
      <c r="AB4" s="574">
        <f ca="1">TableauProduit[[#This Row],[Prix Achat de plante par kg]]*TableauProduit[[#This Row],[Total (kg) N1]]</f>
        <v>0</v>
      </c>
      <c r="AC4" s="574">
        <f>TableauProduit[[#This Row],[Prix de vente/kg]]*TableauProduit[[#This Row],[Total (kg) N1]]</f>
        <v>2000</v>
      </c>
      <c r="AD4" s="583" t="e">
        <f ca="1">TableauProduit[[#This Row],[Revenue brut N1]]-TableauProduit[[#This Row],[Achat par kg N1]]-TableauProduit[[#This Row],[Conditionnement N1]]</f>
        <v>#VALUE!</v>
      </c>
      <c r="AE4" s="458"/>
      <c r="AF4" s="458">
        <f>TableauProduit[[#This Row],[Poids (g) / unite]]*TableauProduit[[#This Row],[Objectif de vente en unite N1]]/1000</f>
        <v>500</v>
      </c>
      <c r="AG4" s="577">
        <f>TableauProduit[[#This Row],[Objectif de vente en unite N1]]*TableauProduit[[#This Row],[Packaging / unite]]</f>
        <v>485</v>
      </c>
      <c r="AH4" s="577">
        <f ca="1">TableauProduit[[#This Row],[Prix Achat de plante par kg]]*TableauProduit[[#This Row],[Total (kg) N1]]</f>
        <v>0</v>
      </c>
      <c r="AI4" s="577">
        <f>TableauProduit[[#This Row],[Prix de vente/kg]]*TableauProduit[[#This Row],[Total (kg) N1]]</f>
        <v>2000</v>
      </c>
      <c r="AJ4" s="458" t="e">
        <f ca="1">TableauProduit[[#This Row],[Revenue brut N1]]-TableauProduit[[#This Row],[Achat par kg N1]]-TableauProduit[[#This Row],[Conditionnement N1]]</f>
        <v>#VALUE!</v>
      </c>
      <c r="AK4" s="460"/>
      <c r="AL4" s="460">
        <f>TableauProduit[[#This Row],[Poids (g) / unite]]*TableauProduit[[#This Row],[Objectif de vente en unite N1]]/1000</f>
        <v>500</v>
      </c>
      <c r="AM4" s="584">
        <f>TableauProduit[[#This Row],[Objectif de vente en unite N1]]*TableauProduit[[#This Row],[Packaging / unite]]</f>
        <v>485</v>
      </c>
      <c r="AN4" s="584">
        <f ca="1">TableauProduit[[#This Row],[Prix Achat de plante par kg]]*TableauProduit[[#This Row],[Total (kg) N1]]</f>
        <v>0</v>
      </c>
      <c r="AO4" s="584">
        <f>TableauProduit[[#This Row],[Prix de vente/kg]]*TableauProduit[[#This Row],[Total (kg) N1]]</f>
        <v>2000</v>
      </c>
      <c r="AP4" s="460" t="e">
        <f ca="1">TableauProduit[[#This Row],[Revenue brut N1]]-TableauProduit[[#This Row],[Achat par kg N1]]-TableauProduit[[#This Row],[Conditionnement N1]]</f>
        <v>#VALUE!</v>
      </c>
      <c r="AQ4" s="462"/>
      <c r="AR4" s="462">
        <f>TableauProduit[[#This Row],[Poids (g) / unite]]*TableauProduit[[#This Row],[Objectif de vente en unite N1]]/1000</f>
        <v>500</v>
      </c>
      <c r="AS4" s="585">
        <f>TableauProduit[[#This Row],[Objectif de vente en unite N1]]*TableauProduit[[#This Row],[Packaging / unite]]</f>
        <v>485</v>
      </c>
      <c r="AT4" s="585">
        <f ca="1">TableauProduit[[#This Row],[Prix Achat de plante par kg]]*TableauProduit[[#This Row],[Total (kg) N1]]</f>
        <v>0</v>
      </c>
      <c r="AU4" s="585">
        <f>TableauProduit[[#This Row],[Prix de vente/kg]]*TableauProduit[[#This Row],[Total (kg) N1]]</f>
        <v>2000</v>
      </c>
      <c r="AV4" s="462" t="e">
        <f ca="1">TableauProduit[[#This Row],[Revenue brut N1]]-TableauProduit[[#This Row],[Achat par kg N1]]-TableauProduit[[#This Row],[Conditionnement N1]]</f>
        <v>#VALUE!</v>
      </c>
      <c r="AW4" s="450"/>
      <c r="AX4" s="450">
        <f>TableauProduit[[#This Row],[Poids (g) / unite]]*TableauProduit[[#This Row],[Objectif de vente en unite N1]]/1000</f>
        <v>500</v>
      </c>
      <c r="AY4" s="579">
        <f>TableauProduit[[#This Row],[Objectif de vente en unite N1]]*TableauProduit[[#This Row],[Packaging / unite]]</f>
        <v>485</v>
      </c>
      <c r="AZ4" s="579">
        <f ca="1">TableauProduit[[#This Row],[Prix Achat de plante par kg]]*TableauProduit[[#This Row],[Total (kg) N1]]</f>
        <v>0</v>
      </c>
      <c r="BA4" s="579">
        <f>TableauProduit[[#This Row],[Prix de vente/kg]]*TableauProduit[[#This Row],[Total (kg) N1]]</f>
        <v>2000</v>
      </c>
      <c r="BB4" s="586" t="e">
        <f ca="1">TableauProduit[[#This Row],[Revenue brut N1]]-TableauProduit[[#This Row],[Achat par kg N1]]-TableauProduit[[#This Row],[Conditionnement N1]]</f>
        <v>#VALUE!</v>
      </c>
      <c r="BC4" s="568"/>
      <c r="BD4" s="465">
        <f>TableauProduit[[#This Row],[Poids (g) / unite]]*TableauProduit[[#This Row],[Objectif de vente en unite N1]]/1000</f>
        <v>500</v>
      </c>
      <c r="BE4" s="587">
        <f>TableauProduit[[#This Row],[Objectif de vente en unite N1]]*TableauProduit[[#This Row],[Packaging / unite]]</f>
        <v>485</v>
      </c>
      <c r="BF4" s="587">
        <f ca="1">TableauProduit[[#This Row],[Prix Achat de plante par kg]]*TableauProduit[[#This Row],[Total (kg) N1]]</f>
        <v>0</v>
      </c>
      <c r="BG4" s="587">
        <f>TableauProduit[[#This Row],[Prix de vente/kg]]*TableauProduit[[#This Row],[Total (kg) N1]]</f>
        <v>2000</v>
      </c>
      <c r="BH4" s="588" t="e">
        <f ca="1">TableauProduit[[#This Row],[Revenue brut N1]]-TableauProduit[[#This Row],[Achat par kg N1]]-TableauProduit[[#This Row],[Conditionnement N1]]</f>
        <v>#VALUE!</v>
      </c>
      <c r="BI4" s="520"/>
      <c r="BJ4" s="467">
        <f>TableauProduit[[#This Row],[Poids (g) / unite]]*TableauProduit[[#This Row],[Objectif de vente en unite N1]]/1000</f>
        <v>500</v>
      </c>
      <c r="BK4" s="589">
        <f>TableauProduit[[#This Row],[Objectif de vente en unite N1]]*TableauProduit[[#This Row],[Packaging / unite]]</f>
        <v>485</v>
      </c>
      <c r="BL4" s="589">
        <f ca="1">TableauProduit[[#This Row],[Prix Achat de plante par kg]]*TableauProduit[[#This Row],[Total (kg) N1]]</f>
        <v>0</v>
      </c>
      <c r="BM4" s="589">
        <f>TableauProduit[[#This Row],[Prix de vente/kg]]*TableauProduit[[#This Row],[Total (kg) N1]]</f>
        <v>2000</v>
      </c>
      <c r="BN4" s="467" t="e">
        <f ca="1">TableauProduit[[#This Row],[Revenue brut N1]]-TableauProduit[[#This Row],[Achat par kg N1]]-TableauProduit[[#This Row],[Conditionnement N1]]</f>
        <v>#VALUE!</v>
      </c>
    </row>
    <row r="5" spans="1:66">
      <c r="A5" s="553" t="s">
        <v>50</v>
      </c>
      <c r="B5" s="54" t="str">
        <f>TableauProduit[[#This Row],[Recette]]&amp;TableauProduit[[#This Row],[Conditionnement]]</f>
        <v>Cornichons extra-fins Cornichon fin</v>
      </c>
      <c r="C5" s="11">
        <v>2</v>
      </c>
      <c r="D5" s="11">
        <v>350</v>
      </c>
      <c r="E5" s="6" t="s">
        <v>51</v>
      </c>
      <c r="F5" s="7">
        <v>1.1200000000000001</v>
      </c>
      <c r="G5" s="627">
        <f ca="1">SUMIFS(TableauRecette[Prix d''achat / kg],TableauRecette[Recette],TableauProduit[[#This Row],[Recette]],TableauRecette[Conditionnement],TableauProduit[[#This Row],[Conditionnement]])</f>
        <v>0</v>
      </c>
      <c r="H5" s="634">
        <v>5</v>
      </c>
      <c r="I5" s="629">
        <f>1000*TableauProduit[[#This Row],[Prix de vente/U]]/TableauProduit[[#This Row],[Poids (g) / unite]]</f>
        <v>14.285714285714286</v>
      </c>
      <c r="J5" s="630">
        <f>SUMIFS(TableauConcurence[PRIX_KG],TableauConcurence[PRODUIT],TableauProduit[[#This Row],[Recette]],TableauConcurence[DISTRIBUTION],"magasin NON BIO")</f>
        <v>0</v>
      </c>
      <c r="K5" s="635">
        <f>SUMIFS(TableauConcurence[PRIX_KG],TableauConcurence[PRODUIT],TableauProduit[[#This Row],[Recette]],TableauConcurence[DISTRIBUTION],"magasin BIO")</f>
        <v>0</v>
      </c>
      <c r="L5" s="636">
        <f>SUMIFS(TableauConcurence[PRIX_KG],TableauConcurence[PRODUIT],TableauProduit[[#This Row],[Recette]],TableauConcurence[DISTRIBUTION],"artisanale BIO")</f>
        <v>0</v>
      </c>
      <c r="M5" s="564">
        <v>800</v>
      </c>
      <c r="N5" s="450">
        <f>TableauProduit[[#This Row],[Poids (g) / unite]]*TableauProduit[[#This Row],[Objectif de vente en unite N1]]/1000</f>
        <v>280</v>
      </c>
      <c r="O5" s="579">
        <f>TableauProduit[[#This Row],[Objectif de vente en unite N1]]*TableauProduit[[#This Row],[Packaging / unite]]</f>
        <v>896.00000000000011</v>
      </c>
      <c r="P5" s="579">
        <f t="shared" ca="1" si="0"/>
        <v>0</v>
      </c>
      <c r="Q5" s="579">
        <f>(TableauProduit[[#This Row],[Prix de vente/kg]]*TableauProduit[[#This Row],[Total (kg) N1]])</f>
        <v>4000</v>
      </c>
      <c r="R5" s="582">
        <f>TableauProduit[[#This Row],[Revenue brut N1]]-TableauProduit[[#This Row],[Conditionnement N1]]</f>
        <v>3104</v>
      </c>
      <c r="S5" s="453"/>
      <c r="T5" s="452">
        <f>TableauProduit[[#This Row],[Poids (g) / unite]]*TableauProduit[[#This Row],[Objectif de vente en unite N1]]/1000</f>
        <v>280</v>
      </c>
      <c r="U5" s="571">
        <f>TableauProduit[[#This Row],[Objectif de vente en unite N1]]*TableauProduit[[#This Row],[Packaging / unite]]</f>
        <v>896.00000000000011</v>
      </c>
      <c r="V5" s="571">
        <f ca="1">TableauProduit[[#This Row],[Prix Achat de plante par kg]]*TableauProduit[[#This Row],[Total (kg) N1]]</f>
        <v>0</v>
      </c>
      <c r="W5" s="571">
        <f>TableauProduit[[#This Row],[Prix de vente/kg]]*TableauProduit[[#This Row],[Total (kg) N1]]</f>
        <v>4000</v>
      </c>
      <c r="X5" s="565">
        <f ca="1">TableauProduit[[#This Row],[Revenue brut N1]]-TableauProduit[[#This Row],[Achat par kg N1]]-TableauProduit[[#This Row],[Conditionnement N1]]</f>
        <v>8082.7999999999993</v>
      </c>
      <c r="Y5" s="566"/>
      <c r="Z5" s="456">
        <f>TableauProduit[[#This Row],[Poids (g) / unite]]*TableauProduit[[#This Row],[Objectif de vente en unite N1]]/1000</f>
        <v>280</v>
      </c>
      <c r="AA5" s="574">
        <f>TableauProduit[[#This Row],[Objectif de vente en unite N1]]*TableauProduit[[#This Row],[Packaging / unite]]</f>
        <v>896.00000000000011</v>
      </c>
      <c r="AB5" s="574">
        <f ca="1">TableauProduit[[#This Row],[Prix Achat de plante par kg]]*TableauProduit[[#This Row],[Total (kg) N1]]</f>
        <v>0</v>
      </c>
      <c r="AC5" s="574">
        <f>TableauProduit[[#This Row],[Prix de vente/kg]]*TableauProduit[[#This Row],[Total (kg) N1]]</f>
        <v>4000</v>
      </c>
      <c r="AD5" s="583">
        <f ca="1">TableauProduit[[#This Row],[Revenue brut N1]]-TableauProduit[[#This Row],[Achat par kg N1]]-TableauProduit[[#This Row],[Conditionnement N1]]</f>
        <v>8082.7999999999993</v>
      </c>
      <c r="AE5" s="458"/>
      <c r="AF5" s="458">
        <f>TableauProduit[[#This Row],[Poids (g) / unite]]*TableauProduit[[#This Row],[Objectif de vente en unite N1]]/1000</f>
        <v>280</v>
      </c>
      <c r="AG5" s="577">
        <f>TableauProduit[[#This Row],[Objectif de vente en unite N1]]*TableauProduit[[#This Row],[Packaging / unite]]</f>
        <v>896.00000000000011</v>
      </c>
      <c r="AH5" s="577">
        <f ca="1">TableauProduit[[#This Row],[Prix Achat de plante par kg]]*TableauProduit[[#This Row],[Total (kg) N1]]</f>
        <v>0</v>
      </c>
      <c r="AI5" s="577">
        <f>TableauProduit[[#This Row],[Prix de vente/kg]]*TableauProduit[[#This Row],[Total (kg) N1]]</f>
        <v>4000</v>
      </c>
      <c r="AJ5" s="458">
        <f ca="1">TableauProduit[[#This Row],[Revenue brut N1]]-TableauProduit[[#This Row],[Achat par kg N1]]-TableauProduit[[#This Row],[Conditionnement N1]]</f>
        <v>8082.7999999999993</v>
      </c>
      <c r="AK5" s="460"/>
      <c r="AL5" s="460">
        <f>TableauProduit[[#This Row],[Poids (g) / unite]]*TableauProduit[[#This Row],[Objectif de vente en unite N1]]/1000</f>
        <v>280</v>
      </c>
      <c r="AM5" s="584">
        <f>TableauProduit[[#This Row],[Objectif de vente en unite N1]]*TableauProduit[[#This Row],[Packaging / unite]]</f>
        <v>896.00000000000011</v>
      </c>
      <c r="AN5" s="584">
        <f ca="1">TableauProduit[[#This Row],[Prix Achat de plante par kg]]*TableauProduit[[#This Row],[Total (kg) N1]]</f>
        <v>0</v>
      </c>
      <c r="AO5" s="584">
        <f>TableauProduit[[#This Row],[Prix de vente/kg]]*TableauProduit[[#This Row],[Total (kg) N1]]</f>
        <v>4000</v>
      </c>
      <c r="AP5" s="460">
        <f ca="1">TableauProduit[[#This Row],[Revenue brut N1]]-TableauProduit[[#This Row],[Achat par kg N1]]-TableauProduit[[#This Row],[Conditionnement N1]]</f>
        <v>8082.7999999999993</v>
      </c>
      <c r="AQ5" s="462"/>
      <c r="AR5" s="462">
        <f>TableauProduit[[#This Row],[Poids (g) / unite]]*TableauProduit[[#This Row],[Objectif de vente en unite N1]]/1000</f>
        <v>280</v>
      </c>
      <c r="AS5" s="585">
        <f>TableauProduit[[#This Row],[Objectif de vente en unite N1]]*TableauProduit[[#This Row],[Packaging / unite]]</f>
        <v>896.00000000000011</v>
      </c>
      <c r="AT5" s="585">
        <f ca="1">TableauProduit[[#This Row],[Prix Achat de plante par kg]]*TableauProduit[[#This Row],[Total (kg) N1]]</f>
        <v>0</v>
      </c>
      <c r="AU5" s="585">
        <f>TableauProduit[[#This Row],[Prix de vente/kg]]*TableauProduit[[#This Row],[Total (kg) N1]]</f>
        <v>4000</v>
      </c>
      <c r="AV5" s="462">
        <f ca="1">TableauProduit[[#This Row],[Revenue brut N1]]-TableauProduit[[#This Row],[Achat par kg N1]]-TableauProduit[[#This Row],[Conditionnement N1]]</f>
        <v>8082.7999999999993</v>
      </c>
      <c r="AW5" s="450"/>
      <c r="AX5" s="450">
        <f>TableauProduit[[#This Row],[Poids (g) / unite]]*TableauProduit[[#This Row],[Objectif de vente en unite N1]]/1000</f>
        <v>280</v>
      </c>
      <c r="AY5" s="579">
        <f>TableauProduit[[#This Row],[Objectif de vente en unite N1]]*TableauProduit[[#This Row],[Packaging / unite]]</f>
        <v>896.00000000000011</v>
      </c>
      <c r="AZ5" s="579">
        <f ca="1">TableauProduit[[#This Row],[Prix Achat de plante par kg]]*TableauProduit[[#This Row],[Total (kg) N1]]</f>
        <v>0</v>
      </c>
      <c r="BA5" s="579">
        <f>TableauProduit[[#This Row],[Prix de vente/kg]]*TableauProduit[[#This Row],[Total (kg) N1]]</f>
        <v>4000</v>
      </c>
      <c r="BB5" s="586">
        <f ca="1">TableauProduit[[#This Row],[Revenue brut N1]]-TableauProduit[[#This Row],[Achat par kg N1]]-TableauProduit[[#This Row],[Conditionnement N1]]</f>
        <v>8082.7999999999993</v>
      </c>
      <c r="BC5" s="568"/>
      <c r="BD5" s="465">
        <f>TableauProduit[[#This Row],[Poids (g) / unite]]*TableauProduit[[#This Row],[Objectif de vente en unite N1]]/1000</f>
        <v>280</v>
      </c>
      <c r="BE5" s="587">
        <f>TableauProduit[[#This Row],[Objectif de vente en unite N1]]*TableauProduit[[#This Row],[Packaging / unite]]</f>
        <v>896.00000000000011</v>
      </c>
      <c r="BF5" s="587">
        <f ca="1">TableauProduit[[#This Row],[Prix Achat de plante par kg]]*TableauProduit[[#This Row],[Total (kg) N1]]</f>
        <v>0</v>
      </c>
      <c r="BG5" s="587">
        <f>TableauProduit[[#This Row],[Prix de vente/kg]]*TableauProduit[[#This Row],[Total (kg) N1]]</f>
        <v>4000</v>
      </c>
      <c r="BH5" s="588">
        <f ca="1">TableauProduit[[#This Row],[Revenue brut N1]]-TableauProduit[[#This Row],[Achat par kg N1]]-TableauProduit[[#This Row],[Conditionnement N1]]</f>
        <v>8082.7999999999993</v>
      </c>
      <c r="BI5" s="520"/>
      <c r="BJ5" s="467">
        <f>TableauProduit[[#This Row],[Poids (g) / unite]]*TableauProduit[[#This Row],[Objectif de vente en unite N1]]/1000</f>
        <v>280</v>
      </c>
      <c r="BK5" s="589">
        <f>TableauProduit[[#This Row],[Objectif de vente en unite N1]]*TableauProduit[[#This Row],[Packaging / unite]]</f>
        <v>896.00000000000011</v>
      </c>
      <c r="BL5" s="589">
        <f ca="1">TableauProduit[[#This Row],[Prix Achat de plante par kg]]*TableauProduit[[#This Row],[Total (kg) N1]]</f>
        <v>0</v>
      </c>
      <c r="BM5" s="589">
        <f>TableauProduit[[#This Row],[Prix de vente/kg]]*TableauProduit[[#This Row],[Total (kg) N1]]</f>
        <v>4000</v>
      </c>
      <c r="BN5" s="467">
        <f ca="1">TableauProduit[[#This Row],[Revenue brut N1]]-TableauProduit[[#This Row],[Achat par kg N1]]-TableauProduit[[#This Row],[Conditionnement N1]]</f>
        <v>8082.7999999999993</v>
      </c>
    </row>
    <row r="6" spans="1:66">
      <c r="A6" s="13" t="s">
        <v>54</v>
      </c>
      <c r="B6" s="54" t="str">
        <f>TableauProduit[[#This Row],[Recette]]&amp;TableauProduit[[#This Row],[Conditionnement]]</f>
        <v>Cumin graineEpice 100ml</v>
      </c>
      <c r="C6" s="11">
        <v>1</v>
      </c>
      <c r="D6" s="11">
        <v>40</v>
      </c>
      <c r="E6" s="6" t="s">
        <v>55</v>
      </c>
      <c r="F6" s="7">
        <f>IFERROR(VLOOKUP(TableauProduit[[#This Row],[Conditionnement]],TableauConditionnement[[Nom]:[Contenance]],4,TRUE),"")</f>
        <v>0.64</v>
      </c>
      <c r="G6" s="627">
        <f ca="1">SUMIFS(TableauRecette[Prix d''achat / kg],TableauRecette[Recette],TableauProduit[[#This Row],[Recette]],TableauRecette[Conditionnement],TableauProduit[[#This Row],[Conditionnement]])</f>
        <v>0</v>
      </c>
      <c r="H6" s="628">
        <v>2.5</v>
      </c>
      <c r="I6" s="629">
        <f>1000*TableauProduit[[#This Row],[Prix de vente/U]]/TableauProduit[[#This Row],[Poids (g) / unite]]</f>
        <v>62.5</v>
      </c>
      <c r="J6" s="630">
        <f>SUMIFS(TableauConcurence[PRIX_KG],TableauConcurence[PRODUIT],TableauProduit[[#This Row],[Recette]],TableauConcurence[DISTRIBUTION],"magasin NON BIO")</f>
        <v>46</v>
      </c>
      <c r="K6" s="631">
        <f>SUMIFS(TableauConcurence[PRIX_KG],TableauConcurence[PRODUIT],TableauProduit[[#This Row],[Recette]],TableauConcurence[DISTRIBUTION],"magasin BIO")</f>
        <v>19.98</v>
      </c>
      <c r="L6" s="632">
        <f>SUMIFS(TableauConcurence[PRIX_KG],TableauConcurence[PRODUIT],TableauProduit[[#This Row],[Recette]],TableauConcurence[DISTRIBUTION],"artisanale BIO")</f>
        <v>65</v>
      </c>
      <c r="M6" s="564">
        <v>420</v>
      </c>
      <c r="N6" s="450">
        <f>TableauProduit[[#This Row],[Poids (g) / unite]]*TableauProduit[[#This Row],[Objectif de vente en unite N1]]/1000</f>
        <v>16.8</v>
      </c>
      <c r="O6" s="579">
        <f>TableauProduit[[#This Row],[Objectif de vente en unite N1]]*TableauProduit[[#This Row],[Packaging / unite]]</f>
        <v>268.8</v>
      </c>
      <c r="P6" s="579">
        <f t="shared" ca="1" si="0"/>
        <v>0</v>
      </c>
      <c r="Q6" s="579">
        <f ca="1">TableauProduit[[#This Row],[Prix de vente/kg]]*TableauProduit[[#This Row],[Total (kg) N1]]-TableauProduit[[#This Row],[Achat par kg N1]]</f>
        <v>1034.2105263157894</v>
      </c>
      <c r="R6" s="582">
        <f ca="1">TableauProduit[[#This Row],[Revenue brut N1]]-TableauProduit[[#This Row],[Conditionnement N1]]</f>
        <v>765.41052631578941</v>
      </c>
      <c r="S6" s="453">
        <v>420</v>
      </c>
      <c r="T6" s="452">
        <f>TableauProduit[[#This Row],[Poids (g) / unite]]*TableauProduit[[#This Row],[Objectif de vente en unite N1]]/1000</f>
        <v>16.8</v>
      </c>
      <c r="U6" s="571">
        <f>TableauProduit[[#This Row],[Objectif de vente en unite N1]]*TableauProduit[[#This Row],[Packaging / unite]]</f>
        <v>268.8</v>
      </c>
      <c r="V6" s="571">
        <f ca="1">TableauProduit[[#This Row],[Prix Achat de plante par kg]]*TableauProduit[[#This Row],[Total (kg) N1]]</f>
        <v>0</v>
      </c>
      <c r="W6" s="571">
        <f>TableauProduit[[#This Row],[Prix de vente/kg]]*TableauProduit[[#This Row],[Total (kg) N1]]</f>
        <v>1050</v>
      </c>
      <c r="X6" s="565">
        <f ca="1">TableauProduit[[#This Row],[Revenue brut N1]]-TableauProduit[[#This Row],[Achat par kg N1]]-TableauProduit[[#This Row],[Conditionnement N1]]</f>
        <v>749.62105263157878</v>
      </c>
      <c r="Y6" s="566">
        <v>420</v>
      </c>
      <c r="Z6" s="456">
        <f>TableauProduit[[#This Row],[Poids (g) / unite]]*TableauProduit[[#This Row],[Objectif de vente en unite N1]]/1000</f>
        <v>16.8</v>
      </c>
      <c r="AA6" s="574">
        <f>TableauProduit[[#This Row],[Objectif de vente en unite N1]]*TableauProduit[[#This Row],[Packaging / unite]]</f>
        <v>268.8</v>
      </c>
      <c r="AB6" s="574">
        <f ca="1">TableauProduit[[#This Row],[Prix Achat de plante par kg]]*TableauProduit[[#This Row],[Total (kg) N1]]</f>
        <v>0</v>
      </c>
      <c r="AC6" s="574">
        <f>TableauProduit[[#This Row],[Prix de vente/kg]]*TableauProduit[[#This Row],[Total (kg) N1]]</f>
        <v>1050</v>
      </c>
      <c r="AD6" s="583">
        <f ca="1">TableauProduit[[#This Row],[Revenue brut N1]]-TableauProduit[[#This Row],[Achat par kg N1]]-TableauProduit[[#This Row],[Conditionnement N1]]</f>
        <v>749.62105263157878</v>
      </c>
      <c r="AE6" s="458">
        <v>420</v>
      </c>
      <c r="AF6" s="458">
        <f>TableauProduit[[#This Row],[Poids (g) / unite]]*TableauProduit[[#This Row],[Objectif de vente en unite N1]]/1000</f>
        <v>16.8</v>
      </c>
      <c r="AG6" s="577">
        <f>TableauProduit[[#This Row],[Objectif de vente en unite N1]]*TableauProduit[[#This Row],[Packaging / unite]]</f>
        <v>268.8</v>
      </c>
      <c r="AH6" s="577">
        <f ca="1">TableauProduit[[#This Row],[Prix Achat de plante par kg]]*TableauProduit[[#This Row],[Total (kg) N1]]</f>
        <v>0</v>
      </c>
      <c r="AI6" s="577">
        <f>TableauProduit[[#This Row],[Prix de vente/kg]]*TableauProduit[[#This Row],[Total (kg) N1]]</f>
        <v>1050</v>
      </c>
      <c r="AJ6" s="458">
        <f ca="1">TableauProduit[[#This Row],[Revenue brut N1]]-TableauProduit[[#This Row],[Achat par kg N1]]-TableauProduit[[#This Row],[Conditionnement N1]]</f>
        <v>749.62105263157878</v>
      </c>
      <c r="AK6" s="460">
        <v>420</v>
      </c>
      <c r="AL6" s="460">
        <f>TableauProduit[[#This Row],[Poids (g) / unite]]*TableauProduit[[#This Row],[Objectif de vente en unite N1]]/1000</f>
        <v>16.8</v>
      </c>
      <c r="AM6" s="584">
        <f>TableauProduit[[#This Row],[Objectif de vente en unite N1]]*TableauProduit[[#This Row],[Packaging / unite]]</f>
        <v>268.8</v>
      </c>
      <c r="AN6" s="584">
        <f ca="1">TableauProduit[[#This Row],[Prix Achat de plante par kg]]*TableauProduit[[#This Row],[Total (kg) N1]]</f>
        <v>0</v>
      </c>
      <c r="AO6" s="584">
        <f>TableauProduit[[#This Row],[Prix de vente/kg]]*TableauProduit[[#This Row],[Total (kg) N1]]</f>
        <v>1050</v>
      </c>
      <c r="AP6" s="460">
        <f ca="1">TableauProduit[[#This Row],[Revenue brut N1]]-TableauProduit[[#This Row],[Achat par kg N1]]-TableauProduit[[#This Row],[Conditionnement N1]]</f>
        <v>749.62105263157878</v>
      </c>
      <c r="AQ6" s="462">
        <v>420</v>
      </c>
      <c r="AR6" s="462">
        <f>TableauProduit[[#This Row],[Poids (g) / unite]]*TableauProduit[[#This Row],[Objectif de vente en unite N1]]/1000</f>
        <v>16.8</v>
      </c>
      <c r="AS6" s="585">
        <f>TableauProduit[[#This Row],[Objectif de vente en unite N1]]*TableauProduit[[#This Row],[Packaging / unite]]</f>
        <v>268.8</v>
      </c>
      <c r="AT6" s="585">
        <f ca="1">TableauProduit[[#This Row],[Prix Achat de plante par kg]]*TableauProduit[[#This Row],[Total (kg) N1]]</f>
        <v>0</v>
      </c>
      <c r="AU6" s="585">
        <f>TableauProduit[[#This Row],[Prix de vente/kg]]*TableauProduit[[#This Row],[Total (kg) N1]]</f>
        <v>1050</v>
      </c>
      <c r="AV6" s="462">
        <f ca="1">TableauProduit[[#This Row],[Revenue brut N1]]-TableauProduit[[#This Row],[Achat par kg N1]]-TableauProduit[[#This Row],[Conditionnement N1]]</f>
        <v>749.62105263157878</v>
      </c>
      <c r="AW6" s="450">
        <v>420</v>
      </c>
      <c r="AX6" s="450">
        <f>TableauProduit[[#This Row],[Poids (g) / unite]]*TableauProduit[[#This Row],[Objectif de vente en unite N1]]/1000</f>
        <v>16.8</v>
      </c>
      <c r="AY6" s="579">
        <f>TableauProduit[[#This Row],[Objectif de vente en unite N1]]*TableauProduit[[#This Row],[Packaging / unite]]</f>
        <v>268.8</v>
      </c>
      <c r="AZ6" s="579">
        <f ca="1">TableauProduit[[#This Row],[Prix Achat de plante par kg]]*TableauProduit[[#This Row],[Total (kg) N1]]</f>
        <v>0</v>
      </c>
      <c r="BA6" s="579">
        <f>TableauProduit[[#This Row],[Prix de vente/kg]]*TableauProduit[[#This Row],[Total (kg) N1]]</f>
        <v>1050</v>
      </c>
      <c r="BB6" s="586">
        <f ca="1">TableauProduit[[#This Row],[Revenue brut N1]]-TableauProduit[[#This Row],[Achat par kg N1]]-TableauProduit[[#This Row],[Conditionnement N1]]</f>
        <v>749.62105263157878</v>
      </c>
      <c r="BC6" s="568">
        <v>420</v>
      </c>
      <c r="BD6" s="465">
        <f>TableauProduit[[#This Row],[Poids (g) / unite]]*TableauProduit[[#This Row],[Objectif de vente en unite N1]]/1000</f>
        <v>16.8</v>
      </c>
      <c r="BE6" s="587">
        <f>TableauProduit[[#This Row],[Objectif de vente en unite N1]]*TableauProduit[[#This Row],[Packaging / unite]]</f>
        <v>268.8</v>
      </c>
      <c r="BF6" s="587">
        <f ca="1">TableauProduit[[#This Row],[Prix Achat de plante par kg]]*TableauProduit[[#This Row],[Total (kg) N1]]</f>
        <v>0</v>
      </c>
      <c r="BG6" s="587">
        <f>TableauProduit[[#This Row],[Prix de vente/kg]]*TableauProduit[[#This Row],[Total (kg) N1]]</f>
        <v>1050</v>
      </c>
      <c r="BH6" s="588">
        <f ca="1">TableauProduit[[#This Row],[Revenue brut N1]]-TableauProduit[[#This Row],[Achat par kg N1]]-TableauProduit[[#This Row],[Conditionnement N1]]</f>
        <v>749.62105263157878</v>
      </c>
      <c r="BI6" s="520">
        <v>420</v>
      </c>
      <c r="BJ6" s="467">
        <f>TableauProduit[[#This Row],[Poids (g) / unite]]*TableauProduit[[#This Row],[Objectif de vente en unite N1]]/1000</f>
        <v>16.8</v>
      </c>
      <c r="BK6" s="589">
        <f>TableauProduit[[#This Row],[Objectif de vente en unite N1]]*TableauProduit[[#This Row],[Packaging / unite]]</f>
        <v>268.8</v>
      </c>
      <c r="BL6" s="589">
        <f ca="1">TableauProduit[[#This Row],[Prix Achat de plante par kg]]*TableauProduit[[#This Row],[Total (kg) N1]]</f>
        <v>0</v>
      </c>
      <c r="BM6" s="589">
        <f>TableauProduit[[#This Row],[Prix de vente/kg]]*TableauProduit[[#This Row],[Total (kg) N1]]</f>
        <v>1050</v>
      </c>
      <c r="BN6" s="467">
        <f ca="1">TableauProduit[[#This Row],[Revenue brut N1]]-TableauProduit[[#This Row],[Achat par kg N1]]-TableauProduit[[#This Row],[Conditionnement N1]]</f>
        <v>749.62105263157878</v>
      </c>
    </row>
    <row r="7" spans="1:66">
      <c r="A7" s="13" t="s">
        <v>56</v>
      </c>
      <c r="B7" s="54" t="str">
        <f>TableauProduit[[#This Row],[Recette]]&amp;TableauProduit[[#This Row],[Conditionnement]]</f>
        <v>Cumin mouluEpice 100ml</v>
      </c>
      <c r="C7" s="11">
        <v>1</v>
      </c>
      <c r="D7" s="11">
        <v>50</v>
      </c>
      <c r="E7" s="6" t="s">
        <v>55</v>
      </c>
      <c r="F7" s="7">
        <f>IFERROR(VLOOKUP(TableauProduit[[#This Row],[Conditionnement]],TableauConditionnement[[Nom]:[Contenance]],4,TRUE),"")</f>
        <v>0.64</v>
      </c>
      <c r="G7" s="627">
        <f ca="1">SUMIFS(TableauRecette[Prix d''achat / kg],TableauRecette[Recette],TableauProduit[[#This Row],[Recette]],TableauRecette[Conditionnement],TableauProduit[[#This Row],[Conditionnement]])</f>
        <v>0</v>
      </c>
      <c r="H7" s="628">
        <v>3.5</v>
      </c>
      <c r="I7" s="629">
        <f>1000*TableauProduit[[#This Row],[Prix de vente/U]]/TableauProduit[[#This Row],[Poids (g) / unite]]</f>
        <v>70</v>
      </c>
      <c r="J7" s="630">
        <f>SUMIFS(TableauConcurence[PRIX_KG],TableauConcurence[PRODUIT],TableauProduit[[#This Row],[Recette]],TableauConcurence[DISTRIBUTION],"magasin NON BIO")</f>
        <v>54</v>
      </c>
      <c r="K7" s="631">
        <f>SUMIFS(TableauConcurence[PRIX_KG],TableauConcurence[PRODUIT],TableauProduit[[#This Row],[Recette]],TableauConcurence[DISTRIBUTION],"magasin BIO")</f>
        <v>39</v>
      </c>
      <c r="L7" s="632">
        <f>SUMIFS(TableauConcurence[PRIX_KG],TableauConcurence[PRODUIT],TableauProduit[[#This Row],[Recette]],TableauConcurence[DISTRIBUTION],"artisanale BIO")</f>
        <v>55</v>
      </c>
      <c r="M7" s="564">
        <v>420</v>
      </c>
      <c r="N7" s="450">
        <f>TableauProduit[[#This Row],[Poids (g) / unite]]*TableauProduit[[#This Row],[Objectif de vente en unite N1]]/1000</f>
        <v>21</v>
      </c>
      <c r="O7" s="579">
        <f>TableauProduit[[#This Row],[Objectif de vente en unite N1]]*TableauProduit[[#This Row],[Packaging / unite]]</f>
        <v>268.8</v>
      </c>
      <c r="P7" s="579">
        <f t="shared" ca="1" si="0"/>
        <v>0</v>
      </c>
      <c r="Q7" s="579">
        <f ca="1">TableauProduit[[#This Row],[Prix de vente/kg]]*TableauProduit[[#This Row],[Total (kg) N1]]-TableauProduit[[#This Row],[Achat par kg N1]]</f>
        <v>1407.5</v>
      </c>
      <c r="R7" s="582">
        <f ca="1">TableauProduit[[#This Row],[Revenue brut N1]]-TableauProduit[[#This Row],[Conditionnement N1]]</f>
        <v>1138.7</v>
      </c>
      <c r="S7" s="453">
        <v>420</v>
      </c>
      <c r="T7" s="452">
        <f>TableauProduit[[#This Row],[Poids (g) / unite]]*TableauProduit[[#This Row],[Objectif de vente en unite N1]]/1000</f>
        <v>21</v>
      </c>
      <c r="U7" s="571">
        <f>TableauProduit[[#This Row],[Objectif de vente en unite N1]]*TableauProduit[[#This Row],[Packaging / unite]]</f>
        <v>268.8</v>
      </c>
      <c r="V7" s="571">
        <f ca="1">TableauProduit[[#This Row],[Prix Achat de plante par kg]]*TableauProduit[[#This Row],[Total (kg) N1]]</f>
        <v>0</v>
      </c>
      <c r="W7" s="571">
        <f>TableauProduit[[#This Row],[Prix de vente/kg]]*TableauProduit[[#This Row],[Total (kg) N1]]</f>
        <v>1470</v>
      </c>
      <c r="X7" s="565">
        <f ca="1">TableauProduit[[#This Row],[Revenue brut N1]]-TableauProduit[[#This Row],[Achat par kg N1]]-TableauProduit[[#This Row],[Conditionnement N1]]</f>
        <v>1076.2</v>
      </c>
      <c r="Y7" s="566">
        <v>420</v>
      </c>
      <c r="Z7" s="456">
        <f>TableauProduit[[#This Row],[Poids (g) / unite]]*TableauProduit[[#This Row],[Objectif de vente en unite N1]]/1000</f>
        <v>21</v>
      </c>
      <c r="AA7" s="574">
        <f>TableauProduit[[#This Row],[Objectif de vente en unite N1]]*TableauProduit[[#This Row],[Packaging / unite]]</f>
        <v>268.8</v>
      </c>
      <c r="AB7" s="574">
        <f ca="1">TableauProduit[[#This Row],[Prix Achat de plante par kg]]*TableauProduit[[#This Row],[Total (kg) N1]]</f>
        <v>0</v>
      </c>
      <c r="AC7" s="574">
        <f>TableauProduit[[#This Row],[Prix de vente/kg]]*TableauProduit[[#This Row],[Total (kg) N1]]</f>
        <v>1470</v>
      </c>
      <c r="AD7" s="583">
        <f ca="1">TableauProduit[[#This Row],[Revenue brut N1]]-TableauProduit[[#This Row],[Achat par kg N1]]-TableauProduit[[#This Row],[Conditionnement N1]]</f>
        <v>1076.2</v>
      </c>
      <c r="AE7" s="458">
        <v>420</v>
      </c>
      <c r="AF7" s="458">
        <f>TableauProduit[[#This Row],[Poids (g) / unite]]*TableauProduit[[#This Row],[Objectif de vente en unite N1]]/1000</f>
        <v>21</v>
      </c>
      <c r="AG7" s="577">
        <f>TableauProduit[[#This Row],[Objectif de vente en unite N1]]*TableauProduit[[#This Row],[Packaging / unite]]</f>
        <v>268.8</v>
      </c>
      <c r="AH7" s="577">
        <f ca="1">TableauProduit[[#This Row],[Prix Achat de plante par kg]]*TableauProduit[[#This Row],[Total (kg) N1]]</f>
        <v>0</v>
      </c>
      <c r="AI7" s="577">
        <f>TableauProduit[[#This Row],[Prix de vente/kg]]*TableauProduit[[#This Row],[Total (kg) N1]]</f>
        <v>1470</v>
      </c>
      <c r="AJ7" s="458">
        <f ca="1">TableauProduit[[#This Row],[Revenue brut N1]]-TableauProduit[[#This Row],[Achat par kg N1]]-TableauProduit[[#This Row],[Conditionnement N1]]</f>
        <v>1076.2</v>
      </c>
      <c r="AK7" s="460">
        <v>420</v>
      </c>
      <c r="AL7" s="460">
        <f>TableauProduit[[#This Row],[Poids (g) / unite]]*TableauProduit[[#This Row],[Objectif de vente en unite N1]]/1000</f>
        <v>21</v>
      </c>
      <c r="AM7" s="584">
        <f>TableauProduit[[#This Row],[Objectif de vente en unite N1]]*TableauProduit[[#This Row],[Packaging / unite]]</f>
        <v>268.8</v>
      </c>
      <c r="AN7" s="584">
        <f ca="1">TableauProduit[[#This Row],[Prix Achat de plante par kg]]*TableauProduit[[#This Row],[Total (kg) N1]]</f>
        <v>0</v>
      </c>
      <c r="AO7" s="584">
        <f>TableauProduit[[#This Row],[Prix de vente/kg]]*TableauProduit[[#This Row],[Total (kg) N1]]</f>
        <v>1470</v>
      </c>
      <c r="AP7" s="460">
        <f ca="1">TableauProduit[[#This Row],[Revenue brut N1]]-TableauProduit[[#This Row],[Achat par kg N1]]-TableauProduit[[#This Row],[Conditionnement N1]]</f>
        <v>1076.2</v>
      </c>
      <c r="AQ7" s="462">
        <v>420</v>
      </c>
      <c r="AR7" s="462">
        <f>TableauProduit[[#This Row],[Poids (g) / unite]]*TableauProduit[[#This Row],[Objectif de vente en unite N1]]/1000</f>
        <v>21</v>
      </c>
      <c r="AS7" s="585">
        <f>TableauProduit[[#This Row],[Objectif de vente en unite N1]]*TableauProduit[[#This Row],[Packaging / unite]]</f>
        <v>268.8</v>
      </c>
      <c r="AT7" s="585">
        <f ca="1">TableauProduit[[#This Row],[Prix Achat de plante par kg]]*TableauProduit[[#This Row],[Total (kg) N1]]</f>
        <v>0</v>
      </c>
      <c r="AU7" s="585">
        <f>TableauProduit[[#This Row],[Prix de vente/kg]]*TableauProduit[[#This Row],[Total (kg) N1]]</f>
        <v>1470</v>
      </c>
      <c r="AV7" s="462">
        <f ca="1">TableauProduit[[#This Row],[Revenue brut N1]]-TableauProduit[[#This Row],[Achat par kg N1]]-TableauProduit[[#This Row],[Conditionnement N1]]</f>
        <v>1076.2</v>
      </c>
      <c r="AW7" s="450">
        <v>420</v>
      </c>
      <c r="AX7" s="450">
        <f>TableauProduit[[#This Row],[Poids (g) / unite]]*TableauProduit[[#This Row],[Objectif de vente en unite N1]]/1000</f>
        <v>21</v>
      </c>
      <c r="AY7" s="579">
        <f>TableauProduit[[#This Row],[Objectif de vente en unite N1]]*TableauProduit[[#This Row],[Packaging / unite]]</f>
        <v>268.8</v>
      </c>
      <c r="AZ7" s="579">
        <f ca="1">TableauProduit[[#This Row],[Prix Achat de plante par kg]]*TableauProduit[[#This Row],[Total (kg) N1]]</f>
        <v>0</v>
      </c>
      <c r="BA7" s="579">
        <f>TableauProduit[[#This Row],[Prix de vente/kg]]*TableauProduit[[#This Row],[Total (kg) N1]]</f>
        <v>1470</v>
      </c>
      <c r="BB7" s="586">
        <f ca="1">TableauProduit[[#This Row],[Revenue brut N1]]-TableauProduit[[#This Row],[Achat par kg N1]]-TableauProduit[[#This Row],[Conditionnement N1]]</f>
        <v>1076.2</v>
      </c>
      <c r="BC7" s="568">
        <v>420</v>
      </c>
      <c r="BD7" s="465">
        <f>TableauProduit[[#This Row],[Poids (g) / unite]]*TableauProduit[[#This Row],[Objectif de vente en unite N1]]/1000</f>
        <v>21</v>
      </c>
      <c r="BE7" s="587">
        <f>TableauProduit[[#This Row],[Objectif de vente en unite N1]]*TableauProduit[[#This Row],[Packaging / unite]]</f>
        <v>268.8</v>
      </c>
      <c r="BF7" s="587">
        <f ca="1">TableauProduit[[#This Row],[Prix Achat de plante par kg]]*TableauProduit[[#This Row],[Total (kg) N1]]</f>
        <v>0</v>
      </c>
      <c r="BG7" s="587">
        <f>TableauProduit[[#This Row],[Prix de vente/kg]]*TableauProduit[[#This Row],[Total (kg) N1]]</f>
        <v>1470</v>
      </c>
      <c r="BH7" s="588">
        <f ca="1">TableauProduit[[#This Row],[Revenue brut N1]]-TableauProduit[[#This Row],[Achat par kg N1]]-TableauProduit[[#This Row],[Conditionnement N1]]</f>
        <v>1076.2</v>
      </c>
      <c r="BI7" s="520">
        <v>420</v>
      </c>
      <c r="BJ7" s="467">
        <f>TableauProduit[[#This Row],[Poids (g) / unite]]*TableauProduit[[#This Row],[Objectif de vente en unite N1]]/1000</f>
        <v>21</v>
      </c>
      <c r="BK7" s="589">
        <f>TableauProduit[[#This Row],[Objectif de vente en unite N1]]*TableauProduit[[#This Row],[Packaging / unite]]</f>
        <v>268.8</v>
      </c>
      <c r="BL7" s="589">
        <f ca="1">TableauProduit[[#This Row],[Prix Achat de plante par kg]]*TableauProduit[[#This Row],[Total (kg) N1]]</f>
        <v>0</v>
      </c>
      <c r="BM7" s="589">
        <f>TableauProduit[[#This Row],[Prix de vente/kg]]*TableauProduit[[#This Row],[Total (kg) N1]]</f>
        <v>1470</v>
      </c>
      <c r="BN7" s="467">
        <f ca="1">TableauProduit[[#This Row],[Revenue brut N1]]-TableauProduit[[#This Row],[Achat par kg N1]]-TableauProduit[[#This Row],[Conditionnement N1]]</f>
        <v>1076.2</v>
      </c>
    </row>
    <row r="8" spans="1:66">
      <c r="A8" s="13" t="s">
        <v>691</v>
      </c>
      <c r="B8" s="54" t="str">
        <f>TableauProduit[[#This Row],[Recette]]&amp;TableauProduit[[#This Row],[Conditionnement]]</f>
        <v>epices viandes rougesEpice 100ml</v>
      </c>
      <c r="C8" s="11">
        <v>1</v>
      </c>
      <c r="D8" s="11">
        <v>50</v>
      </c>
      <c r="E8" s="6" t="s">
        <v>55</v>
      </c>
      <c r="F8" s="7">
        <f>IFERROR(VLOOKUP(TableauProduit[[#This Row],[Conditionnement]],TableauConditionnement[[Nom]:[Contenance]],4,TRUE),"")</f>
        <v>0.64</v>
      </c>
      <c r="G8" s="627" t="e">
        <f ca="1">SUMIFS(TableauRecette[Prix d''achat / kg],TableauRecette[Recette],TableauProduit[[#This Row],[Recette]],TableauRecette[Conditionnement],TableauProduit[[#This Row],[Conditionnement]])</f>
        <v>#VALUE!</v>
      </c>
      <c r="H8" s="628">
        <v>5.5</v>
      </c>
      <c r="I8" s="629">
        <f>1000*TableauProduit[[#This Row],[Prix de vente/U]]/TableauProduit[[#This Row],[Poids (g) / unite]]</f>
        <v>110</v>
      </c>
      <c r="J8" s="630">
        <f>SUMIFS(TableauConcurence[PRIX_KG],TableauConcurence[PRODUIT],TableauProduit[[#This Row],[Recette]],TableauConcurence[DISTRIBUTION],"magasin NON BIO")</f>
        <v>55.13</v>
      </c>
      <c r="K8" s="631">
        <f>SUMIFS(TableauConcurence[PRIX_KG],TableauConcurence[PRODUIT],TableauProduit[[#This Row],[Recette]],TableauConcurence[DISTRIBUTION],"magasin BIO")</f>
        <v>80</v>
      </c>
      <c r="L8" s="632">
        <f>SUMIFS(TableauConcurence[PRIX_KG],TableauConcurence[PRODUIT],TableauProduit[[#This Row],[Recette]],TableauConcurence[DISTRIBUTION],"artisanale BIO")</f>
        <v>85.71</v>
      </c>
      <c r="M8" s="564">
        <v>420</v>
      </c>
      <c r="N8" s="450">
        <f>TableauProduit[[#This Row],[Poids (g) / unite]]*TableauProduit[[#This Row],[Objectif de vente en unite N1]]/1000</f>
        <v>21</v>
      </c>
      <c r="O8" s="579">
        <f>TableauProduit[[#This Row],[Objectif de vente en unite N1]]*TableauProduit[[#This Row],[Packaging / unite]]</f>
        <v>268.8</v>
      </c>
      <c r="P8" s="579" t="e">
        <f t="shared" ca="1" si="0"/>
        <v>#VALUE!</v>
      </c>
      <c r="Q8" s="579" t="e">
        <f ca="1">TableauProduit[[#This Row],[Prix de vente/kg]]*TableauProduit[[#This Row],[Total (kg) N1]]-TableauProduit[[#This Row],[Achat par kg N1]]</f>
        <v>#VALUE!</v>
      </c>
      <c r="R8" s="582" t="e">
        <f ca="1">TableauProduit[[#This Row],[Revenue brut N1]]-TableauProduit[[#This Row],[Conditionnement N1]]</f>
        <v>#VALUE!</v>
      </c>
      <c r="S8" s="453">
        <v>420</v>
      </c>
      <c r="T8" s="452">
        <f>TableauProduit[[#This Row],[Poids (g) / unite]]*TableauProduit[[#This Row],[Objectif de vente en unite N1]]/1000</f>
        <v>21</v>
      </c>
      <c r="U8" s="571">
        <f>TableauProduit[[#This Row],[Objectif de vente en unite N1]]*TableauProduit[[#This Row],[Packaging / unite]]</f>
        <v>268.8</v>
      </c>
      <c r="V8" s="571" t="e">
        <f ca="1">TableauProduit[[#This Row],[Prix Achat de plante par kg]]*TableauProduit[[#This Row],[Total (kg) N1]]</f>
        <v>#VALUE!</v>
      </c>
      <c r="W8" s="571">
        <f>TableauProduit[[#This Row],[Prix de vente/kg]]*TableauProduit[[#This Row],[Total (kg) N1]]</f>
        <v>2310</v>
      </c>
      <c r="X8" s="565" t="e">
        <f ca="1">TableauProduit[[#This Row],[Revenue brut N1]]-TableauProduit[[#This Row],[Achat par kg N1]]-TableauProduit[[#This Row],[Conditionnement N1]]</f>
        <v>#VALUE!</v>
      </c>
      <c r="Y8" s="566">
        <v>420</v>
      </c>
      <c r="Z8" s="456">
        <f>TableauProduit[[#This Row],[Poids (g) / unite]]*TableauProduit[[#This Row],[Objectif de vente en unite N1]]/1000</f>
        <v>21</v>
      </c>
      <c r="AA8" s="574">
        <f>TableauProduit[[#This Row],[Objectif de vente en unite N1]]*TableauProduit[[#This Row],[Packaging / unite]]</f>
        <v>268.8</v>
      </c>
      <c r="AB8" s="574" t="e">
        <f ca="1">TableauProduit[[#This Row],[Prix Achat de plante par kg]]*TableauProduit[[#This Row],[Total (kg) N1]]</f>
        <v>#VALUE!</v>
      </c>
      <c r="AC8" s="574">
        <f>TableauProduit[[#This Row],[Prix de vente/kg]]*TableauProduit[[#This Row],[Total (kg) N1]]</f>
        <v>2310</v>
      </c>
      <c r="AD8" s="583" t="e">
        <f ca="1">TableauProduit[[#This Row],[Revenue brut N1]]-TableauProduit[[#This Row],[Achat par kg N1]]-TableauProduit[[#This Row],[Conditionnement N1]]</f>
        <v>#VALUE!</v>
      </c>
      <c r="AE8" s="458">
        <v>420</v>
      </c>
      <c r="AF8" s="458">
        <f>TableauProduit[[#This Row],[Poids (g) / unite]]*TableauProduit[[#This Row],[Objectif de vente en unite N1]]/1000</f>
        <v>21</v>
      </c>
      <c r="AG8" s="577">
        <f>TableauProduit[[#This Row],[Objectif de vente en unite N1]]*TableauProduit[[#This Row],[Packaging / unite]]</f>
        <v>268.8</v>
      </c>
      <c r="AH8" s="577" t="e">
        <f ca="1">TableauProduit[[#This Row],[Prix Achat de plante par kg]]*TableauProduit[[#This Row],[Total (kg) N1]]</f>
        <v>#VALUE!</v>
      </c>
      <c r="AI8" s="577">
        <f>TableauProduit[[#This Row],[Prix de vente/kg]]*TableauProduit[[#This Row],[Total (kg) N1]]</f>
        <v>2310</v>
      </c>
      <c r="AJ8" s="458" t="e">
        <f ca="1">TableauProduit[[#This Row],[Revenue brut N1]]-TableauProduit[[#This Row],[Achat par kg N1]]-TableauProduit[[#This Row],[Conditionnement N1]]</f>
        <v>#VALUE!</v>
      </c>
      <c r="AK8" s="460">
        <v>420</v>
      </c>
      <c r="AL8" s="460">
        <f>TableauProduit[[#This Row],[Poids (g) / unite]]*TableauProduit[[#This Row],[Objectif de vente en unite N1]]/1000</f>
        <v>21</v>
      </c>
      <c r="AM8" s="584">
        <f>TableauProduit[[#This Row],[Objectif de vente en unite N1]]*TableauProduit[[#This Row],[Packaging / unite]]</f>
        <v>268.8</v>
      </c>
      <c r="AN8" s="584" t="e">
        <f ca="1">TableauProduit[[#This Row],[Prix Achat de plante par kg]]*TableauProduit[[#This Row],[Total (kg) N1]]</f>
        <v>#VALUE!</v>
      </c>
      <c r="AO8" s="584">
        <f>TableauProduit[[#This Row],[Prix de vente/kg]]*TableauProduit[[#This Row],[Total (kg) N1]]</f>
        <v>2310</v>
      </c>
      <c r="AP8" s="460" t="e">
        <f ca="1">TableauProduit[[#This Row],[Revenue brut N1]]-TableauProduit[[#This Row],[Achat par kg N1]]-TableauProduit[[#This Row],[Conditionnement N1]]</f>
        <v>#VALUE!</v>
      </c>
      <c r="AQ8" s="462">
        <v>420</v>
      </c>
      <c r="AR8" s="462">
        <f>TableauProduit[[#This Row],[Poids (g) / unite]]*TableauProduit[[#This Row],[Objectif de vente en unite N1]]/1000</f>
        <v>21</v>
      </c>
      <c r="AS8" s="585">
        <f>TableauProduit[[#This Row],[Objectif de vente en unite N1]]*TableauProduit[[#This Row],[Packaging / unite]]</f>
        <v>268.8</v>
      </c>
      <c r="AT8" s="585" t="e">
        <f ca="1">TableauProduit[[#This Row],[Prix Achat de plante par kg]]*TableauProduit[[#This Row],[Total (kg) N1]]</f>
        <v>#VALUE!</v>
      </c>
      <c r="AU8" s="585">
        <f>TableauProduit[[#This Row],[Prix de vente/kg]]*TableauProduit[[#This Row],[Total (kg) N1]]</f>
        <v>2310</v>
      </c>
      <c r="AV8" s="462" t="e">
        <f ca="1">TableauProduit[[#This Row],[Revenue brut N1]]-TableauProduit[[#This Row],[Achat par kg N1]]-TableauProduit[[#This Row],[Conditionnement N1]]</f>
        <v>#VALUE!</v>
      </c>
      <c r="AW8" s="450">
        <v>420</v>
      </c>
      <c r="AX8" s="450">
        <f>TableauProduit[[#This Row],[Poids (g) / unite]]*TableauProduit[[#This Row],[Objectif de vente en unite N1]]/1000</f>
        <v>21</v>
      </c>
      <c r="AY8" s="579">
        <f>TableauProduit[[#This Row],[Objectif de vente en unite N1]]*TableauProduit[[#This Row],[Packaging / unite]]</f>
        <v>268.8</v>
      </c>
      <c r="AZ8" s="579" t="e">
        <f ca="1">TableauProduit[[#This Row],[Prix Achat de plante par kg]]*TableauProduit[[#This Row],[Total (kg) N1]]</f>
        <v>#VALUE!</v>
      </c>
      <c r="BA8" s="579">
        <f>TableauProduit[[#This Row],[Prix de vente/kg]]*TableauProduit[[#This Row],[Total (kg) N1]]</f>
        <v>2310</v>
      </c>
      <c r="BB8" s="586" t="e">
        <f ca="1">TableauProduit[[#This Row],[Revenue brut N1]]-TableauProduit[[#This Row],[Achat par kg N1]]-TableauProduit[[#This Row],[Conditionnement N1]]</f>
        <v>#VALUE!</v>
      </c>
      <c r="BC8" s="568">
        <v>420</v>
      </c>
      <c r="BD8" s="465">
        <f>TableauProduit[[#This Row],[Poids (g) / unite]]*TableauProduit[[#This Row],[Objectif de vente en unite N1]]/1000</f>
        <v>21</v>
      </c>
      <c r="BE8" s="587">
        <f>TableauProduit[[#This Row],[Objectif de vente en unite N1]]*TableauProduit[[#This Row],[Packaging / unite]]</f>
        <v>268.8</v>
      </c>
      <c r="BF8" s="587" t="e">
        <f ca="1">TableauProduit[[#This Row],[Prix Achat de plante par kg]]*TableauProduit[[#This Row],[Total (kg) N1]]</f>
        <v>#VALUE!</v>
      </c>
      <c r="BG8" s="587">
        <f>TableauProduit[[#This Row],[Prix de vente/kg]]*TableauProduit[[#This Row],[Total (kg) N1]]</f>
        <v>2310</v>
      </c>
      <c r="BH8" s="588" t="e">
        <f ca="1">TableauProduit[[#This Row],[Revenue brut N1]]-TableauProduit[[#This Row],[Achat par kg N1]]-TableauProduit[[#This Row],[Conditionnement N1]]</f>
        <v>#VALUE!</v>
      </c>
      <c r="BI8" s="520">
        <v>420</v>
      </c>
      <c r="BJ8" s="467">
        <f>TableauProduit[[#This Row],[Poids (g) / unite]]*TableauProduit[[#This Row],[Objectif de vente en unite N1]]/1000</f>
        <v>21</v>
      </c>
      <c r="BK8" s="589">
        <f>TableauProduit[[#This Row],[Objectif de vente en unite N1]]*TableauProduit[[#This Row],[Packaging / unite]]</f>
        <v>268.8</v>
      </c>
      <c r="BL8" s="589" t="e">
        <f ca="1">TableauProduit[[#This Row],[Prix Achat de plante par kg]]*TableauProduit[[#This Row],[Total (kg) N1]]</f>
        <v>#VALUE!</v>
      </c>
      <c r="BM8" s="589">
        <f>TableauProduit[[#This Row],[Prix de vente/kg]]*TableauProduit[[#This Row],[Total (kg) N1]]</f>
        <v>2310</v>
      </c>
      <c r="BN8" s="467" t="e">
        <f ca="1">TableauProduit[[#This Row],[Revenue brut N1]]-TableauProduit[[#This Row],[Achat par kg N1]]-TableauProduit[[#This Row],[Conditionnement N1]]</f>
        <v>#VALUE!</v>
      </c>
    </row>
    <row r="9" spans="1:66">
      <c r="A9" s="13" t="s">
        <v>57</v>
      </c>
      <c r="B9" s="54" t="str">
        <f>TableauProduit[[#This Row],[Recette]]&amp;TableauProduit[[#This Row],[Conditionnement]]</f>
        <v>GingembreEpice 100ml</v>
      </c>
      <c r="C9" s="11">
        <v>1</v>
      </c>
      <c r="D9" s="11">
        <v>60</v>
      </c>
      <c r="E9" s="6" t="s">
        <v>55</v>
      </c>
      <c r="F9" s="7">
        <f>IFERROR(VLOOKUP(TableauProduit[[#This Row],[Conditionnement]],TableauConditionnement[[Nom]:[Contenance]],4,TRUE),"")</f>
        <v>0.64</v>
      </c>
      <c r="G9" s="627" t="e">
        <f ca="1">SUMIFS(TableauRecette[Prix d''achat / kg],TableauRecette[Recette],TableauProduit[[#This Row],[Recette]],TableauRecette[Conditionnement],TableauProduit[[#This Row],[Conditionnement]])</f>
        <v>#VALUE!</v>
      </c>
      <c r="H9" s="628">
        <v>4.2</v>
      </c>
      <c r="I9" s="629">
        <f>1000*TableauProduit[[#This Row],[Prix de vente/U]]/TableauProduit[[#This Row],[Poids (g) / unite]]</f>
        <v>70</v>
      </c>
      <c r="J9" s="630">
        <f>SUMIFS(TableauConcurence[PRIX_KG],TableauConcurence[PRODUIT],TableauProduit[[#This Row],[Recette]],TableauConcurence[DISTRIBUTION],"magasin NON BIO")</f>
        <v>0</v>
      </c>
      <c r="K9" s="631">
        <f>SUMIFS(TableauConcurence[PRIX_KG],TableauConcurence[PRODUIT],TableauProduit[[#This Row],[Recette]],TableauConcurence[DISTRIBUTION],"magasin BIO")</f>
        <v>0</v>
      </c>
      <c r="L9" s="632">
        <f>SUMIFS(TableauConcurence[PRIX_KG],TableauConcurence[PRODUIT],TableauProduit[[#This Row],[Recette]],TableauConcurence[DISTRIBUTION],"artisanale BIO")</f>
        <v>0</v>
      </c>
      <c r="M9" s="564">
        <v>420</v>
      </c>
      <c r="N9" s="450">
        <f>TableauProduit[[#This Row],[Poids (g) / unite]]*TableauProduit[[#This Row],[Objectif de vente en unite N1]]/1000</f>
        <v>25.2</v>
      </c>
      <c r="O9" s="579">
        <f>TableauProduit[[#This Row],[Objectif de vente en unite N1]]*TableauProduit[[#This Row],[Packaging / unite]]</f>
        <v>268.8</v>
      </c>
      <c r="P9" s="579" t="e">
        <f t="shared" ca="1" si="0"/>
        <v>#VALUE!</v>
      </c>
      <c r="Q9" s="579" t="e">
        <f ca="1">TableauProduit[[#This Row],[Prix de vente/kg]]*TableauProduit[[#This Row],[Total (kg) N1]]-TableauProduit[[#This Row],[Achat par kg N1]]</f>
        <v>#VALUE!</v>
      </c>
      <c r="R9" s="582" t="e">
        <f ca="1">TableauProduit[[#This Row],[Revenue brut N1]]-TableauProduit[[#This Row],[Conditionnement N1]]</f>
        <v>#VALUE!</v>
      </c>
      <c r="S9" s="453">
        <v>420</v>
      </c>
      <c r="T9" s="452">
        <f>TableauProduit[[#This Row],[Poids (g) / unite]]*TableauProduit[[#This Row],[Objectif de vente en unite N1]]/1000</f>
        <v>25.2</v>
      </c>
      <c r="U9" s="571">
        <f>TableauProduit[[#This Row],[Objectif de vente en unite N1]]*TableauProduit[[#This Row],[Packaging / unite]]</f>
        <v>268.8</v>
      </c>
      <c r="V9" s="571" t="e">
        <f ca="1">TableauProduit[[#This Row],[Prix Achat de plante par kg]]*TableauProduit[[#This Row],[Total (kg) N1]]</f>
        <v>#VALUE!</v>
      </c>
      <c r="W9" s="571">
        <f>TableauProduit[[#This Row],[Prix de vente/kg]]*TableauProduit[[#This Row],[Total (kg) N1]]</f>
        <v>1764</v>
      </c>
      <c r="X9" s="565" t="e">
        <f ca="1">TableauProduit[[#This Row],[Revenue brut N1]]-TableauProduit[[#This Row],[Achat par kg N1]]-TableauProduit[[#This Row],[Conditionnement N1]]</f>
        <v>#VALUE!</v>
      </c>
      <c r="Y9" s="566">
        <v>420</v>
      </c>
      <c r="Z9" s="456">
        <f>TableauProduit[[#This Row],[Poids (g) / unite]]*TableauProduit[[#This Row],[Objectif de vente en unite N1]]/1000</f>
        <v>25.2</v>
      </c>
      <c r="AA9" s="574">
        <f>TableauProduit[[#This Row],[Objectif de vente en unite N1]]*TableauProduit[[#This Row],[Packaging / unite]]</f>
        <v>268.8</v>
      </c>
      <c r="AB9" s="574" t="e">
        <f ca="1">TableauProduit[[#This Row],[Prix Achat de plante par kg]]*TableauProduit[[#This Row],[Total (kg) N1]]</f>
        <v>#VALUE!</v>
      </c>
      <c r="AC9" s="574">
        <f>TableauProduit[[#This Row],[Prix de vente/kg]]*TableauProduit[[#This Row],[Total (kg) N1]]</f>
        <v>1764</v>
      </c>
      <c r="AD9" s="583" t="e">
        <f ca="1">TableauProduit[[#This Row],[Revenue brut N1]]-TableauProduit[[#This Row],[Achat par kg N1]]-TableauProduit[[#This Row],[Conditionnement N1]]</f>
        <v>#VALUE!</v>
      </c>
      <c r="AE9" s="458">
        <v>420</v>
      </c>
      <c r="AF9" s="458">
        <f>TableauProduit[[#This Row],[Poids (g) / unite]]*TableauProduit[[#This Row],[Objectif de vente en unite N1]]/1000</f>
        <v>25.2</v>
      </c>
      <c r="AG9" s="577">
        <f>TableauProduit[[#This Row],[Objectif de vente en unite N1]]*TableauProduit[[#This Row],[Packaging / unite]]</f>
        <v>268.8</v>
      </c>
      <c r="AH9" s="577" t="e">
        <f ca="1">TableauProduit[[#This Row],[Prix Achat de plante par kg]]*TableauProduit[[#This Row],[Total (kg) N1]]</f>
        <v>#VALUE!</v>
      </c>
      <c r="AI9" s="577">
        <f>TableauProduit[[#This Row],[Prix de vente/kg]]*TableauProduit[[#This Row],[Total (kg) N1]]</f>
        <v>1764</v>
      </c>
      <c r="AJ9" s="458" t="e">
        <f ca="1">TableauProduit[[#This Row],[Revenue brut N1]]-TableauProduit[[#This Row],[Achat par kg N1]]-TableauProduit[[#This Row],[Conditionnement N1]]</f>
        <v>#VALUE!</v>
      </c>
      <c r="AK9" s="460">
        <v>420</v>
      </c>
      <c r="AL9" s="460">
        <f>TableauProduit[[#This Row],[Poids (g) / unite]]*TableauProduit[[#This Row],[Objectif de vente en unite N1]]/1000</f>
        <v>25.2</v>
      </c>
      <c r="AM9" s="584">
        <f>TableauProduit[[#This Row],[Objectif de vente en unite N1]]*TableauProduit[[#This Row],[Packaging / unite]]</f>
        <v>268.8</v>
      </c>
      <c r="AN9" s="584" t="e">
        <f ca="1">TableauProduit[[#This Row],[Prix Achat de plante par kg]]*TableauProduit[[#This Row],[Total (kg) N1]]</f>
        <v>#VALUE!</v>
      </c>
      <c r="AO9" s="584">
        <f>TableauProduit[[#This Row],[Prix de vente/kg]]*TableauProduit[[#This Row],[Total (kg) N1]]</f>
        <v>1764</v>
      </c>
      <c r="AP9" s="460" t="e">
        <f ca="1">TableauProduit[[#This Row],[Revenue brut N1]]-TableauProduit[[#This Row],[Achat par kg N1]]-TableauProduit[[#This Row],[Conditionnement N1]]</f>
        <v>#VALUE!</v>
      </c>
      <c r="AQ9" s="462">
        <v>420</v>
      </c>
      <c r="AR9" s="462">
        <f>TableauProduit[[#This Row],[Poids (g) / unite]]*TableauProduit[[#This Row],[Objectif de vente en unite N1]]/1000</f>
        <v>25.2</v>
      </c>
      <c r="AS9" s="585">
        <f>TableauProduit[[#This Row],[Objectif de vente en unite N1]]*TableauProduit[[#This Row],[Packaging / unite]]</f>
        <v>268.8</v>
      </c>
      <c r="AT9" s="585" t="e">
        <f ca="1">TableauProduit[[#This Row],[Prix Achat de plante par kg]]*TableauProduit[[#This Row],[Total (kg) N1]]</f>
        <v>#VALUE!</v>
      </c>
      <c r="AU9" s="585">
        <f>TableauProduit[[#This Row],[Prix de vente/kg]]*TableauProduit[[#This Row],[Total (kg) N1]]</f>
        <v>1764</v>
      </c>
      <c r="AV9" s="462" t="e">
        <f ca="1">TableauProduit[[#This Row],[Revenue brut N1]]-TableauProduit[[#This Row],[Achat par kg N1]]-TableauProduit[[#This Row],[Conditionnement N1]]</f>
        <v>#VALUE!</v>
      </c>
      <c r="AW9" s="450">
        <v>420</v>
      </c>
      <c r="AX9" s="450">
        <f>TableauProduit[[#This Row],[Poids (g) / unite]]*TableauProduit[[#This Row],[Objectif de vente en unite N1]]/1000</f>
        <v>25.2</v>
      </c>
      <c r="AY9" s="579">
        <f>TableauProduit[[#This Row],[Objectif de vente en unite N1]]*TableauProduit[[#This Row],[Packaging / unite]]</f>
        <v>268.8</v>
      </c>
      <c r="AZ9" s="579" t="e">
        <f ca="1">TableauProduit[[#This Row],[Prix Achat de plante par kg]]*TableauProduit[[#This Row],[Total (kg) N1]]</f>
        <v>#VALUE!</v>
      </c>
      <c r="BA9" s="579">
        <f>TableauProduit[[#This Row],[Prix de vente/kg]]*TableauProduit[[#This Row],[Total (kg) N1]]</f>
        <v>1764</v>
      </c>
      <c r="BB9" s="586" t="e">
        <f ca="1">TableauProduit[[#This Row],[Revenue brut N1]]-TableauProduit[[#This Row],[Achat par kg N1]]-TableauProduit[[#This Row],[Conditionnement N1]]</f>
        <v>#VALUE!</v>
      </c>
      <c r="BC9" s="568">
        <v>420</v>
      </c>
      <c r="BD9" s="465">
        <f>TableauProduit[[#This Row],[Poids (g) / unite]]*TableauProduit[[#This Row],[Objectif de vente en unite N1]]/1000</f>
        <v>25.2</v>
      </c>
      <c r="BE9" s="587">
        <f>TableauProduit[[#This Row],[Objectif de vente en unite N1]]*TableauProduit[[#This Row],[Packaging / unite]]</f>
        <v>268.8</v>
      </c>
      <c r="BF9" s="587" t="e">
        <f ca="1">TableauProduit[[#This Row],[Prix Achat de plante par kg]]*TableauProduit[[#This Row],[Total (kg) N1]]</f>
        <v>#VALUE!</v>
      </c>
      <c r="BG9" s="587">
        <f>TableauProduit[[#This Row],[Prix de vente/kg]]*TableauProduit[[#This Row],[Total (kg) N1]]</f>
        <v>1764</v>
      </c>
      <c r="BH9" s="588" t="e">
        <f ca="1">TableauProduit[[#This Row],[Revenue brut N1]]-TableauProduit[[#This Row],[Achat par kg N1]]-TableauProduit[[#This Row],[Conditionnement N1]]</f>
        <v>#VALUE!</v>
      </c>
      <c r="BI9" s="520">
        <v>420</v>
      </c>
      <c r="BJ9" s="467">
        <f>TableauProduit[[#This Row],[Poids (g) / unite]]*TableauProduit[[#This Row],[Objectif de vente en unite N1]]/1000</f>
        <v>25.2</v>
      </c>
      <c r="BK9" s="589">
        <f>TableauProduit[[#This Row],[Objectif de vente en unite N1]]*TableauProduit[[#This Row],[Packaging / unite]]</f>
        <v>268.8</v>
      </c>
      <c r="BL9" s="589" t="e">
        <f ca="1">TableauProduit[[#This Row],[Prix Achat de plante par kg]]*TableauProduit[[#This Row],[Total (kg) N1]]</f>
        <v>#VALUE!</v>
      </c>
      <c r="BM9" s="589">
        <f>TableauProduit[[#This Row],[Prix de vente/kg]]*TableauProduit[[#This Row],[Total (kg) N1]]</f>
        <v>1764</v>
      </c>
      <c r="BN9" s="467" t="e">
        <f ca="1">TableauProduit[[#This Row],[Revenue brut N1]]-TableauProduit[[#This Row],[Achat par kg N1]]-TableauProduit[[#This Row],[Conditionnement N1]]</f>
        <v>#VALUE!</v>
      </c>
    </row>
    <row r="10" spans="1:66">
      <c r="A10" s="13" t="s">
        <v>58</v>
      </c>
      <c r="B10" s="54" t="str">
        <f>TableauProduit[[#This Row],[Recette]]&amp;TableauProduit[[#This Row],[Conditionnement]]</f>
        <v>Moutarde à l'estragonMoutarde verre 212 ml</v>
      </c>
      <c r="C10" s="11">
        <v>1.5</v>
      </c>
      <c r="D10" s="11">
        <v>210</v>
      </c>
      <c r="E10" s="6" t="s">
        <v>59</v>
      </c>
      <c r="F10" s="7">
        <f>IFERROR(VLOOKUP(TableauProduit[[#This Row],[Conditionnement]],TableauConditionnement[[Nom]:[Contenance]],4,TRUE),"")</f>
        <v>0.74</v>
      </c>
      <c r="G10" s="627" t="e">
        <f ca="1">SUMIFS(TableauRecette[Prix d''achat / kg],TableauRecette[Recette],TableauProduit[[#This Row],[Recette]],TableauRecette[Conditionnement],TableauProduit[[#This Row],[Conditionnement]])</f>
        <v>#VALUE!</v>
      </c>
      <c r="H10" s="628">
        <v>4.5</v>
      </c>
      <c r="I10" s="629">
        <f>1000*TableauProduit[[#This Row],[Prix de vente/U]]/TableauProduit[[#This Row],[Poids (g) / unite]]</f>
        <v>21.428571428571427</v>
      </c>
      <c r="J10" s="630">
        <f>SUMIFS(TableauConcurence[PRIX_KG],TableauConcurence[PRODUIT],TableauProduit[[#This Row],[Recette]],TableauConcurence[DISTRIBUTION],"magasin NON BIO")</f>
        <v>7.27</v>
      </c>
      <c r="K10" s="631">
        <f>SUMIFS(TableauConcurence[PRIX_KG],TableauConcurence[PRODUIT],TableauProduit[[#This Row],[Recette]],TableauConcurence[DISTRIBUTION],"magasin BIO")</f>
        <v>18.25</v>
      </c>
      <c r="L10" s="632">
        <f>SUMIFS(TableauConcurence[PRIX_KG],TableauConcurence[PRODUIT],TableauProduit[[#This Row],[Recette]],TableauConcurence[DISTRIBUTION],"artisanale BIO")</f>
        <v>21</v>
      </c>
      <c r="M10" s="564">
        <v>420</v>
      </c>
      <c r="N10" s="450">
        <f>TableauProduit[[#This Row],[Poids (g) / unite]]*TableauProduit[[#This Row],[Objectif de vente en unite N1]]/1000</f>
        <v>88.2</v>
      </c>
      <c r="O10" s="579">
        <f>TableauProduit[[#This Row],[Objectif de vente en unite N1]]*TableauProduit[[#This Row],[Packaging / unite]]</f>
        <v>310.8</v>
      </c>
      <c r="P10" s="579" t="e">
        <f t="shared" ca="1" si="0"/>
        <v>#VALUE!</v>
      </c>
      <c r="Q10" s="579" t="e">
        <f ca="1">TableauProduit[[#This Row],[Prix de vente/kg]]*TableauProduit[[#This Row],[Total (kg) N1]]-TableauProduit[[#This Row],[Achat par kg N1]]</f>
        <v>#VALUE!</v>
      </c>
      <c r="R10" s="582" t="e">
        <f ca="1">TableauProduit[[#This Row],[Revenue brut N1]]-TableauProduit[[#This Row],[Conditionnement N1]]</f>
        <v>#VALUE!</v>
      </c>
      <c r="S10" s="453">
        <v>420</v>
      </c>
      <c r="T10" s="452">
        <f>TableauProduit[[#This Row],[Poids (g) / unite]]*TableauProduit[[#This Row],[Objectif de vente en unite N1]]/1000</f>
        <v>88.2</v>
      </c>
      <c r="U10" s="571">
        <f>TableauProduit[[#This Row],[Objectif de vente en unite N1]]*TableauProduit[[#This Row],[Packaging / unite]]</f>
        <v>310.8</v>
      </c>
      <c r="V10" s="571" t="e">
        <f ca="1">TableauProduit[[#This Row],[Prix Achat de plante par kg]]*TableauProduit[[#This Row],[Total (kg) N1]]</f>
        <v>#VALUE!</v>
      </c>
      <c r="W10" s="571">
        <f>TableauProduit[[#This Row],[Prix de vente/kg]]*TableauProduit[[#This Row],[Total (kg) N1]]</f>
        <v>1890</v>
      </c>
      <c r="X10" s="565" t="e">
        <f ca="1">TableauProduit[[#This Row],[Revenue brut N1]]-TableauProduit[[#This Row],[Achat par kg N1]]-TableauProduit[[#This Row],[Conditionnement N1]]</f>
        <v>#VALUE!</v>
      </c>
      <c r="Y10" s="566">
        <v>420</v>
      </c>
      <c r="Z10" s="456">
        <f>TableauProduit[[#This Row],[Poids (g) / unite]]*TableauProduit[[#This Row],[Objectif de vente en unite N1]]/1000</f>
        <v>88.2</v>
      </c>
      <c r="AA10" s="574">
        <f>TableauProduit[[#This Row],[Objectif de vente en unite N1]]*TableauProduit[[#This Row],[Packaging / unite]]</f>
        <v>310.8</v>
      </c>
      <c r="AB10" s="574" t="e">
        <f ca="1">TableauProduit[[#This Row],[Prix Achat de plante par kg]]*TableauProduit[[#This Row],[Total (kg) N1]]</f>
        <v>#VALUE!</v>
      </c>
      <c r="AC10" s="574">
        <f>TableauProduit[[#This Row],[Prix de vente/kg]]*TableauProduit[[#This Row],[Total (kg) N1]]</f>
        <v>1890</v>
      </c>
      <c r="AD10" s="583" t="e">
        <f ca="1">TableauProduit[[#This Row],[Revenue brut N1]]-TableauProduit[[#This Row],[Achat par kg N1]]-TableauProduit[[#This Row],[Conditionnement N1]]</f>
        <v>#VALUE!</v>
      </c>
      <c r="AE10" s="458">
        <v>420</v>
      </c>
      <c r="AF10" s="458">
        <f>TableauProduit[[#This Row],[Poids (g) / unite]]*TableauProduit[[#This Row],[Objectif de vente en unite N1]]/1000</f>
        <v>88.2</v>
      </c>
      <c r="AG10" s="577">
        <f>TableauProduit[[#This Row],[Objectif de vente en unite N1]]*TableauProduit[[#This Row],[Packaging / unite]]</f>
        <v>310.8</v>
      </c>
      <c r="AH10" s="577" t="e">
        <f ca="1">TableauProduit[[#This Row],[Prix Achat de plante par kg]]*TableauProduit[[#This Row],[Total (kg) N1]]</f>
        <v>#VALUE!</v>
      </c>
      <c r="AI10" s="577">
        <f>TableauProduit[[#This Row],[Prix de vente/kg]]*TableauProduit[[#This Row],[Total (kg) N1]]</f>
        <v>1890</v>
      </c>
      <c r="AJ10" s="458" t="e">
        <f ca="1">TableauProduit[[#This Row],[Revenue brut N1]]-TableauProduit[[#This Row],[Achat par kg N1]]-TableauProduit[[#This Row],[Conditionnement N1]]</f>
        <v>#VALUE!</v>
      </c>
      <c r="AK10" s="460">
        <v>420</v>
      </c>
      <c r="AL10" s="460">
        <f>TableauProduit[[#This Row],[Poids (g) / unite]]*TableauProduit[[#This Row],[Objectif de vente en unite N1]]/1000</f>
        <v>88.2</v>
      </c>
      <c r="AM10" s="584">
        <f>TableauProduit[[#This Row],[Objectif de vente en unite N1]]*TableauProduit[[#This Row],[Packaging / unite]]</f>
        <v>310.8</v>
      </c>
      <c r="AN10" s="584" t="e">
        <f ca="1">TableauProduit[[#This Row],[Prix Achat de plante par kg]]*TableauProduit[[#This Row],[Total (kg) N1]]</f>
        <v>#VALUE!</v>
      </c>
      <c r="AO10" s="584">
        <f>TableauProduit[[#This Row],[Prix de vente/kg]]*TableauProduit[[#This Row],[Total (kg) N1]]</f>
        <v>1890</v>
      </c>
      <c r="AP10" s="460" t="e">
        <f ca="1">TableauProduit[[#This Row],[Revenue brut N1]]-TableauProduit[[#This Row],[Achat par kg N1]]-TableauProduit[[#This Row],[Conditionnement N1]]</f>
        <v>#VALUE!</v>
      </c>
      <c r="AQ10" s="462">
        <v>420</v>
      </c>
      <c r="AR10" s="462">
        <f>TableauProduit[[#This Row],[Poids (g) / unite]]*TableauProduit[[#This Row],[Objectif de vente en unite N1]]/1000</f>
        <v>88.2</v>
      </c>
      <c r="AS10" s="585">
        <f>TableauProduit[[#This Row],[Objectif de vente en unite N1]]*TableauProduit[[#This Row],[Packaging / unite]]</f>
        <v>310.8</v>
      </c>
      <c r="AT10" s="585" t="e">
        <f ca="1">TableauProduit[[#This Row],[Prix Achat de plante par kg]]*TableauProduit[[#This Row],[Total (kg) N1]]</f>
        <v>#VALUE!</v>
      </c>
      <c r="AU10" s="585">
        <f>TableauProduit[[#This Row],[Prix de vente/kg]]*TableauProduit[[#This Row],[Total (kg) N1]]</f>
        <v>1890</v>
      </c>
      <c r="AV10" s="462" t="e">
        <f ca="1">TableauProduit[[#This Row],[Revenue brut N1]]-TableauProduit[[#This Row],[Achat par kg N1]]-TableauProduit[[#This Row],[Conditionnement N1]]</f>
        <v>#VALUE!</v>
      </c>
      <c r="AW10" s="450">
        <v>420</v>
      </c>
      <c r="AX10" s="450">
        <f>TableauProduit[[#This Row],[Poids (g) / unite]]*TableauProduit[[#This Row],[Objectif de vente en unite N1]]/1000</f>
        <v>88.2</v>
      </c>
      <c r="AY10" s="579">
        <f>TableauProduit[[#This Row],[Objectif de vente en unite N1]]*TableauProduit[[#This Row],[Packaging / unite]]</f>
        <v>310.8</v>
      </c>
      <c r="AZ10" s="579" t="e">
        <f ca="1">TableauProduit[[#This Row],[Prix Achat de plante par kg]]*TableauProduit[[#This Row],[Total (kg) N1]]</f>
        <v>#VALUE!</v>
      </c>
      <c r="BA10" s="579">
        <f>TableauProduit[[#This Row],[Prix de vente/kg]]*TableauProduit[[#This Row],[Total (kg) N1]]</f>
        <v>1890</v>
      </c>
      <c r="BB10" s="586" t="e">
        <f ca="1">TableauProduit[[#This Row],[Revenue brut N1]]-TableauProduit[[#This Row],[Achat par kg N1]]-TableauProduit[[#This Row],[Conditionnement N1]]</f>
        <v>#VALUE!</v>
      </c>
      <c r="BC10" s="568">
        <v>420</v>
      </c>
      <c r="BD10" s="465">
        <f>TableauProduit[[#This Row],[Poids (g) / unite]]*TableauProduit[[#This Row],[Objectif de vente en unite N1]]/1000</f>
        <v>88.2</v>
      </c>
      <c r="BE10" s="587">
        <f>TableauProduit[[#This Row],[Objectif de vente en unite N1]]*TableauProduit[[#This Row],[Packaging / unite]]</f>
        <v>310.8</v>
      </c>
      <c r="BF10" s="587" t="e">
        <f ca="1">TableauProduit[[#This Row],[Prix Achat de plante par kg]]*TableauProduit[[#This Row],[Total (kg) N1]]</f>
        <v>#VALUE!</v>
      </c>
      <c r="BG10" s="587">
        <f>TableauProduit[[#This Row],[Prix de vente/kg]]*TableauProduit[[#This Row],[Total (kg) N1]]</f>
        <v>1890</v>
      </c>
      <c r="BH10" s="588" t="e">
        <f ca="1">TableauProduit[[#This Row],[Revenue brut N1]]-TableauProduit[[#This Row],[Achat par kg N1]]-TableauProduit[[#This Row],[Conditionnement N1]]</f>
        <v>#VALUE!</v>
      </c>
      <c r="BI10" s="520">
        <v>420</v>
      </c>
      <c r="BJ10" s="467">
        <f>TableauProduit[[#This Row],[Poids (g) / unite]]*TableauProduit[[#This Row],[Objectif de vente en unite N1]]/1000</f>
        <v>88.2</v>
      </c>
      <c r="BK10" s="589">
        <f>TableauProduit[[#This Row],[Objectif de vente en unite N1]]*TableauProduit[[#This Row],[Packaging / unite]]</f>
        <v>310.8</v>
      </c>
      <c r="BL10" s="589" t="e">
        <f ca="1">TableauProduit[[#This Row],[Prix Achat de plante par kg]]*TableauProduit[[#This Row],[Total (kg) N1]]</f>
        <v>#VALUE!</v>
      </c>
      <c r="BM10" s="589">
        <f>TableauProduit[[#This Row],[Prix de vente/kg]]*TableauProduit[[#This Row],[Total (kg) N1]]</f>
        <v>1890</v>
      </c>
      <c r="BN10" s="467" t="e">
        <f ca="1">TableauProduit[[#This Row],[Revenue brut N1]]-TableauProduit[[#This Row],[Achat par kg N1]]-TableauProduit[[#This Row],[Conditionnement N1]]</f>
        <v>#VALUE!</v>
      </c>
    </row>
    <row r="11" spans="1:66">
      <c r="A11" s="13" t="s">
        <v>692</v>
      </c>
      <c r="B11" s="54" t="str">
        <f>TableauProduit[[#This Row],[Recette]]&amp;TableauProduit[[#This Row],[Conditionnement]]</f>
        <v>Paprika fumeEpice 100ml</v>
      </c>
      <c r="C11" s="11">
        <v>1</v>
      </c>
      <c r="D11" s="11">
        <v>60</v>
      </c>
      <c r="E11" s="6" t="s">
        <v>55</v>
      </c>
      <c r="F11" s="7">
        <f>IFERROR(VLOOKUP(TableauProduit[[#This Row],[Conditionnement]],TableauConditionnement[[Nom]:[Contenance]],4,TRUE),"")</f>
        <v>0.64</v>
      </c>
      <c r="G11" s="627" t="e">
        <f ca="1">SUMIFS(TableauRecette[Prix d''achat / kg],TableauRecette[Recette],TableauProduit[[#This Row],[Recette]],TableauRecette[Conditionnement],TableauProduit[[#This Row],[Conditionnement]])</f>
        <v>#VALUE!</v>
      </c>
      <c r="H11" s="628">
        <v>4.5</v>
      </c>
      <c r="I11" s="629">
        <f>1000*TableauProduit[[#This Row],[Prix de vente/U]]/TableauProduit[[#This Row],[Poids (g) / unite]]</f>
        <v>75</v>
      </c>
      <c r="J11" s="630">
        <f>SUMIFS(TableauConcurence[PRIX_KG],TableauConcurence[PRODUIT],TableauProduit[[#This Row],[Recette]],TableauConcurence[DISTRIBUTION],"magasin NON BIO")</f>
        <v>57.5</v>
      </c>
      <c r="K11" s="631">
        <f>SUMIFS(TableauConcurence[PRIX_KG],TableauConcurence[PRODUIT],TableauProduit[[#This Row],[Recette]],TableauConcurence[DISTRIBUTION],"magasin BIO")</f>
        <v>70</v>
      </c>
      <c r="L11" s="632">
        <f>SUMIFS(TableauConcurence[PRIX_KG],TableauConcurence[PRODUIT],TableauProduit[[#This Row],[Recette]],TableauConcurence[DISTRIBUTION],"artisanale BIO")</f>
        <v>87.5</v>
      </c>
      <c r="M11" s="564">
        <v>420</v>
      </c>
      <c r="N11" s="450">
        <f>TableauProduit[[#This Row],[Poids (g) / unite]]*TableauProduit[[#This Row],[Objectif de vente en unite N1]]/1000</f>
        <v>25.2</v>
      </c>
      <c r="O11" s="579">
        <f>TableauProduit[[#This Row],[Objectif de vente en unite N1]]*TableauProduit[[#This Row],[Packaging / unite]]</f>
        <v>268.8</v>
      </c>
      <c r="P11" s="579" t="e">
        <f t="shared" ca="1" si="0"/>
        <v>#VALUE!</v>
      </c>
      <c r="Q11" s="579" t="e">
        <f ca="1">TableauProduit[[#This Row],[Prix de vente/kg]]*TableauProduit[[#This Row],[Total (kg) N1]]-TableauProduit[[#This Row],[Achat par kg N1]]</f>
        <v>#VALUE!</v>
      </c>
      <c r="R11" s="582" t="e">
        <f ca="1">TableauProduit[[#This Row],[Revenue brut N1]]-TableauProduit[[#This Row],[Conditionnement N1]]</f>
        <v>#VALUE!</v>
      </c>
      <c r="S11" s="453">
        <v>420</v>
      </c>
      <c r="T11" s="452">
        <f>TableauProduit[[#This Row],[Poids (g) / unite]]*TableauProduit[[#This Row],[Objectif de vente en unite N1]]/1000</f>
        <v>25.2</v>
      </c>
      <c r="U11" s="571">
        <f>TableauProduit[[#This Row],[Objectif de vente en unite N1]]*TableauProduit[[#This Row],[Packaging / unite]]</f>
        <v>268.8</v>
      </c>
      <c r="V11" s="571" t="e">
        <f ca="1">TableauProduit[[#This Row],[Prix Achat de plante par kg]]*TableauProduit[[#This Row],[Total (kg) N1]]</f>
        <v>#VALUE!</v>
      </c>
      <c r="W11" s="571">
        <f>TableauProduit[[#This Row],[Prix de vente/kg]]*TableauProduit[[#This Row],[Total (kg) N1]]</f>
        <v>1890</v>
      </c>
      <c r="X11" s="565" t="e">
        <f ca="1">TableauProduit[[#This Row],[Revenue brut N1]]-TableauProduit[[#This Row],[Achat par kg N1]]-TableauProduit[[#This Row],[Conditionnement N1]]</f>
        <v>#VALUE!</v>
      </c>
      <c r="Y11" s="566">
        <v>420</v>
      </c>
      <c r="Z11" s="456">
        <f>TableauProduit[[#This Row],[Poids (g) / unite]]*TableauProduit[[#This Row],[Objectif de vente en unite N1]]/1000</f>
        <v>25.2</v>
      </c>
      <c r="AA11" s="574">
        <f>TableauProduit[[#This Row],[Objectif de vente en unite N1]]*TableauProduit[[#This Row],[Packaging / unite]]</f>
        <v>268.8</v>
      </c>
      <c r="AB11" s="574" t="e">
        <f ca="1">TableauProduit[[#This Row],[Prix Achat de plante par kg]]*TableauProduit[[#This Row],[Total (kg) N1]]</f>
        <v>#VALUE!</v>
      </c>
      <c r="AC11" s="574">
        <f>TableauProduit[[#This Row],[Prix de vente/kg]]*TableauProduit[[#This Row],[Total (kg) N1]]</f>
        <v>1890</v>
      </c>
      <c r="AD11" s="583" t="e">
        <f ca="1">TableauProduit[[#This Row],[Revenue brut N1]]-TableauProduit[[#This Row],[Achat par kg N1]]-TableauProduit[[#This Row],[Conditionnement N1]]</f>
        <v>#VALUE!</v>
      </c>
      <c r="AE11" s="458">
        <v>420</v>
      </c>
      <c r="AF11" s="458">
        <f>TableauProduit[[#This Row],[Poids (g) / unite]]*TableauProduit[[#This Row],[Objectif de vente en unite N1]]/1000</f>
        <v>25.2</v>
      </c>
      <c r="AG11" s="577">
        <f>TableauProduit[[#This Row],[Objectif de vente en unite N1]]*TableauProduit[[#This Row],[Packaging / unite]]</f>
        <v>268.8</v>
      </c>
      <c r="AH11" s="577" t="e">
        <f ca="1">TableauProduit[[#This Row],[Prix Achat de plante par kg]]*TableauProduit[[#This Row],[Total (kg) N1]]</f>
        <v>#VALUE!</v>
      </c>
      <c r="AI11" s="577">
        <f>TableauProduit[[#This Row],[Prix de vente/kg]]*TableauProduit[[#This Row],[Total (kg) N1]]</f>
        <v>1890</v>
      </c>
      <c r="AJ11" s="458" t="e">
        <f ca="1">TableauProduit[[#This Row],[Revenue brut N1]]-TableauProduit[[#This Row],[Achat par kg N1]]-TableauProduit[[#This Row],[Conditionnement N1]]</f>
        <v>#VALUE!</v>
      </c>
      <c r="AK11" s="460">
        <v>420</v>
      </c>
      <c r="AL11" s="460">
        <f>TableauProduit[[#This Row],[Poids (g) / unite]]*TableauProduit[[#This Row],[Objectif de vente en unite N1]]/1000</f>
        <v>25.2</v>
      </c>
      <c r="AM11" s="584">
        <f>TableauProduit[[#This Row],[Objectif de vente en unite N1]]*TableauProduit[[#This Row],[Packaging / unite]]</f>
        <v>268.8</v>
      </c>
      <c r="AN11" s="584" t="e">
        <f ca="1">TableauProduit[[#This Row],[Prix Achat de plante par kg]]*TableauProduit[[#This Row],[Total (kg) N1]]</f>
        <v>#VALUE!</v>
      </c>
      <c r="AO11" s="584">
        <f>TableauProduit[[#This Row],[Prix de vente/kg]]*TableauProduit[[#This Row],[Total (kg) N1]]</f>
        <v>1890</v>
      </c>
      <c r="AP11" s="460" t="e">
        <f ca="1">TableauProduit[[#This Row],[Revenue brut N1]]-TableauProduit[[#This Row],[Achat par kg N1]]-TableauProduit[[#This Row],[Conditionnement N1]]</f>
        <v>#VALUE!</v>
      </c>
      <c r="AQ11" s="462">
        <v>420</v>
      </c>
      <c r="AR11" s="462">
        <f>TableauProduit[[#This Row],[Poids (g) / unite]]*TableauProduit[[#This Row],[Objectif de vente en unite N1]]/1000</f>
        <v>25.2</v>
      </c>
      <c r="AS11" s="585">
        <f>TableauProduit[[#This Row],[Objectif de vente en unite N1]]*TableauProduit[[#This Row],[Packaging / unite]]</f>
        <v>268.8</v>
      </c>
      <c r="AT11" s="585" t="e">
        <f ca="1">TableauProduit[[#This Row],[Prix Achat de plante par kg]]*TableauProduit[[#This Row],[Total (kg) N1]]</f>
        <v>#VALUE!</v>
      </c>
      <c r="AU11" s="585">
        <f>TableauProduit[[#This Row],[Prix de vente/kg]]*TableauProduit[[#This Row],[Total (kg) N1]]</f>
        <v>1890</v>
      </c>
      <c r="AV11" s="462" t="e">
        <f ca="1">TableauProduit[[#This Row],[Revenue brut N1]]-TableauProduit[[#This Row],[Achat par kg N1]]-TableauProduit[[#This Row],[Conditionnement N1]]</f>
        <v>#VALUE!</v>
      </c>
      <c r="AW11" s="450">
        <v>420</v>
      </c>
      <c r="AX11" s="450">
        <f>TableauProduit[[#This Row],[Poids (g) / unite]]*TableauProduit[[#This Row],[Objectif de vente en unite N1]]/1000</f>
        <v>25.2</v>
      </c>
      <c r="AY11" s="579">
        <f>TableauProduit[[#This Row],[Objectif de vente en unite N1]]*TableauProduit[[#This Row],[Packaging / unite]]</f>
        <v>268.8</v>
      </c>
      <c r="AZ11" s="579" t="e">
        <f ca="1">TableauProduit[[#This Row],[Prix Achat de plante par kg]]*TableauProduit[[#This Row],[Total (kg) N1]]</f>
        <v>#VALUE!</v>
      </c>
      <c r="BA11" s="579">
        <f>TableauProduit[[#This Row],[Prix de vente/kg]]*TableauProduit[[#This Row],[Total (kg) N1]]</f>
        <v>1890</v>
      </c>
      <c r="BB11" s="586" t="e">
        <f ca="1">TableauProduit[[#This Row],[Revenue brut N1]]-TableauProduit[[#This Row],[Achat par kg N1]]-TableauProduit[[#This Row],[Conditionnement N1]]</f>
        <v>#VALUE!</v>
      </c>
      <c r="BC11" s="568">
        <v>420</v>
      </c>
      <c r="BD11" s="465">
        <f>TableauProduit[[#This Row],[Poids (g) / unite]]*TableauProduit[[#This Row],[Objectif de vente en unite N1]]/1000</f>
        <v>25.2</v>
      </c>
      <c r="BE11" s="587">
        <f>TableauProduit[[#This Row],[Objectif de vente en unite N1]]*TableauProduit[[#This Row],[Packaging / unite]]</f>
        <v>268.8</v>
      </c>
      <c r="BF11" s="587" t="e">
        <f ca="1">TableauProduit[[#This Row],[Prix Achat de plante par kg]]*TableauProduit[[#This Row],[Total (kg) N1]]</f>
        <v>#VALUE!</v>
      </c>
      <c r="BG11" s="587">
        <f>TableauProduit[[#This Row],[Prix de vente/kg]]*TableauProduit[[#This Row],[Total (kg) N1]]</f>
        <v>1890</v>
      </c>
      <c r="BH11" s="588" t="e">
        <f ca="1">TableauProduit[[#This Row],[Revenue brut N1]]-TableauProduit[[#This Row],[Achat par kg N1]]-TableauProduit[[#This Row],[Conditionnement N1]]</f>
        <v>#VALUE!</v>
      </c>
      <c r="BI11" s="520">
        <v>420</v>
      </c>
      <c r="BJ11" s="467">
        <f>TableauProduit[[#This Row],[Poids (g) / unite]]*TableauProduit[[#This Row],[Objectif de vente en unite N1]]/1000</f>
        <v>25.2</v>
      </c>
      <c r="BK11" s="589">
        <f>TableauProduit[[#This Row],[Objectif de vente en unite N1]]*TableauProduit[[#This Row],[Packaging / unite]]</f>
        <v>268.8</v>
      </c>
      <c r="BL11" s="589" t="e">
        <f ca="1">TableauProduit[[#This Row],[Prix Achat de plante par kg]]*TableauProduit[[#This Row],[Total (kg) N1]]</f>
        <v>#VALUE!</v>
      </c>
      <c r="BM11" s="589">
        <f>TableauProduit[[#This Row],[Prix de vente/kg]]*TableauProduit[[#This Row],[Total (kg) N1]]</f>
        <v>1890</v>
      </c>
      <c r="BN11" s="467" t="e">
        <f ca="1">TableauProduit[[#This Row],[Revenue brut N1]]-TableauProduit[[#This Row],[Achat par kg N1]]-TableauProduit[[#This Row],[Conditionnement N1]]</f>
        <v>#VALUE!</v>
      </c>
    </row>
    <row r="12" spans="1:66">
      <c r="A12" s="553" t="s">
        <v>60</v>
      </c>
      <c r="B12" s="54" t="str">
        <f>TableauProduit[[#This Row],[Recette]]&amp;TableauProduit[[#This Row],[Conditionnement]]</f>
        <v>Sirop de mentheSirop 500 ml</v>
      </c>
      <c r="C12" s="11">
        <v>1</v>
      </c>
      <c r="D12" s="11">
        <v>500</v>
      </c>
      <c r="E12" s="6" t="s">
        <v>61</v>
      </c>
      <c r="F12" s="7">
        <f>IFERROR(VLOOKUP(TableauProduit[[#This Row],[Conditionnement]],TableauConditionnement[[Nom]:[Contenance]],4,TRUE),"")</f>
        <v>1.46</v>
      </c>
      <c r="G12" s="627" t="e">
        <f ca="1">SUMIFS(TableauRecette[Prix d''achat / kg],TableauRecette[Recette],TableauProduit[[#This Row],[Recette]],TableauRecette[Conditionnement],TableauProduit[[#This Row],[Conditionnement]])</f>
        <v>#VALUE!</v>
      </c>
      <c r="H12" s="634">
        <v>7</v>
      </c>
      <c r="I12" s="629">
        <f>1000*TableauProduit[[#This Row],[Prix de vente/U]]/TableauProduit[[#This Row],[Poids (g) / unite]]</f>
        <v>14</v>
      </c>
      <c r="J12" s="630">
        <f>SUMIFS(TableauConcurence[PRIX_KG],TableauConcurence[PRODUIT],TableauProduit[[#This Row],[Recette]],TableauConcurence[DISTRIBUTION],"magasin NON BIO")</f>
        <v>3.5</v>
      </c>
      <c r="K12" s="631">
        <f>SUMIFS(TableauConcurence[PRIX_KG],TableauConcurence[PRODUIT],TableauProduit[[#This Row],[Recette]],TableauConcurence[DISTRIBUTION],"magasin BIO")</f>
        <v>6.5</v>
      </c>
      <c r="L12" s="632">
        <f>SUMIFS(TableauConcurence[PRIX_KG],TableauConcurence[PRODUIT],TableauProduit[[#This Row],[Recette]],TableauConcurence[DISTRIBUTION],"artisanale BIO")</f>
        <v>8</v>
      </c>
      <c r="M12" s="564">
        <v>420</v>
      </c>
      <c r="N12" s="450">
        <f>TableauProduit[[#This Row],[Poids (g) / unite]]*TableauProduit[[#This Row],[Objectif de vente en unite N1]]/1000</f>
        <v>210</v>
      </c>
      <c r="O12" s="579">
        <f>TableauProduit[[#This Row],[Objectif de vente en unite N1]]*TableauProduit[[#This Row],[Packaging / unite]]</f>
        <v>613.19999999999993</v>
      </c>
      <c r="P12" s="579" t="e">
        <f t="shared" ca="1" si="0"/>
        <v>#VALUE!</v>
      </c>
      <c r="Q12" s="579" t="e">
        <f ca="1">TableauProduit[[#This Row],[Prix de vente/kg]]*TableauProduit[[#This Row],[Total (kg) N1]]-TableauProduit[[#This Row],[Achat par kg N1]]</f>
        <v>#VALUE!</v>
      </c>
      <c r="R12" s="582" t="e">
        <f ca="1">TableauProduit[[#This Row],[Revenue brut N1]]-TableauProduit[[#This Row],[Conditionnement N1]]</f>
        <v>#VALUE!</v>
      </c>
      <c r="S12" s="453">
        <v>420</v>
      </c>
      <c r="T12" s="452">
        <f>TableauProduit[[#This Row],[Poids (g) / unite]]*TableauProduit[[#This Row],[Objectif de vente en unite N1]]/1000</f>
        <v>210</v>
      </c>
      <c r="U12" s="571">
        <f>TableauProduit[[#This Row],[Objectif de vente en unite N1]]*TableauProduit[[#This Row],[Packaging / unite]]</f>
        <v>613.19999999999993</v>
      </c>
      <c r="V12" s="571" t="e">
        <f ca="1">TableauProduit[[#This Row],[Prix Achat de plante par kg]]*TableauProduit[[#This Row],[Total (kg) N1]]</f>
        <v>#VALUE!</v>
      </c>
      <c r="W12" s="571">
        <f>TableauProduit[[#This Row],[Prix de vente/kg]]*TableauProduit[[#This Row],[Total (kg) N1]]</f>
        <v>2940</v>
      </c>
      <c r="X12" s="565" t="e">
        <f ca="1">TableauProduit[[#This Row],[Revenue brut N1]]-TableauProduit[[#This Row],[Achat par kg N1]]-TableauProduit[[#This Row],[Conditionnement N1]]</f>
        <v>#VALUE!</v>
      </c>
      <c r="Y12" s="566">
        <v>420</v>
      </c>
      <c r="Z12" s="456">
        <f>TableauProduit[[#This Row],[Poids (g) / unite]]*TableauProduit[[#This Row],[Objectif de vente en unite N1]]/1000</f>
        <v>210</v>
      </c>
      <c r="AA12" s="574">
        <f>TableauProduit[[#This Row],[Objectif de vente en unite N1]]*TableauProduit[[#This Row],[Packaging / unite]]</f>
        <v>613.19999999999993</v>
      </c>
      <c r="AB12" s="574" t="e">
        <f ca="1">TableauProduit[[#This Row],[Prix Achat de plante par kg]]*TableauProduit[[#This Row],[Total (kg) N1]]</f>
        <v>#VALUE!</v>
      </c>
      <c r="AC12" s="574">
        <f>TableauProduit[[#This Row],[Prix de vente/kg]]*TableauProduit[[#This Row],[Total (kg) N1]]</f>
        <v>2940</v>
      </c>
      <c r="AD12" s="583" t="e">
        <f ca="1">TableauProduit[[#This Row],[Revenue brut N1]]-TableauProduit[[#This Row],[Achat par kg N1]]-TableauProduit[[#This Row],[Conditionnement N1]]</f>
        <v>#VALUE!</v>
      </c>
      <c r="AE12" s="458">
        <v>420</v>
      </c>
      <c r="AF12" s="458">
        <f>TableauProduit[[#This Row],[Poids (g) / unite]]*TableauProduit[[#This Row],[Objectif de vente en unite N1]]/1000</f>
        <v>210</v>
      </c>
      <c r="AG12" s="577">
        <f>TableauProduit[[#This Row],[Objectif de vente en unite N1]]*TableauProduit[[#This Row],[Packaging / unite]]</f>
        <v>613.19999999999993</v>
      </c>
      <c r="AH12" s="577" t="e">
        <f ca="1">TableauProduit[[#This Row],[Prix Achat de plante par kg]]*TableauProduit[[#This Row],[Total (kg) N1]]</f>
        <v>#VALUE!</v>
      </c>
      <c r="AI12" s="577">
        <f>TableauProduit[[#This Row],[Prix de vente/kg]]*TableauProduit[[#This Row],[Total (kg) N1]]</f>
        <v>2940</v>
      </c>
      <c r="AJ12" s="458" t="e">
        <f ca="1">TableauProduit[[#This Row],[Revenue brut N1]]-TableauProduit[[#This Row],[Achat par kg N1]]-TableauProduit[[#This Row],[Conditionnement N1]]</f>
        <v>#VALUE!</v>
      </c>
      <c r="AK12" s="460">
        <v>420</v>
      </c>
      <c r="AL12" s="460">
        <f>TableauProduit[[#This Row],[Poids (g) / unite]]*TableauProduit[[#This Row],[Objectif de vente en unite N1]]/1000</f>
        <v>210</v>
      </c>
      <c r="AM12" s="584">
        <f>TableauProduit[[#This Row],[Objectif de vente en unite N1]]*TableauProduit[[#This Row],[Packaging / unite]]</f>
        <v>613.19999999999993</v>
      </c>
      <c r="AN12" s="584" t="e">
        <f ca="1">TableauProduit[[#This Row],[Prix Achat de plante par kg]]*TableauProduit[[#This Row],[Total (kg) N1]]</f>
        <v>#VALUE!</v>
      </c>
      <c r="AO12" s="584">
        <f>TableauProduit[[#This Row],[Prix de vente/kg]]*TableauProduit[[#This Row],[Total (kg) N1]]</f>
        <v>2940</v>
      </c>
      <c r="AP12" s="460" t="e">
        <f ca="1">TableauProduit[[#This Row],[Revenue brut N1]]-TableauProduit[[#This Row],[Achat par kg N1]]-TableauProduit[[#This Row],[Conditionnement N1]]</f>
        <v>#VALUE!</v>
      </c>
      <c r="AQ12" s="462">
        <v>420</v>
      </c>
      <c r="AR12" s="462">
        <f>TableauProduit[[#This Row],[Poids (g) / unite]]*TableauProduit[[#This Row],[Objectif de vente en unite N1]]/1000</f>
        <v>210</v>
      </c>
      <c r="AS12" s="585">
        <f>TableauProduit[[#This Row],[Objectif de vente en unite N1]]*TableauProduit[[#This Row],[Packaging / unite]]</f>
        <v>613.19999999999993</v>
      </c>
      <c r="AT12" s="585" t="e">
        <f ca="1">TableauProduit[[#This Row],[Prix Achat de plante par kg]]*TableauProduit[[#This Row],[Total (kg) N1]]</f>
        <v>#VALUE!</v>
      </c>
      <c r="AU12" s="585">
        <f>TableauProduit[[#This Row],[Prix de vente/kg]]*TableauProduit[[#This Row],[Total (kg) N1]]</f>
        <v>2940</v>
      </c>
      <c r="AV12" s="462" t="e">
        <f ca="1">TableauProduit[[#This Row],[Revenue brut N1]]-TableauProduit[[#This Row],[Achat par kg N1]]-TableauProduit[[#This Row],[Conditionnement N1]]</f>
        <v>#VALUE!</v>
      </c>
      <c r="AW12" s="450">
        <v>420</v>
      </c>
      <c r="AX12" s="450">
        <f>TableauProduit[[#This Row],[Poids (g) / unite]]*TableauProduit[[#This Row],[Objectif de vente en unite N1]]/1000</f>
        <v>210</v>
      </c>
      <c r="AY12" s="579">
        <f>TableauProduit[[#This Row],[Objectif de vente en unite N1]]*TableauProduit[[#This Row],[Packaging / unite]]</f>
        <v>613.19999999999993</v>
      </c>
      <c r="AZ12" s="579" t="e">
        <f ca="1">TableauProduit[[#This Row],[Prix Achat de plante par kg]]*TableauProduit[[#This Row],[Total (kg) N1]]</f>
        <v>#VALUE!</v>
      </c>
      <c r="BA12" s="579">
        <f>TableauProduit[[#This Row],[Prix de vente/kg]]*TableauProduit[[#This Row],[Total (kg) N1]]</f>
        <v>2940</v>
      </c>
      <c r="BB12" s="586" t="e">
        <f ca="1">TableauProduit[[#This Row],[Revenue brut N1]]-TableauProduit[[#This Row],[Achat par kg N1]]-TableauProduit[[#This Row],[Conditionnement N1]]</f>
        <v>#VALUE!</v>
      </c>
      <c r="BC12" s="568">
        <v>420</v>
      </c>
      <c r="BD12" s="465">
        <f>TableauProduit[[#This Row],[Poids (g) / unite]]*TableauProduit[[#This Row],[Objectif de vente en unite N1]]/1000</f>
        <v>210</v>
      </c>
      <c r="BE12" s="587">
        <f>TableauProduit[[#This Row],[Objectif de vente en unite N1]]*TableauProduit[[#This Row],[Packaging / unite]]</f>
        <v>613.19999999999993</v>
      </c>
      <c r="BF12" s="587" t="e">
        <f ca="1">TableauProduit[[#This Row],[Prix Achat de plante par kg]]*TableauProduit[[#This Row],[Total (kg) N1]]</f>
        <v>#VALUE!</v>
      </c>
      <c r="BG12" s="587">
        <f>TableauProduit[[#This Row],[Prix de vente/kg]]*TableauProduit[[#This Row],[Total (kg) N1]]</f>
        <v>2940</v>
      </c>
      <c r="BH12" s="588" t="e">
        <f ca="1">TableauProduit[[#This Row],[Revenue brut N1]]-TableauProduit[[#This Row],[Achat par kg N1]]-TableauProduit[[#This Row],[Conditionnement N1]]</f>
        <v>#VALUE!</v>
      </c>
      <c r="BI12" s="520">
        <v>420</v>
      </c>
      <c r="BJ12" s="467">
        <f>TableauProduit[[#This Row],[Poids (g) / unite]]*TableauProduit[[#This Row],[Objectif de vente en unite N1]]/1000</f>
        <v>210</v>
      </c>
      <c r="BK12" s="589">
        <f>TableauProduit[[#This Row],[Objectif de vente en unite N1]]*TableauProduit[[#This Row],[Packaging / unite]]</f>
        <v>613.19999999999993</v>
      </c>
      <c r="BL12" s="589" t="e">
        <f ca="1">TableauProduit[[#This Row],[Prix Achat de plante par kg]]*TableauProduit[[#This Row],[Total (kg) N1]]</f>
        <v>#VALUE!</v>
      </c>
      <c r="BM12" s="589">
        <f>TableauProduit[[#This Row],[Prix de vente/kg]]*TableauProduit[[#This Row],[Total (kg) N1]]</f>
        <v>2940</v>
      </c>
      <c r="BN12" s="467" t="e">
        <f ca="1">TableauProduit[[#This Row],[Revenue brut N1]]-TableauProduit[[#This Row],[Achat par kg N1]]-TableauProduit[[#This Row],[Conditionnement N1]]</f>
        <v>#VALUE!</v>
      </c>
    </row>
    <row r="13" spans="1:66">
      <c r="A13" s="553" t="s">
        <v>62</v>
      </c>
      <c r="B13" s="54" t="str">
        <f>TableauProduit[[#This Row],[Recette]]&amp;TableauProduit[[#This Row],[Conditionnement]]</f>
        <v>Sucre aux fleuresEpice 100ml</v>
      </c>
      <c r="C13" s="11">
        <v>2</v>
      </c>
      <c r="D13" s="11">
        <v>75</v>
      </c>
      <c r="E13" s="6" t="s">
        <v>55</v>
      </c>
      <c r="F13" s="7">
        <f>IFERROR(VLOOKUP(TableauProduit[[#This Row],[Conditionnement]],TableauConditionnement[[Nom]:[Contenance]],4,TRUE),"")</f>
        <v>0.64</v>
      </c>
      <c r="G13" s="627" t="e">
        <f ca="1">SUMIFS(TableauRecette[Prix d''achat / kg],TableauRecette[Recette],TableauProduit[[#This Row],[Recette]],TableauRecette[Conditionnement],TableauProduit[[#This Row],[Conditionnement]])</f>
        <v>#VALUE!</v>
      </c>
      <c r="H13" s="634">
        <v>5</v>
      </c>
      <c r="I13" s="629">
        <f>1000*TableauProduit[[#This Row],[Prix de vente/U]]/TableauProduit[[#This Row],[Poids (g) / unite]]</f>
        <v>66.666666666666671</v>
      </c>
      <c r="J13" s="630">
        <f>SUMIFS(TableauConcurence[PRIX_KG],TableauConcurence[PRODUIT],TableauProduit[[#This Row],[Recette]],TableauConcurence[DISTRIBUTION],"magasin NON BIO")</f>
        <v>0</v>
      </c>
      <c r="K13" s="631">
        <f>SUMIFS(TableauConcurence[PRIX_KG],TableauConcurence[PRODUIT],TableauProduit[[#This Row],[Recette]],TableauConcurence[DISTRIBUTION],"magasin BIO")</f>
        <v>0</v>
      </c>
      <c r="L13" s="632">
        <f>SUMIFS(TableauConcurence[PRIX_KG],TableauConcurence[PRODUIT],TableauProduit[[#This Row],[Recette]],TableauConcurence[DISTRIBUTION],"artisanale BIO")</f>
        <v>0</v>
      </c>
      <c r="M13" s="564">
        <v>420</v>
      </c>
      <c r="N13" s="450">
        <f>TableauProduit[[#This Row],[Poids (g) / unite]]*TableauProduit[[#This Row],[Objectif de vente en unite N1]]/1000</f>
        <v>31.5</v>
      </c>
      <c r="O13" s="579">
        <f>TableauProduit[[#This Row],[Objectif de vente en unite N1]]*TableauProduit[[#This Row],[Packaging / unite]]</f>
        <v>268.8</v>
      </c>
      <c r="P13" s="579" t="e">
        <f t="shared" ca="1" si="0"/>
        <v>#VALUE!</v>
      </c>
      <c r="Q13" s="579" t="e">
        <f ca="1">TableauProduit[[#This Row],[Prix de vente/kg]]*TableauProduit[[#This Row],[Total (kg) N1]]-TableauProduit[[#This Row],[Achat par kg N1]]</f>
        <v>#VALUE!</v>
      </c>
      <c r="R13" s="582" t="e">
        <f ca="1">TableauProduit[[#This Row],[Revenue brut N1]]-TableauProduit[[#This Row],[Conditionnement N1]]</f>
        <v>#VALUE!</v>
      </c>
      <c r="S13" s="453">
        <v>420</v>
      </c>
      <c r="T13" s="452">
        <f>TableauProduit[[#This Row],[Poids (g) / unite]]*TableauProduit[[#This Row],[Objectif de vente en unite N1]]/1000</f>
        <v>31.5</v>
      </c>
      <c r="U13" s="571">
        <f>TableauProduit[[#This Row],[Objectif de vente en unite N1]]*TableauProduit[[#This Row],[Packaging / unite]]</f>
        <v>268.8</v>
      </c>
      <c r="V13" s="571" t="e">
        <f ca="1">TableauProduit[[#This Row],[Prix Achat de plante par kg]]*TableauProduit[[#This Row],[Total (kg) N1]]</f>
        <v>#VALUE!</v>
      </c>
      <c r="W13" s="571">
        <f>TableauProduit[[#This Row],[Prix de vente/kg]]*TableauProduit[[#This Row],[Total (kg) N1]]</f>
        <v>2100</v>
      </c>
      <c r="X13" s="565" t="e">
        <f ca="1">TableauProduit[[#This Row],[Revenue brut N1]]-TableauProduit[[#This Row],[Achat par kg N1]]-TableauProduit[[#This Row],[Conditionnement N1]]</f>
        <v>#VALUE!</v>
      </c>
      <c r="Y13" s="566">
        <v>420</v>
      </c>
      <c r="Z13" s="456">
        <f>TableauProduit[[#This Row],[Poids (g) / unite]]*TableauProduit[[#This Row],[Objectif de vente en unite N1]]/1000</f>
        <v>31.5</v>
      </c>
      <c r="AA13" s="574">
        <f>TableauProduit[[#This Row],[Objectif de vente en unite N1]]*TableauProduit[[#This Row],[Packaging / unite]]</f>
        <v>268.8</v>
      </c>
      <c r="AB13" s="574" t="e">
        <f ca="1">TableauProduit[[#This Row],[Prix Achat de plante par kg]]*TableauProduit[[#This Row],[Total (kg) N1]]</f>
        <v>#VALUE!</v>
      </c>
      <c r="AC13" s="574">
        <f>TableauProduit[[#This Row],[Prix de vente/kg]]*TableauProduit[[#This Row],[Total (kg) N1]]</f>
        <v>2100</v>
      </c>
      <c r="AD13" s="583" t="e">
        <f ca="1">TableauProduit[[#This Row],[Revenue brut N1]]-TableauProduit[[#This Row],[Achat par kg N1]]-TableauProduit[[#This Row],[Conditionnement N1]]</f>
        <v>#VALUE!</v>
      </c>
      <c r="AE13" s="458">
        <v>420</v>
      </c>
      <c r="AF13" s="458">
        <f>TableauProduit[[#This Row],[Poids (g) / unite]]*TableauProduit[[#This Row],[Objectif de vente en unite N1]]/1000</f>
        <v>31.5</v>
      </c>
      <c r="AG13" s="577">
        <f>TableauProduit[[#This Row],[Objectif de vente en unite N1]]*TableauProduit[[#This Row],[Packaging / unite]]</f>
        <v>268.8</v>
      </c>
      <c r="AH13" s="577" t="e">
        <f ca="1">TableauProduit[[#This Row],[Prix Achat de plante par kg]]*TableauProduit[[#This Row],[Total (kg) N1]]</f>
        <v>#VALUE!</v>
      </c>
      <c r="AI13" s="577">
        <f>TableauProduit[[#This Row],[Prix de vente/kg]]*TableauProduit[[#This Row],[Total (kg) N1]]</f>
        <v>2100</v>
      </c>
      <c r="AJ13" s="458" t="e">
        <f ca="1">TableauProduit[[#This Row],[Revenue brut N1]]-TableauProduit[[#This Row],[Achat par kg N1]]-TableauProduit[[#This Row],[Conditionnement N1]]</f>
        <v>#VALUE!</v>
      </c>
      <c r="AK13" s="460">
        <v>420</v>
      </c>
      <c r="AL13" s="460">
        <f>TableauProduit[[#This Row],[Poids (g) / unite]]*TableauProduit[[#This Row],[Objectif de vente en unite N1]]/1000</f>
        <v>31.5</v>
      </c>
      <c r="AM13" s="584">
        <f>TableauProduit[[#This Row],[Objectif de vente en unite N1]]*TableauProduit[[#This Row],[Packaging / unite]]</f>
        <v>268.8</v>
      </c>
      <c r="AN13" s="584" t="e">
        <f ca="1">TableauProduit[[#This Row],[Prix Achat de plante par kg]]*TableauProduit[[#This Row],[Total (kg) N1]]</f>
        <v>#VALUE!</v>
      </c>
      <c r="AO13" s="584">
        <f>TableauProduit[[#This Row],[Prix de vente/kg]]*TableauProduit[[#This Row],[Total (kg) N1]]</f>
        <v>2100</v>
      </c>
      <c r="AP13" s="460" t="e">
        <f ca="1">TableauProduit[[#This Row],[Revenue brut N1]]-TableauProduit[[#This Row],[Achat par kg N1]]-TableauProduit[[#This Row],[Conditionnement N1]]</f>
        <v>#VALUE!</v>
      </c>
      <c r="AQ13" s="462">
        <v>420</v>
      </c>
      <c r="AR13" s="462">
        <f>TableauProduit[[#This Row],[Poids (g) / unite]]*TableauProduit[[#This Row],[Objectif de vente en unite N1]]/1000</f>
        <v>31.5</v>
      </c>
      <c r="AS13" s="585">
        <f>TableauProduit[[#This Row],[Objectif de vente en unite N1]]*TableauProduit[[#This Row],[Packaging / unite]]</f>
        <v>268.8</v>
      </c>
      <c r="AT13" s="585" t="e">
        <f ca="1">TableauProduit[[#This Row],[Prix Achat de plante par kg]]*TableauProduit[[#This Row],[Total (kg) N1]]</f>
        <v>#VALUE!</v>
      </c>
      <c r="AU13" s="585">
        <f>TableauProduit[[#This Row],[Prix de vente/kg]]*TableauProduit[[#This Row],[Total (kg) N1]]</f>
        <v>2100</v>
      </c>
      <c r="AV13" s="462" t="e">
        <f ca="1">TableauProduit[[#This Row],[Revenue brut N1]]-TableauProduit[[#This Row],[Achat par kg N1]]-TableauProduit[[#This Row],[Conditionnement N1]]</f>
        <v>#VALUE!</v>
      </c>
      <c r="AW13" s="450">
        <v>420</v>
      </c>
      <c r="AX13" s="450">
        <f>TableauProduit[[#This Row],[Poids (g) / unite]]*TableauProduit[[#This Row],[Objectif de vente en unite N1]]/1000</f>
        <v>31.5</v>
      </c>
      <c r="AY13" s="579">
        <f>TableauProduit[[#This Row],[Objectif de vente en unite N1]]*TableauProduit[[#This Row],[Packaging / unite]]</f>
        <v>268.8</v>
      </c>
      <c r="AZ13" s="579" t="e">
        <f ca="1">TableauProduit[[#This Row],[Prix Achat de plante par kg]]*TableauProduit[[#This Row],[Total (kg) N1]]</f>
        <v>#VALUE!</v>
      </c>
      <c r="BA13" s="579">
        <f>TableauProduit[[#This Row],[Prix de vente/kg]]*TableauProduit[[#This Row],[Total (kg) N1]]</f>
        <v>2100</v>
      </c>
      <c r="BB13" s="586" t="e">
        <f ca="1">TableauProduit[[#This Row],[Revenue brut N1]]-TableauProduit[[#This Row],[Achat par kg N1]]-TableauProduit[[#This Row],[Conditionnement N1]]</f>
        <v>#VALUE!</v>
      </c>
      <c r="BC13" s="568">
        <v>420</v>
      </c>
      <c r="BD13" s="465">
        <f>TableauProduit[[#This Row],[Poids (g) / unite]]*TableauProduit[[#This Row],[Objectif de vente en unite N1]]/1000</f>
        <v>31.5</v>
      </c>
      <c r="BE13" s="587">
        <f>TableauProduit[[#This Row],[Objectif de vente en unite N1]]*TableauProduit[[#This Row],[Packaging / unite]]</f>
        <v>268.8</v>
      </c>
      <c r="BF13" s="587" t="e">
        <f ca="1">TableauProduit[[#This Row],[Prix Achat de plante par kg]]*TableauProduit[[#This Row],[Total (kg) N1]]</f>
        <v>#VALUE!</v>
      </c>
      <c r="BG13" s="587">
        <f>TableauProduit[[#This Row],[Prix de vente/kg]]*TableauProduit[[#This Row],[Total (kg) N1]]</f>
        <v>2100</v>
      </c>
      <c r="BH13" s="588" t="e">
        <f ca="1">TableauProduit[[#This Row],[Revenue brut N1]]-TableauProduit[[#This Row],[Achat par kg N1]]-TableauProduit[[#This Row],[Conditionnement N1]]</f>
        <v>#VALUE!</v>
      </c>
      <c r="BI13" s="520">
        <v>420</v>
      </c>
      <c r="BJ13" s="467">
        <f>TableauProduit[[#This Row],[Poids (g) / unite]]*TableauProduit[[#This Row],[Objectif de vente en unite N1]]/1000</f>
        <v>31.5</v>
      </c>
      <c r="BK13" s="589">
        <f>TableauProduit[[#This Row],[Objectif de vente en unite N1]]*TableauProduit[[#This Row],[Packaging / unite]]</f>
        <v>268.8</v>
      </c>
      <c r="BL13" s="589" t="e">
        <f ca="1">TableauProduit[[#This Row],[Prix Achat de plante par kg]]*TableauProduit[[#This Row],[Total (kg) N1]]</f>
        <v>#VALUE!</v>
      </c>
      <c r="BM13" s="589">
        <f>TableauProduit[[#This Row],[Prix de vente/kg]]*TableauProduit[[#This Row],[Total (kg) N1]]</f>
        <v>2100</v>
      </c>
      <c r="BN13" s="467" t="e">
        <f ca="1">TableauProduit[[#This Row],[Revenue brut N1]]-TableauProduit[[#This Row],[Achat par kg N1]]-TableauProduit[[#This Row],[Conditionnement N1]]</f>
        <v>#VALUE!</v>
      </c>
    </row>
    <row r="14" spans="1:66">
      <c r="A14" s="13" t="s">
        <v>63</v>
      </c>
      <c r="B14" s="54" t="str">
        <f>TableauProduit[[#This Row],[Recette]]&amp;TableauProduit[[#This Row],[Conditionnement]]</f>
        <v>CurryEpice 100ml</v>
      </c>
      <c r="C14" s="11">
        <v>1</v>
      </c>
      <c r="D14" s="11">
        <f>VLOOKUP(TableauProduit[[#This Row],[Recette]],Old[],3)</f>
        <v>65</v>
      </c>
      <c r="E14" s="6" t="s">
        <v>55</v>
      </c>
      <c r="F14" s="7">
        <f>IFERROR(VLOOKUP(TableauProduit[[#This Row],[Conditionnement]],TableauConditionnement[[Nom]:[Contenance]],4,TRUE),"")</f>
        <v>0.64</v>
      </c>
      <c r="G14" s="603">
        <f ca="1">SUMIF(TableauRecette[ID],TableauProduit[[#This Row],[ID]],TableauRecette[Prix pour kg/ de melange])</f>
        <v>0</v>
      </c>
      <c r="H14" s="628">
        <v>5.5</v>
      </c>
      <c r="I14" s="629">
        <f>1000*TableauProduit[[#This Row],[Prix de vente/U]]/TableauProduit[[#This Row],[Poids (g) / unite]]</f>
        <v>84.615384615384613</v>
      </c>
      <c r="J14" s="630">
        <f>SUMIFS(TableauConcurence[PRIX_KG],TableauConcurence[PRODUIT],TableauProduit[[#This Row],[Recette]],TableauConcurence[DISTRIBUTION],"magasin NON BIO")</f>
        <v>46.67</v>
      </c>
      <c r="K14" s="631">
        <f>SUMIFS(TableauConcurence[PRIX_KG],TableauConcurence[PRODUIT],TableauProduit[[#This Row],[Recette]],TableauConcurence[DISTRIBUTION],"magasin BIO")</f>
        <v>45</v>
      </c>
      <c r="L14" s="632">
        <f>SUMIFS(TableauConcurence[PRIX_KG],TableauConcurence[PRODUIT],TableauProduit[[#This Row],[Recette]],TableauConcurence[DISTRIBUTION],"artisanale BIO")</f>
        <v>60</v>
      </c>
      <c r="M14" s="564">
        <v>420</v>
      </c>
      <c r="N14" s="450">
        <f>TableauProduit[[#This Row],[Poids (g) / unite]]*TableauProduit[[#This Row],[Objectif de vente en unite N1]]/1000</f>
        <v>27.3</v>
      </c>
      <c r="O14" s="579">
        <f>TableauProduit[[#This Row],[Objectif de vente en unite N1]]*TableauProduit[[#This Row],[Packaging / unite]]</f>
        <v>268.8</v>
      </c>
      <c r="P14" s="579">
        <f t="shared" ca="1" si="0"/>
        <v>0</v>
      </c>
      <c r="Q14" s="579">
        <f ca="1">TableauProduit[[#This Row],[Prix de vente/kg]]*TableauProduit[[#This Row],[Total (kg) N1]]-TableauProduit[[#This Row],[Achat par kg N1]]</f>
        <v>2243.3333333333335</v>
      </c>
      <c r="R14" s="582">
        <f ca="1">TableauProduit[[#This Row],[Revenue brut N1]]-TableauProduit[[#This Row],[Conditionnement N1]]</f>
        <v>1974.5333333333335</v>
      </c>
      <c r="S14" s="453">
        <v>420</v>
      </c>
      <c r="T14" s="452">
        <f>TableauProduit[[#This Row],[Poids (g) / unite]]*TableauProduit[[#This Row],[Objectif de vente en unite N1]]/1000</f>
        <v>27.3</v>
      </c>
      <c r="U14" s="571">
        <f>TableauProduit[[#This Row],[Objectif de vente en unite N1]]*TableauProduit[[#This Row],[Packaging / unite]]</f>
        <v>268.8</v>
      </c>
      <c r="V14" s="571">
        <f ca="1">TableauProduit[[#This Row],[Prix Achat de plante par kg]]*TableauProduit[[#This Row],[Total (kg) N1]]</f>
        <v>42.896306818181813</v>
      </c>
      <c r="W14" s="571">
        <f>TableauProduit[[#This Row],[Prix de vente/kg]]*TableauProduit[[#This Row],[Total (kg) N1]]</f>
        <v>2310</v>
      </c>
      <c r="X14" s="565">
        <f ca="1">TableauProduit[[#This Row],[Revenue brut N1]]-TableauProduit[[#This Row],[Achat par kg N1]]-TableauProduit[[#This Row],[Conditionnement N1]]</f>
        <v>1907.866666666667</v>
      </c>
      <c r="Y14" s="566">
        <v>420</v>
      </c>
      <c r="Z14" s="456">
        <f>TableauProduit[[#This Row],[Poids (g) / unite]]*TableauProduit[[#This Row],[Objectif de vente en unite N1]]/1000</f>
        <v>27.3</v>
      </c>
      <c r="AA14" s="574">
        <f>TableauProduit[[#This Row],[Objectif de vente en unite N1]]*TableauProduit[[#This Row],[Packaging / unite]]</f>
        <v>268.8</v>
      </c>
      <c r="AB14" s="574">
        <f ca="1">TableauProduit[[#This Row],[Prix Achat de plante par kg]]*TableauProduit[[#This Row],[Total (kg) N1]]</f>
        <v>42.896306818181813</v>
      </c>
      <c r="AC14" s="574">
        <f>TableauProduit[[#This Row],[Prix de vente/kg]]*TableauProduit[[#This Row],[Total (kg) N1]]</f>
        <v>2310</v>
      </c>
      <c r="AD14" s="583">
        <f ca="1">TableauProduit[[#This Row],[Revenue brut N1]]-TableauProduit[[#This Row],[Achat par kg N1]]-TableauProduit[[#This Row],[Conditionnement N1]]</f>
        <v>1907.866666666667</v>
      </c>
      <c r="AE14" s="458">
        <v>420</v>
      </c>
      <c r="AF14" s="458">
        <f>TableauProduit[[#This Row],[Poids (g) / unite]]*TableauProduit[[#This Row],[Objectif de vente en unite N1]]/1000</f>
        <v>27.3</v>
      </c>
      <c r="AG14" s="577">
        <f>TableauProduit[[#This Row],[Objectif de vente en unite N1]]*TableauProduit[[#This Row],[Packaging / unite]]</f>
        <v>268.8</v>
      </c>
      <c r="AH14" s="577">
        <f ca="1">TableauProduit[[#This Row],[Prix Achat de plante par kg]]*TableauProduit[[#This Row],[Total (kg) N1]]</f>
        <v>42.896306818181813</v>
      </c>
      <c r="AI14" s="577">
        <f>TableauProduit[[#This Row],[Prix de vente/kg]]*TableauProduit[[#This Row],[Total (kg) N1]]</f>
        <v>2310</v>
      </c>
      <c r="AJ14" s="458">
        <f ca="1">TableauProduit[[#This Row],[Revenue brut N1]]-TableauProduit[[#This Row],[Achat par kg N1]]-TableauProduit[[#This Row],[Conditionnement N1]]</f>
        <v>1907.866666666667</v>
      </c>
      <c r="AK14" s="460">
        <v>420</v>
      </c>
      <c r="AL14" s="460">
        <f>TableauProduit[[#This Row],[Poids (g) / unite]]*TableauProduit[[#This Row],[Objectif de vente en unite N1]]/1000</f>
        <v>27.3</v>
      </c>
      <c r="AM14" s="584">
        <f>TableauProduit[[#This Row],[Objectif de vente en unite N1]]*TableauProduit[[#This Row],[Packaging / unite]]</f>
        <v>268.8</v>
      </c>
      <c r="AN14" s="584">
        <f ca="1">TableauProduit[[#This Row],[Prix Achat de plante par kg]]*TableauProduit[[#This Row],[Total (kg) N1]]</f>
        <v>42.896306818181813</v>
      </c>
      <c r="AO14" s="584">
        <f>TableauProduit[[#This Row],[Prix de vente/kg]]*TableauProduit[[#This Row],[Total (kg) N1]]</f>
        <v>2310</v>
      </c>
      <c r="AP14" s="460">
        <f ca="1">TableauProduit[[#This Row],[Revenue brut N1]]-TableauProduit[[#This Row],[Achat par kg N1]]-TableauProduit[[#This Row],[Conditionnement N1]]</f>
        <v>1907.866666666667</v>
      </c>
      <c r="AQ14" s="462">
        <v>420</v>
      </c>
      <c r="AR14" s="462">
        <f>TableauProduit[[#This Row],[Poids (g) / unite]]*TableauProduit[[#This Row],[Objectif de vente en unite N1]]/1000</f>
        <v>27.3</v>
      </c>
      <c r="AS14" s="585">
        <f>TableauProduit[[#This Row],[Objectif de vente en unite N1]]*TableauProduit[[#This Row],[Packaging / unite]]</f>
        <v>268.8</v>
      </c>
      <c r="AT14" s="585">
        <f ca="1">TableauProduit[[#This Row],[Prix Achat de plante par kg]]*TableauProduit[[#This Row],[Total (kg) N1]]</f>
        <v>42.896306818181813</v>
      </c>
      <c r="AU14" s="585">
        <f>TableauProduit[[#This Row],[Prix de vente/kg]]*TableauProduit[[#This Row],[Total (kg) N1]]</f>
        <v>2310</v>
      </c>
      <c r="AV14" s="462">
        <f ca="1">TableauProduit[[#This Row],[Revenue brut N1]]-TableauProduit[[#This Row],[Achat par kg N1]]-TableauProduit[[#This Row],[Conditionnement N1]]</f>
        <v>1907.866666666667</v>
      </c>
      <c r="AW14" s="450">
        <v>420</v>
      </c>
      <c r="AX14" s="450">
        <f>TableauProduit[[#This Row],[Poids (g) / unite]]*TableauProduit[[#This Row],[Objectif de vente en unite N1]]/1000</f>
        <v>27.3</v>
      </c>
      <c r="AY14" s="579">
        <f>TableauProduit[[#This Row],[Objectif de vente en unite N1]]*TableauProduit[[#This Row],[Packaging / unite]]</f>
        <v>268.8</v>
      </c>
      <c r="AZ14" s="579">
        <f ca="1">TableauProduit[[#This Row],[Prix Achat de plante par kg]]*TableauProduit[[#This Row],[Total (kg) N1]]</f>
        <v>42.896306818181813</v>
      </c>
      <c r="BA14" s="579">
        <f>TableauProduit[[#This Row],[Prix de vente/kg]]*TableauProduit[[#This Row],[Total (kg) N1]]</f>
        <v>2310</v>
      </c>
      <c r="BB14" s="586">
        <f ca="1">TableauProduit[[#This Row],[Revenue brut N1]]-TableauProduit[[#This Row],[Achat par kg N1]]-TableauProduit[[#This Row],[Conditionnement N1]]</f>
        <v>1907.866666666667</v>
      </c>
      <c r="BC14" s="568">
        <v>420</v>
      </c>
      <c r="BD14" s="465">
        <f>TableauProduit[[#This Row],[Poids (g) / unite]]*TableauProduit[[#This Row],[Objectif de vente en unite N1]]/1000</f>
        <v>27.3</v>
      </c>
      <c r="BE14" s="587">
        <f>TableauProduit[[#This Row],[Objectif de vente en unite N1]]*TableauProduit[[#This Row],[Packaging / unite]]</f>
        <v>268.8</v>
      </c>
      <c r="BF14" s="587">
        <f ca="1">TableauProduit[[#This Row],[Prix Achat de plante par kg]]*TableauProduit[[#This Row],[Total (kg) N1]]</f>
        <v>42.896306818181813</v>
      </c>
      <c r="BG14" s="587">
        <f>TableauProduit[[#This Row],[Prix de vente/kg]]*TableauProduit[[#This Row],[Total (kg) N1]]</f>
        <v>2310</v>
      </c>
      <c r="BH14" s="588">
        <f ca="1">TableauProduit[[#This Row],[Revenue brut N1]]-TableauProduit[[#This Row],[Achat par kg N1]]-TableauProduit[[#This Row],[Conditionnement N1]]</f>
        <v>1907.866666666667</v>
      </c>
      <c r="BI14" s="520">
        <v>420</v>
      </c>
      <c r="BJ14" s="467">
        <f>TableauProduit[[#This Row],[Poids (g) / unite]]*TableauProduit[[#This Row],[Objectif de vente en unite N1]]/1000</f>
        <v>27.3</v>
      </c>
      <c r="BK14" s="589">
        <f>TableauProduit[[#This Row],[Objectif de vente en unite N1]]*TableauProduit[[#This Row],[Packaging / unite]]</f>
        <v>268.8</v>
      </c>
      <c r="BL14" s="589">
        <f ca="1">TableauProduit[[#This Row],[Prix Achat de plante par kg]]*TableauProduit[[#This Row],[Total (kg) N1]]</f>
        <v>42.896306818181813</v>
      </c>
      <c r="BM14" s="589">
        <f>TableauProduit[[#This Row],[Prix de vente/kg]]*TableauProduit[[#This Row],[Total (kg) N1]]</f>
        <v>2310</v>
      </c>
      <c r="BN14" s="467">
        <f ca="1">TableauProduit[[#This Row],[Revenue brut N1]]-TableauProduit[[#This Row],[Achat par kg N1]]-TableauProduit[[#This Row],[Conditionnement N1]]</f>
        <v>1907.866666666667</v>
      </c>
    </row>
    <row r="15" spans="1:66">
      <c r="A15" s="13" t="s">
        <v>52</v>
      </c>
      <c r="B15" s="54" t="str">
        <f>TableauProduit[[#This Row],[Recette]]&amp;TableauProduit[[#This Row],[Conditionnement]]</f>
        <v>Cornichons aigres-douxCornichon doux</v>
      </c>
      <c r="C15" s="11">
        <v>1</v>
      </c>
      <c r="D15" s="11">
        <v>680</v>
      </c>
      <c r="E15" s="6" t="s">
        <v>53</v>
      </c>
      <c r="F15" s="674">
        <v>1.69</v>
      </c>
      <c r="G15" s="627">
        <f ca="1">SUMIFS(TableauRecette[Prix d''achat / kg],TableauRecette[Recette],TableauProduit[[#This Row],[Recette]],TableauRecette[Conditionnement],TableauProduit[[#This Row],[Conditionnement]])</f>
        <v>0</v>
      </c>
      <c r="H15" s="628">
        <v>7</v>
      </c>
      <c r="I15" s="629">
        <f>1000*TableauProduit[[#This Row],[Prix de vente/U]]/TableauProduit[[#This Row],[Poids (g) / unite]]</f>
        <v>10.294117647058824</v>
      </c>
      <c r="J15" s="630">
        <f>SUMIFS(TableauConcurence[PRIX_KG],TableauConcurence[PRODUIT],TableauProduit[[#This Row],[Recette]],TableauConcurence[DISTRIBUTION],"magasin NON BIO")</f>
        <v>0</v>
      </c>
      <c r="K15" s="631">
        <f>SUMIFS(TableauConcurence[PRIX_KG],TableauConcurence[PRODUIT],TableauProduit[[#This Row],[Recette]],TableauConcurence[DISTRIBUTION],"magasin BIO")</f>
        <v>0</v>
      </c>
      <c r="L15" s="632">
        <f>SUMIFS(TableauConcurence[PRIX_KG],TableauConcurence[PRODUIT],TableauProduit[[#This Row],[Recette]],TableauConcurence[DISTRIBUTION],"artisanale BIO")</f>
        <v>0</v>
      </c>
      <c r="M15" s="564">
        <v>250</v>
      </c>
      <c r="N15" s="450">
        <f>TableauProduit[[#This Row],[Poids (g) / unite]]*TableauProduit[[#This Row],[Objectif de vente en unite N1]]/1000</f>
        <v>170</v>
      </c>
      <c r="O15" s="579">
        <f>TableauProduit[[#This Row],[Objectif de vente en unite N1]]*TableauProduit[[#This Row],[Packaging / unite]]</f>
        <v>422.5</v>
      </c>
      <c r="P15" s="579">
        <f t="shared" ca="1" si="0"/>
        <v>0</v>
      </c>
      <c r="Q15" s="579">
        <f ca="1">TableauProduit[[#This Row],[Prix de vente/kg]]*TableauProduit[[#This Row],[Total (kg) N1]]-TableauProduit[[#This Row],[Achat par kg N1]]</f>
        <v>0</v>
      </c>
      <c r="R15" s="582" t="e">
        <f ca="1">TableauProduit[[#This Row],[Revenue brut N1]]-TableauProduit[[#This Row],[Conditionnement N1]]</f>
        <v>#VALUE!</v>
      </c>
      <c r="S15" s="453"/>
      <c r="T15" s="452">
        <f>TableauProduit[[#This Row],[Poids (g) / unite]]*TableauProduit[[#This Row],[Objectif de vente en unite N1]]/1000</f>
        <v>170</v>
      </c>
      <c r="U15" s="571">
        <f>TableauProduit[[#This Row],[Objectif de vente en unite N1]]*TableauProduit[[#This Row],[Packaging / unite]]</f>
        <v>422.5</v>
      </c>
      <c r="V15" s="571">
        <f ca="1">TableauProduit[[#This Row],[Prix Achat de plante par kg]]*TableauProduit[[#This Row],[Total (kg) N1]]</f>
        <v>0</v>
      </c>
      <c r="W15" s="571">
        <f>TableauProduit[[#This Row],[Prix de vente/kg]]*TableauProduit[[#This Row],[Total (kg) N1]]</f>
        <v>1750.0000000000002</v>
      </c>
      <c r="X15" s="565" t="e">
        <f ca="1">TableauProduit[[#This Row],[Revenue brut N1]]-TableauProduit[[#This Row],[Achat par kg N1]]-TableauProduit[[#This Row],[Conditionnement N1]]</f>
        <v>#VALUE!</v>
      </c>
      <c r="Y15" s="566"/>
      <c r="Z15" s="456">
        <f>TableauProduit[[#This Row],[Poids (g) / unite]]*TableauProduit[[#This Row],[Objectif de vente en unite N1]]/1000</f>
        <v>170</v>
      </c>
      <c r="AA15" s="574">
        <f>TableauProduit[[#This Row],[Objectif de vente en unite N1]]*TableauProduit[[#This Row],[Packaging / unite]]</f>
        <v>422.5</v>
      </c>
      <c r="AB15" s="574">
        <f ca="1">TableauProduit[[#This Row],[Prix Achat de plante par kg]]*TableauProduit[[#This Row],[Total (kg) N1]]</f>
        <v>0</v>
      </c>
      <c r="AC15" s="574">
        <f>TableauProduit[[#This Row],[Prix de vente/kg]]*TableauProduit[[#This Row],[Total (kg) N1]]</f>
        <v>1750.0000000000002</v>
      </c>
      <c r="AD15" s="583" t="e">
        <f ca="1">TableauProduit[[#This Row],[Revenue brut N1]]-TableauProduit[[#This Row],[Achat par kg N1]]-TableauProduit[[#This Row],[Conditionnement N1]]</f>
        <v>#VALUE!</v>
      </c>
      <c r="AE15" s="458"/>
      <c r="AF15" s="458">
        <f>TableauProduit[[#This Row],[Poids (g) / unite]]*TableauProduit[[#This Row],[Objectif de vente en unite N1]]/1000</f>
        <v>170</v>
      </c>
      <c r="AG15" s="577">
        <f>TableauProduit[[#This Row],[Objectif de vente en unite N1]]*TableauProduit[[#This Row],[Packaging / unite]]</f>
        <v>422.5</v>
      </c>
      <c r="AH15" s="577">
        <f ca="1">TableauProduit[[#This Row],[Prix Achat de plante par kg]]*TableauProduit[[#This Row],[Total (kg) N1]]</f>
        <v>0</v>
      </c>
      <c r="AI15" s="577">
        <f>TableauProduit[[#This Row],[Prix de vente/kg]]*TableauProduit[[#This Row],[Total (kg) N1]]</f>
        <v>1750.0000000000002</v>
      </c>
      <c r="AJ15" s="458" t="e">
        <f ca="1">TableauProduit[[#This Row],[Revenue brut N1]]-TableauProduit[[#This Row],[Achat par kg N1]]-TableauProduit[[#This Row],[Conditionnement N1]]</f>
        <v>#VALUE!</v>
      </c>
      <c r="AK15" s="460"/>
      <c r="AL15" s="460">
        <f>TableauProduit[[#This Row],[Poids (g) / unite]]*TableauProduit[[#This Row],[Objectif de vente en unite N1]]/1000</f>
        <v>170</v>
      </c>
      <c r="AM15" s="584">
        <f>TableauProduit[[#This Row],[Objectif de vente en unite N1]]*TableauProduit[[#This Row],[Packaging / unite]]</f>
        <v>422.5</v>
      </c>
      <c r="AN15" s="584">
        <f ca="1">TableauProduit[[#This Row],[Prix Achat de plante par kg]]*TableauProduit[[#This Row],[Total (kg) N1]]</f>
        <v>0</v>
      </c>
      <c r="AO15" s="584">
        <f>TableauProduit[[#This Row],[Prix de vente/kg]]*TableauProduit[[#This Row],[Total (kg) N1]]</f>
        <v>1750.0000000000002</v>
      </c>
      <c r="AP15" s="460" t="e">
        <f ca="1">TableauProduit[[#This Row],[Revenue brut N1]]-TableauProduit[[#This Row],[Achat par kg N1]]-TableauProduit[[#This Row],[Conditionnement N1]]</f>
        <v>#VALUE!</v>
      </c>
      <c r="AQ15" s="462"/>
      <c r="AR15" s="462">
        <f>TableauProduit[[#This Row],[Poids (g) / unite]]*TableauProduit[[#This Row],[Objectif de vente en unite N1]]/1000</f>
        <v>170</v>
      </c>
      <c r="AS15" s="585">
        <f>TableauProduit[[#This Row],[Objectif de vente en unite N1]]*TableauProduit[[#This Row],[Packaging / unite]]</f>
        <v>422.5</v>
      </c>
      <c r="AT15" s="585">
        <f ca="1">TableauProduit[[#This Row],[Prix Achat de plante par kg]]*TableauProduit[[#This Row],[Total (kg) N1]]</f>
        <v>0</v>
      </c>
      <c r="AU15" s="585">
        <f>TableauProduit[[#This Row],[Prix de vente/kg]]*TableauProduit[[#This Row],[Total (kg) N1]]</f>
        <v>1750.0000000000002</v>
      </c>
      <c r="AV15" s="462" t="e">
        <f ca="1">TableauProduit[[#This Row],[Revenue brut N1]]-TableauProduit[[#This Row],[Achat par kg N1]]-TableauProduit[[#This Row],[Conditionnement N1]]</f>
        <v>#VALUE!</v>
      </c>
      <c r="AW15" s="450"/>
      <c r="AX15" s="450">
        <f>TableauProduit[[#This Row],[Poids (g) / unite]]*TableauProduit[[#This Row],[Objectif de vente en unite N1]]/1000</f>
        <v>170</v>
      </c>
      <c r="AY15" s="579">
        <f>TableauProduit[[#This Row],[Objectif de vente en unite N1]]*TableauProduit[[#This Row],[Packaging / unite]]</f>
        <v>422.5</v>
      </c>
      <c r="AZ15" s="579">
        <f ca="1">TableauProduit[[#This Row],[Prix Achat de plante par kg]]*TableauProduit[[#This Row],[Total (kg) N1]]</f>
        <v>0</v>
      </c>
      <c r="BA15" s="579">
        <f>TableauProduit[[#This Row],[Prix de vente/kg]]*TableauProduit[[#This Row],[Total (kg) N1]]</f>
        <v>1750.0000000000002</v>
      </c>
      <c r="BB15" s="586" t="e">
        <f ca="1">TableauProduit[[#This Row],[Revenue brut N1]]-TableauProduit[[#This Row],[Achat par kg N1]]-TableauProduit[[#This Row],[Conditionnement N1]]</f>
        <v>#VALUE!</v>
      </c>
      <c r="BC15" s="568"/>
      <c r="BD15" s="465">
        <f>TableauProduit[[#This Row],[Poids (g) / unite]]*TableauProduit[[#This Row],[Objectif de vente en unite N1]]/1000</f>
        <v>170</v>
      </c>
      <c r="BE15" s="587">
        <f>TableauProduit[[#This Row],[Objectif de vente en unite N1]]*TableauProduit[[#This Row],[Packaging / unite]]</f>
        <v>422.5</v>
      </c>
      <c r="BF15" s="587">
        <f ca="1">TableauProduit[[#This Row],[Prix Achat de plante par kg]]*TableauProduit[[#This Row],[Total (kg) N1]]</f>
        <v>0</v>
      </c>
      <c r="BG15" s="587">
        <f>TableauProduit[[#This Row],[Prix de vente/kg]]*TableauProduit[[#This Row],[Total (kg) N1]]</f>
        <v>1750.0000000000002</v>
      </c>
      <c r="BH15" s="588" t="e">
        <f ca="1">TableauProduit[[#This Row],[Revenue brut N1]]-TableauProduit[[#This Row],[Achat par kg N1]]-TableauProduit[[#This Row],[Conditionnement N1]]</f>
        <v>#VALUE!</v>
      </c>
      <c r="BI15" s="520"/>
      <c r="BJ15" s="467">
        <f>TableauProduit[[#This Row],[Poids (g) / unite]]*TableauProduit[[#This Row],[Objectif de vente en unite N1]]/1000</f>
        <v>170</v>
      </c>
      <c r="BK15" s="589">
        <f>TableauProduit[[#This Row],[Objectif de vente en unite N1]]*TableauProduit[[#This Row],[Packaging / unite]]</f>
        <v>422.5</v>
      </c>
      <c r="BL15" s="589">
        <f ca="1">TableauProduit[[#This Row],[Prix Achat de plante par kg]]*TableauProduit[[#This Row],[Total (kg) N1]]</f>
        <v>0</v>
      </c>
      <c r="BM15" s="589">
        <f>TableauProduit[[#This Row],[Prix de vente/kg]]*TableauProduit[[#This Row],[Total (kg) N1]]</f>
        <v>1750.0000000000002</v>
      </c>
      <c r="BN15" s="467" t="e">
        <f ca="1">TableauProduit[[#This Row],[Revenue brut N1]]-TableauProduit[[#This Row],[Achat par kg N1]]-TableauProduit[[#This Row],[Conditionnement N1]]</f>
        <v>#VALUE!</v>
      </c>
    </row>
    <row r="16" spans="1:66">
      <c r="A16" s="13" t="s">
        <v>64</v>
      </c>
      <c r="B16" s="54" t="str">
        <f>TableauProduit[[#This Row],[Recette]]&amp;TableauProduit[[#This Row],[Conditionnement]]</f>
        <v>Ail semouleEpice 100ml</v>
      </c>
      <c r="C16" s="11">
        <v>1</v>
      </c>
      <c r="D16" s="11">
        <v>50</v>
      </c>
      <c r="E16" s="6" t="s">
        <v>55</v>
      </c>
      <c r="F16" s="7">
        <f>IFERROR(VLOOKUP(TableauProduit[[#This Row],[Conditionnement]],TableauConditionnement[[Nom]:[Contenance]],4,TRUE),"")</f>
        <v>0.64</v>
      </c>
      <c r="G16" s="627">
        <f ca="1">SUMIFS(TableauRecette[Prix d''achat / kg],TableauRecette[Recette],TableauProduit[[#This Row],[Recette]],TableauRecette[Conditionnement],TableauProduit[[#This Row],[Conditionnement]])</f>
        <v>0</v>
      </c>
      <c r="H16" s="628">
        <v>6</v>
      </c>
      <c r="I16" s="629">
        <f>1000*TableauProduit[[#This Row],[Prix de vente/U]]/TableauProduit[[#This Row],[Poids (g) / unite]]</f>
        <v>120</v>
      </c>
      <c r="J16" s="630">
        <f>SUMIFS(TableauConcurence[PRIX_KG],TableauConcurence[PRODUIT],TableauProduit[[#This Row],[Recette]],TableauConcurence[DISTRIBUTION],"magasin NON BIO")</f>
        <v>41.84</v>
      </c>
      <c r="K16" s="631">
        <f>SUMIFS(TableauConcurence[PRIX_KG],TableauConcurence[PRODUIT],TableauProduit[[#This Row],[Recette]],TableauConcurence[DISTRIBUTION],"magasin BIO")</f>
        <v>98</v>
      </c>
      <c r="L16" s="632">
        <f>SUMIFS(TableauConcurence[PRIX_KG],TableauConcurence[PRODUIT],TableauProduit[[#This Row],[Recette]],TableauConcurence[DISTRIBUTION],"artisanale BIO")</f>
        <v>120.83</v>
      </c>
      <c r="M16" s="564">
        <v>180</v>
      </c>
      <c r="N16" s="450">
        <f>TableauProduit[[#This Row],[Poids (g) / unite]]*TableauProduit[[#This Row],[Objectif de vente en unite N1]]/1000</f>
        <v>9</v>
      </c>
      <c r="O16" s="579">
        <f>TableauProduit[[#This Row],[Objectif de vente en unite N1]]*TableauProduit[[#This Row],[Packaging / unite]]</f>
        <v>115.2</v>
      </c>
      <c r="P16" s="579">
        <f t="shared" ca="1" si="0"/>
        <v>0</v>
      </c>
      <c r="Q16" s="579">
        <f ca="1">TableauProduit[[#This Row],[Prix de vente/kg]]*TableauProduit[[#This Row],[Total (kg) N1]]-TableauProduit[[#This Row],[Achat par kg N1]]</f>
        <v>995.38461538461536</v>
      </c>
      <c r="R16" s="582">
        <f ca="1">TableauProduit[[#This Row],[Revenue brut N1]]-TableauProduit[[#This Row],[Conditionnement N1]]</f>
        <v>880.18461538461531</v>
      </c>
      <c r="S16" s="453">
        <v>180</v>
      </c>
      <c r="T16" s="452">
        <f>TableauProduit[[#This Row],[Poids (g) / unite]]*TableauProduit[[#This Row],[Objectif de vente en unite N1]]/1000</f>
        <v>9</v>
      </c>
      <c r="U16" s="571">
        <f>TableauProduit[[#This Row],[Objectif de vente en unite N1]]*TableauProduit[[#This Row],[Packaging / unite]]</f>
        <v>115.2</v>
      </c>
      <c r="V16" s="571">
        <f ca="1">TableauProduit[[#This Row],[Prix Achat de plante par kg]]*TableauProduit[[#This Row],[Total (kg) N1]]</f>
        <v>0</v>
      </c>
      <c r="W16" s="571">
        <f>TableauProduit[[#This Row],[Prix de vente/kg]]*TableauProduit[[#This Row],[Total (kg) N1]]</f>
        <v>1080</v>
      </c>
      <c r="X16" s="565">
        <f ca="1">TableauProduit[[#This Row],[Revenue brut N1]]-TableauProduit[[#This Row],[Achat par kg N1]]-TableauProduit[[#This Row],[Conditionnement N1]]</f>
        <v>795.56923076923067</v>
      </c>
      <c r="Y16" s="566">
        <v>180</v>
      </c>
      <c r="Z16" s="456">
        <f>TableauProduit[[#This Row],[Poids (g) / unite]]*TableauProduit[[#This Row],[Objectif de vente en unite N1]]/1000</f>
        <v>9</v>
      </c>
      <c r="AA16" s="574">
        <f>TableauProduit[[#This Row],[Objectif de vente en unite N1]]*TableauProduit[[#This Row],[Packaging / unite]]</f>
        <v>115.2</v>
      </c>
      <c r="AB16" s="574">
        <f ca="1">TableauProduit[[#This Row],[Prix Achat de plante par kg]]*TableauProduit[[#This Row],[Total (kg) N1]]</f>
        <v>0</v>
      </c>
      <c r="AC16" s="574">
        <f>TableauProduit[[#This Row],[Prix de vente/kg]]*TableauProduit[[#This Row],[Total (kg) N1]]</f>
        <v>1080</v>
      </c>
      <c r="AD16" s="583">
        <f ca="1">TableauProduit[[#This Row],[Revenue brut N1]]-TableauProduit[[#This Row],[Achat par kg N1]]-TableauProduit[[#This Row],[Conditionnement N1]]</f>
        <v>795.56923076923067</v>
      </c>
      <c r="AE16" s="458">
        <v>180</v>
      </c>
      <c r="AF16" s="458">
        <f>TableauProduit[[#This Row],[Poids (g) / unite]]*TableauProduit[[#This Row],[Objectif de vente en unite N1]]/1000</f>
        <v>9</v>
      </c>
      <c r="AG16" s="577">
        <f>TableauProduit[[#This Row],[Objectif de vente en unite N1]]*TableauProduit[[#This Row],[Packaging / unite]]</f>
        <v>115.2</v>
      </c>
      <c r="AH16" s="577">
        <f ca="1">TableauProduit[[#This Row],[Prix Achat de plante par kg]]*TableauProduit[[#This Row],[Total (kg) N1]]</f>
        <v>0</v>
      </c>
      <c r="AI16" s="577">
        <f>TableauProduit[[#This Row],[Prix de vente/kg]]*TableauProduit[[#This Row],[Total (kg) N1]]</f>
        <v>1080</v>
      </c>
      <c r="AJ16" s="458">
        <f ca="1">TableauProduit[[#This Row],[Revenue brut N1]]-TableauProduit[[#This Row],[Achat par kg N1]]-TableauProduit[[#This Row],[Conditionnement N1]]</f>
        <v>795.56923076923067</v>
      </c>
      <c r="AK16" s="460">
        <v>180</v>
      </c>
      <c r="AL16" s="460">
        <f>TableauProduit[[#This Row],[Poids (g) / unite]]*TableauProduit[[#This Row],[Objectif de vente en unite N1]]/1000</f>
        <v>9</v>
      </c>
      <c r="AM16" s="584">
        <f>TableauProduit[[#This Row],[Objectif de vente en unite N1]]*TableauProduit[[#This Row],[Packaging / unite]]</f>
        <v>115.2</v>
      </c>
      <c r="AN16" s="584">
        <f ca="1">TableauProduit[[#This Row],[Prix Achat de plante par kg]]*TableauProduit[[#This Row],[Total (kg) N1]]</f>
        <v>0</v>
      </c>
      <c r="AO16" s="584">
        <f>TableauProduit[[#This Row],[Prix de vente/kg]]*TableauProduit[[#This Row],[Total (kg) N1]]</f>
        <v>1080</v>
      </c>
      <c r="AP16" s="460">
        <f ca="1">TableauProduit[[#This Row],[Revenue brut N1]]-TableauProduit[[#This Row],[Achat par kg N1]]-TableauProduit[[#This Row],[Conditionnement N1]]</f>
        <v>795.56923076923067</v>
      </c>
      <c r="AQ16" s="462">
        <v>180</v>
      </c>
      <c r="AR16" s="462">
        <f>TableauProduit[[#This Row],[Poids (g) / unite]]*TableauProduit[[#This Row],[Objectif de vente en unite N1]]/1000</f>
        <v>9</v>
      </c>
      <c r="AS16" s="585">
        <f>TableauProduit[[#This Row],[Objectif de vente en unite N1]]*TableauProduit[[#This Row],[Packaging / unite]]</f>
        <v>115.2</v>
      </c>
      <c r="AT16" s="585">
        <f ca="1">TableauProduit[[#This Row],[Prix Achat de plante par kg]]*TableauProduit[[#This Row],[Total (kg) N1]]</f>
        <v>0</v>
      </c>
      <c r="AU16" s="585">
        <f>TableauProduit[[#This Row],[Prix de vente/kg]]*TableauProduit[[#This Row],[Total (kg) N1]]</f>
        <v>1080</v>
      </c>
      <c r="AV16" s="462">
        <f ca="1">TableauProduit[[#This Row],[Revenue brut N1]]-TableauProduit[[#This Row],[Achat par kg N1]]-TableauProduit[[#This Row],[Conditionnement N1]]</f>
        <v>795.56923076923067</v>
      </c>
      <c r="AW16" s="450">
        <v>180</v>
      </c>
      <c r="AX16" s="450">
        <f>TableauProduit[[#This Row],[Poids (g) / unite]]*TableauProduit[[#This Row],[Objectif de vente en unite N1]]/1000</f>
        <v>9</v>
      </c>
      <c r="AY16" s="579">
        <f>TableauProduit[[#This Row],[Objectif de vente en unite N1]]*TableauProduit[[#This Row],[Packaging / unite]]</f>
        <v>115.2</v>
      </c>
      <c r="AZ16" s="579">
        <f ca="1">TableauProduit[[#This Row],[Prix Achat de plante par kg]]*TableauProduit[[#This Row],[Total (kg) N1]]</f>
        <v>0</v>
      </c>
      <c r="BA16" s="579">
        <f>TableauProduit[[#This Row],[Prix de vente/kg]]*TableauProduit[[#This Row],[Total (kg) N1]]</f>
        <v>1080</v>
      </c>
      <c r="BB16" s="586">
        <f ca="1">TableauProduit[[#This Row],[Revenue brut N1]]-TableauProduit[[#This Row],[Achat par kg N1]]-TableauProduit[[#This Row],[Conditionnement N1]]</f>
        <v>795.56923076923067</v>
      </c>
      <c r="BC16" s="568">
        <v>180</v>
      </c>
      <c r="BD16" s="465">
        <f>TableauProduit[[#This Row],[Poids (g) / unite]]*TableauProduit[[#This Row],[Objectif de vente en unite N1]]/1000</f>
        <v>9</v>
      </c>
      <c r="BE16" s="587">
        <f>TableauProduit[[#This Row],[Objectif de vente en unite N1]]*TableauProduit[[#This Row],[Packaging / unite]]</f>
        <v>115.2</v>
      </c>
      <c r="BF16" s="587">
        <f ca="1">TableauProduit[[#This Row],[Prix Achat de plante par kg]]*TableauProduit[[#This Row],[Total (kg) N1]]</f>
        <v>0</v>
      </c>
      <c r="BG16" s="587">
        <f>TableauProduit[[#This Row],[Prix de vente/kg]]*TableauProduit[[#This Row],[Total (kg) N1]]</f>
        <v>1080</v>
      </c>
      <c r="BH16" s="588">
        <f ca="1">TableauProduit[[#This Row],[Revenue brut N1]]-TableauProduit[[#This Row],[Achat par kg N1]]-TableauProduit[[#This Row],[Conditionnement N1]]</f>
        <v>795.56923076923067</v>
      </c>
      <c r="BI16" s="520">
        <v>180</v>
      </c>
      <c r="BJ16" s="467">
        <f>TableauProduit[[#This Row],[Poids (g) / unite]]*TableauProduit[[#This Row],[Objectif de vente en unite N1]]/1000</f>
        <v>9</v>
      </c>
      <c r="BK16" s="589">
        <f>TableauProduit[[#This Row],[Objectif de vente en unite N1]]*TableauProduit[[#This Row],[Packaging / unite]]</f>
        <v>115.2</v>
      </c>
      <c r="BL16" s="589">
        <f ca="1">TableauProduit[[#This Row],[Prix Achat de plante par kg]]*TableauProduit[[#This Row],[Total (kg) N1]]</f>
        <v>0</v>
      </c>
      <c r="BM16" s="589">
        <f>TableauProduit[[#This Row],[Prix de vente/kg]]*TableauProduit[[#This Row],[Total (kg) N1]]</f>
        <v>1080</v>
      </c>
      <c r="BN16" s="467">
        <f ca="1">TableauProduit[[#This Row],[Revenue brut N1]]-TableauProduit[[#This Row],[Achat par kg N1]]-TableauProduit[[#This Row],[Conditionnement N1]]</f>
        <v>795.56923076923067</v>
      </c>
    </row>
    <row r="17" spans="1:66">
      <c r="A17" s="13" t="s">
        <v>65</v>
      </c>
      <c r="B17" s="54" t="str">
        <f>TableauProduit[[#This Row],[Recette]]&amp;TableauProduit[[#This Row],[Conditionnement]]</f>
        <v>Carvi graineEpice 100ml</v>
      </c>
      <c r="C17" s="11">
        <v>1</v>
      </c>
      <c r="D17" s="11">
        <f>VLOOKUP(TableauProduit[[#This Row],[Recette]],Old[],3)</f>
        <v>45</v>
      </c>
      <c r="E17" s="6" t="s">
        <v>55</v>
      </c>
      <c r="F17" s="7">
        <f>IFERROR(VLOOKUP(TableauProduit[[#This Row],[Conditionnement]],TableauConditionnement[[Nom]:[Contenance]],4,TRUE),"")</f>
        <v>0.64</v>
      </c>
      <c r="G17" s="627">
        <f ca="1">SUMIFS(TableauRecette[Prix d''achat / kg],TableauRecette[Recette],TableauProduit[[#This Row],[Recette]],TableauRecette[Conditionnement],TableauProduit[[#This Row],[Conditionnement]])</f>
        <v>0</v>
      </c>
      <c r="H17" s="628">
        <v>2.7</v>
      </c>
      <c r="I17" s="629">
        <f>1000*TableauProduit[[#This Row],[Prix de vente/U]]/TableauProduit[[#This Row],[Poids (g) / unite]]</f>
        <v>60</v>
      </c>
      <c r="J17" s="630">
        <f>SUMIFS(TableauConcurence[PRIX_KG],TableauConcurence[PRODUIT],TableauProduit[[#This Row],[Recette]],TableauConcurence[DISTRIBUTION],"magasin NON BIO")</f>
        <v>53.21</v>
      </c>
      <c r="K17" s="631">
        <f>SUMIFS(TableauConcurence[PRIX_KG],TableauConcurence[PRODUIT],TableauProduit[[#This Row],[Recette]],TableauConcurence[DISTRIBUTION],"magasin BIO")</f>
        <v>29.5</v>
      </c>
      <c r="L17" s="632">
        <f>SUMIFS(TableauConcurence[PRIX_KG],TableauConcurence[PRODUIT],TableauProduit[[#This Row],[Recette]],TableauConcurence[DISTRIBUTION],"artisanale BIO")</f>
        <v>64</v>
      </c>
      <c r="M17" s="564">
        <v>180</v>
      </c>
      <c r="N17" s="450">
        <f>TableauProduit[[#This Row],[Poids (g) / unite]]*TableauProduit[[#This Row],[Objectif de vente en unite N1]]/1000</f>
        <v>8.1</v>
      </c>
      <c r="O17" s="579">
        <f>TableauProduit[[#This Row],[Objectif de vente en unite N1]]*TableauProduit[[#This Row],[Packaging / unite]]</f>
        <v>115.2</v>
      </c>
      <c r="P17" s="579">
        <f t="shared" ca="1" si="0"/>
        <v>0</v>
      </c>
      <c r="Q17" s="579">
        <f ca="1">TableauProduit[[#This Row],[Prix de vente/kg]]*TableauProduit[[#This Row],[Total (kg) N1]]-TableauProduit[[#This Row],[Achat par kg N1]]</f>
        <v>366</v>
      </c>
      <c r="R17" s="582">
        <f ca="1">TableauProduit[[#This Row],[Revenue brut N1]]-TableauProduit[[#This Row],[Conditionnement N1]]</f>
        <v>250.8</v>
      </c>
      <c r="S17" s="453">
        <v>180</v>
      </c>
      <c r="T17" s="452">
        <f>TableauProduit[[#This Row],[Poids (g) / unite]]*TableauProduit[[#This Row],[Objectif de vente en unite N1]]/1000</f>
        <v>8.1</v>
      </c>
      <c r="U17" s="571">
        <f>TableauProduit[[#This Row],[Objectif de vente en unite N1]]*TableauProduit[[#This Row],[Packaging / unite]]</f>
        <v>115.2</v>
      </c>
      <c r="V17" s="571">
        <f ca="1">TableauProduit[[#This Row],[Prix Achat de plante par kg]]*TableauProduit[[#This Row],[Total (kg) N1]]</f>
        <v>0</v>
      </c>
      <c r="W17" s="571">
        <f>TableauProduit[[#This Row],[Prix de vente/kg]]*TableauProduit[[#This Row],[Total (kg) N1]]</f>
        <v>486</v>
      </c>
      <c r="X17" s="565">
        <f ca="1">TableauProduit[[#This Row],[Revenue brut N1]]-TableauProduit[[#This Row],[Achat par kg N1]]-TableauProduit[[#This Row],[Conditionnement N1]]</f>
        <v>130.80000000000001</v>
      </c>
      <c r="Y17" s="566">
        <v>180</v>
      </c>
      <c r="Z17" s="456">
        <f>TableauProduit[[#This Row],[Poids (g) / unite]]*TableauProduit[[#This Row],[Objectif de vente en unite N1]]/1000</f>
        <v>8.1</v>
      </c>
      <c r="AA17" s="574">
        <f>TableauProduit[[#This Row],[Objectif de vente en unite N1]]*TableauProduit[[#This Row],[Packaging / unite]]</f>
        <v>115.2</v>
      </c>
      <c r="AB17" s="574">
        <f ca="1">TableauProduit[[#This Row],[Prix Achat de plante par kg]]*TableauProduit[[#This Row],[Total (kg) N1]]</f>
        <v>0</v>
      </c>
      <c r="AC17" s="574">
        <f>TableauProduit[[#This Row],[Prix de vente/kg]]*TableauProduit[[#This Row],[Total (kg) N1]]</f>
        <v>486</v>
      </c>
      <c r="AD17" s="583">
        <f ca="1">TableauProduit[[#This Row],[Revenue brut N1]]-TableauProduit[[#This Row],[Achat par kg N1]]-TableauProduit[[#This Row],[Conditionnement N1]]</f>
        <v>130.80000000000001</v>
      </c>
      <c r="AE17" s="458">
        <v>180</v>
      </c>
      <c r="AF17" s="458">
        <f>TableauProduit[[#This Row],[Poids (g) / unite]]*TableauProduit[[#This Row],[Objectif de vente en unite N1]]/1000</f>
        <v>8.1</v>
      </c>
      <c r="AG17" s="577">
        <f>TableauProduit[[#This Row],[Objectif de vente en unite N1]]*TableauProduit[[#This Row],[Packaging / unite]]</f>
        <v>115.2</v>
      </c>
      <c r="AH17" s="577">
        <f ca="1">TableauProduit[[#This Row],[Prix Achat de plante par kg]]*TableauProduit[[#This Row],[Total (kg) N1]]</f>
        <v>0</v>
      </c>
      <c r="AI17" s="577">
        <f>TableauProduit[[#This Row],[Prix de vente/kg]]*TableauProduit[[#This Row],[Total (kg) N1]]</f>
        <v>486</v>
      </c>
      <c r="AJ17" s="458">
        <f ca="1">TableauProduit[[#This Row],[Revenue brut N1]]-TableauProduit[[#This Row],[Achat par kg N1]]-TableauProduit[[#This Row],[Conditionnement N1]]</f>
        <v>130.80000000000001</v>
      </c>
      <c r="AK17" s="460">
        <v>180</v>
      </c>
      <c r="AL17" s="460">
        <f>TableauProduit[[#This Row],[Poids (g) / unite]]*TableauProduit[[#This Row],[Objectif de vente en unite N1]]/1000</f>
        <v>8.1</v>
      </c>
      <c r="AM17" s="584">
        <f>TableauProduit[[#This Row],[Objectif de vente en unite N1]]*TableauProduit[[#This Row],[Packaging / unite]]</f>
        <v>115.2</v>
      </c>
      <c r="AN17" s="584">
        <f ca="1">TableauProduit[[#This Row],[Prix Achat de plante par kg]]*TableauProduit[[#This Row],[Total (kg) N1]]</f>
        <v>0</v>
      </c>
      <c r="AO17" s="584">
        <f>TableauProduit[[#This Row],[Prix de vente/kg]]*TableauProduit[[#This Row],[Total (kg) N1]]</f>
        <v>486</v>
      </c>
      <c r="AP17" s="460">
        <f ca="1">TableauProduit[[#This Row],[Revenue brut N1]]-TableauProduit[[#This Row],[Achat par kg N1]]-TableauProduit[[#This Row],[Conditionnement N1]]</f>
        <v>130.80000000000001</v>
      </c>
      <c r="AQ17" s="462">
        <v>180</v>
      </c>
      <c r="AR17" s="462">
        <f>TableauProduit[[#This Row],[Poids (g) / unite]]*TableauProduit[[#This Row],[Objectif de vente en unite N1]]/1000</f>
        <v>8.1</v>
      </c>
      <c r="AS17" s="585">
        <f>TableauProduit[[#This Row],[Objectif de vente en unite N1]]*TableauProduit[[#This Row],[Packaging / unite]]</f>
        <v>115.2</v>
      </c>
      <c r="AT17" s="585">
        <f ca="1">TableauProduit[[#This Row],[Prix Achat de plante par kg]]*TableauProduit[[#This Row],[Total (kg) N1]]</f>
        <v>0</v>
      </c>
      <c r="AU17" s="585">
        <f>TableauProduit[[#This Row],[Prix de vente/kg]]*TableauProduit[[#This Row],[Total (kg) N1]]</f>
        <v>486</v>
      </c>
      <c r="AV17" s="462">
        <f ca="1">TableauProduit[[#This Row],[Revenue brut N1]]-TableauProduit[[#This Row],[Achat par kg N1]]-TableauProduit[[#This Row],[Conditionnement N1]]</f>
        <v>130.80000000000001</v>
      </c>
      <c r="AW17" s="450">
        <v>180</v>
      </c>
      <c r="AX17" s="450">
        <f>TableauProduit[[#This Row],[Poids (g) / unite]]*TableauProduit[[#This Row],[Objectif de vente en unite N1]]/1000</f>
        <v>8.1</v>
      </c>
      <c r="AY17" s="579">
        <f>TableauProduit[[#This Row],[Objectif de vente en unite N1]]*TableauProduit[[#This Row],[Packaging / unite]]</f>
        <v>115.2</v>
      </c>
      <c r="AZ17" s="579">
        <f ca="1">TableauProduit[[#This Row],[Prix Achat de plante par kg]]*TableauProduit[[#This Row],[Total (kg) N1]]</f>
        <v>0</v>
      </c>
      <c r="BA17" s="579">
        <f>TableauProduit[[#This Row],[Prix de vente/kg]]*TableauProduit[[#This Row],[Total (kg) N1]]</f>
        <v>486</v>
      </c>
      <c r="BB17" s="586">
        <f ca="1">TableauProduit[[#This Row],[Revenue brut N1]]-TableauProduit[[#This Row],[Achat par kg N1]]-TableauProduit[[#This Row],[Conditionnement N1]]</f>
        <v>130.80000000000001</v>
      </c>
      <c r="BC17" s="568">
        <v>180</v>
      </c>
      <c r="BD17" s="465">
        <f>TableauProduit[[#This Row],[Poids (g) / unite]]*TableauProduit[[#This Row],[Objectif de vente en unite N1]]/1000</f>
        <v>8.1</v>
      </c>
      <c r="BE17" s="587">
        <f>TableauProduit[[#This Row],[Objectif de vente en unite N1]]*TableauProduit[[#This Row],[Packaging / unite]]</f>
        <v>115.2</v>
      </c>
      <c r="BF17" s="587">
        <f ca="1">TableauProduit[[#This Row],[Prix Achat de plante par kg]]*TableauProduit[[#This Row],[Total (kg) N1]]</f>
        <v>0</v>
      </c>
      <c r="BG17" s="587">
        <f>TableauProduit[[#This Row],[Prix de vente/kg]]*TableauProduit[[#This Row],[Total (kg) N1]]</f>
        <v>486</v>
      </c>
      <c r="BH17" s="588">
        <f ca="1">TableauProduit[[#This Row],[Revenue brut N1]]-TableauProduit[[#This Row],[Achat par kg N1]]-TableauProduit[[#This Row],[Conditionnement N1]]</f>
        <v>130.80000000000001</v>
      </c>
      <c r="BI17" s="520">
        <v>180</v>
      </c>
      <c r="BJ17" s="467">
        <f>TableauProduit[[#This Row],[Poids (g) / unite]]*TableauProduit[[#This Row],[Objectif de vente en unite N1]]/1000</f>
        <v>8.1</v>
      </c>
      <c r="BK17" s="589">
        <f>TableauProduit[[#This Row],[Objectif de vente en unite N1]]*TableauProduit[[#This Row],[Packaging / unite]]</f>
        <v>115.2</v>
      </c>
      <c r="BL17" s="589">
        <f ca="1">TableauProduit[[#This Row],[Prix Achat de plante par kg]]*TableauProduit[[#This Row],[Total (kg) N1]]</f>
        <v>0</v>
      </c>
      <c r="BM17" s="589">
        <f>TableauProduit[[#This Row],[Prix de vente/kg]]*TableauProduit[[#This Row],[Total (kg) N1]]</f>
        <v>486</v>
      </c>
      <c r="BN17" s="467">
        <f ca="1">TableauProduit[[#This Row],[Revenue brut N1]]-TableauProduit[[#This Row],[Achat par kg N1]]-TableauProduit[[#This Row],[Conditionnement N1]]</f>
        <v>130.80000000000001</v>
      </c>
    </row>
    <row r="18" spans="1:66">
      <c r="A18" s="13" t="s">
        <v>66</v>
      </c>
      <c r="B18" s="54" t="str">
        <f>TableauProduit[[#This Row],[Recette]]&amp;TableauProduit[[#This Row],[Conditionnement]]</f>
        <v>CurcumaEpice 100ml</v>
      </c>
      <c r="C18" s="11">
        <v>1</v>
      </c>
      <c r="D18" s="11">
        <v>60</v>
      </c>
      <c r="E18" s="6" t="s">
        <v>55</v>
      </c>
      <c r="F18" s="7">
        <f>IFERROR(VLOOKUP(TableauProduit[[#This Row],[Conditionnement]],TableauConditionnement[[Nom]:[Contenance]],4,TRUE),"")</f>
        <v>0.64</v>
      </c>
      <c r="G18" s="627">
        <f ca="1">SUMIFS(TableauRecette[Prix d''achat / kg],TableauRecette[Recette],TableauProduit[[#This Row],[Recette]],TableauRecette[Conditionnement],TableauProduit[[#This Row],[Conditionnement]])</f>
        <v>0</v>
      </c>
      <c r="H18" s="628">
        <v>7</v>
      </c>
      <c r="I18" s="629">
        <f>1000*TableauProduit[[#This Row],[Prix de vente/U]]/TableauProduit[[#This Row],[Poids (g) / unite]]</f>
        <v>116.66666666666667</v>
      </c>
      <c r="J18" s="630">
        <f>SUMIFS(TableauConcurence[PRIX_KG],TableauConcurence[PRODUIT],TableauProduit[[#This Row],[Recette]],TableauConcurence[DISTRIBUTION],"magasin NON BIO")</f>
        <v>51.25</v>
      </c>
      <c r="K18" s="631">
        <f>SUMIFS(TableauConcurence[PRIX_KG],TableauConcurence[PRODUIT],TableauProduit[[#This Row],[Recette]],TableauConcurence[DISTRIBUTION],"magasin BIO")</f>
        <v>43.75</v>
      </c>
      <c r="L18" s="632">
        <f>SUMIFS(TableauConcurence[PRIX_KG],TableauConcurence[PRODUIT],TableauProduit[[#This Row],[Recette]],TableauConcurence[DISTRIBUTION],"artisanale BIO")</f>
        <v>80</v>
      </c>
      <c r="M18" s="564">
        <v>180</v>
      </c>
      <c r="N18" s="450">
        <f>TableauProduit[[#This Row],[Poids (g) / unite]]*TableauProduit[[#This Row],[Objectif de vente en unite N1]]/1000</f>
        <v>10.8</v>
      </c>
      <c r="O18" s="579">
        <f>TableauProduit[[#This Row],[Objectif de vente en unite N1]]*TableauProduit[[#This Row],[Packaging / unite]]</f>
        <v>115.2</v>
      </c>
      <c r="P18" s="579">
        <f t="shared" ca="1" si="0"/>
        <v>0</v>
      </c>
      <c r="Q18" s="579">
        <f ca="1">TableauProduit[[#This Row],[Prix de vente/kg]]*TableauProduit[[#This Row],[Total (kg) N1]]-TableauProduit[[#This Row],[Achat par kg N1]]</f>
        <v>1200.0000000000002</v>
      </c>
      <c r="R18" s="582">
        <f ca="1">TableauProduit[[#This Row],[Revenue brut N1]]-TableauProduit[[#This Row],[Conditionnement N1]]</f>
        <v>1084.8000000000002</v>
      </c>
      <c r="S18" s="453">
        <v>180</v>
      </c>
      <c r="T18" s="452">
        <f>TableauProduit[[#This Row],[Poids (g) / unite]]*TableauProduit[[#This Row],[Objectif de vente en unite N1]]/1000</f>
        <v>10.8</v>
      </c>
      <c r="U18" s="571">
        <f>TableauProduit[[#This Row],[Objectif de vente en unite N1]]*TableauProduit[[#This Row],[Packaging / unite]]</f>
        <v>115.2</v>
      </c>
      <c r="V18" s="571">
        <f ca="1">TableauProduit[[#This Row],[Prix Achat de plante par kg]]*TableauProduit[[#This Row],[Total (kg) N1]]</f>
        <v>0</v>
      </c>
      <c r="W18" s="571">
        <f>TableauProduit[[#This Row],[Prix de vente/kg]]*TableauProduit[[#This Row],[Total (kg) N1]]</f>
        <v>1260.0000000000002</v>
      </c>
      <c r="X18" s="565">
        <f ca="1">TableauProduit[[#This Row],[Revenue brut N1]]-TableauProduit[[#This Row],[Achat par kg N1]]-TableauProduit[[#This Row],[Conditionnement N1]]</f>
        <v>1024.8000000000002</v>
      </c>
      <c r="Y18" s="566">
        <v>180</v>
      </c>
      <c r="Z18" s="456">
        <f>TableauProduit[[#This Row],[Poids (g) / unite]]*TableauProduit[[#This Row],[Objectif de vente en unite N1]]/1000</f>
        <v>10.8</v>
      </c>
      <c r="AA18" s="574">
        <f>TableauProduit[[#This Row],[Objectif de vente en unite N1]]*TableauProduit[[#This Row],[Packaging / unite]]</f>
        <v>115.2</v>
      </c>
      <c r="AB18" s="574">
        <f ca="1">TableauProduit[[#This Row],[Prix Achat de plante par kg]]*TableauProduit[[#This Row],[Total (kg) N1]]</f>
        <v>0</v>
      </c>
      <c r="AC18" s="574">
        <f>TableauProduit[[#This Row],[Prix de vente/kg]]*TableauProduit[[#This Row],[Total (kg) N1]]</f>
        <v>1260.0000000000002</v>
      </c>
      <c r="AD18" s="583">
        <f ca="1">TableauProduit[[#This Row],[Revenue brut N1]]-TableauProduit[[#This Row],[Achat par kg N1]]-TableauProduit[[#This Row],[Conditionnement N1]]</f>
        <v>1024.8000000000002</v>
      </c>
      <c r="AE18" s="458">
        <v>180</v>
      </c>
      <c r="AF18" s="458">
        <f>TableauProduit[[#This Row],[Poids (g) / unite]]*TableauProduit[[#This Row],[Objectif de vente en unite N1]]/1000</f>
        <v>10.8</v>
      </c>
      <c r="AG18" s="577">
        <f>TableauProduit[[#This Row],[Objectif de vente en unite N1]]*TableauProduit[[#This Row],[Packaging / unite]]</f>
        <v>115.2</v>
      </c>
      <c r="AH18" s="577">
        <f ca="1">TableauProduit[[#This Row],[Prix Achat de plante par kg]]*TableauProduit[[#This Row],[Total (kg) N1]]</f>
        <v>0</v>
      </c>
      <c r="AI18" s="577">
        <f>TableauProduit[[#This Row],[Prix de vente/kg]]*TableauProduit[[#This Row],[Total (kg) N1]]</f>
        <v>1260.0000000000002</v>
      </c>
      <c r="AJ18" s="458">
        <f ca="1">TableauProduit[[#This Row],[Revenue brut N1]]-TableauProduit[[#This Row],[Achat par kg N1]]-TableauProduit[[#This Row],[Conditionnement N1]]</f>
        <v>1024.8000000000002</v>
      </c>
      <c r="AK18" s="460">
        <v>180</v>
      </c>
      <c r="AL18" s="460">
        <f>TableauProduit[[#This Row],[Poids (g) / unite]]*TableauProduit[[#This Row],[Objectif de vente en unite N1]]/1000</f>
        <v>10.8</v>
      </c>
      <c r="AM18" s="584">
        <f>TableauProduit[[#This Row],[Objectif de vente en unite N1]]*TableauProduit[[#This Row],[Packaging / unite]]</f>
        <v>115.2</v>
      </c>
      <c r="AN18" s="584">
        <f ca="1">TableauProduit[[#This Row],[Prix Achat de plante par kg]]*TableauProduit[[#This Row],[Total (kg) N1]]</f>
        <v>0</v>
      </c>
      <c r="AO18" s="584">
        <f>TableauProduit[[#This Row],[Prix de vente/kg]]*TableauProduit[[#This Row],[Total (kg) N1]]</f>
        <v>1260.0000000000002</v>
      </c>
      <c r="AP18" s="460">
        <f ca="1">TableauProduit[[#This Row],[Revenue brut N1]]-TableauProduit[[#This Row],[Achat par kg N1]]-TableauProduit[[#This Row],[Conditionnement N1]]</f>
        <v>1024.8000000000002</v>
      </c>
      <c r="AQ18" s="462">
        <v>180</v>
      </c>
      <c r="AR18" s="462">
        <f>TableauProduit[[#This Row],[Poids (g) / unite]]*TableauProduit[[#This Row],[Objectif de vente en unite N1]]/1000</f>
        <v>10.8</v>
      </c>
      <c r="AS18" s="585">
        <f>TableauProduit[[#This Row],[Objectif de vente en unite N1]]*TableauProduit[[#This Row],[Packaging / unite]]</f>
        <v>115.2</v>
      </c>
      <c r="AT18" s="585">
        <f ca="1">TableauProduit[[#This Row],[Prix Achat de plante par kg]]*TableauProduit[[#This Row],[Total (kg) N1]]</f>
        <v>0</v>
      </c>
      <c r="AU18" s="585">
        <f>TableauProduit[[#This Row],[Prix de vente/kg]]*TableauProduit[[#This Row],[Total (kg) N1]]</f>
        <v>1260.0000000000002</v>
      </c>
      <c r="AV18" s="462">
        <f ca="1">TableauProduit[[#This Row],[Revenue brut N1]]-TableauProduit[[#This Row],[Achat par kg N1]]-TableauProduit[[#This Row],[Conditionnement N1]]</f>
        <v>1024.8000000000002</v>
      </c>
      <c r="AW18" s="450">
        <v>180</v>
      </c>
      <c r="AX18" s="450">
        <f>TableauProduit[[#This Row],[Poids (g) / unite]]*TableauProduit[[#This Row],[Objectif de vente en unite N1]]/1000</f>
        <v>10.8</v>
      </c>
      <c r="AY18" s="579">
        <f>TableauProduit[[#This Row],[Objectif de vente en unite N1]]*TableauProduit[[#This Row],[Packaging / unite]]</f>
        <v>115.2</v>
      </c>
      <c r="AZ18" s="579">
        <f ca="1">TableauProduit[[#This Row],[Prix Achat de plante par kg]]*TableauProduit[[#This Row],[Total (kg) N1]]</f>
        <v>0</v>
      </c>
      <c r="BA18" s="579">
        <f>TableauProduit[[#This Row],[Prix de vente/kg]]*TableauProduit[[#This Row],[Total (kg) N1]]</f>
        <v>1260.0000000000002</v>
      </c>
      <c r="BB18" s="586">
        <f ca="1">TableauProduit[[#This Row],[Revenue brut N1]]-TableauProduit[[#This Row],[Achat par kg N1]]-TableauProduit[[#This Row],[Conditionnement N1]]</f>
        <v>1024.8000000000002</v>
      </c>
      <c r="BC18" s="568">
        <v>180</v>
      </c>
      <c r="BD18" s="465">
        <f>TableauProduit[[#This Row],[Poids (g) / unite]]*TableauProduit[[#This Row],[Objectif de vente en unite N1]]/1000</f>
        <v>10.8</v>
      </c>
      <c r="BE18" s="587">
        <f>TableauProduit[[#This Row],[Objectif de vente en unite N1]]*TableauProduit[[#This Row],[Packaging / unite]]</f>
        <v>115.2</v>
      </c>
      <c r="BF18" s="587">
        <f ca="1">TableauProduit[[#This Row],[Prix Achat de plante par kg]]*TableauProduit[[#This Row],[Total (kg) N1]]</f>
        <v>0</v>
      </c>
      <c r="BG18" s="587">
        <f>TableauProduit[[#This Row],[Prix de vente/kg]]*TableauProduit[[#This Row],[Total (kg) N1]]</f>
        <v>1260.0000000000002</v>
      </c>
      <c r="BH18" s="588">
        <f ca="1">TableauProduit[[#This Row],[Revenue brut N1]]-TableauProduit[[#This Row],[Achat par kg N1]]-TableauProduit[[#This Row],[Conditionnement N1]]</f>
        <v>1024.8000000000002</v>
      </c>
      <c r="BI18" s="520">
        <v>180</v>
      </c>
      <c r="BJ18" s="467">
        <f>TableauProduit[[#This Row],[Poids (g) / unite]]*TableauProduit[[#This Row],[Objectif de vente en unite N1]]/1000</f>
        <v>10.8</v>
      </c>
      <c r="BK18" s="589">
        <f>TableauProduit[[#This Row],[Objectif de vente en unite N1]]*TableauProduit[[#This Row],[Packaging / unite]]</f>
        <v>115.2</v>
      </c>
      <c r="BL18" s="589">
        <f ca="1">TableauProduit[[#This Row],[Prix Achat de plante par kg]]*TableauProduit[[#This Row],[Total (kg) N1]]</f>
        <v>0</v>
      </c>
      <c r="BM18" s="589">
        <f>TableauProduit[[#This Row],[Prix de vente/kg]]*TableauProduit[[#This Row],[Total (kg) N1]]</f>
        <v>1260.0000000000002</v>
      </c>
      <c r="BN18" s="467">
        <f ca="1">TableauProduit[[#This Row],[Revenue brut N1]]-TableauProduit[[#This Row],[Achat par kg N1]]-TableauProduit[[#This Row],[Conditionnement N1]]</f>
        <v>1024.8000000000002</v>
      </c>
    </row>
    <row r="19" spans="1:66">
      <c r="A19" s="13" t="s">
        <v>67</v>
      </c>
      <c r="B19" s="54" t="str">
        <f>TableauProduit[[#This Row],[Recette]]&amp;TableauProduit[[#This Row],[Conditionnement]]</f>
        <v>PaprikaEpice 100ml</v>
      </c>
      <c r="C19" s="11">
        <v>1</v>
      </c>
      <c r="D19" s="11">
        <v>60</v>
      </c>
      <c r="E19" s="6" t="s">
        <v>55</v>
      </c>
      <c r="F19" s="7">
        <f>IFERROR(VLOOKUP(TableauProduit[[#This Row],[Conditionnement]],TableauConditionnement[[Nom]:[Contenance]],4,TRUE),"")</f>
        <v>0.64</v>
      </c>
      <c r="G19" s="627" t="e">
        <f ca="1">SUMIFS(TableauRecette[Prix d''achat / kg],TableauRecette[Recette],TableauProduit[[#This Row],[Recette]],TableauRecette[Conditionnement],TableauProduit[[#This Row],[Conditionnement]])</f>
        <v>#VALUE!</v>
      </c>
      <c r="H19" s="628">
        <v>6.5</v>
      </c>
      <c r="I19" s="629">
        <f>1000*TableauProduit[[#This Row],[Prix de vente/U]]/TableauProduit[[#This Row],[Poids (g) / unite]]</f>
        <v>108.33333333333333</v>
      </c>
      <c r="J19" s="630">
        <f>SUMIFS(TableauConcurence[PRIX_KG],TableauConcurence[PRODUIT],TableauProduit[[#This Row],[Recette]],TableauConcurence[DISTRIBUTION],"magasin NON BIO")</f>
        <v>52.5</v>
      </c>
      <c r="K19" s="631">
        <f>SUMIFS(TableauConcurence[PRIX_KG],TableauConcurence[PRODUIT],TableauProduit[[#This Row],[Recette]],TableauConcurence[DISTRIBUTION],"magasin BIO")</f>
        <v>59.8</v>
      </c>
      <c r="L19" s="632">
        <f>SUMIFS(TableauConcurence[PRIX_KG],TableauConcurence[PRODUIT],TableauProduit[[#This Row],[Recette]],TableauConcurence[DISTRIBUTION],"artisanale BIO")</f>
        <v>206.75</v>
      </c>
      <c r="M19" s="564">
        <v>180</v>
      </c>
      <c r="N19" s="450">
        <f>TableauProduit[[#This Row],[Poids (g) / unite]]*TableauProduit[[#This Row],[Objectif de vente en unite N1]]/1000</f>
        <v>10.8</v>
      </c>
      <c r="O19" s="579">
        <f>TableauProduit[[#This Row],[Objectif de vente en unite N1]]*TableauProduit[[#This Row],[Packaging / unite]]</f>
        <v>115.2</v>
      </c>
      <c r="P19" s="579" t="e">
        <f t="shared" ca="1" si="0"/>
        <v>#VALUE!</v>
      </c>
      <c r="Q19" s="579" t="e">
        <f ca="1">TableauProduit[[#This Row],[Prix de vente/kg]]*TableauProduit[[#This Row],[Total (kg) N1]]-TableauProduit[[#This Row],[Achat par kg N1]]</f>
        <v>#VALUE!</v>
      </c>
      <c r="R19" s="582" t="e">
        <f ca="1">TableauProduit[[#This Row],[Revenue brut N1]]-TableauProduit[[#This Row],[Conditionnement N1]]</f>
        <v>#VALUE!</v>
      </c>
      <c r="S19" s="453">
        <v>180</v>
      </c>
      <c r="T19" s="452">
        <f>TableauProduit[[#This Row],[Poids (g) / unite]]*TableauProduit[[#This Row],[Objectif de vente en unite N1]]/1000</f>
        <v>10.8</v>
      </c>
      <c r="U19" s="571">
        <f>TableauProduit[[#This Row],[Objectif de vente en unite N1]]*TableauProduit[[#This Row],[Packaging / unite]]</f>
        <v>115.2</v>
      </c>
      <c r="V19" s="571" t="e">
        <f ca="1">TableauProduit[[#This Row],[Prix Achat de plante par kg]]*TableauProduit[[#This Row],[Total (kg) N1]]</f>
        <v>#VALUE!</v>
      </c>
      <c r="W19" s="571">
        <f>TableauProduit[[#This Row],[Prix de vente/kg]]*TableauProduit[[#This Row],[Total (kg) N1]]</f>
        <v>1170</v>
      </c>
      <c r="X19" s="565" t="e">
        <f ca="1">TableauProduit[[#This Row],[Revenue brut N1]]-TableauProduit[[#This Row],[Achat par kg N1]]-TableauProduit[[#This Row],[Conditionnement N1]]</f>
        <v>#VALUE!</v>
      </c>
      <c r="Y19" s="566">
        <v>180</v>
      </c>
      <c r="Z19" s="456">
        <f>TableauProduit[[#This Row],[Poids (g) / unite]]*TableauProduit[[#This Row],[Objectif de vente en unite N1]]/1000</f>
        <v>10.8</v>
      </c>
      <c r="AA19" s="574">
        <f>TableauProduit[[#This Row],[Objectif de vente en unite N1]]*TableauProduit[[#This Row],[Packaging / unite]]</f>
        <v>115.2</v>
      </c>
      <c r="AB19" s="574" t="e">
        <f ca="1">TableauProduit[[#This Row],[Prix Achat de plante par kg]]*TableauProduit[[#This Row],[Total (kg) N1]]</f>
        <v>#VALUE!</v>
      </c>
      <c r="AC19" s="574">
        <f>TableauProduit[[#This Row],[Prix de vente/kg]]*TableauProduit[[#This Row],[Total (kg) N1]]</f>
        <v>1170</v>
      </c>
      <c r="AD19" s="583" t="e">
        <f ca="1">TableauProduit[[#This Row],[Revenue brut N1]]-TableauProduit[[#This Row],[Achat par kg N1]]-TableauProduit[[#This Row],[Conditionnement N1]]</f>
        <v>#VALUE!</v>
      </c>
      <c r="AE19" s="458">
        <v>180</v>
      </c>
      <c r="AF19" s="458">
        <f>TableauProduit[[#This Row],[Poids (g) / unite]]*TableauProduit[[#This Row],[Objectif de vente en unite N1]]/1000</f>
        <v>10.8</v>
      </c>
      <c r="AG19" s="577">
        <f>TableauProduit[[#This Row],[Objectif de vente en unite N1]]*TableauProduit[[#This Row],[Packaging / unite]]</f>
        <v>115.2</v>
      </c>
      <c r="AH19" s="577" t="e">
        <f ca="1">TableauProduit[[#This Row],[Prix Achat de plante par kg]]*TableauProduit[[#This Row],[Total (kg) N1]]</f>
        <v>#VALUE!</v>
      </c>
      <c r="AI19" s="577">
        <f>TableauProduit[[#This Row],[Prix de vente/kg]]*TableauProduit[[#This Row],[Total (kg) N1]]</f>
        <v>1170</v>
      </c>
      <c r="AJ19" s="458" t="e">
        <f ca="1">TableauProduit[[#This Row],[Revenue brut N1]]-TableauProduit[[#This Row],[Achat par kg N1]]-TableauProduit[[#This Row],[Conditionnement N1]]</f>
        <v>#VALUE!</v>
      </c>
      <c r="AK19" s="460">
        <v>180</v>
      </c>
      <c r="AL19" s="460">
        <f>TableauProduit[[#This Row],[Poids (g) / unite]]*TableauProduit[[#This Row],[Objectif de vente en unite N1]]/1000</f>
        <v>10.8</v>
      </c>
      <c r="AM19" s="584">
        <f>TableauProduit[[#This Row],[Objectif de vente en unite N1]]*TableauProduit[[#This Row],[Packaging / unite]]</f>
        <v>115.2</v>
      </c>
      <c r="AN19" s="584" t="e">
        <f ca="1">TableauProduit[[#This Row],[Prix Achat de plante par kg]]*TableauProduit[[#This Row],[Total (kg) N1]]</f>
        <v>#VALUE!</v>
      </c>
      <c r="AO19" s="584">
        <f>TableauProduit[[#This Row],[Prix de vente/kg]]*TableauProduit[[#This Row],[Total (kg) N1]]</f>
        <v>1170</v>
      </c>
      <c r="AP19" s="460" t="e">
        <f ca="1">TableauProduit[[#This Row],[Revenue brut N1]]-TableauProduit[[#This Row],[Achat par kg N1]]-TableauProduit[[#This Row],[Conditionnement N1]]</f>
        <v>#VALUE!</v>
      </c>
      <c r="AQ19" s="462">
        <v>180</v>
      </c>
      <c r="AR19" s="462">
        <f>TableauProduit[[#This Row],[Poids (g) / unite]]*TableauProduit[[#This Row],[Objectif de vente en unite N1]]/1000</f>
        <v>10.8</v>
      </c>
      <c r="AS19" s="585">
        <f>TableauProduit[[#This Row],[Objectif de vente en unite N1]]*TableauProduit[[#This Row],[Packaging / unite]]</f>
        <v>115.2</v>
      </c>
      <c r="AT19" s="585" t="e">
        <f ca="1">TableauProduit[[#This Row],[Prix Achat de plante par kg]]*TableauProduit[[#This Row],[Total (kg) N1]]</f>
        <v>#VALUE!</v>
      </c>
      <c r="AU19" s="585">
        <f>TableauProduit[[#This Row],[Prix de vente/kg]]*TableauProduit[[#This Row],[Total (kg) N1]]</f>
        <v>1170</v>
      </c>
      <c r="AV19" s="462" t="e">
        <f ca="1">TableauProduit[[#This Row],[Revenue brut N1]]-TableauProduit[[#This Row],[Achat par kg N1]]-TableauProduit[[#This Row],[Conditionnement N1]]</f>
        <v>#VALUE!</v>
      </c>
      <c r="AW19" s="450">
        <v>180</v>
      </c>
      <c r="AX19" s="450">
        <f>TableauProduit[[#This Row],[Poids (g) / unite]]*TableauProduit[[#This Row],[Objectif de vente en unite N1]]/1000</f>
        <v>10.8</v>
      </c>
      <c r="AY19" s="579">
        <f>TableauProduit[[#This Row],[Objectif de vente en unite N1]]*TableauProduit[[#This Row],[Packaging / unite]]</f>
        <v>115.2</v>
      </c>
      <c r="AZ19" s="579" t="e">
        <f ca="1">TableauProduit[[#This Row],[Prix Achat de plante par kg]]*TableauProduit[[#This Row],[Total (kg) N1]]</f>
        <v>#VALUE!</v>
      </c>
      <c r="BA19" s="579">
        <f>TableauProduit[[#This Row],[Prix de vente/kg]]*TableauProduit[[#This Row],[Total (kg) N1]]</f>
        <v>1170</v>
      </c>
      <c r="BB19" s="586" t="e">
        <f ca="1">TableauProduit[[#This Row],[Revenue brut N1]]-TableauProduit[[#This Row],[Achat par kg N1]]-TableauProduit[[#This Row],[Conditionnement N1]]</f>
        <v>#VALUE!</v>
      </c>
      <c r="BC19" s="568">
        <v>180</v>
      </c>
      <c r="BD19" s="465">
        <f>TableauProduit[[#This Row],[Poids (g) / unite]]*TableauProduit[[#This Row],[Objectif de vente en unite N1]]/1000</f>
        <v>10.8</v>
      </c>
      <c r="BE19" s="587">
        <f>TableauProduit[[#This Row],[Objectif de vente en unite N1]]*TableauProduit[[#This Row],[Packaging / unite]]</f>
        <v>115.2</v>
      </c>
      <c r="BF19" s="587" t="e">
        <f ca="1">TableauProduit[[#This Row],[Prix Achat de plante par kg]]*TableauProduit[[#This Row],[Total (kg) N1]]</f>
        <v>#VALUE!</v>
      </c>
      <c r="BG19" s="587">
        <f>TableauProduit[[#This Row],[Prix de vente/kg]]*TableauProduit[[#This Row],[Total (kg) N1]]</f>
        <v>1170</v>
      </c>
      <c r="BH19" s="588" t="e">
        <f ca="1">TableauProduit[[#This Row],[Revenue brut N1]]-TableauProduit[[#This Row],[Achat par kg N1]]-TableauProduit[[#This Row],[Conditionnement N1]]</f>
        <v>#VALUE!</v>
      </c>
      <c r="BI19" s="520">
        <v>180</v>
      </c>
      <c r="BJ19" s="467">
        <f>TableauProduit[[#This Row],[Poids (g) / unite]]*TableauProduit[[#This Row],[Objectif de vente en unite N1]]/1000</f>
        <v>10.8</v>
      </c>
      <c r="BK19" s="589">
        <f>TableauProduit[[#This Row],[Objectif de vente en unite N1]]*TableauProduit[[#This Row],[Packaging / unite]]</f>
        <v>115.2</v>
      </c>
      <c r="BL19" s="589" t="e">
        <f ca="1">TableauProduit[[#This Row],[Prix Achat de plante par kg]]*TableauProduit[[#This Row],[Total (kg) N1]]</f>
        <v>#VALUE!</v>
      </c>
      <c r="BM19" s="589">
        <f>TableauProduit[[#This Row],[Prix de vente/kg]]*TableauProduit[[#This Row],[Total (kg) N1]]</f>
        <v>1170</v>
      </c>
      <c r="BN19" s="467" t="e">
        <f ca="1">TableauProduit[[#This Row],[Revenue brut N1]]-TableauProduit[[#This Row],[Achat par kg N1]]-TableauProduit[[#This Row],[Conditionnement N1]]</f>
        <v>#VALUE!</v>
      </c>
    </row>
    <row r="20" spans="1:66">
      <c r="A20" s="553" t="s">
        <v>68</v>
      </c>
      <c r="B20" s="54" t="str">
        <f>TableauProduit[[#This Row],[Recette]]&amp;TableauProduit[[#This Row],[Conditionnement]]</f>
        <v>Sirop aux fleuresSirop 500 ml</v>
      </c>
      <c r="C20" s="11">
        <v>1</v>
      </c>
      <c r="D20" s="11">
        <v>500</v>
      </c>
      <c r="E20" s="6" t="s">
        <v>61</v>
      </c>
      <c r="F20" s="7">
        <f>IFERROR(VLOOKUP(TableauProduit[[#This Row],[Conditionnement]],TableauConditionnement[[Nom]:[Contenance]],4,TRUE),"")</f>
        <v>1.46</v>
      </c>
      <c r="G20" s="627" t="e">
        <f ca="1">SUMIFS(TableauRecette[Prix d''achat / kg],TableauRecette[Recette],TableauProduit[[#This Row],[Recette]],TableauRecette[Conditionnement],TableauProduit[[#This Row],[Conditionnement]])</f>
        <v>#VALUE!</v>
      </c>
      <c r="H20" s="634">
        <v>13</v>
      </c>
      <c r="I20" s="629">
        <f>1000*TableauProduit[[#This Row],[Prix de vente/U]]/TableauProduit[[#This Row],[Poids (g) / unite]]</f>
        <v>26</v>
      </c>
      <c r="J20" s="630">
        <f>SUMIFS(TableauConcurence[PRIX_KG],TableauConcurence[PRODUIT],TableauProduit[[#This Row],[Recette]],TableauConcurence[DISTRIBUTION],"magasin NON BIO")</f>
        <v>0</v>
      </c>
      <c r="K20" s="631">
        <f>SUMIFS(TableauConcurence[PRIX_KG],TableauConcurence[PRODUIT],TableauProduit[[#This Row],[Recette]],TableauConcurence[DISTRIBUTION],"magasin BIO")</f>
        <v>0</v>
      </c>
      <c r="L20" s="632">
        <f>SUMIFS(TableauConcurence[PRIX_KG],TableauConcurence[PRODUIT],TableauProduit[[#This Row],[Recette]],TableauConcurence[DISTRIBUTION],"artisanale BIO")</f>
        <v>0</v>
      </c>
      <c r="M20" s="564">
        <v>180</v>
      </c>
      <c r="N20" s="450">
        <f>TableauProduit[[#This Row],[Poids (g) / unite]]*TableauProduit[[#This Row],[Objectif de vente en unite N1]]/1000</f>
        <v>90</v>
      </c>
      <c r="O20" s="579">
        <f>TableauProduit[[#This Row],[Objectif de vente en unite N1]]*TableauProduit[[#This Row],[Packaging / unite]]</f>
        <v>262.8</v>
      </c>
      <c r="P20" s="579" t="e">
        <f t="shared" ca="1" si="0"/>
        <v>#VALUE!</v>
      </c>
      <c r="Q20" s="579" t="e">
        <f ca="1">TableauProduit[[#This Row],[Prix de vente/kg]]*TableauProduit[[#This Row],[Total (kg) N1]]-TableauProduit[[#This Row],[Achat par kg N1]]</f>
        <v>#VALUE!</v>
      </c>
      <c r="R20" s="582" t="e">
        <f ca="1">TableauProduit[[#This Row],[Revenue brut N1]]-TableauProduit[[#This Row],[Conditionnement N1]]</f>
        <v>#VALUE!</v>
      </c>
      <c r="S20" s="453">
        <v>180</v>
      </c>
      <c r="T20" s="452">
        <f>TableauProduit[[#This Row],[Poids (g) / unite]]*TableauProduit[[#This Row],[Objectif de vente en unite N1]]/1000</f>
        <v>90</v>
      </c>
      <c r="U20" s="571">
        <f>TableauProduit[[#This Row],[Objectif de vente en unite N1]]*TableauProduit[[#This Row],[Packaging / unite]]</f>
        <v>262.8</v>
      </c>
      <c r="V20" s="571" t="e">
        <f ca="1">TableauProduit[[#This Row],[Prix Achat de plante par kg]]*TableauProduit[[#This Row],[Total (kg) N1]]</f>
        <v>#VALUE!</v>
      </c>
      <c r="W20" s="571">
        <f>TableauProduit[[#This Row],[Prix de vente/kg]]*TableauProduit[[#This Row],[Total (kg) N1]]</f>
        <v>2340</v>
      </c>
      <c r="X20" s="565" t="e">
        <f ca="1">TableauProduit[[#This Row],[Revenue brut N1]]-TableauProduit[[#This Row],[Achat par kg N1]]-TableauProduit[[#This Row],[Conditionnement N1]]</f>
        <v>#VALUE!</v>
      </c>
      <c r="Y20" s="566">
        <v>180</v>
      </c>
      <c r="Z20" s="456">
        <f>TableauProduit[[#This Row],[Poids (g) / unite]]*TableauProduit[[#This Row],[Objectif de vente en unite N1]]/1000</f>
        <v>90</v>
      </c>
      <c r="AA20" s="574">
        <f>TableauProduit[[#This Row],[Objectif de vente en unite N1]]*TableauProduit[[#This Row],[Packaging / unite]]</f>
        <v>262.8</v>
      </c>
      <c r="AB20" s="574" t="e">
        <f ca="1">TableauProduit[[#This Row],[Prix Achat de plante par kg]]*TableauProduit[[#This Row],[Total (kg) N1]]</f>
        <v>#VALUE!</v>
      </c>
      <c r="AC20" s="574">
        <f>TableauProduit[[#This Row],[Prix de vente/kg]]*TableauProduit[[#This Row],[Total (kg) N1]]</f>
        <v>2340</v>
      </c>
      <c r="AD20" s="583" t="e">
        <f ca="1">TableauProduit[[#This Row],[Revenue brut N1]]-TableauProduit[[#This Row],[Achat par kg N1]]-TableauProduit[[#This Row],[Conditionnement N1]]</f>
        <v>#VALUE!</v>
      </c>
      <c r="AE20" s="458">
        <v>180</v>
      </c>
      <c r="AF20" s="458">
        <f>TableauProduit[[#This Row],[Poids (g) / unite]]*TableauProduit[[#This Row],[Objectif de vente en unite N1]]/1000</f>
        <v>90</v>
      </c>
      <c r="AG20" s="577">
        <f>TableauProduit[[#This Row],[Objectif de vente en unite N1]]*TableauProduit[[#This Row],[Packaging / unite]]</f>
        <v>262.8</v>
      </c>
      <c r="AH20" s="577" t="e">
        <f ca="1">TableauProduit[[#This Row],[Prix Achat de plante par kg]]*TableauProduit[[#This Row],[Total (kg) N1]]</f>
        <v>#VALUE!</v>
      </c>
      <c r="AI20" s="577">
        <f>TableauProduit[[#This Row],[Prix de vente/kg]]*TableauProduit[[#This Row],[Total (kg) N1]]</f>
        <v>2340</v>
      </c>
      <c r="AJ20" s="458" t="e">
        <f ca="1">TableauProduit[[#This Row],[Revenue brut N1]]-TableauProduit[[#This Row],[Achat par kg N1]]-TableauProduit[[#This Row],[Conditionnement N1]]</f>
        <v>#VALUE!</v>
      </c>
      <c r="AK20" s="460">
        <v>180</v>
      </c>
      <c r="AL20" s="460">
        <f>TableauProduit[[#This Row],[Poids (g) / unite]]*TableauProduit[[#This Row],[Objectif de vente en unite N1]]/1000</f>
        <v>90</v>
      </c>
      <c r="AM20" s="584">
        <f>TableauProduit[[#This Row],[Objectif de vente en unite N1]]*TableauProduit[[#This Row],[Packaging / unite]]</f>
        <v>262.8</v>
      </c>
      <c r="AN20" s="584" t="e">
        <f ca="1">TableauProduit[[#This Row],[Prix Achat de plante par kg]]*TableauProduit[[#This Row],[Total (kg) N1]]</f>
        <v>#VALUE!</v>
      </c>
      <c r="AO20" s="584">
        <f>TableauProduit[[#This Row],[Prix de vente/kg]]*TableauProduit[[#This Row],[Total (kg) N1]]</f>
        <v>2340</v>
      </c>
      <c r="AP20" s="460" t="e">
        <f ca="1">TableauProduit[[#This Row],[Revenue brut N1]]-TableauProduit[[#This Row],[Achat par kg N1]]-TableauProduit[[#This Row],[Conditionnement N1]]</f>
        <v>#VALUE!</v>
      </c>
      <c r="AQ20" s="462">
        <v>180</v>
      </c>
      <c r="AR20" s="462">
        <f>TableauProduit[[#This Row],[Poids (g) / unite]]*TableauProduit[[#This Row],[Objectif de vente en unite N1]]/1000</f>
        <v>90</v>
      </c>
      <c r="AS20" s="585">
        <f>TableauProduit[[#This Row],[Objectif de vente en unite N1]]*TableauProduit[[#This Row],[Packaging / unite]]</f>
        <v>262.8</v>
      </c>
      <c r="AT20" s="585" t="e">
        <f ca="1">TableauProduit[[#This Row],[Prix Achat de plante par kg]]*TableauProduit[[#This Row],[Total (kg) N1]]</f>
        <v>#VALUE!</v>
      </c>
      <c r="AU20" s="585">
        <f>TableauProduit[[#This Row],[Prix de vente/kg]]*TableauProduit[[#This Row],[Total (kg) N1]]</f>
        <v>2340</v>
      </c>
      <c r="AV20" s="462" t="e">
        <f ca="1">TableauProduit[[#This Row],[Revenue brut N1]]-TableauProduit[[#This Row],[Achat par kg N1]]-TableauProduit[[#This Row],[Conditionnement N1]]</f>
        <v>#VALUE!</v>
      </c>
      <c r="AW20" s="450">
        <v>180</v>
      </c>
      <c r="AX20" s="450">
        <f>TableauProduit[[#This Row],[Poids (g) / unite]]*TableauProduit[[#This Row],[Objectif de vente en unite N1]]/1000</f>
        <v>90</v>
      </c>
      <c r="AY20" s="579">
        <f>TableauProduit[[#This Row],[Objectif de vente en unite N1]]*TableauProduit[[#This Row],[Packaging / unite]]</f>
        <v>262.8</v>
      </c>
      <c r="AZ20" s="579" t="e">
        <f ca="1">TableauProduit[[#This Row],[Prix Achat de plante par kg]]*TableauProduit[[#This Row],[Total (kg) N1]]</f>
        <v>#VALUE!</v>
      </c>
      <c r="BA20" s="579">
        <f>TableauProduit[[#This Row],[Prix de vente/kg]]*TableauProduit[[#This Row],[Total (kg) N1]]</f>
        <v>2340</v>
      </c>
      <c r="BB20" s="586" t="e">
        <f ca="1">TableauProduit[[#This Row],[Revenue brut N1]]-TableauProduit[[#This Row],[Achat par kg N1]]-TableauProduit[[#This Row],[Conditionnement N1]]</f>
        <v>#VALUE!</v>
      </c>
      <c r="BC20" s="568">
        <v>180</v>
      </c>
      <c r="BD20" s="465">
        <f>TableauProduit[[#This Row],[Poids (g) / unite]]*TableauProduit[[#This Row],[Objectif de vente en unite N1]]/1000</f>
        <v>90</v>
      </c>
      <c r="BE20" s="587">
        <f>TableauProduit[[#This Row],[Objectif de vente en unite N1]]*TableauProduit[[#This Row],[Packaging / unite]]</f>
        <v>262.8</v>
      </c>
      <c r="BF20" s="587" t="e">
        <f ca="1">TableauProduit[[#This Row],[Prix Achat de plante par kg]]*TableauProduit[[#This Row],[Total (kg) N1]]</f>
        <v>#VALUE!</v>
      </c>
      <c r="BG20" s="587">
        <f>TableauProduit[[#This Row],[Prix de vente/kg]]*TableauProduit[[#This Row],[Total (kg) N1]]</f>
        <v>2340</v>
      </c>
      <c r="BH20" s="588" t="e">
        <f ca="1">TableauProduit[[#This Row],[Revenue brut N1]]-TableauProduit[[#This Row],[Achat par kg N1]]-TableauProduit[[#This Row],[Conditionnement N1]]</f>
        <v>#VALUE!</v>
      </c>
      <c r="BI20" s="520">
        <v>180</v>
      </c>
      <c r="BJ20" s="467">
        <f>TableauProduit[[#This Row],[Poids (g) / unite]]*TableauProduit[[#This Row],[Objectif de vente en unite N1]]/1000</f>
        <v>90</v>
      </c>
      <c r="BK20" s="589">
        <f>TableauProduit[[#This Row],[Objectif de vente en unite N1]]*TableauProduit[[#This Row],[Packaging / unite]]</f>
        <v>262.8</v>
      </c>
      <c r="BL20" s="589" t="e">
        <f ca="1">TableauProduit[[#This Row],[Prix Achat de plante par kg]]*TableauProduit[[#This Row],[Total (kg) N1]]</f>
        <v>#VALUE!</v>
      </c>
      <c r="BM20" s="589">
        <f>TableauProduit[[#This Row],[Prix de vente/kg]]*TableauProduit[[#This Row],[Total (kg) N1]]</f>
        <v>2340</v>
      </c>
      <c r="BN20" s="467" t="e">
        <f ca="1">TableauProduit[[#This Row],[Revenue brut N1]]-TableauProduit[[#This Row],[Achat par kg N1]]-TableauProduit[[#This Row],[Conditionnement N1]]</f>
        <v>#VALUE!</v>
      </c>
    </row>
    <row r="21" spans="1:66">
      <c r="A21" s="553" t="s">
        <v>69</v>
      </c>
      <c r="B21" s="54" t="str">
        <f>TableauProduit[[#This Row],[Recette]]&amp;TableauProduit[[#This Row],[Conditionnement]]</f>
        <v>Sirop de basilicSirop 500 ml</v>
      </c>
      <c r="C21" s="11">
        <v>1</v>
      </c>
      <c r="D21" s="11">
        <v>500</v>
      </c>
      <c r="E21" s="6" t="s">
        <v>61</v>
      </c>
      <c r="F21" s="7">
        <f>IFERROR(VLOOKUP(TableauProduit[[#This Row],[Conditionnement]],TableauConditionnement[[Nom]:[Contenance]],4,TRUE),"")</f>
        <v>1.46</v>
      </c>
      <c r="G21" s="627" t="e">
        <f ca="1">SUMIFS(TableauRecette[Prix d''achat / kg],TableauRecette[Recette],TableauProduit[[#This Row],[Recette]],TableauRecette[Conditionnement],TableauProduit[[#This Row],[Conditionnement]])</f>
        <v>#VALUE!</v>
      </c>
      <c r="H21" s="634">
        <v>8</v>
      </c>
      <c r="I21" s="629">
        <f>1000*TableauProduit[[#This Row],[Prix de vente/U]]/TableauProduit[[#This Row],[Poids (g) / unite]]</f>
        <v>16</v>
      </c>
      <c r="J21" s="630">
        <f>SUMIFS(TableauConcurence[PRIX_KG],TableauConcurence[PRODUIT],TableauProduit[[#This Row],[Recette]],TableauConcurence[DISTRIBUTION],"magasin NON BIO")</f>
        <v>11.9</v>
      </c>
      <c r="K21" s="631">
        <f>SUMIFS(TableauConcurence[PRIX_KG],TableauConcurence[PRODUIT],TableauProduit[[#This Row],[Recette]],TableauConcurence[DISTRIBUTION],"magasin BIO")</f>
        <v>6</v>
      </c>
      <c r="L21" s="632">
        <f>SUMIFS(TableauConcurence[PRIX_KG],TableauConcurence[PRODUIT],TableauProduit[[#This Row],[Recette]],TableauConcurence[DISTRIBUTION],"artisanale BIO")</f>
        <v>12</v>
      </c>
      <c r="M21" s="564">
        <v>180</v>
      </c>
      <c r="N21" s="450">
        <f>TableauProduit[[#This Row],[Poids (g) / unite]]*TableauProduit[[#This Row],[Objectif de vente en unite N1]]/1000</f>
        <v>90</v>
      </c>
      <c r="O21" s="579">
        <f>TableauProduit[[#This Row],[Objectif de vente en unite N1]]*TableauProduit[[#This Row],[Packaging / unite]]</f>
        <v>262.8</v>
      </c>
      <c r="P21" s="579" t="e">
        <f t="shared" ca="1" si="0"/>
        <v>#VALUE!</v>
      </c>
      <c r="Q21" s="579" t="e">
        <f ca="1">TableauProduit[[#This Row],[Prix de vente/kg]]*TableauProduit[[#This Row],[Total (kg) N1]]-TableauProduit[[#This Row],[Achat par kg N1]]</f>
        <v>#VALUE!</v>
      </c>
      <c r="R21" s="582" t="e">
        <f ca="1">TableauProduit[[#This Row],[Revenue brut N1]]-TableauProduit[[#This Row],[Conditionnement N1]]</f>
        <v>#VALUE!</v>
      </c>
      <c r="S21" s="453">
        <v>180</v>
      </c>
      <c r="T21" s="452">
        <f>TableauProduit[[#This Row],[Poids (g) / unite]]*TableauProduit[[#This Row],[Objectif de vente en unite N1]]/1000</f>
        <v>90</v>
      </c>
      <c r="U21" s="571">
        <f>TableauProduit[[#This Row],[Objectif de vente en unite N1]]*TableauProduit[[#This Row],[Packaging / unite]]</f>
        <v>262.8</v>
      </c>
      <c r="V21" s="571" t="e">
        <f ca="1">TableauProduit[[#This Row],[Prix Achat de plante par kg]]*TableauProduit[[#This Row],[Total (kg) N1]]</f>
        <v>#VALUE!</v>
      </c>
      <c r="W21" s="571">
        <f>TableauProduit[[#This Row],[Prix de vente/kg]]*TableauProduit[[#This Row],[Total (kg) N1]]</f>
        <v>1440</v>
      </c>
      <c r="X21" s="565" t="e">
        <f ca="1">TableauProduit[[#This Row],[Revenue brut N1]]-TableauProduit[[#This Row],[Achat par kg N1]]-TableauProduit[[#This Row],[Conditionnement N1]]</f>
        <v>#VALUE!</v>
      </c>
      <c r="Y21" s="566">
        <v>180</v>
      </c>
      <c r="Z21" s="456">
        <f>TableauProduit[[#This Row],[Poids (g) / unite]]*TableauProduit[[#This Row],[Objectif de vente en unite N1]]/1000</f>
        <v>90</v>
      </c>
      <c r="AA21" s="574">
        <f>TableauProduit[[#This Row],[Objectif de vente en unite N1]]*TableauProduit[[#This Row],[Packaging / unite]]</f>
        <v>262.8</v>
      </c>
      <c r="AB21" s="574" t="e">
        <f ca="1">TableauProduit[[#This Row],[Prix Achat de plante par kg]]*TableauProduit[[#This Row],[Total (kg) N1]]</f>
        <v>#VALUE!</v>
      </c>
      <c r="AC21" s="574">
        <f>TableauProduit[[#This Row],[Prix de vente/kg]]*TableauProduit[[#This Row],[Total (kg) N1]]</f>
        <v>1440</v>
      </c>
      <c r="AD21" s="583" t="e">
        <f ca="1">TableauProduit[[#This Row],[Revenue brut N1]]-TableauProduit[[#This Row],[Achat par kg N1]]-TableauProduit[[#This Row],[Conditionnement N1]]</f>
        <v>#VALUE!</v>
      </c>
      <c r="AE21" s="458">
        <v>180</v>
      </c>
      <c r="AF21" s="458">
        <f>TableauProduit[[#This Row],[Poids (g) / unite]]*TableauProduit[[#This Row],[Objectif de vente en unite N1]]/1000</f>
        <v>90</v>
      </c>
      <c r="AG21" s="577">
        <f>TableauProduit[[#This Row],[Objectif de vente en unite N1]]*TableauProduit[[#This Row],[Packaging / unite]]</f>
        <v>262.8</v>
      </c>
      <c r="AH21" s="577" t="e">
        <f ca="1">TableauProduit[[#This Row],[Prix Achat de plante par kg]]*TableauProduit[[#This Row],[Total (kg) N1]]</f>
        <v>#VALUE!</v>
      </c>
      <c r="AI21" s="577">
        <f>TableauProduit[[#This Row],[Prix de vente/kg]]*TableauProduit[[#This Row],[Total (kg) N1]]</f>
        <v>1440</v>
      </c>
      <c r="AJ21" s="458" t="e">
        <f ca="1">TableauProduit[[#This Row],[Revenue brut N1]]-TableauProduit[[#This Row],[Achat par kg N1]]-TableauProduit[[#This Row],[Conditionnement N1]]</f>
        <v>#VALUE!</v>
      </c>
      <c r="AK21" s="460">
        <v>180</v>
      </c>
      <c r="AL21" s="460">
        <f>TableauProduit[[#This Row],[Poids (g) / unite]]*TableauProduit[[#This Row],[Objectif de vente en unite N1]]/1000</f>
        <v>90</v>
      </c>
      <c r="AM21" s="584">
        <f>TableauProduit[[#This Row],[Objectif de vente en unite N1]]*TableauProduit[[#This Row],[Packaging / unite]]</f>
        <v>262.8</v>
      </c>
      <c r="AN21" s="584" t="e">
        <f ca="1">TableauProduit[[#This Row],[Prix Achat de plante par kg]]*TableauProduit[[#This Row],[Total (kg) N1]]</f>
        <v>#VALUE!</v>
      </c>
      <c r="AO21" s="584">
        <f>TableauProduit[[#This Row],[Prix de vente/kg]]*TableauProduit[[#This Row],[Total (kg) N1]]</f>
        <v>1440</v>
      </c>
      <c r="AP21" s="460" t="e">
        <f ca="1">TableauProduit[[#This Row],[Revenue brut N1]]-TableauProduit[[#This Row],[Achat par kg N1]]-TableauProduit[[#This Row],[Conditionnement N1]]</f>
        <v>#VALUE!</v>
      </c>
      <c r="AQ21" s="462">
        <v>180</v>
      </c>
      <c r="AR21" s="462">
        <f>TableauProduit[[#This Row],[Poids (g) / unite]]*TableauProduit[[#This Row],[Objectif de vente en unite N1]]/1000</f>
        <v>90</v>
      </c>
      <c r="AS21" s="585">
        <f>TableauProduit[[#This Row],[Objectif de vente en unite N1]]*TableauProduit[[#This Row],[Packaging / unite]]</f>
        <v>262.8</v>
      </c>
      <c r="AT21" s="585" t="e">
        <f ca="1">TableauProduit[[#This Row],[Prix Achat de plante par kg]]*TableauProduit[[#This Row],[Total (kg) N1]]</f>
        <v>#VALUE!</v>
      </c>
      <c r="AU21" s="585">
        <f>TableauProduit[[#This Row],[Prix de vente/kg]]*TableauProduit[[#This Row],[Total (kg) N1]]</f>
        <v>1440</v>
      </c>
      <c r="AV21" s="462" t="e">
        <f ca="1">TableauProduit[[#This Row],[Revenue brut N1]]-TableauProduit[[#This Row],[Achat par kg N1]]-TableauProduit[[#This Row],[Conditionnement N1]]</f>
        <v>#VALUE!</v>
      </c>
      <c r="AW21" s="450">
        <v>180</v>
      </c>
      <c r="AX21" s="450">
        <f>TableauProduit[[#This Row],[Poids (g) / unite]]*TableauProduit[[#This Row],[Objectif de vente en unite N1]]/1000</f>
        <v>90</v>
      </c>
      <c r="AY21" s="579">
        <f>TableauProduit[[#This Row],[Objectif de vente en unite N1]]*TableauProduit[[#This Row],[Packaging / unite]]</f>
        <v>262.8</v>
      </c>
      <c r="AZ21" s="579" t="e">
        <f ca="1">TableauProduit[[#This Row],[Prix Achat de plante par kg]]*TableauProduit[[#This Row],[Total (kg) N1]]</f>
        <v>#VALUE!</v>
      </c>
      <c r="BA21" s="579">
        <f>TableauProduit[[#This Row],[Prix de vente/kg]]*TableauProduit[[#This Row],[Total (kg) N1]]</f>
        <v>1440</v>
      </c>
      <c r="BB21" s="586" t="e">
        <f ca="1">TableauProduit[[#This Row],[Revenue brut N1]]-TableauProduit[[#This Row],[Achat par kg N1]]-TableauProduit[[#This Row],[Conditionnement N1]]</f>
        <v>#VALUE!</v>
      </c>
      <c r="BC21" s="568">
        <v>180</v>
      </c>
      <c r="BD21" s="465">
        <f>TableauProduit[[#This Row],[Poids (g) / unite]]*TableauProduit[[#This Row],[Objectif de vente en unite N1]]/1000</f>
        <v>90</v>
      </c>
      <c r="BE21" s="587">
        <f>TableauProduit[[#This Row],[Objectif de vente en unite N1]]*TableauProduit[[#This Row],[Packaging / unite]]</f>
        <v>262.8</v>
      </c>
      <c r="BF21" s="587" t="e">
        <f ca="1">TableauProduit[[#This Row],[Prix Achat de plante par kg]]*TableauProduit[[#This Row],[Total (kg) N1]]</f>
        <v>#VALUE!</v>
      </c>
      <c r="BG21" s="587">
        <f>TableauProduit[[#This Row],[Prix de vente/kg]]*TableauProduit[[#This Row],[Total (kg) N1]]</f>
        <v>1440</v>
      </c>
      <c r="BH21" s="588" t="e">
        <f ca="1">TableauProduit[[#This Row],[Revenue brut N1]]-TableauProduit[[#This Row],[Achat par kg N1]]-TableauProduit[[#This Row],[Conditionnement N1]]</f>
        <v>#VALUE!</v>
      </c>
      <c r="BI21" s="520">
        <v>180</v>
      </c>
      <c r="BJ21" s="467">
        <f>TableauProduit[[#This Row],[Poids (g) / unite]]*TableauProduit[[#This Row],[Objectif de vente en unite N1]]/1000</f>
        <v>90</v>
      </c>
      <c r="BK21" s="589">
        <f>TableauProduit[[#This Row],[Objectif de vente en unite N1]]*TableauProduit[[#This Row],[Packaging / unite]]</f>
        <v>262.8</v>
      </c>
      <c r="BL21" s="589" t="e">
        <f ca="1">TableauProduit[[#This Row],[Prix Achat de plante par kg]]*TableauProduit[[#This Row],[Total (kg) N1]]</f>
        <v>#VALUE!</v>
      </c>
      <c r="BM21" s="589">
        <f>TableauProduit[[#This Row],[Prix de vente/kg]]*TableauProduit[[#This Row],[Total (kg) N1]]</f>
        <v>1440</v>
      </c>
      <c r="BN21" s="467" t="e">
        <f ca="1">TableauProduit[[#This Row],[Revenue brut N1]]-TableauProduit[[#This Row],[Achat par kg N1]]-TableauProduit[[#This Row],[Conditionnement N1]]</f>
        <v>#VALUE!</v>
      </c>
    </row>
    <row r="22" spans="1:66">
      <c r="A22" s="553" t="s">
        <v>70</v>
      </c>
      <c r="B22" s="54" t="str">
        <f>TableauProduit[[#This Row],[Recette]]&amp;TableauProduit[[#This Row],[Conditionnement]]</f>
        <v>Sirop de thymSirop 500 ml</v>
      </c>
      <c r="C22" s="11">
        <v>1</v>
      </c>
      <c r="D22" s="11">
        <v>500</v>
      </c>
      <c r="E22" s="6" t="s">
        <v>61</v>
      </c>
      <c r="F22" s="7">
        <f>IFERROR(VLOOKUP(TableauProduit[[#This Row],[Conditionnement]],TableauConditionnement[[Nom]:[Contenance]],4,TRUE),"")</f>
        <v>1.46</v>
      </c>
      <c r="G22" s="627" t="e">
        <f ca="1">SUMIFS(TableauRecette[Prix d''achat / kg],TableauRecette[Recette],TableauProduit[[#This Row],[Recette]],TableauRecette[Conditionnement],TableauProduit[[#This Row],[Conditionnement]])</f>
        <v>#VALUE!</v>
      </c>
      <c r="H22" s="634">
        <v>6</v>
      </c>
      <c r="I22" s="629">
        <f>1000*TableauProduit[[#This Row],[Prix de vente/U]]/TableauProduit[[#This Row],[Poids (g) / unite]]</f>
        <v>12</v>
      </c>
      <c r="J22" s="630">
        <f>SUMIFS(TableauConcurence[PRIX_KG],TableauConcurence[PRODUIT],TableauProduit[[#This Row],[Recette]],TableauConcurence[DISTRIBUTION],"magasin NON BIO")</f>
        <v>5</v>
      </c>
      <c r="K22" s="631">
        <f>SUMIFS(TableauConcurence[PRIX_KG],TableauConcurence[PRODUIT],TableauProduit[[#This Row],[Recette]],TableauConcurence[DISTRIBUTION],"magasin BIO")</f>
        <v>11.8</v>
      </c>
      <c r="L22" s="632">
        <f>SUMIFS(TableauConcurence[PRIX_KG],TableauConcurence[PRODUIT],TableauProduit[[#This Row],[Recette]],TableauConcurence[DISTRIBUTION],"artisanale BIO")</f>
        <v>12</v>
      </c>
      <c r="M22" s="564">
        <v>180</v>
      </c>
      <c r="N22" s="450">
        <f>TableauProduit[[#This Row],[Poids (g) / unite]]*TableauProduit[[#This Row],[Objectif de vente en unite N1]]/1000</f>
        <v>90</v>
      </c>
      <c r="O22" s="579">
        <f>TableauProduit[[#This Row],[Objectif de vente en unite N1]]*TableauProduit[[#This Row],[Packaging / unite]]</f>
        <v>262.8</v>
      </c>
      <c r="P22" s="579" t="e">
        <f t="shared" ca="1" si="0"/>
        <v>#VALUE!</v>
      </c>
      <c r="Q22" s="579" t="e">
        <f ca="1">TableauProduit[[#This Row],[Prix de vente/kg]]*TableauProduit[[#This Row],[Total (kg) N1]]-TableauProduit[[#This Row],[Achat par kg N1]]</f>
        <v>#VALUE!</v>
      </c>
      <c r="R22" s="582" t="e">
        <f ca="1">TableauProduit[[#This Row],[Revenue brut N1]]-TableauProduit[[#This Row],[Conditionnement N1]]</f>
        <v>#VALUE!</v>
      </c>
      <c r="S22" s="453">
        <v>180</v>
      </c>
      <c r="T22" s="452">
        <f>TableauProduit[[#This Row],[Poids (g) / unite]]*TableauProduit[[#This Row],[Objectif de vente en unite N1]]/1000</f>
        <v>90</v>
      </c>
      <c r="U22" s="571">
        <f>TableauProduit[[#This Row],[Objectif de vente en unite N1]]*TableauProduit[[#This Row],[Packaging / unite]]</f>
        <v>262.8</v>
      </c>
      <c r="V22" s="571" t="e">
        <f ca="1">TableauProduit[[#This Row],[Prix Achat de plante par kg]]*TableauProduit[[#This Row],[Total (kg) N1]]</f>
        <v>#VALUE!</v>
      </c>
      <c r="W22" s="571">
        <f>TableauProduit[[#This Row],[Prix de vente/kg]]*TableauProduit[[#This Row],[Total (kg) N1]]</f>
        <v>1080</v>
      </c>
      <c r="X22" s="565" t="e">
        <f ca="1">TableauProduit[[#This Row],[Revenue brut N1]]-TableauProduit[[#This Row],[Achat par kg N1]]-TableauProduit[[#This Row],[Conditionnement N1]]</f>
        <v>#VALUE!</v>
      </c>
      <c r="Y22" s="566">
        <v>180</v>
      </c>
      <c r="Z22" s="456">
        <f>TableauProduit[[#This Row],[Poids (g) / unite]]*TableauProduit[[#This Row],[Objectif de vente en unite N1]]/1000</f>
        <v>90</v>
      </c>
      <c r="AA22" s="574">
        <f>TableauProduit[[#This Row],[Objectif de vente en unite N1]]*TableauProduit[[#This Row],[Packaging / unite]]</f>
        <v>262.8</v>
      </c>
      <c r="AB22" s="574" t="e">
        <f ca="1">TableauProduit[[#This Row],[Prix Achat de plante par kg]]*TableauProduit[[#This Row],[Total (kg) N1]]</f>
        <v>#VALUE!</v>
      </c>
      <c r="AC22" s="574">
        <f>TableauProduit[[#This Row],[Prix de vente/kg]]*TableauProduit[[#This Row],[Total (kg) N1]]</f>
        <v>1080</v>
      </c>
      <c r="AD22" s="583" t="e">
        <f ca="1">TableauProduit[[#This Row],[Revenue brut N1]]-TableauProduit[[#This Row],[Achat par kg N1]]-TableauProduit[[#This Row],[Conditionnement N1]]</f>
        <v>#VALUE!</v>
      </c>
      <c r="AE22" s="458">
        <v>180</v>
      </c>
      <c r="AF22" s="458">
        <f>TableauProduit[[#This Row],[Poids (g) / unite]]*TableauProduit[[#This Row],[Objectif de vente en unite N1]]/1000</f>
        <v>90</v>
      </c>
      <c r="AG22" s="577">
        <f>TableauProduit[[#This Row],[Objectif de vente en unite N1]]*TableauProduit[[#This Row],[Packaging / unite]]</f>
        <v>262.8</v>
      </c>
      <c r="AH22" s="577" t="e">
        <f ca="1">TableauProduit[[#This Row],[Prix Achat de plante par kg]]*TableauProduit[[#This Row],[Total (kg) N1]]</f>
        <v>#VALUE!</v>
      </c>
      <c r="AI22" s="577">
        <f>TableauProduit[[#This Row],[Prix de vente/kg]]*TableauProduit[[#This Row],[Total (kg) N1]]</f>
        <v>1080</v>
      </c>
      <c r="AJ22" s="458" t="e">
        <f ca="1">TableauProduit[[#This Row],[Revenue brut N1]]-TableauProduit[[#This Row],[Achat par kg N1]]-TableauProduit[[#This Row],[Conditionnement N1]]</f>
        <v>#VALUE!</v>
      </c>
      <c r="AK22" s="460">
        <v>180</v>
      </c>
      <c r="AL22" s="460">
        <f>TableauProduit[[#This Row],[Poids (g) / unite]]*TableauProduit[[#This Row],[Objectif de vente en unite N1]]/1000</f>
        <v>90</v>
      </c>
      <c r="AM22" s="584">
        <f>TableauProduit[[#This Row],[Objectif de vente en unite N1]]*TableauProduit[[#This Row],[Packaging / unite]]</f>
        <v>262.8</v>
      </c>
      <c r="AN22" s="584" t="e">
        <f ca="1">TableauProduit[[#This Row],[Prix Achat de plante par kg]]*TableauProduit[[#This Row],[Total (kg) N1]]</f>
        <v>#VALUE!</v>
      </c>
      <c r="AO22" s="584">
        <f>TableauProduit[[#This Row],[Prix de vente/kg]]*TableauProduit[[#This Row],[Total (kg) N1]]</f>
        <v>1080</v>
      </c>
      <c r="AP22" s="460" t="e">
        <f ca="1">TableauProduit[[#This Row],[Revenue brut N1]]-TableauProduit[[#This Row],[Achat par kg N1]]-TableauProduit[[#This Row],[Conditionnement N1]]</f>
        <v>#VALUE!</v>
      </c>
      <c r="AQ22" s="462">
        <v>180</v>
      </c>
      <c r="AR22" s="462">
        <f>TableauProduit[[#This Row],[Poids (g) / unite]]*TableauProduit[[#This Row],[Objectif de vente en unite N1]]/1000</f>
        <v>90</v>
      </c>
      <c r="AS22" s="585">
        <f>TableauProduit[[#This Row],[Objectif de vente en unite N1]]*TableauProduit[[#This Row],[Packaging / unite]]</f>
        <v>262.8</v>
      </c>
      <c r="AT22" s="585" t="e">
        <f ca="1">TableauProduit[[#This Row],[Prix Achat de plante par kg]]*TableauProduit[[#This Row],[Total (kg) N1]]</f>
        <v>#VALUE!</v>
      </c>
      <c r="AU22" s="585">
        <f>TableauProduit[[#This Row],[Prix de vente/kg]]*TableauProduit[[#This Row],[Total (kg) N1]]</f>
        <v>1080</v>
      </c>
      <c r="AV22" s="462" t="e">
        <f ca="1">TableauProduit[[#This Row],[Revenue brut N1]]-TableauProduit[[#This Row],[Achat par kg N1]]-TableauProduit[[#This Row],[Conditionnement N1]]</f>
        <v>#VALUE!</v>
      </c>
      <c r="AW22" s="450">
        <v>180</v>
      </c>
      <c r="AX22" s="450">
        <f>TableauProduit[[#This Row],[Poids (g) / unite]]*TableauProduit[[#This Row],[Objectif de vente en unite N1]]/1000</f>
        <v>90</v>
      </c>
      <c r="AY22" s="579">
        <f>TableauProduit[[#This Row],[Objectif de vente en unite N1]]*TableauProduit[[#This Row],[Packaging / unite]]</f>
        <v>262.8</v>
      </c>
      <c r="AZ22" s="579" t="e">
        <f ca="1">TableauProduit[[#This Row],[Prix Achat de plante par kg]]*TableauProduit[[#This Row],[Total (kg) N1]]</f>
        <v>#VALUE!</v>
      </c>
      <c r="BA22" s="579">
        <f>TableauProduit[[#This Row],[Prix de vente/kg]]*TableauProduit[[#This Row],[Total (kg) N1]]</f>
        <v>1080</v>
      </c>
      <c r="BB22" s="586" t="e">
        <f ca="1">TableauProduit[[#This Row],[Revenue brut N1]]-TableauProduit[[#This Row],[Achat par kg N1]]-TableauProduit[[#This Row],[Conditionnement N1]]</f>
        <v>#VALUE!</v>
      </c>
      <c r="BC22" s="568">
        <v>180</v>
      </c>
      <c r="BD22" s="465">
        <f>TableauProduit[[#This Row],[Poids (g) / unite]]*TableauProduit[[#This Row],[Objectif de vente en unite N1]]/1000</f>
        <v>90</v>
      </c>
      <c r="BE22" s="587">
        <f>TableauProduit[[#This Row],[Objectif de vente en unite N1]]*TableauProduit[[#This Row],[Packaging / unite]]</f>
        <v>262.8</v>
      </c>
      <c r="BF22" s="587" t="e">
        <f ca="1">TableauProduit[[#This Row],[Prix Achat de plante par kg]]*TableauProduit[[#This Row],[Total (kg) N1]]</f>
        <v>#VALUE!</v>
      </c>
      <c r="BG22" s="587">
        <f>TableauProduit[[#This Row],[Prix de vente/kg]]*TableauProduit[[#This Row],[Total (kg) N1]]</f>
        <v>1080</v>
      </c>
      <c r="BH22" s="588" t="e">
        <f ca="1">TableauProduit[[#This Row],[Revenue brut N1]]-TableauProduit[[#This Row],[Achat par kg N1]]-TableauProduit[[#This Row],[Conditionnement N1]]</f>
        <v>#VALUE!</v>
      </c>
      <c r="BI22" s="520">
        <v>180</v>
      </c>
      <c r="BJ22" s="467">
        <f>TableauProduit[[#This Row],[Poids (g) / unite]]*TableauProduit[[#This Row],[Objectif de vente en unite N1]]/1000</f>
        <v>90</v>
      </c>
      <c r="BK22" s="589">
        <f>TableauProduit[[#This Row],[Objectif de vente en unite N1]]*TableauProduit[[#This Row],[Packaging / unite]]</f>
        <v>262.8</v>
      </c>
      <c r="BL22" s="589" t="e">
        <f ca="1">TableauProduit[[#This Row],[Prix Achat de plante par kg]]*TableauProduit[[#This Row],[Total (kg) N1]]</f>
        <v>#VALUE!</v>
      </c>
      <c r="BM22" s="589">
        <f>TableauProduit[[#This Row],[Prix de vente/kg]]*TableauProduit[[#This Row],[Total (kg) N1]]</f>
        <v>1080</v>
      </c>
      <c r="BN22" s="467" t="e">
        <f ca="1">TableauProduit[[#This Row],[Revenue brut N1]]-TableauProduit[[#This Row],[Achat par kg N1]]-TableauProduit[[#This Row],[Conditionnement N1]]</f>
        <v>#VALUE!</v>
      </c>
    </row>
    <row r="23" spans="1:66">
      <c r="A23" s="553" t="s">
        <v>71</v>
      </c>
      <c r="B23" s="54" t="str">
        <f>TableauProduit[[#This Row],[Recette]]&amp;TableauProduit[[#This Row],[Conditionnement]]</f>
        <v>Sucre à l'hibiscusEpice 200ml</v>
      </c>
      <c r="C23" s="11">
        <v>1</v>
      </c>
      <c r="D23" s="11">
        <v>200</v>
      </c>
      <c r="E23" s="6" t="s">
        <v>47</v>
      </c>
      <c r="F23" s="7">
        <f>IFERROR(VLOOKUP(TableauProduit[[#This Row],[Conditionnement]],TableauConditionnement[[Nom]:[Contenance]],4,TRUE),"")</f>
        <v>0.66</v>
      </c>
      <c r="G23" s="627">
        <f>SUMIFS(TableauRecette[Prix d''achat / kg],TableauRecette[Recette],TableauProduit[[#This Row],[Recette]],TableauRecette[Conditionnement],TableauProduit[[#This Row],[Conditionnement]])</f>
        <v>0</v>
      </c>
      <c r="H23" s="634">
        <v>7.8</v>
      </c>
      <c r="I23" s="629">
        <f>1000*TableauProduit[[#This Row],[Prix de vente/U]]/TableauProduit[[#This Row],[Poids (g) / unite]]</f>
        <v>39</v>
      </c>
      <c r="J23" s="630">
        <f>SUMIFS(TableauConcurence[PRIX_KG],TableauConcurence[PRODUIT],TableauProduit[[#This Row],[Recette]],TableauConcurence[DISTRIBUTION],"magasin NON BIO")</f>
        <v>27.8</v>
      </c>
      <c r="K23" s="631">
        <f>SUMIFS(TableauConcurence[PRIX_KG],TableauConcurence[PRODUIT],TableauProduit[[#This Row],[Recette]],TableauConcurence[DISTRIBUTION],"magasin BIO")</f>
        <v>14.4</v>
      </c>
      <c r="L23" s="632">
        <f>SUMIFS(TableauConcurence[PRIX_KG],TableauConcurence[PRODUIT],TableauProduit[[#This Row],[Recette]],TableauConcurence[DISTRIBUTION],"artisanale BIO")</f>
        <v>38.9</v>
      </c>
      <c r="M23" s="564">
        <v>180</v>
      </c>
      <c r="N23" s="450">
        <f>TableauProduit[[#This Row],[Poids (g) / unite]]*TableauProduit[[#This Row],[Objectif de vente en unite N1]]/1000</f>
        <v>36</v>
      </c>
      <c r="O23" s="579">
        <f>TableauProduit[[#This Row],[Objectif de vente en unite N1]]*TableauProduit[[#This Row],[Packaging / unite]]</f>
        <v>118.80000000000001</v>
      </c>
      <c r="P23" s="579">
        <f t="shared" si="0"/>
        <v>0</v>
      </c>
      <c r="Q23" s="579">
        <f>TableauProduit[[#This Row],[Prix de vente/kg]]*TableauProduit[[#This Row],[Total (kg) N1]]-TableauProduit[[#This Row],[Achat par kg N1]]</f>
        <v>1404</v>
      </c>
      <c r="R23" s="582">
        <f>TableauProduit[[#This Row],[Revenue brut N1]]-TableauProduit[[#This Row],[Conditionnement N1]]</f>
        <v>1285.2</v>
      </c>
      <c r="S23" s="453">
        <v>180</v>
      </c>
      <c r="T23" s="452">
        <f>TableauProduit[[#This Row],[Poids (g) / unite]]*TableauProduit[[#This Row],[Objectif de vente en unite N1]]/1000</f>
        <v>36</v>
      </c>
      <c r="U23" s="571">
        <f>TableauProduit[[#This Row],[Objectif de vente en unite N1]]*TableauProduit[[#This Row],[Packaging / unite]]</f>
        <v>118.80000000000001</v>
      </c>
      <c r="V23" s="571">
        <f>TableauProduit[[#This Row],[Prix Achat de plante par kg]]*TableauProduit[[#This Row],[Total (kg) N1]]</f>
        <v>0</v>
      </c>
      <c r="W23" s="571">
        <f>TableauProduit[[#This Row],[Prix de vente/kg]]*TableauProduit[[#This Row],[Total (kg) N1]]</f>
        <v>1404</v>
      </c>
      <c r="X23" s="565">
        <f>TableauProduit[[#This Row],[Revenue brut N1]]-TableauProduit[[#This Row],[Achat par kg N1]]-TableauProduit[[#This Row],[Conditionnement N1]]</f>
        <v>1285.2</v>
      </c>
      <c r="Y23" s="566">
        <v>180</v>
      </c>
      <c r="Z23" s="456">
        <f>TableauProduit[[#This Row],[Poids (g) / unite]]*TableauProduit[[#This Row],[Objectif de vente en unite N1]]/1000</f>
        <v>36</v>
      </c>
      <c r="AA23" s="574">
        <f>TableauProduit[[#This Row],[Objectif de vente en unite N1]]*TableauProduit[[#This Row],[Packaging / unite]]</f>
        <v>118.80000000000001</v>
      </c>
      <c r="AB23" s="574">
        <f>TableauProduit[[#This Row],[Prix Achat de plante par kg]]*TableauProduit[[#This Row],[Total (kg) N1]]</f>
        <v>0</v>
      </c>
      <c r="AC23" s="574">
        <f>TableauProduit[[#This Row],[Prix de vente/kg]]*TableauProduit[[#This Row],[Total (kg) N1]]</f>
        <v>1404</v>
      </c>
      <c r="AD23" s="583">
        <f>TableauProduit[[#This Row],[Revenue brut N1]]-TableauProduit[[#This Row],[Achat par kg N1]]-TableauProduit[[#This Row],[Conditionnement N1]]</f>
        <v>1285.2</v>
      </c>
      <c r="AE23" s="458">
        <v>180</v>
      </c>
      <c r="AF23" s="458">
        <f>TableauProduit[[#This Row],[Poids (g) / unite]]*TableauProduit[[#This Row],[Objectif de vente en unite N1]]/1000</f>
        <v>36</v>
      </c>
      <c r="AG23" s="577">
        <f>TableauProduit[[#This Row],[Objectif de vente en unite N1]]*TableauProduit[[#This Row],[Packaging / unite]]</f>
        <v>118.80000000000001</v>
      </c>
      <c r="AH23" s="577">
        <f>TableauProduit[[#This Row],[Prix Achat de plante par kg]]*TableauProduit[[#This Row],[Total (kg) N1]]</f>
        <v>0</v>
      </c>
      <c r="AI23" s="577">
        <f>TableauProduit[[#This Row],[Prix de vente/kg]]*TableauProduit[[#This Row],[Total (kg) N1]]</f>
        <v>1404</v>
      </c>
      <c r="AJ23" s="458">
        <f>TableauProduit[[#This Row],[Revenue brut N1]]-TableauProduit[[#This Row],[Achat par kg N1]]-TableauProduit[[#This Row],[Conditionnement N1]]</f>
        <v>1285.2</v>
      </c>
      <c r="AK23" s="460">
        <v>180</v>
      </c>
      <c r="AL23" s="460">
        <f>TableauProduit[[#This Row],[Poids (g) / unite]]*TableauProduit[[#This Row],[Objectif de vente en unite N1]]/1000</f>
        <v>36</v>
      </c>
      <c r="AM23" s="584">
        <f>TableauProduit[[#This Row],[Objectif de vente en unite N1]]*TableauProduit[[#This Row],[Packaging / unite]]</f>
        <v>118.80000000000001</v>
      </c>
      <c r="AN23" s="584">
        <f>TableauProduit[[#This Row],[Prix Achat de plante par kg]]*TableauProduit[[#This Row],[Total (kg) N1]]</f>
        <v>0</v>
      </c>
      <c r="AO23" s="584">
        <f>TableauProduit[[#This Row],[Prix de vente/kg]]*TableauProduit[[#This Row],[Total (kg) N1]]</f>
        <v>1404</v>
      </c>
      <c r="AP23" s="460">
        <f>TableauProduit[[#This Row],[Revenue brut N1]]-TableauProduit[[#This Row],[Achat par kg N1]]-TableauProduit[[#This Row],[Conditionnement N1]]</f>
        <v>1285.2</v>
      </c>
      <c r="AQ23" s="462">
        <v>180</v>
      </c>
      <c r="AR23" s="462">
        <f>TableauProduit[[#This Row],[Poids (g) / unite]]*TableauProduit[[#This Row],[Objectif de vente en unite N1]]/1000</f>
        <v>36</v>
      </c>
      <c r="AS23" s="585">
        <f>TableauProduit[[#This Row],[Objectif de vente en unite N1]]*TableauProduit[[#This Row],[Packaging / unite]]</f>
        <v>118.80000000000001</v>
      </c>
      <c r="AT23" s="585">
        <f>TableauProduit[[#This Row],[Prix Achat de plante par kg]]*TableauProduit[[#This Row],[Total (kg) N1]]</f>
        <v>0</v>
      </c>
      <c r="AU23" s="585">
        <f>TableauProduit[[#This Row],[Prix de vente/kg]]*TableauProduit[[#This Row],[Total (kg) N1]]</f>
        <v>1404</v>
      </c>
      <c r="AV23" s="462">
        <f>TableauProduit[[#This Row],[Revenue brut N1]]-TableauProduit[[#This Row],[Achat par kg N1]]-TableauProduit[[#This Row],[Conditionnement N1]]</f>
        <v>1285.2</v>
      </c>
      <c r="AW23" s="450">
        <v>180</v>
      </c>
      <c r="AX23" s="450">
        <f>TableauProduit[[#This Row],[Poids (g) / unite]]*TableauProduit[[#This Row],[Objectif de vente en unite N1]]/1000</f>
        <v>36</v>
      </c>
      <c r="AY23" s="579">
        <f>TableauProduit[[#This Row],[Objectif de vente en unite N1]]*TableauProduit[[#This Row],[Packaging / unite]]</f>
        <v>118.80000000000001</v>
      </c>
      <c r="AZ23" s="579">
        <f>TableauProduit[[#This Row],[Prix Achat de plante par kg]]*TableauProduit[[#This Row],[Total (kg) N1]]</f>
        <v>0</v>
      </c>
      <c r="BA23" s="579">
        <f>TableauProduit[[#This Row],[Prix de vente/kg]]*TableauProduit[[#This Row],[Total (kg) N1]]</f>
        <v>1404</v>
      </c>
      <c r="BB23" s="586">
        <f>TableauProduit[[#This Row],[Revenue brut N1]]-TableauProduit[[#This Row],[Achat par kg N1]]-TableauProduit[[#This Row],[Conditionnement N1]]</f>
        <v>1285.2</v>
      </c>
      <c r="BC23" s="568">
        <v>180</v>
      </c>
      <c r="BD23" s="465">
        <f>TableauProduit[[#This Row],[Poids (g) / unite]]*TableauProduit[[#This Row],[Objectif de vente en unite N1]]/1000</f>
        <v>36</v>
      </c>
      <c r="BE23" s="587">
        <f>TableauProduit[[#This Row],[Objectif de vente en unite N1]]*TableauProduit[[#This Row],[Packaging / unite]]</f>
        <v>118.80000000000001</v>
      </c>
      <c r="BF23" s="587">
        <f>TableauProduit[[#This Row],[Prix Achat de plante par kg]]*TableauProduit[[#This Row],[Total (kg) N1]]</f>
        <v>0</v>
      </c>
      <c r="BG23" s="587">
        <f>TableauProduit[[#This Row],[Prix de vente/kg]]*TableauProduit[[#This Row],[Total (kg) N1]]</f>
        <v>1404</v>
      </c>
      <c r="BH23" s="588">
        <f>TableauProduit[[#This Row],[Revenue brut N1]]-TableauProduit[[#This Row],[Achat par kg N1]]-TableauProduit[[#This Row],[Conditionnement N1]]</f>
        <v>1285.2</v>
      </c>
      <c r="BI23" s="520">
        <v>180</v>
      </c>
      <c r="BJ23" s="467">
        <f>TableauProduit[[#This Row],[Poids (g) / unite]]*TableauProduit[[#This Row],[Objectif de vente en unite N1]]/1000</f>
        <v>36</v>
      </c>
      <c r="BK23" s="589">
        <f>TableauProduit[[#This Row],[Objectif de vente en unite N1]]*TableauProduit[[#This Row],[Packaging / unite]]</f>
        <v>118.80000000000001</v>
      </c>
      <c r="BL23" s="589">
        <f>TableauProduit[[#This Row],[Prix Achat de plante par kg]]*TableauProduit[[#This Row],[Total (kg) N1]]</f>
        <v>0</v>
      </c>
      <c r="BM23" s="589">
        <f>TableauProduit[[#This Row],[Prix de vente/kg]]*TableauProduit[[#This Row],[Total (kg) N1]]</f>
        <v>1404</v>
      </c>
      <c r="BN23" s="467">
        <f>TableauProduit[[#This Row],[Revenue brut N1]]-TableauProduit[[#This Row],[Achat par kg N1]]-TableauProduit[[#This Row],[Conditionnement N1]]</f>
        <v>1285.2</v>
      </c>
    </row>
    <row r="24" spans="1:66">
      <c r="A24" s="553" t="s">
        <v>72</v>
      </c>
      <c r="B24" s="54" t="str">
        <f>TableauProduit[[#This Row],[Recette]]&amp;TableauProduit[[#This Row],[Conditionnement]]</f>
        <v>Vinaigre du soleilVinaigre 250 ml</v>
      </c>
      <c r="C24" s="11">
        <v>1</v>
      </c>
      <c r="D24" s="11">
        <v>250</v>
      </c>
      <c r="E24" s="6" t="s">
        <v>73</v>
      </c>
      <c r="F24" s="7">
        <f>IFERROR(VLOOKUP(TableauProduit[[#This Row],[Conditionnement]],TableauConditionnement[[Nom]:[Contenance]],4,TRUE),"")</f>
        <v>0.96499999999999997</v>
      </c>
      <c r="G24" s="627" t="e">
        <f ca="1">SUMIFS(TableauRecette[Prix d''achat / kg],TableauRecette[Recette],TableauProduit[[#This Row],[Recette]],TableauRecette[Conditionnement],TableauProduit[[#This Row],[Conditionnement]])</f>
        <v>#VALUE!</v>
      </c>
      <c r="H24" s="634">
        <v>8.1</v>
      </c>
      <c r="I24" s="629">
        <f>1000*TableauProduit[[#This Row],[Prix de vente/U]]/TableauProduit[[#This Row],[Poids (g) / unite]]</f>
        <v>32.4</v>
      </c>
      <c r="J24" s="630">
        <f>SUMIFS(TableauConcurence[PRIX_KG],TableauConcurence[PRODUIT],TableauProduit[[#This Row],[Recette]],TableauConcurence[DISTRIBUTION],"magasin NON BIO")</f>
        <v>3.33</v>
      </c>
      <c r="K24" s="631">
        <f>SUMIFS(TableauConcurence[PRIX_KG],TableauConcurence[PRODUIT],TableauProduit[[#This Row],[Recette]],TableauConcurence[DISTRIBUTION],"magasin BIO")</f>
        <v>5.73</v>
      </c>
      <c r="L24" s="632">
        <f>SUMIFS(TableauConcurence[PRIX_KG],TableauConcurence[PRODUIT],TableauProduit[[#This Row],[Recette]],TableauConcurence[DISTRIBUTION],"artisanale BIO")</f>
        <v>11.8</v>
      </c>
      <c r="M24" s="564">
        <v>180</v>
      </c>
      <c r="N24" s="450">
        <f>TableauProduit[[#This Row],[Poids (g) / unite]]*TableauProduit[[#This Row],[Objectif de vente en unite N1]]/1000</f>
        <v>45</v>
      </c>
      <c r="O24" s="579">
        <f>TableauProduit[[#This Row],[Objectif de vente en unite N1]]*TableauProduit[[#This Row],[Packaging / unite]]</f>
        <v>173.7</v>
      </c>
      <c r="P24" s="579" t="e">
        <f t="shared" ca="1" si="0"/>
        <v>#VALUE!</v>
      </c>
      <c r="Q24" s="579" t="e">
        <f ca="1">TableauProduit[[#This Row],[Prix de vente/kg]]*TableauProduit[[#This Row],[Total (kg) N1]]-TableauProduit[[#This Row],[Achat par kg N1]]</f>
        <v>#VALUE!</v>
      </c>
      <c r="R24" s="582" t="e">
        <f ca="1">TableauProduit[[#This Row],[Revenue brut N1]]-TableauProduit[[#This Row],[Conditionnement N1]]</f>
        <v>#VALUE!</v>
      </c>
      <c r="S24" s="453">
        <v>180</v>
      </c>
      <c r="T24" s="452">
        <f>TableauProduit[[#This Row],[Poids (g) / unite]]*TableauProduit[[#This Row],[Objectif de vente en unite N1]]/1000</f>
        <v>45</v>
      </c>
      <c r="U24" s="571">
        <f>TableauProduit[[#This Row],[Objectif de vente en unite N1]]*TableauProduit[[#This Row],[Packaging / unite]]</f>
        <v>173.7</v>
      </c>
      <c r="V24" s="571" t="e">
        <f ca="1">TableauProduit[[#This Row],[Prix Achat de plante par kg]]*TableauProduit[[#This Row],[Total (kg) N1]]</f>
        <v>#VALUE!</v>
      </c>
      <c r="W24" s="571">
        <f>TableauProduit[[#This Row],[Prix de vente/kg]]*TableauProduit[[#This Row],[Total (kg) N1]]</f>
        <v>1458</v>
      </c>
      <c r="X24" s="565" t="e">
        <f ca="1">TableauProduit[[#This Row],[Revenue brut N1]]-TableauProduit[[#This Row],[Achat par kg N1]]-TableauProduit[[#This Row],[Conditionnement N1]]</f>
        <v>#VALUE!</v>
      </c>
      <c r="Y24" s="566">
        <v>180</v>
      </c>
      <c r="Z24" s="456">
        <f>TableauProduit[[#This Row],[Poids (g) / unite]]*TableauProduit[[#This Row],[Objectif de vente en unite N1]]/1000</f>
        <v>45</v>
      </c>
      <c r="AA24" s="574">
        <f>TableauProduit[[#This Row],[Objectif de vente en unite N1]]*TableauProduit[[#This Row],[Packaging / unite]]</f>
        <v>173.7</v>
      </c>
      <c r="AB24" s="574" t="e">
        <f ca="1">TableauProduit[[#This Row],[Prix Achat de plante par kg]]*TableauProduit[[#This Row],[Total (kg) N1]]</f>
        <v>#VALUE!</v>
      </c>
      <c r="AC24" s="574">
        <f>TableauProduit[[#This Row],[Prix de vente/kg]]*TableauProduit[[#This Row],[Total (kg) N1]]</f>
        <v>1458</v>
      </c>
      <c r="AD24" s="583" t="e">
        <f ca="1">TableauProduit[[#This Row],[Revenue brut N1]]-TableauProduit[[#This Row],[Achat par kg N1]]-TableauProduit[[#This Row],[Conditionnement N1]]</f>
        <v>#VALUE!</v>
      </c>
      <c r="AE24" s="458">
        <v>180</v>
      </c>
      <c r="AF24" s="458">
        <f>TableauProduit[[#This Row],[Poids (g) / unite]]*TableauProduit[[#This Row],[Objectif de vente en unite N1]]/1000</f>
        <v>45</v>
      </c>
      <c r="AG24" s="577">
        <f>TableauProduit[[#This Row],[Objectif de vente en unite N1]]*TableauProduit[[#This Row],[Packaging / unite]]</f>
        <v>173.7</v>
      </c>
      <c r="AH24" s="577" t="e">
        <f ca="1">TableauProduit[[#This Row],[Prix Achat de plante par kg]]*TableauProduit[[#This Row],[Total (kg) N1]]</f>
        <v>#VALUE!</v>
      </c>
      <c r="AI24" s="577">
        <f>TableauProduit[[#This Row],[Prix de vente/kg]]*TableauProduit[[#This Row],[Total (kg) N1]]</f>
        <v>1458</v>
      </c>
      <c r="AJ24" s="458" t="e">
        <f ca="1">TableauProduit[[#This Row],[Revenue brut N1]]-TableauProduit[[#This Row],[Achat par kg N1]]-TableauProduit[[#This Row],[Conditionnement N1]]</f>
        <v>#VALUE!</v>
      </c>
      <c r="AK24" s="460">
        <v>180</v>
      </c>
      <c r="AL24" s="460">
        <f>TableauProduit[[#This Row],[Poids (g) / unite]]*TableauProduit[[#This Row],[Objectif de vente en unite N1]]/1000</f>
        <v>45</v>
      </c>
      <c r="AM24" s="584">
        <f>TableauProduit[[#This Row],[Objectif de vente en unite N1]]*TableauProduit[[#This Row],[Packaging / unite]]</f>
        <v>173.7</v>
      </c>
      <c r="AN24" s="584" t="e">
        <f ca="1">TableauProduit[[#This Row],[Prix Achat de plante par kg]]*TableauProduit[[#This Row],[Total (kg) N1]]</f>
        <v>#VALUE!</v>
      </c>
      <c r="AO24" s="584">
        <f>TableauProduit[[#This Row],[Prix de vente/kg]]*TableauProduit[[#This Row],[Total (kg) N1]]</f>
        <v>1458</v>
      </c>
      <c r="AP24" s="460" t="e">
        <f ca="1">TableauProduit[[#This Row],[Revenue brut N1]]-TableauProduit[[#This Row],[Achat par kg N1]]-TableauProduit[[#This Row],[Conditionnement N1]]</f>
        <v>#VALUE!</v>
      </c>
      <c r="AQ24" s="462">
        <v>180</v>
      </c>
      <c r="AR24" s="462">
        <f>TableauProduit[[#This Row],[Poids (g) / unite]]*TableauProduit[[#This Row],[Objectif de vente en unite N1]]/1000</f>
        <v>45</v>
      </c>
      <c r="AS24" s="585">
        <f>TableauProduit[[#This Row],[Objectif de vente en unite N1]]*TableauProduit[[#This Row],[Packaging / unite]]</f>
        <v>173.7</v>
      </c>
      <c r="AT24" s="585" t="e">
        <f ca="1">TableauProduit[[#This Row],[Prix Achat de plante par kg]]*TableauProduit[[#This Row],[Total (kg) N1]]</f>
        <v>#VALUE!</v>
      </c>
      <c r="AU24" s="585">
        <f>TableauProduit[[#This Row],[Prix de vente/kg]]*TableauProduit[[#This Row],[Total (kg) N1]]</f>
        <v>1458</v>
      </c>
      <c r="AV24" s="462" t="e">
        <f ca="1">TableauProduit[[#This Row],[Revenue brut N1]]-TableauProduit[[#This Row],[Achat par kg N1]]-TableauProduit[[#This Row],[Conditionnement N1]]</f>
        <v>#VALUE!</v>
      </c>
      <c r="AW24" s="450">
        <v>180</v>
      </c>
      <c r="AX24" s="450">
        <f>TableauProduit[[#This Row],[Poids (g) / unite]]*TableauProduit[[#This Row],[Objectif de vente en unite N1]]/1000</f>
        <v>45</v>
      </c>
      <c r="AY24" s="579">
        <f>TableauProduit[[#This Row],[Objectif de vente en unite N1]]*TableauProduit[[#This Row],[Packaging / unite]]</f>
        <v>173.7</v>
      </c>
      <c r="AZ24" s="579" t="e">
        <f ca="1">TableauProduit[[#This Row],[Prix Achat de plante par kg]]*TableauProduit[[#This Row],[Total (kg) N1]]</f>
        <v>#VALUE!</v>
      </c>
      <c r="BA24" s="579">
        <f>TableauProduit[[#This Row],[Prix de vente/kg]]*TableauProduit[[#This Row],[Total (kg) N1]]</f>
        <v>1458</v>
      </c>
      <c r="BB24" s="586" t="e">
        <f ca="1">TableauProduit[[#This Row],[Revenue brut N1]]-TableauProduit[[#This Row],[Achat par kg N1]]-TableauProduit[[#This Row],[Conditionnement N1]]</f>
        <v>#VALUE!</v>
      </c>
      <c r="BC24" s="568">
        <v>180</v>
      </c>
      <c r="BD24" s="465">
        <f>TableauProduit[[#This Row],[Poids (g) / unite]]*TableauProduit[[#This Row],[Objectif de vente en unite N1]]/1000</f>
        <v>45</v>
      </c>
      <c r="BE24" s="587">
        <f>TableauProduit[[#This Row],[Objectif de vente en unite N1]]*TableauProduit[[#This Row],[Packaging / unite]]</f>
        <v>173.7</v>
      </c>
      <c r="BF24" s="587" t="e">
        <f ca="1">TableauProduit[[#This Row],[Prix Achat de plante par kg]]*TableauProduit[[#This Row],[Total (kg) N1]]</f>
        <v>#VALUE!</v>
      </c>
      <c r="BG24" s="587">
        <f>TableauProduit[[#This Row],[Prix de vente/kg]]*TableauProduit[[#This Row],[Total (kg) N1]]</f>
        <v>1458</v>
      </c>
      <c r="BH24" s="588" t="e">
        <f ca="1">TableauProduit[[#This Row],[Revenue brut N1]]-TableauProduit[[#This Row],[Achat par kg N1]]-TableauProduit[[#This Row],[Conditionnement N1]]</f>
        <v>#VALUE!</v>
      </c>
      <c r="BI24" s="520">
        <v>180</v>
      </c>
      <c r="BJ24" s="467">
        <f>TableauProduit[[#This Row],[Poids (g) / unite]]*TableauProduit[[#This Row],[Objectif de vente en unite N1]]/1000</f>
        <v>45</v>
      </c>
      <c r="BK24" s="589">
        <f>TableauProduit[[#This Row],[Objectif de vente en unite N1]]*TableauProduit[[#This Row],[Packaging / unite]]</f>
        <v>173.7</v>
      </c>
      <c r="BL24" s="589" t="e">
        <f ca="1">TableauProduit[[#This Row],[Prix Achat de plante par kg]]*TableauProduit[[#This Row],[Total (kg) N1]]</f>
        <v>#VALUE!</v>
      </c>
      <c r="BM24" s="589">
        <f>TableauProduit[[#This Row],[Prix de vente/kg]]*TableauProduit[[#This Row],[Total (kg) N1]]</f>
        <v>1458</v>
      </c>
      <c r="BN24" s="467" t="e">
        <f ca="1">TableauProduit[[#This Row],[Revenue brut N1]]-TableauProduit[[#This Row],[Achat par kg N1]]-TableauProduit[[#This Row],[Conditionnement N1]]</f>
        <v>#VALUE!</v>
      </c>
    </row>
    <row r="25" spans="1:66">
      <c r="A25" s="553" t="s">
        <v>74</v>
      </c>
      <c r="B25" s="54" t="str">
        <f>TableauProduit[[#This Row],[Recette]]&amp;TableauProduit[[#This Row],[Conditionnement]]</f>
        <v>Vinaigre du sureauVinaigre 250 ml</v>
      </c>
      <c r="C25" s="11">
        <v>1</v>
      </c>
      <c r="D25" s="11">
        <v>250</v>
      </c>
      <c r="E25" s="6" t="s">
        <v>73</v>
      </c>
      <c r="F25" s="7">
        <f>IFERROR(VLOOKUP(TableauProduit[[#This Row],[Conditionnement]],TableauConditionnement[[Nom]:[Contenance]],4,TRUE),"")</f>
        <v>0.96499999999999997</v>
      </c>
      <c r="G25" s="627" t="e">
        <f ca="1">SUMIFS(TableauRecette[Prix d''achat / kg],TableauRecette[Recette],TableauProduit[[#This Row],[Recette]],TableauRecette[Conditionnement],TableauProduit[[#This Row],[Conditionnement]])</f>
        <v>#VALUE!</v>
      </c>
      <c r="H25" s="634">
        <v>8.1</v>
      </c>
      <c r="I25" s="629">
        <f>1000*TableauProduit[[#This Row],[Prix de vente/U]]/TableauProduit[[#This Row],[Poids (g) / unite]]</f>
        <v>32.4</v>
      </c>
      <c r="J25" s="630">
        <f>SUMIFS(TableauConcurence[PRIX_KG],TableauConcurence[PRODUIT],TableauProduit[[#This Row],[Recette]],TableauConcurence[DISTRIBUTION],"magasin NON BIO")</f>
        <v>28.2</v>
      </c>
      <c r="K25" s="631">
        <f>SUMIFS(TableauConcurence[PRIX_KG],TableauConcurence[PRODUIT],TableauProduit[[#This Row],[Recette]],TableauConcurence[DISTRIBUTION],"magasin BIO")</f>
        <v>54</v>
      </c>
      <c r="L25" s="632">
        <f>SUMIFS(TableauConcurence[PRIX_KG],TableauConcurence[PRODUIT],TableauProduit[[#This Row],[Recette]],TableauConcurence[DISTRIBUTION],"artisanale BIO")</f>
        <v>19.8</v>
      </c>
      <c r="M25" s="564">
        <v>180</v>
      </c>
      <c r="N25" s="450">
        <f>TableauProduit[[#This Row],[Poids (g) / unite]]*TableauProduit[[#This Row],[Objectif de vente en unite N1]]/1000</f>
        <v>45</v>
      </c>
      <c r="O25" s="579">
        <f>TableauProduit[[#This Row],[Objectif de vente en unite N1]]*TableauProduit[[#This Row],[Packaging / unite]]</f>
        <v>173.7</v>
      </c>
      <c r="P25" s="579" t="e">
        <f t="shared" ca="1" si="0"/>
        <v>#VALUE!</v>
      </c>
      <c r="Q25" s="579" t="e">
        <f ca="1">TableauProduit[[#This Row],[Prix de vente/kg]]*TableauProduit[[#This Row],[Total (kg) N1]]-TableauProduit[[#This Row],[Achat par kg N1]]</f>
        <v>#VALUE!</v>
      </c>
      <c r="R25" s="582" t="e">
        <f ca="1">TableauProduit[[#This Row],[Revenue brut N1]]-TableauProduit[[#This Row],[Conditionnement N1]]</f>
        <v>#VALUE!</v>
      </c>
      <c r="S25" s="453">
        <v>180</v>
      </c>
      <c r="T25" s="452">
        <f>TableauProduit[[#This Row],[Poids (g) / unite]]*TableauProduit[[#This Row],[Objectif de vente en unite N1]]/1000</f>
        <v>45</v>
      </c>
      <c r="U25" s="571">
        <f>TableauProduit[[#This Row],[Objectif de vente en unite N1]]*TableauProduit[[#This Row],[Packaging / unite]]</f>
        <v>173.7</v>
      </c>
      <c r="V25" s="571" t="e">
        <f ca="1">TableauProduit[[#This Row],[Prix Achat de plante par kg]]*TableauProduit[[#This Row],[Total (kg) N1]]</f>
        <v>#VALUE!</v>
      </c>
      <c r="W25" s="571">
        <f>TableauProduit[[#This Row],[Prix de vente/kg]]*TableauProduit[[#This Row],[Total (kg) N1]]</f>
        <v>1458</v>
      </c>
      <c r="X25" s="565" t="e">
        <f ca="1">TableauProduit[[#This Row],[Revenue brut N1]]-TableauProduit[[#This Row],[Achat par kg N1]]-TableauProduit[[#This Row],[Conditionnement N1]]</f>
        <v>#VALUE!</v>
      </c>
      <c r="Y25" s="566">
        <v>180</v>
      </c>
      <c r="Z25" s="456">
        <f>TableauProduit[[#This Row],[Poids (g) / unite]]*TableauProduit[[#This Row],[Objectif de vente en unite N1]]/1000</f>
        <v>45</v>
      </c>
      <c r="AA25" s="574">
        <f>TableauProduit[[#This Row],[Objectif de vente en unite N1]]*TableauProduit[[#This Row],[Packaging / unite]]</f>
        <v>173.7</v>
      </c>
      <c r="AB25" s="574" t="e">
        <f ca="1">TableauProduit[[#This Row],[Prix Achat de plante par kg]]*TableauProduit[[#This Row],[Total (kg) N1]]</f>
        <v>#VALUE!</v>
      </c>
      <c r="AC25" s="574">
        <f>TableauProduit[[#This Row],[Prix de vente/kg]]*TableauProduit[[#This Row],[Total (kg) N1]]</f>
        <v>1458</v>
      </c>
      <c r="AD25" s="583" t="e">
        <f ca="1">TableauProduit[[#This Row],[Revenue brut N1]]-TableauProduit[[#This Row],[Achat par kg N1]]-TableauProduit[[#This Row],[Conditionnement N1]]</f>
        <v>#VALUE!</v>
      </c>
      <c r="AE25" s="458">
        <v>180</v>
      </c>
      <c r="AF25" s="458">
        <f>TableauProduit[[#This Row],[Poids (g) / unite]]*TableauProduit[[#This Row],[Objectif de vente en unite N1]]/1000</f>
        <v>45</v>
      </c>
      <c r="AG25" s="577">
        <f>TableauProduit[[#This Row],[Objectif de vente en unite N1]]*TableauProduit[[#This Row],[Packaging / unite]]</f>
        <v>173.7</v>
      </c>
      <c r="AH25" s="577" t="e">
        <f ca="1">TableauProduit[[#This Row],[Prix Achat de plante par kg]]*TableauProduit[[#This Row],[Total (kg) N1]]</f>
        <v>#VALUE!</v>
      </c>
      <c r="AI25" s="577">
        <f>TableauProduit[[#This Row],[Prix de vente/kg]]*TableauProduit[[#This Row],[Total (kg) N1]]</f>
        <v>1458</v>
      </c>
      <c r="AJ25" s="458" t="e">
        <f ca="1">TableauProduit[[#This Row],[Revenue brut N1]]-TableauProduit[[#This Row],[Achat par kg N1]]-TableauProduit[[#This Row],[Conditionnement N1]]</f>
        <v>#VALUE!</v>
      </c>
      <c r="AK25" s="460">
        <v>180</v>
      </c>
      <c r="AL25" s="460">
        <f>TableauProduit[[#This Row],[Poids (g) / unite]]*TableauProduit[[#This Row],[Objectif de vente en unite N1]]/1000</f>
        <v>45</v>
      </c>
      <c r="AM25" s="584">
        <f>TableauProduit[[#This Row],[Objectif de vente en unite N1]]*TableauProduit[[#This Row],[Packaging / unite]]</f>
        <v>173.7</v>
      </c>
      <c r="AN25" s="584" t="e">
        <f ca="1">TableauProduit[[#This Row],[Prix Achat de plante par kg]]*TableauProduit[[#This Row],[Total (kg) N1]]</f>
        <v>#VALUE!</v>
      </c>
      <c r="AO25" s="584">
        <f>TableauProduit[[#This Row],[Prix de vente/kg]]*TableauProduit[[#This Row],[Total (kg) N1]]</f>
        <v>1458</v>
      </c>
      <c r="AP25" s="460" t="e">
        <f ca="1">TableauProduit[[#This Row],[Revenue brut N1]]-TableauProduit[[#This Row],[Achat par kg N1]]-TableauProduit[[#This Row],[Conditionnement N1]]</f>
        <v>#VALUE!</v>
      </c>
      <c r="AQ25" s="462">
        <v>180</v>
      </c>
      <c r="AR25" s="462">
        <f>TableauProduit[[#This Row],[Poids (g) / unite]]*TableauProduit[[#This Row],[Objectif de vente en unite N1]]/1000</f>
        <v>45</v>
      </c>
      <c r="AS25" s="585">
        <f>TableauProduit[[#This Row],[Objectif de vente en unite N1]]*TableauProduit[[#This Row],[Packaging / unite]]</f>
        <v>173.7</v>
      </c>
      <c r="AT25" s="585" t="e">
        <f ca="1">TableauProduit[[#This Row],[Prix Achat de plante par kg]]*TableauProduit[[#This Row],[Total (kg) N1]]</f>
        <v>#VALUE!</v>
      </c>
      <c r="AU25" s="585">
        <f>TableauProduit[[#This Row],[Prix de vente/kg]]*TableauProduit[[#This Row],[Total (kg) N1]]</f>
        <v>1458</v>
      </c>
      <c r="AV25" s="462" t="e">
        <f ca="1">TableauProduit[[#This Row],[Revenue brut N1]]-TableauProduit[[#This Row],[Achat par kg N1]]-TableauProduit[[#This Row],[Conditionnement N1]]</f>
        <v>#VALUE!</v>
      </c>
      <c r="AW25" s="450">
        <v>180</v>
      </c>
      <c r="AX25" s="450">
        <f>TableauProduit[[#This Row],[Poids (g) / unite]]*TableauProduit[[#This Row],[Objectif de vente en unite N1]]/1000</f>
        <v>45</v>
      </c>
      <c r="AY25" s="579">
        <f>TableauProduit[[#This Row],[Objectif de vente en unite N1]]*TableauProduit[[#This Row],[Packaging / unite]]</f>
        <v>173.7</v>
      </c>
      <c r="AZ25" s="579" t="e">
        <f ca="1">TableauProduit[[#This Row],[Prix Achat de plante par kg]]*TableauProduit[[#This Row],[Total (kg) N1]]</f>
        <v>#VALUE!</v>
      </c>
      <c r="BA25" s="579">
        <f>TableauProduit[[#This Row],[Prix de vente/kg]]*TableauProduit[[#This Row],[Total (kg) N1]]</f>
        <v>1458</v>
      </c>
      <c r="BB25" s="586" t="e">
        <f ca="1">TableauProduit[[#This Row],[Revenue brut N1]]-TableauProduit[[#This Row],[Achat par kg N1]]-TableauProduit[[#This Row],[Conditionnement N1]]</f>
        <v>#VALUE!</v>
      </c>
      <c r="BC25" s="568">
        <v>180</v>
      </c>
      <c r="BD25" s="465">
        <f>TableauProduit[[#This Row],[Poids (g) / unite]]*TableauProduit[[#This Row],[Objectif de vente en unite N1]]/1000</f>
        <v>45</v>
      </c>
      <c r="BE25" s="587">
        <f>TableauProduit[[#This Row],[Objectif de vente en unite N1]]*TableauProduit[[#This Row],[Packaging / unite]]</f>
        <v>173.7</v>
      </c>
      <c r="BF25" s="587" t="e">
        <f ca="1">TableauProduit[[#This Row],[Prix Achat de plante par kg]]*TableauProduit[[#This Row],[Total (kg) N1]]</f>
        <v>#VALUE!</v>
      </c>
      <c r="BG25" s="587">
        <f>TableauProduit[[#This Row],[Prix de vente/kg]]*TableauProduit[[#This Row],[Total (kg) N1]]</f>
        <v>1458</v>
      </c>
      <c r="BH25" s="588" t="e">
        <f ca="1">TableauProduit[[#This Row],[Revenue brut N1]]-TableauProduit[[#This Row],[Achat par kg N1]]-TableauProduit[[#This Row],[Conditionnement N1]]</f>
        <v>#VALUE!</v>
      </c>
      <c r="BI25" s="520">
        <v>180</v>
      </c>
      <c r="BJ25" s="467">
        <f>TableauProduit[[#This Row],[Poids (g) / unite]]*TableauProduit[[#This Row],[Objectif de vente en unite N1]]/1000</f>
        <v>45</v>
      </c>
      <c r="BK25" s="589">
        <f>TableauProduit[[#This Row],[Objectif de vente en unite N1]]*TableauProduit[[#This Row],[Packaging / unite]]</f>
        <v>173.7</v>
      </c>
      <c r="BL25" s="589" t="e">
        <f ca="1">TableauProduit[[#This Row],[Prix Achat de plante par kg]]*TableauProduit[[#This Row],[Total (kg) N1]]</f>
        <v>#VALUE!</v>
      </c>
      <c r="BM25" s="589">
        <f>TableauProduit[[#This Row],[Prix de vente/kg]]*TableauProduit[[#This Row],[Total (kg) N1]]</f>
        <v>1458</v>
      </c>
      <c r="BN25" s="467" t="e">
        <f ca="1">TableauProduit[[#This Row],[Revenue brut N1]]-TableauProduit[[#This Row],[Achat par kg N1]]-TableauProduit[[#This Row],[Conditionnement N1]]</f>
        <v>#VALUE!</v>
      </c>
    </row>
    <row r="26" spans="1:66">
      <c r="A26" s="13" t="s">
        <v>75</v>
      </c>
      <c r="B26" s="54" t="str">
        <f>TableauProduit[[#This Row],[Recette]]&amp;TableauProduit[[#This Row],[Conditionnement]]</f>
        <v>ZaatarEpice 100ml</v>
      </c>
      <c r="C26" s="11">
        <v>1</v>
      </c>
      <c r="D26" s="11">
        <v>50</v>
      </c>
      <c r="E26" s="6" t="s">
        <v>55</v>
      </c>
      <c r="F26" s="7">
        <f>IFERROR(VLOOKUP(TableauProduit[[#This Row],[Conditionnement]],TableauConditionnement[[Nom]:[Contenance]],4,TRUE),"")</f>
        <v>0.64</v>
      </c>
      <c r="G26" s="627" t="e">
        <f ca="1">SUMIFS(TableauRecette[Prix d''achat / kg],TableauRecette[Recette],TableauProduit[[#This Row],[Recette]],TableauRecette[Conditionnement],TableauProduit[[#This Row],[Conditionnement]])</f>
        <v>#VALUE!</v>
      </c>
      <c r="H26" s="628">
        <v>8.5</v>
      </c>
      <c r="I26" s="629">
        <f>1000*TableauProduit[[#This Row],[Prix de vente/U]]/TableauProduit[[#This Row],[Poids (g) / unite]]</f>
        <v>170</v>
      </c>
      <c r="J26" s="630">
        <f>SUMIFS(TableauConcurence[PRIX_KG],TableauConcurence[PRODUIT],TableauProduit[[#This Row],[Recette]],TableauConcurence[DISTRIBUTION],"magasin NON BIO")</f>
        <v>85.53</v>
      </c>
      <c r="K26" s="631">
        <f>SUMIFS(TableauConcurence[PRIX_KG],TableauConcurence[PRODUIT],TableauProduit[[#This Row],[Recette]],TableauConcurence[DISTRIBUTION],"magasin BIO")</f>
        <v>109.26</v>
      </c>
      <c r="L26" s="632">
        <f>SUMIFS(TableauConcurence[PRIX_KG],TableauConcurence[PRODUIT],TableauProduit[[#This Row],[Recette]],TableauConcurence[DISTRIBUTION],"artisanale BIO")</f>
        <v>75</v>
      </c>
      <c r="M26" s="564">
        <v>180</v>
      </c>
      <c r="N26" s="450">
        <f>TableauProduit[[#This Row],[Poids (g) / unite]]*TableauProduit[[#This Row],[Objectif de vente en unite N1]]/1000</f>
        <v>9</v>
      </c>
      <c r="O26" s="579">
        <f>TableauProduit[[#This Row],[Objectif de vente en unite N1]]*TableauProduit[[#This Row],[Packaging / unite]]</f>
        <v>115.2</v>
      </c>
      <c r="P26" s="579" t="e">
        <f t="shared" ca="1" si="0"/>
        <v>#VALUE!</v>
      </c>
      <c r="Q26" s="579" t="e">
        <f ca="1">TableauProduit[[#This Row],[Prix de vente/kg]]*TableauProduit[[#This Row],[Total (kg) N1]]-TableauProduit[[#This Row],[Achat par kg N1]]</f>
        <v>#VALUE!</v>
      </c>
      <c r="R26" s="582" t="e">
        <f ca="1">TableauProduit[[#This Row],[Revenue brut N1]]-TableauProduit[[#This Row],[Conditionnement N1]]</f>
        <v>#VALUE!</v>
      </c>
      <c r="S26" s="453">
        <v>180</v>
      </c>
      <c r="T26" s="452">
        <f>TableauProduit[[#This Row],[Poids (g) / unite]]*TableauProduit[[#This Row],[Objectif de vente en unite N1]]/1000</f>
        <v>9</v>
      </c>
      <c r="U26" s="571">
        <f>TableauProduit[[#This Row],[Objectif de vente en unite N1]]*TableauProduit[[#This Row],[Packaging / unite]]</f>
        <v>115.2</v>
      </c>
      <c r="V26" s="571" t="e">
        <f ca="1">TableauProduit[[#This Row],[Prix Achat de plante par kg]]*TableauProduit[[#This Row],[Total (kg) N1]]</f>
        <v>#VALUE!</v>
      </c>
      <c r="W26" s="571">
        <f>TableauProduit[[#This Row],[Prix de vente/kg]]*TableauProduit[[#This Row],[Total (kg) N1]]</f>
        <v>1530</v>
      </c>
      <c r="X26" s="565" t="e">
        <f ca="1">TableauProduit[[#This Row],[Revenue brut N1]]-TableauProduit[[#This Row],[Achat par kg N1]]-TableauProduit[[#This Row],[Conditionnement N1]]</f>
        <v>#VALUE!</v>
      </c>
      <c r="Y26" s="566">
        <v>180</v>
      </c>
      <c r="Z26" s="456">
        <f>TableauProduit[[#This Row],[Poids (g) / unite]]*TableauProduit[[#This Row],[Objectif de vente en unite N1]]/1000</f>
        <v>9</v>
      </c>
      <c r="AA26" s="574">
        <f>TableauProduit[[#This Row],[Objectif de vente en unite N1]]*TableauProduit[[#This Row],[Packaging / unite]]</f>
        <v>115.2</v>
      </c>
      <c r="AB26" s="574" t="e">
        <f ca="1">TableauProduit[[#This Row],[Prix Achat de plante par kg]]*TableauProduit[[#This Row],[Total (kg) N1]]</f>
        <v>#VALUE!</v>
      </c>
      <c r="AC26" s="574">
        <f>TableauProduit[[#This Row],[Prix de vente/kg]]*TableauProduit[[#This Row],[Total (kg) N1]]</f>
        <v>1530</v>
      </c>
      <c r="AD26" s="583" t="e">
        <f ca="1">TableauProduit[[#This Row],[Revenue brut N1]]-TableauProduit[[#This Row],[Achat par kg N1]]-TableauProduit[[#This Row],[Conditionnement N1]]</f>
        <v>#VALUE!</v>
      </c>
      <c r="AE26" s="458">
        <v>180</v>
      </c>
      <c r="AF26" s="458">
        <f>TableauProduit[[#This Row],[Poids (g) / unite]]*TableauProduit[[#This Row],[Objectif de vente en unite N1]]/1000</f>
        <v>9</v>
      </c>
      <c r="AG26" s="577">
        <f>TableauProduit[[#This Row],[Objectif de vente en unite N1]]*TableauProduit[[#This Row],[Packaging / unite]]</f>
        <v>115.2</v>
      </c>
      <c r="AH26" s="577" t="e">
        <f ca="1">TableauProduit[[#This Row],[Prix Achat de plante par kg]]*TableauProduit[[#This Row],[Total (kg) N1]]</f>
        <v>#VALUE!</v>
      </c>
      <c r="AI26" s="577">
        <f>TableauProduit[[#This Row],[Prix de vente/kg]]*TableauProduit[[#This Row],[Total (kg) N1]]</f>
        <v>1530</v>
      </c>
      <c r="AJ26" s="458" t="e">
        <f ca="1">TableauProduit[[#This Row],[Revenue brut N1]]-TableauProduit[[#This Row],[Achat par kg N1]]-TableauProduit[[#This Row],[Conditionnement N1]]</f>
        <v>#VALUE!</v>
      </c>
      <c r="AK26" s="460">
        <v>180</v>
      </c>
      <c r="AL26" s="460">
        <f>TableauProduit[[#This Row],[Poids (g) / unite]]*TableauProduit[[#This Row],[Objectif de vente en unite N1]]/1000</f>
        <v>9</v>
      </c>
      <c r="AM26" s="584">
        <f>TableauProduit[[#This Row],[Objectif de vente en unite N1]]*TableauProduit[[#This Row],[Packaging / unite]]</f>
        <v>115.2</v>
      </c>
      <c r="AN26" s="584" t="e">
        <f ca="1">TableauProduit[[#This Row],[Prix Achat de plante par kg]]*TableauProduit[[#This Row],[Total (kg) N1]]</f>
        <v>#VALUE!</v>
      </c>
      <c r="AO26" s="584">
        <f>TableauProduit[[#This Row],[Prix de vente/kg]]*TableauProduit[[#This Row],[Total (kg) N1]]</f>
        <v>1530</v>
      </c>
      <c r="AP26" s="460" t="e">
        <f ca="1">TableauProduit[[#This Row],[Revenue brut N1]]-TableauProduit[[#This Row],[Achat par kg N1]]-TableauProduit[[#This Row],[Conditionnement N1]]</f>
        <v>#VALUE!</v>
      </c>
      <c r="AQ26" s="462">
        <v>180</v>
      </c>
      <c r="AR26" s="462">
        <f>TableauProduit[[#This Row],[Poids (g) / unite]]*TableauProduit[[#This Row],[Objectif de vente en unite N1]]/1000</f>
        <v>9</v>
      </c>
      <c r="AS26" s="585">
        <f>TableauProduit[[#This Row],[Objectif de vente en unite N1]]*TableauProduit[[#This Row],[Packaging / unite]]</f>
        <v>115.2</v>
      </c>
      <c r="AT26" s="585" t="e">
        <f ca="1">TableauProduit[[#This Row],[Prix Achat de plante par kg]]*TableauProduit[[#This Row],[Total (kg) N1]]</f>
        <v>#VALUE!</v>
      </c>
      <c r="AU26" s="585">
        <f>TableauProduit[[#This Row],[Prix de vente/kg]]*TableauProduit[[#This Row],[Total (kg) N1]]</f>
        <v>1530</v>
      </c>
      <c r="AV26" s="462" t="e">
        <f ca="1">TableauProduit[[#This Row],[Revenue brut N1]]-TableauProduit[[#This Row],[Achat par kg N1]]-TableauProduit[[#This Row],[Conditionnement N1]]</f>
        <v>#VALUE!</v>
      </c>
      <c r="AW26" s="450">
        <v>180</v>
      </c>
      <c r="AX26" s="450">
        <f>TableauProduit[[#This Row],[Poids (g) / unite]]*TableauProduit[[#This Row],[Objectif de vente en unite N1]]/1000</f>
        <v>9</v>
      </c>
      <c r="AY26" s="579">
        <f>TableauProduit[[#This Row],[Objectif de vente en unite N1]]*TableauProduit[[#This Row],[Packaging / unite]]</f>
        <v>115.2</v>
      </c>
      <c r="AZ26" s="579" t="e">
        <f ca="1">TableauProduit[[#This Row],[Prix Achat de plante par kg]]*TableauProduit[[#This Row],[Total (kg) N1]]</f>
        <v>#VALUE!</v>
      </c>
      <c r="BA26" s="579">
        <f>TableauProduit[[#This Row],[Prix de vente/kg]]*TableauProduit[[#This Row],[Total (kg) N1]]</f>
        <v>1530</v>
      </c>
      <c r="BB26" s="586" t="e">
        <f ca="1">TableauProduit[[#This Row],[Revenue brut N1]]-TableauProduit[[#This Row],[Achat par kg N1]]-TableauProduit[[#This Row],[Conditionnement N1]]</f>
        <v>#VALUE!</v>
      </c>
      <c r="BC26" s="568">
        <v>180</v>
      </c>
      <c r="BD26" s="465">
        <f>TableauProduit[[#This Row],[Poids (g) / unite]]*TableauProduit[[#This Row],[Objectif de vente en unite N1]]/1000</f>
        <v>9</v>
      </c>
      <c r="BE26" s="587">
        <f>TableauProduit[[#This Row],[Objectif de vente en unite N1]]*TableauProduit[[#This Row],[Packaging / unite]]</f>
        <v>115.2</v>
      </c>
      <c r="BF26" s="587" t="e">
        <f ca="1">TableauProduit[[#This Row],[Prix Achat de plante par kg]]*TableauProduit[[#This Row],[Total (kg) N1]]</f>
        <v>#VALUE!</v>
      </c>
      <c r="BG26" s="587">
        <f>TableauProduit[[#This Row],[Prix de vente/kg]]*TableauProduit[[#This Row],[Total (kg) N1]]</f>
        <v>1530</v>
      </c>
      <c r="BH26" s="588" t="e">
        <f ca="1">TableauProduit[[#This Row],[Revenue brut N1]]-TableauProduit[[#This Row],[Achat par kg N1]]-TableauProduit[[#This Row],[Conditionnement N1]]</f>
        <v>#VALUE!</v>
      </c>
      <c r="BI26" s="520">
        <v>180</v>
      </c>
      <c r="BJ26" s="467">
        <f>TableauProduit[[#This Row],[Poids (g) / unite]]*TableauProduit[[#This Row],[Objectif de vente en unite N1]]/1000</f>
        <v>9</v>
      </c>
      <c r="BK26" s="589">
        <f>TableauProduit[[#This Row],[Objectif de vente en unite N1]]*TableauProduit[[#This Row],[Packaging / unite]]</f>
        <v>115.2</v>
      </c>
      <c r="BL26" s="589" t="e">
        <f ca="1">TableauProduit[[#This Row],[Prix Achat de plante par kg]]*TableauProduit[[#This Row],[Total (kg) N1]]</f>
        <v>#VALUE!</v>
      </c>
      <c r="BM26" s="589">
        <f>TableauProduit[[#This Row],[Prix de vente/kg]]*TableauProduit[[#This Row],[Total (kg) N1]]</f>
        <v>1530</v>
      </c>
      <c r="BN26" s="467" t="e">
        <f ca="1">TableauProduit[[#This Row],[Revenue brut N1]]-TableauProduit[[#This Row],[Achat par kg N1]]-TableauProduit[[#This Row],[Conditionnement N1]]</f>
        <v>#VALUE!</v>
      </c>
    </row>
    <row r="27" spans="1:66">
      <c r="A27" s="13" t="s">
        <v>76</v>
      </c>
      <c r="B27" s="54" t="str">
        <f>TableauProduit[[#This Row],[Recette]]&amp;TableauProduit[[#This Row],[Conditionnement]]</f>
        <v>Tabasco Rouge moyenEpice 100ml</v>
      </c>
      <c r="C27" s="11">
        <v>1</v>
      </c>
      <c r="D27" s="11">
        <v>50</v>
      </c>
      <c r="E27" s="6" t="s">
        <v>55</v>
      </c>
      <c r="F27" s="7">
        <f>IFERROR(VLOOKUP(TableauProduit[[#This Row],[Conditionnement]],TableauConditionnement[[Nom]:[Contenance]],4,TRUE),"")</f>
        <v>0.64</v>
      </c>
      <c r="G27" s="627" t="e">
        <f ca="1">SUMIFS(TableauRecette[Prix d''achat / kg],TableauRecette[Recette],TableauProduit[[#This Row],[Recette]],TableauRecette[Conditionnement],TableauProduit[[#This Row],[Conditionnement]])</f>
        <v>#VALUE!</v>
      </c>
      <c r="H27" s="628">
        <v>2.9</v>
      </c>
      <c r="I27" s="629">
        <f>1000*TableauProduit[[#This Row],[Prix de vente/U]]/TableauProduit[[#This Row],[Poids (g) / unite]]</f>
        <v>58</v>
      </c>
      <c r="J27" s="630">
        <f>SUMIFS(TableauConcurence[PRIX_KG],TableauConcurence[PRODUIT],TableauProduit[[#This Row],[Recette]],TableauConcurence[DISTRIBUTION],"magasin NON BIO")</f>
        <v>71.5</v>
      </c>
      <c r="K27" s="631">
        <f>SUMIFS(TableauConcurence[PRIX_KG],TableauConcurence[PRODUIT],TableauProduit[[#This Row],[Recette]],TableauConcurence[DISTRIBUTION],"magasin BIO")</f>
        <v>66.67</v>
      </c>
      <c r="L27" s="632">
        <f>SUMIFS(TableauConcurence[PRIX_KG],TableauConcurence[PRODUIT],TableauProduit[[#This Row],[Recette]],TableauConcurence[DISTRIBUTION],"artisanale BIO")</f>
        <v>100</v>
      </c>
      <c r="M27" s="564">
        <v>180</v>
      </c>
      <c r="N27" s="450">
        <f>TableauProduit[[#This Row],[Poids (g) / unite]]*TableauProduit[[#This Row],[Objectif de vente en unite N1]]/1000</f>
        <v>9</v>
      </c>
      <c r="O27" s="579">
        <f>TableauProduit[[#This Row],[Objectif de vente en unite N1]]*TableauProduit[[#This Row],[Packaging / unite]]</f>
        <v>115.2</v>
      </c>
      <c r="P27" s="579" t="e">
        <f t="shared" ca="1" si="0"/>
        <v>#VALUE!</v>
      </c>
      <c r="Q27" s="579" t="e">
        <f ca="1">TableauProduit[[#This Row],[Prix de vente/kg]]*TableauProduit[[#This Row],[Total (kg) N1]]-TableauProduit[[#This Row],[Achat par kg N1]]</f>
        <v>#VALUE!</v>
      </c>
      <c r="R27" s="582" t="e">
        <f ca="1">TableauProduit[[#This Row],[Revenue brut N1]]-TableauProduit[[#This Row],[Conditionnement N1]]</f>
        <v>#VALUE!</v>
      </c>
      <c r="S27" s="453">
        <v>180</v>
      </c>
      <c r="T27" s="452">
        <f>TableauProduit[[#This Row],[Poids (g) / unite]]*TableauProduit[[#This Row],[Objectif de vente en unite N1]]/1000</f>
        <v>9</v>
      </c>
      <c r="U27" s="571">
        <f>TableauProduit[[#This Row],[Objectif de vente en unite N1]]*TableauProduit[[#This Row],[Packaging / unite]]</f>
        <v>115.2</v>
      </c>
      <c r="V27" s="571" t="e">
        <f ca="1">TableauProduit[[#This Row],[Prix Achat de plante par kg]]*TableauProduit[[#This Row],[Total (kg) N1]]</f>
        <v>#VALUE!</v>
      </c>
      <c r="W27" s="571">
        <f>TableauProduit[[#This Row],[Prix de vente/kg]]*TableauProduit[[#This Row],[Total (kg) N1]]</f>
        <v>522</v>
      </c>
      <c r="X27" s="565" t="e">
        <f ca="1">TableauProduit[[#This Row],[Revenue brut N1]]-TableauProduit[[#This Row],[Achat par kg N1]]-TableauProduit[[#This Row],[Conditionnement N1]]</f>
        <v>#VALUE!</v>
      </c>
      <c r="Y27" s="566">
        <v>180</v>
      </c>
      <c r="Z27" s="456">
        <f>TableauProduit[[#This Row],[Poids (g) / unite]]*TableauProduit[[#This Row],[Objectif de vente en unite N1]]/1000</f>
        <v>9</v>
      </c>
      <c r="AA27" s="574">
        <f>TableauProduit[[#This Row],[Objectif de vente en unite N1]]*TableauProduit[[#This Row],[Packaging / unite]]</f>
        <v>115.2</v>
      </c>
      <c r="AB27" s="574" t="e">
        <f ca="1">TableauProduit[[#This Row],[Prix Achat de plante par kg]]*TableauProduit[[#This Row],[Total (kg) N1]]</f>
        <v>#VALUE!</v>
      </c>
      <c r="AC27" s="574">
        <f>TableauProduit[[#This Row],[Prix de vente/kg]]*TableauProduit[[#This Row],[Total (kg) N1]]</f>
        <v>522</v>
      </c>
      <c r="AD27" s="583" t="e">
        <f ca="1">TableauProduit[[#This Row],[Revenue brut N1]]-TableauProduit[[#This Row],[Achat par kg N1]]-TableauProduit[[#This Row],[Conditionnement N1]]</f>
        <v>#VALUE!</v>
      </c>
      <c r="AE27" s="458">
        <v>180</v>
      </c>
      <c r="AF27" s="458">
        <f>TableauProduit[[#This Row],[Poids (g) / unite]]*TableauProduit[[#This Row],[Objectif de vente en unite N1]]/1000</f>
        <v>9</v>
      </c>
      <c r="AG27" s="577">
        <f>TableauProduit[[#This Row],[Objectif de vente en unite N1]]*TableauProduit[[#This Row],[Packaging / unite]]</f>
        <v>115.2</v>
      </c>
      <c r="AH27" s="577" t="e">
        <f ca="1">TableauProduit[[#This Row],[Prix Achat de plante par kg]]*TableauProduit[[#This Row],[Total (kg) N1]]</f>
        <v>#VALUE!</v>
      </c>
      <c r="AI27" s="577">
        <f>TableauProduit[[#This Row],[Prix de vente/kg]]*TableauProduit[[#This Row],[Total (kg) N1]]</f>
        <v>522</v>
      </c>
      <c r="AJ27" s="458" t="e">
        <f ca="1">TableauProduit[[#This Row],[Revenue brut N1]]-TableauProduit[[#This Row],[Achat par kg N1]]-TableauProduit[[#This Row],[Conditionnement N1]]</f>
        <v>#VALUE!</v>
      </c>
      <c r="AK27" s="460">
        <v>180</v>
      </c>
      <c r="AL27" s="460">
        <f>TableauProduit[[#This Row],[Poids (g) / unite]]*TableauProduit[[#This Row],[Objectif de vente en unite N1]]/1000</f>
        <v>9</v>
      </c>
      <c r="AM27" s="584">
        <f>TableauProduit[[#This Row],[Objectif de vente en unite N1]]*TableauProduit[[#This Row],[Packaging / unite]]</f>
        <v>115.2</v>
      </c>
      <c r="AN27" s="584" t="e">
        <f ca="1">TableauProduit[[#This Row],[Prix Achat de plante par kg]]*TableauProduit[[#This Row],[Total (kg) N1]]</f>
        <v>#VALUE!</v>
      </c>
      <c r="AO27" s="584">
        <f>TableauProduit[[#This Row],[Prix de vente/kg]]*TableauProduit[[#This Row],[Total (kg) N1]]</f>
        <v>522</v>
      </c>
      <c r="AP27" s="460" t="e">
        <f ca="1">TableauProduit[[#This Row],[Revenue brut N1]]-TableauProduit[[#This Row],[Achat par kg N1]]-TableauProduit[[#This Row],[Conditionnement N1]]</f>
        <v>#VALUE!</v>
      </c>
      <c r="AQ27" s="462">
        <v>180</v>
      </c>
      <c r="AR27" s="462">
        <f>TableauProduit[[#This Row],[Poids (g) / unite]]*TableauProduit[[#This Row],[Objectif de vente en unite N1]]/1000</f>
        <v>9</v>
      </c>
      <c r="AS27" s="585">
        <f>TableauProduit[[#This Row],[Objectif de vente en unite N1]]*TableauProduit[[#This Row],[Packaging / unite]]</f>
        <v>115.2</v>
      </c>
      <c r="AT27" s="585" t="e">
        <f ca="1">TableauProduit[[#This Row],[Prix Achat de plante par kg]]*TableauProduit[[#This Row],[Total (kg) N1]]</f>
        <v>#VALUE!</v>
      </c>
      <c r="AU27" s="585">
        <f>TableauProduit[[#This Row],[Prix de vente/kg]]*TableauProduit[[#This Row],[Total (kg) N1]]</f>
        <v>522</v>
      </c>
      <c r="AV27" s="462" t="e">
        <f ca="1">TableauProduit[[#This Row],[Revenue brut N1]]-TableauProduit[[#This Row],[Achat par kg N1]]-TableauProduit[[#This Row],[Conditionnement N1]]</f>
        <v>#VALUE!</v>
      </c>
      <c r="AW27" s="450">
        <v>180</v>
      </c>
      <c r="AX27" s="450">
        <f>TableauProduit[[#This Row],[Poids (g) / unite]]*TableauProduit[[#This Row],[Objectif de vente en unite N1]]/1000</f>
        <v>9</v>
      </c>
      <c r="AY27" s="579">
        <f>TableauProduit[[#This Row],[Objectif de vente en unite N1]]*TableauProduit[[#This Row],[Packaging / unite]]</f>
        <v>115.2</v>
      </c>
      <c r="AZ27" s="579" t="e">
        <f ca="1">TableauProduit[[#This Row],[Prix Achat de plante par kg]]*TableauProduit[[#This Row],[Total (kg) N1]]</f>
        <v>#VALUE!</v>
      </c>
      <c r="BA27" s="579">
        <f>TableauProduit[[#This Row],[Prix de vente/kg]]*TableauProduit[[#This Row],[Total (kg) N1]]</f>
        <v>522</v>
      </c>
      <c r="BB27" s="586" t="e">
        <f ca="1">TableauProduit[[#This Row],[Revenue brut N1]]-TableauProduit[[#This Row],[Achat par kg N1]]-TableauProduit[[#This Row],[Conditionnement N1]]</f>
        <v>#VALUE!</v>
      </c>
      <c r="BC27" s="568">
        <v>180</v>
      </c>
      <c r="BD27" s="465">
        <f>TableauProduit[[#This Row],[Poids (g) / unite]]*TableauProduit[[#This Row],[Objectif de vente en unite N1]]/1000</f>
        <v>9</v>
      </c>
      <c r="BE27" s="587">
        <f>TableauProduit[[#This Row],[Objectif de vente en unite N1]]*TableauProduit[[#This Row],[Packaging / unite]]</f>
        <v>115.2</v>
      </c>
      <c r="BF27" s="587" t="e">
        <f ca="1">TableauProduit[[#This Row],[Prix Achat de plante par kg]]*TableauProduit[[#This Row],[Total (kg) N1]]</f>
        <v>#VALUE!</v>
      </c>
      <c r="BG27" s="587">
        <f>TableauProduit[[#This Row],[Prix de vente/kg]]*TableauProduit[[#This Row],[Total (kg) N1]]</f>
        <v>522</v>
      </c>
      <c r="BH27" s="588" t="e">
        <f ca="1">TableauProduit[[#This Row],[Revenue brut N1]]-TableauProduit[[#This Row],[Achat par kg N1]]-TableauProduit[[#This Row],[Conditionnement N1]]</f>
        <v>#VALUE!</v>
      </c>
      <c r="BI27" s="520">
        <v>180</v>
      </c>
      <c r="BJ27" s="467">
        <f>TableauProduit[[#This Row],[Poids (g) / unite]]*TableauProduit[[#This Row],[Objectif de vente en unite N1]]/1000</f>
        <v>9</v>
      </c>
      <c r="BK27" s="589">
        <f>TableauProduit[[#This Row],[Objectif de vente en unite N1]]*TableauProduit[[#This Row],[Packaging / unite]]</f>
        <v>115.2</v>
      </c>
      <c r="BL27" s="589" t="e">
        <f ca="1">TableauProduit[[#This Row],[Prix Achat de plante par kg]]*TableauProduit[[#This Row],[Total (kg) N1]]</f>
        <v>#VALUE!</v>
      </c>
      <c r="BM27" s="589">
        <f>TableauProduit[[#This Row],[Prix de vente/kg]]*TableauProduit[[#This Row],[Total (kg) N1]]</f>
        <v>522</v>
      </c>
      <c r="BN27" s="467" t="e">
        <f ca="1">TableauProduit[[#This Row],[Revenue brut N1]]-TableauProduit[[#This Row],[Achat par kg N1]]-TableauProduit[[#This Row],[Conditionnement N1]]</f>
        <v>#VALUE!</v>
      </c>
    </row>
    <row r="28" spans="1:66">
      <c r="A28" s="13" t="s">
        <v>77</v>
      </c>
      <c r="B28" s="54" t="str">
        <f>TableauProduit[[#This Row],[Recette]]&amp;TableauProduit[[#This Row],[Conditionnement]]</f>
        <v>Tabasco jalapenoEpice 100ml</v>
      </c>
      <c r="C28" s="11">
        <v>1</v>
      </c>
      <c r="D28" s="11">
        <f>VLOOKUP(TableauProduit[[#This Row],[Recette]],Old[],3)</f>
        <v>100</v>
      </c>
      <c r="E28" s="6" t="s">
        <v>55</v>
      </c>
      <c r="F28" s="7">
        <f>IFERROR(VLOOKUP(TableauProduit[[#This Row],[Conditionnement]],TableauConditionnement[[Nom]:[Contenance]],4,TRUE),"")</f>
        <v>0.64</v>
      </c>
      <c r="G28" s="627" t="e">
        <f ca="1">SUMIFS(TableauRecette[Prix d''achat / kg],TableauRecette[Recette],TableauProduit[[#This Row],[Recette]],TableauRecette[Conditionnement],TableauProduit[[#This Row],[Conditionnement]])</f>
        <v>#VALUE!</v>
      </c>
      <c r="H28" s="628">
        <v>7</v>
      </c>
      <c r="I28" s="629">
        <f>1000*TableauProduit[[#This Row],[Prix de vente/U]]/TableauProduit[[#This Row],[Poids (g) / unite]]</f>
        <v>70</v>
      </c>
      <c r="J28" s="630">
        <f>SUMIFS(TableauConcurence[PRIX_KG],TableauConcurence[PRODUIT],TableauProduit[[#This Row],[Recette]],TableauConcurence[DISTRIBUTION],"magasin NON BIO")</f>
        <v>71.5</v>
      </c>
      <c r="K28" s="631">
        <f>SUMIFS(TableauConcurence[PRIX_KG],TableauConcurence[PRODUIT],TableauProduit[[#This Row],[Recette]],TableauConcurence[DISTRIBUTION],"magasin BIO")</f>
        <v>75</v>
      </c>
      <c r="L28" s="632">
        <f>SUMIFS(TableauConcurence[PRIX_KG],TableauConcurence[PRODUIT],TableauProduit[[#This Row],[Recette]],TableauConcurence[DISTRIBUTION],"artisanale BIO")</f>
        <v>110</v>
      </c>
      <c r="M28" s="564">
        <v>180</v>
      </c>
      <c r="N28" s="450">
        <f>TableauProduit[[#This Row],[Poids (g) / unite]]*TableauProduit[[#This Row],[Objectif de vente en unite N1]]/1000</f>
        <v>18</v>
      </c>
      <c r="O28" s="579">
        <f>TableauProduit[[#This Row],[Objectif de vente en unite N1]]*TableauProduit[[#This Row],[Packaging / unite]]</f>
        <v>115.2</v>
      </c>
      <c r="P28" s="579" t="e">
        <f t="shared" ca="1" si="0"/>
        <v>#VALUE!</v>
      </c>
      <c r="Q28" s="579" t="e">
        <f ca="1">TableauProduit[[#This Row],[Prix de vente/kg]]*TableauProduit[[#This Row],[Total (kg) N1]]-TableauProduit[[#This Row],[Achat par kg N1]]</f>
        <v>#VALUE!</v>
      </c>
      <c r="R28" s="582" t="e">
        <f ca="1">TableauProduit[[#This Row],[Revenue brut N1]]-TableauProduit[[#This Row],[Conditionnement N1]]</f>
        <v>#VALUE!</v>
      </c>
      <c r="S28" s="453">
        <v>180</v>
      </c>
      <c r="T28" s="452">
        <f>TableauProduit[[#This Row],[Poids (g) / unite]]*TableauProduit[[#This Row],[Objectif de vente en unite N1]]/1000</f>
        <v>18</v>
      </c>
      <c r="U28" s="571">
        <f>TableauProduit[[#This Row],[Objectif de vente en unite N1]]*TableauProduit[[#This Row],[Packaging / unite]]</f>
        <v>115.2</v>
      </c>
      <c r="V28" s="571" t="e">
        <f ca="1">TableauProduit[[#This Row],[Prix Achat de plante par kg]]*TableauProduit[[#This Row],[Total (kg) N1]]</f>
        <v>#VALUE!</v>
      </c>
      <c r="W28" s="571">
        <f>TableauProduit[[#This Row],[Prix de vente/kg]]*TableauProduit[[#This Row],[Total (kg) N1]]</f>
        <v>1260</v>
      </c>
      <c r="X28" s="565" t="e">
        <f ca="1">TableauProduit[[#This Row],[Revenue brut N1]]-TableauProduit[[#This Row],[Achat par kg N1]]-TableauProduit[[#This Row],[Conditionnement N1]]</f>
        <v>#VALUE!</v>
      </c>
      <c r="Y28" s="566">
        <v>180</v>
      </c>
      <c r="Z28" s="456">
        <f>TableauProduit[[#This Row],[Poids (g) / unite]]*TableauProduit[[#This Row],[Objectif de vente en unite N1]]/1000</f>
        <v>18</v>
      </c>
      <c r="AA28" s="574">
        <f>TableauProduit[[#This Row],[Objectif de vente en unite N1]]*TableauProduit[[#This Row],[Packaging / unite]]</f>
        <v>115.2</v>
      </c>
      <c r="AB28" s="574" t="e">
        <f ca="1">TableauProduit[[#This Row],[Prix Achat de plante par kg]]*TableauProduit[[#This Row],[Total (kg) N1]]</f>
        <v>#VALUE!</v>
      </c>
      <c r="AC28" s="574">
        <f>TableauProduit[[#This Row],[Prix de vente/kg]]*TableauProduit[[#This Row],[Total (kg) N1]]</f>
        <v>1260</v>
      </c>
      <c r="AD28" s="583" t="e">
        <f ca="1">TableauProduit[[#This Row],[Revenue brut N1]]-TableauProduit[[#This Row],[Achat par kg N1]]-TableauProduit[[#This Row],[Conditionnement N1]]</f>
        <v>#VALUE!</v>
      </c>
      <c r="AE28" s="458">
        <v>180</v>
      </c>
      <c r="AF28" s="458">
        <f>TableauProduit[[#This Row],[Poids (g) / unite]]*TableauProduit[[#This Row],[Objectif de vente en unite N1]]/1000</f>
        <v>18</v>
      </c>
      <c r="AG28" s="577">
        <f>TableauProduit[[#This Row],[Objectif de vente en unite N1]]*TableauProduit[[#This Row],[Packaging / unite]]</f>
        <v>115.2</v>
      </c>
      <c r="AH28" s="577" t="e">
        <f ca="1">TableauProduit[[#This Row],[Prix Achat de plante par kg]]*TableauProduit[[#This Row],[Total (kg) N1]]</f>
        <v>#VALUE!</v>
      </c>
      <c r="AI28" s="577">
        <f>TableauProduit[[#This Row],[Prix de vente/kg]]*TableauProduit[[#This Row],[Total (kg) N1]]</f>
        <v>1260</v>
      </c>
      <c r="AJ28" s="458" t="e">
        <f ca="1">TableauProduit[[#This Row],[Revenue brut N1]]-TableauProduit[[#This Row],[Achat par kg N1]]-TableauProduit[[#This Row],[Conditionnement N1]]</f>
        <v>#VALUE!</v>
      </c>
      <c r="AK28" s="460">
        <v>180</v>
      </c>
      <c r="AL28" s="460">
        <f>TableauProduit[[#This Row],[Poids (g) / unite]]*TableauProduit[[#This Row],[Objectif de vente en unite N1]]/1000</f>
        <v>18</v>
      </c>
      <c r="AM28" s="584">
        <f>TableauProduit[[#This Row],[Objectif de vente en unite N1]]*TableauProduit[[#This Row],[Packaging / unite]]</f>
        <v>115.2</v>
      </c>
      <c r="AN28" s="584" t="e">
        <f ca="1">TableauProduit[[#This Row],[Prix Achat de plante par kg]]*TableauProduit[[#This Row],[Total (kg) N1]]</f>
        <v>#VALUE!</v>
      </c>
      <c r="AO28" s="584">
        <f>TableauProduit[[#This Row],[Prix de vente/kg]]*TableauProduit[[#This Row],[Total (kg) N1]]</f>
        <v>1260</v>
      </c>
      <c r="AP28" s="460" t="e">
        <f ca="1">TableauProduit[[#This Row],[Revenue brut N1]]-TableauProduit[[#This Row],[Achat par kg N1]]-TableauProduit[[#This Row],[Conditionnement N1]]</f>
        <v>#VALUE!</v>
      </c>
      <c r="AQ28" s="462">
        <v>180</v>
      </c>
      <c r="AR28" s="462">
        <f>TableauProduit[[#This Row],[Poids (g) / unite]]*TableauProduit[[#This Row],[Objectif de vente en unite N1]]/1000</f>
        <v>18</v>
      </c>
      <c r="AS28" s="585">
        <f>TableauProduit[[#This Row],[Objectif de vente en unite N1]]*TableauProduit[[#This Row],[Packaging / unite]]</f>
        <v>115.2</v>
      </c>
      <c r="AT28" s="585" t="e">
        <f ca="1">TableauProduit[[#This Row],[Prix Achat de plante par kg]]*TableauProduit[[#This Row],[Total (kg) N1]]</f>
        <v>#VALUE!</v>
      </c>
      <c r="AU28" s="585">
        <f>TableauProduit[[#This Row],[Prix de vente/kg]]*TableauProduit[[#This Row],[Total (kg) N1]]</f>
        <v>1260</v>
      </c>
      <c r="AV28" s="462" t="e">
        <f ca="1">TableauProduit[[#This Row],[Revenue brut N1]]-TableauProduit[[#This Row],[Achat par kg N1]]-TableauProduit[[#This Row],[Conditionnement N1]]</f>
        <v>#VALUE!</v>
      </c>
      <c r="AW28" s="450">
        <v>180</v>
      </c>
      <c r="AX28" s="450">
        <f>TableauProduit[[#This Row],[Poids (g) / unite]]*TableauProduit[[#This Row],[Objectif de vente en unite N1]]/1000</f>
        <v>18</v>
      </c>
      <c r="AY28" s="579">
        <f>TableauProduit[[#This Row],[Objectif de vente en unite N1]]*TableauProduit[[#This Row],[Packaging / unite]]</f>
        <v>115.2</v>
      </c>
      <c r="AZ28" s="579" t="e">
        <f ca="1">TableauProduit[[#This Row],[Prix Achat de plante par kg]]*TableauProduit[[#This Row],[Total (kg) N1]]</f>
        <v>#VALUE!</v>
      </c>
      <c r="BA28" s="579">
        <f>TableauProduit[[#This Row],[Prix de vente/kg]]*TableauProduit[[#This Row],[Total (kg) N1]]</f>
        <v>1260</v>
      </c>
      <c r="BB28" s="586" t="e">
        <f ca="1">TableauProduit[[#This Row],[Revenue brut N1]]-TableauProduit[[#This Row],[Achat par kg N1]]-TableauProduit[[#This Row],[Conditionnement N1]]</f>
        <v>#VALUE!</v>
      </c>
      <c r="BC28" s="568">
        <v>180</v>
      </c>
      <c r="BD28" s="465">
        <f>TableauProduit[[#This Row],[Poids (g) / unite]]*TableauProduit[[#This Row],[Objectif de vente en unite N1]]/1000</f>
        <v>18</v>
      </c>
      <c r="BE28" s="587">
        <f>TableauProduit[[#This Row],[Objectif de vente en unite N1]]*TableauProduit[[#This Row],[Packaging / unite]]</f>
        <v>115.2</v>
      </c>
      <c r="BF28" s="587" t="e">
        <f ca="1">TableauProduit[[#This Row],[Prix Achat de plante par kg]]*TableauProduit[[#This Row],[Total (kg) N1]]</f>
        <v>#VALUE!</v>
      </c>
      <c r="BG28" s="587">
        <f>TableauProduit[[#This Row],[Prix de vente/kg]]*TableauProduit[[#This Row],[Total (kg) N1]]</f>
        <v>1260</v>
      </c>
      <c r="BH28" s="588" t="e">
        <f ca="1">TableauProduit[[#This Row],[Revenue brut N1]]-TableauProduit[[#This Row],[Achat par kg N1]]-TableauProduit[[#This Row],[Conditionnement N1]]</f>
        <v>#VALUE!</v>
      </c>
      <c r="BI28" s="520">
        <v>180</v>
      </c>
      <c r="BJ28" s="467">
        <f>TableauProduit[[#This Row],[Poids (g) / unite]]*TableauProduit[[#This Row],[Objectif de vente en unite N1]]/1000</f>
        <v>18</v>
      </c>
      <c r="BK28" s="589">
        <f>TableauProduit[[#This Row],[Objectif de vente en unite N1]]*TableauProduit[[#This Row],[Packaging / unite]]</f>
        <v>115.2</v>
      </c>
      <c r="BL28" s="589" t="e">
        <f ca="1">TableauProduit[[#This Row],[Prix Achat de plante par kg]]*TableauProduit[[#This Row],[Total (kg) N1]]</f>
        <v>#VALUE!</v>
      </c>
      <c r="BM28" s="589">
        <f>TableauProduit[[#This Row],[Prix de vente/kg]]*TableauProduit[[#This Row],[Total (kg) N1]]</f>
        <v>1260</v>
      </c>
      <c r="BN28" s="467" t="e">
        <f ca="1">TableauProduit[[#This Row],[Revenue brut N1]]-TableauProduit[[#This Row],[Achat par kg N1]]-TableauProduit[[#This Row],[Conditionnement N1]]</f>
        <v>#VALUE!</v>
      </c>
    </row>
    <row r="29" spans="1:66">
      <c r="A29" s="13" t="s">
        <v>78</v>
      </c>
      <c r="B29" s="54" t="str">
        <f>TableauProduit[[#This Row],[Recette]]&amp;TableauProduit[[#This Row],[Conditionnement]]</f>
        <v>Tabasco cayenne jauneEpice 100ml</v>
      </c>
      <c r="C29" s="11">
        <v>1</v>
      </c>
      <c r="D29" s="11">
        <f>VLOOKUP(TableauProduit[[#This Row],[Recette]],Old[],3)</f>
        <v>50</v>
      </c>
      <c r="E29" s="6" t="s">
        <v>55</v>
      </c>
      <c r="F29" s="7">
        <f>IFERROR(VLOOKUP(TableauProduit[[#This Row],[Conditionnement]],TableauConditionnement[[Nom]:[Contenance]],4,TRUE),"")</f>
        <v>0.64</v>
      </c>
      <c r="G29" s="627" t="e">
        <f ca="1">SUMIFS(TableauRecette[Prix d''achat / kg],TableauRecette[Recette],TableauProduit[[#This Row],[Recette]],TableauRecette[Conditionnement],TableauProduit[[#This Row],[Conditionnement]])</f>
        <v>#VALUE!</v>
      </c>
      <c r="H29" s="628">
        <v>5</v>
      </c>
      <c r="I29" s="629">
        <f>1000*TableauProduit[[#This Row],[Prix de vente/U]]/TableauProduit[[#This Row],[Poids (g) / unite]]</f>
        <v>100</v>
      </c>
      <c r="J29" s="630">
        <f>SUMIFS(TableauConcurence[PRIX_KG],TableauConcurence[PRODUIT],TableauProduit[[#This Row],[Recette]],TableauConcurence[DISTRIBUTION],"magasin NON BIO")</f>
        <v>41.5</v>
      </c>
      <c r="K29" s="631">
        <f>SUMIFS(TableauConcurence[PRIX_KG],TableauConcurence[PRODUIT],TableauProduit[[#This Row],[Recette]],TableauConcurence[DISTRIBUTION],"magasin BIO")</f>
        <v>83.33</v>
      </c>
      <c r="L29" s="632">
        <f>SUMIFS(TableauConcurence[PRIX_KG],TableauConcurence[PRODUIT],TableauProduit[[#This Row],[Recette]],TableauConcurence[DISTRIBUTION],"artisanale BIO")</f>
        <v>120</v>
      </c>
      <c r="M29" s="564">
        <v>180</v>
      </c>
      <c r="N29" s="450">
        <f>TableauProduit[[#This Row],[Poids (g) / unite]]*TableauProduit[[#This Row],[Objectif de vente en unite N1]]/1000</f>
        <v>9</v>
      </c>
      <c r="O29" s="579">
        <f>TableauProduit[[#This Row],[Objectif de vente en unite N1]]*TableauProduit[[#This Row],[Packaging / unite]]</f>
        <v>115.2</v>
      </c>
      <c r="P29" s="579" t="e">
        <f t="shared" ca="1" si="0"/>
        <v>#VALUE!</v>
      </c>
      <c r="Q29" s="579" t="e">
        <f ca="1">TableauProduit[[#This Row],[Prix de vente/kg]]*TableauProduit[[#This Row],[Total (kg) N1]]-TableauProduit[[#This Row],[Achat par kg N1]]</f>
        <v>#VALUE!</v>
      </c>
      <c r="R29" s="582" t="e">
        <f ca="1">TableauProduit[[#This Row],[Revenue brut N1]]-TableauProduit[[#This Row],[Conditionnement N1]]</f>
        <v>#VALUE!</v>
      </c>
      <c r="S29" s="453">
        <v>180</v>
      </c>
      <c r="T29" s="452">
        <f>TableauProduit[[#This Row],[Poids (g) / unite]]*TableauProduit[[#This Row],[Objectif de vente en unite N1]]/1000</f>
        <v>9</v>
      </c>
      <c r="U29" s="571">
        <f>TableauProduit[[#This Row],[Objectif de vente en unite N1]]*TableauProduit[[#This Row],[Packaging / unite]]</f>
        <v>115.2</v>
      </c>
      <c r="V29" s="571" t="e">
        <f ca="1">TableauProduit[[#This Row],[Prix Achat de plante par kg]]*TableauProduit[[#This Row],[Total (kg) N1]]</f>
        <v>#VALUE!</v>
      </c>
      <c r="W29" s="571">
        <f>TableauProduit[[#This Row],[Prix de vente/kg]]*TableauProduit[[#This Row],[Total (kg) N1]]</f>
        <v>900</v>
      </c>
      <c r="X29" s="565" t="e">
        <f ca="1">TableauProduit[[#This Row],[Revenue brut N1]]-TableauProduit[[#This Row],[Achat par kg N1]]-TableauProduit[[#This Row],[Conditionnement N1]]</f>
        <v>#VALUE!</v>
      </c>
      <c r="Y29" s="566">
        <v>180</v>
      </c>
      <c r="Z29" s="456">
        <f>TableauProduit[[#This Row],[Poids (g) / unite]]*TableauProduit[[#This Row],[Objectif de vente en unite N1]]/1000</f>
        <v>9</v>
      </c>
      <c r="AA29" s="574">
        <f>TableauProduit[[#This Row],[Objectif de vente en unite N1]]*TableauProduit[[#This Row],[Packaging / unite]]</f>
        <v>115.2</v>
      </c>
      <c r="AB29" s="574" t="e">
        <f ca="1">TableauProduit[[#This Row],[Prix Achat de plante par kg]]*TableauProduit[[#This Row],[Total (kg) N1]]</f>
        <v>#VALUE!</v>
      </c>
      <c r="AC29" s="574">
        <f>TableauProduit[[#This Row],[Prix de vente/kg]]*TableauProduit[[#This Row],[Total (kg) N1]]</f>
        <v>900</v>
      </c>
      <c r="AD29" s="583" t="e">
        <f ca="1">TableauProduit[[#This Row],[Revenue brut N1]]-TableauProduit[[#This Row],[Achat par kg N1]]-TableauProduit[[#This Row],[Conditionnement N1]]</f>
        <v>#VALUE!</v>
      </c>
      <c r="AE29" s="458">
        <v>180</v>
      </c>
      <c r="AF29" s="458">
        <f>TableauProduit[[#This Row],[Poids (g) / unite]]*TableauProduit[[#This Row],[Objectif de vente en unite N1]]/1000</f>
        <v>9</v>
      </c>
      <c r="AG29" s="577">
        <f>TableauProduit[[#This Row],[Objectif de vente en unite N1]]*TableauProduit[[#This Row],[Packaging / unite]]</f>
        <v>115.2</v>
      </c>
      <c r="AH29" s="577" t="e">
        <f ca="1">TableauProduit[[#This Row],[Prix Achat de plante par kg]]*TableauProduit[[#This Row],[Total (kg) N1]]</f>
        <v>#VALUE!</v>
      </c>
      <c r="AI29" s="577">
        <f>TableauProduit[[#This Row],[Prix de vente/kg]]*TableauProduit[[#This Row],[Total (kg) N1]]</f>
        <v>900</v>
      </c>
      <c r="AJ29" s="458" t="e">
        <f ca="1">TableauProduit[[#This Row],[Revenue brut N1]]-TableauProduit[[#This Row],[Achat par kg N1]]-TableauProduit[[#This Row],[Conditionnement N1]]</f>
        <v>#VALUE!</v>
      </c>
      <c r="AK29" s="460">
        <v>180</v>
      </c>
      <c r="AL29" s="460">
        <f>TableauProduit[[#This Row],[Poids (g) / unite]]*TableauProduit[[#This Row],[Objectif de vente en unite N1]]/1000</f>
        <v>9</v>
      </c>
      <c r="AM29" s="584">
        <f>TableauProduit[[#This Row],[Objectif de vente en unite N1]]*TableauProduit[[#This Row],[Packaging / unite]]</f>
        <v>115.2</v>
      </c>
      <c r="AN29" s="584" t="e">
        <f ca="1">TableauProduit[[#This Row],[Prix Achat de plante par kg]]*TableauProduit[[#This Row],[Total (kg) N1]]</f>
        <v>#VALUE!</v>
      </c>
      <c r="AO29" s="584">
        <f>TableauProduit[[#This Row],[Prix de vente/kg]]*TableauProduit[[#This Row],[Total (kg) N1]]</f>
        <v>900</v>
      </c>
      <c r="AP29" s="460" t="e">
        <f ca="1">TableauProduit[[#This Row],[Revenue brut N1]]-TableauProduit[[#This Row],[Achat par kg N1]]-TableauProduit[[#This Row],[Conditionnement N1]]</f>
        <v>#VALUE!</v>
      </c>
      <c r="AQ29" s="462">
        <v>180</v>
      </c>
      <c r="AR29" s="462">
        <f>TableauProduit[[#This Row],[Poids (g) / unite]]*TableauProduit[[#This Row],[Objectif de vente en unite N1]]/1000</f>
        <v>9</v>
      </c>
      <c r="AS29" s="585">
        <f>TableauProduit[[#This Row],[Objectif de vente en unite N1]]*TableauProduit[[#This Row],[Packaging / unite]]</f>
        <v>115.2</v>
      </c>
      <c r="AT29" s="585" t="e">
        <f ca="1">TableauProduit[[#This Row],[Prix Achat de plante par kg]]*TableauProduit[[#This Row],[Total (kg) N1]]</f>
        <v>#VALUE!</v>
      </c>
      <c r="AU29" s="585">
        <f>TableauProduit[[#This Row],[Prix de vente/kg]]*TableauProduit[[#This Row],[Total (kg) N1]]</f>
        <v>900</v>
      </c>
      <c r="AV29" s="462" t="e">
        <f ca="1">TableauProduit[[#This Row],[Revenue brut N1]]-TableauProduit[[#This Row],[Achat par kg N1]]-TableauProduit[[#This Row],[Conditionnement N1]]</f>
        <v>#VALUE!</v>
      </c>
      <c r="AW29" s="450">
        <v>180</v>
      </c>
      <c r="AX29" s="450">
        <f>TableauProduit[[#This Row],[Poids (g) / unite]]*TableauProduit[[#This Row],[Objectif de vente en unite N1]]/1000</f>
        <v>9</v>
      </c>
      <c r="AY29" s="579">
        <f>TableauProduit[[#This Row],[Objectif de vente en unite N1]]*TableauProduit[[#This Row],[Packaging / unite]]</f>
        <v>115.2</v>
      </c>
      <c r="AZ29" s="579" t="e">
        <f ca="1">TableauProduit[[#This Row],[Prix Achat de plante par kg]]*TableauProduit[[#This Row],[Total (kg) N1]]</f>
        <v>#VALUE!</v>
      </c>
      <c r="BA29" s="579">
        <f>TableauProduit[[#This Row],[Prix de vente/kg]]*TableauProduit[[#This Row],[Total (kg) N1]]</f>
        <v>900</v>
      </c>
      <c r="BB29" s="586" t="e">
        <f ca="1">TableauProduit[[#This Row],[Revenue brut N1]]-TableauProduit[[#This Row],[Achat par kg N1]]-TableauProduit[[#This Row],[Conditionnement N1]]</f>
        <v>#VALUE!</v>
      </c>
      <c r="BC29" s="568">
        <v>180</v>
      </c>
      <c r="BD29" s="465">
        <f>TableauProduit[[#This Row],[Poids (g) / unite]]*TableauProduit[[#This Row],[Objectif de vente en unite N1]]/1000</f>
        <v>9</v>
      </c>
      <c r="BE29" s="587">
        <f>TableauProduit[[#This Row],[Objectif de vente en unite N1]]*TableauProduit[[#This Row],[Packaging / unite]]</f>
        <v>115.2</v>
      </c>
      <c r="BF29" s="587" t="e">
        <f ca="1">TableauProduit[[#This Row],[Prix Achat de plante par kg]]*TableauProduit[[#This Row],[Total (kg) N1]]</f>
        <v>#VALUE!</v>
      </c>
      <c r="BG29" s="587">
        <f>TableauProduit[[#This Row],[Prix de vente/kg]]*TableauProduit[[#This Row],[Total (kg) N1]]</f>
        <v>900</v>
      </c>
      <c r="BH29" s="588" t="e">
        <f ca="1">TableauProduit[[#This Row],[Revenue brut N1]]-TableauProduit[[#This Row],[Achat par kg N1]]-TableauProduit[[#This Row],[Conditionnement N1]]</f>
        <v>#VALUE!</v>
      </c>
      <c r="BI29" s="520">
        <v>180</v>
      </c>
      <c r="BJ29" s="467">
        <f>TableauProduit[[#This Row],[Poids (g) / unite]]*TableauProduit[[#This Row],[Objectif de vente en unite N1]]/1000</f>
        <v>9</v>
      </c>
      <c r="BK29" s="589">
        <f>TableauProduit[[#This Row],[Objectif de vente en unite N1]]*TableauProduit[[#This Row],[Packaging / unite]]</f>
        <v>115.2</v>
      </c>
      <c r="BL29" s="589" t="e">
        <f ca="1">TableauProduit[[#This Row],[Prix Achat de plante par kg]]*TableauProduit[[#This Row],[Total (kg) N1]]</f>
        <v>#VALUE!</v>
      </c>
      <c r="BM29" s="589">
        <f>TableauProduit[[#This Row],[Prix de vente/kg]]*TableauProduit[[#This Row],[Total (kg) N1]]</f>
        <v>900</v>
      </c>
      <c r="BN29" s="467" t="e">
        <f ca="1">TableauProduit[[#This Row],[Revenue brut N1]]-TableauProduit[[#This Row],[Achat par kg N1]]-TableauProduit[[#This Row],[Conditionnement N1]]</f>
        <v>#VALUE!</v>
      </c>
    </row>
    <row r="30" spans="1:66">
      <c r="A30" s="13" t="s">
        <v>693</v>
      </c>
      <c r="B30" s="54" t="str">
        <f>TableauProduit[[#This Row],[Recette]]&amp;TableauProduit[[#This Row],[Conditionnement]]</f>
        <v>epices tandooriEpice 100ml</v>
      </c>
      <c r="C30" s="11">
        <v>1</v>
      </c>
      <c r="D30" s="11">
        <f>VLOOKUP(TableauProduit[[#This Row],[Recette]],Old[],3)</f>
        <v>50</v>
      </c>
      <c r="E30" s="6" t="s">
        <v>55</v>
      </c>
      <c r="F30" s="7">
        <f>IFERROR(VLOOKUP(TableauProduit[[#This Row],[Conditionnement]],TableauConditionnement[[Nom]:[Contenance]],4,TRUE),"")</f>
        <v>0.64</v>
      </c>
      <c r="G30" s="627" t="e">
        <f ca="1">SUMIFS(TableauRecette[Prix d''achat / kg],TableauRecette[Recette],TableauProduit[[#This Row],[Recette]],TableauRecette[Conditionnement],TableauProduit[[#This Row],[Conditionnement]])</f>
        <v>#VALUE!</v>
      </c>
      <c r="H30" s="628">
        <v>5</v>
      </c>
      <c r="I30" s="629">
        <f>1000*TableauProduit[[#This Row],[Prix de vente/U]]/TableauProduit[[#This Row],[Poids (g) / unite]]</f>
        <v>100</v>
      </c>
      <c r="J30" s="630">
        <f>SUMIFS(TableauConcurence[PRIX_KG],TableauConcurence[PRODUIT],TableauProduit[[#This Row],[Recette]],TableauConcurence[DISTRIBUTION],"magasin NON BIO")</f>
        <v>56.41</v>
      </c>
      <c r="K30" s="631">
        <f>SUMIFS(TableauConcurence[PRIX_KG],TableauConcurence[PRODUIT],TableauProduit[[#This Row],[Recette]],TableauConcurence[DISTRIBUTION],"magasin BIO")</f>
        <v>70</v>
      </c>
      <c r="L30" s="632">
        <f>SUMIFS(TableauConcurence[PRIX_KG],TableauConcurence[PRODUIT],TableauProduit[[#This Row],[Recette]],TableauConcurence[DISTRIBUTION],"artisanale BIO")</f>
        <v>100</v>
      </c>
      <c r="M30" s="564">
        <v>180</v>
      </c>
      <c r="N30" s="450">
        <f>TableauProduit[[#This Row],[Poids (g) / unite]]*TableauProduit[[#This Row],[Objectif de vente en unite N1]]/1000</f>
        <v>9</v>
      </c>
      <c r="O30" s="579">
        <f>TableauProduit[[#This Row],[Objectif de vente en unite N1]]*TableauProduit[[#This Row],[Packaging / unite]]</f>
        <v>115.2</v>
      </c>
      <c r="P30" s="579" t="e">
        <f t="shared" ca="1" si="0"/>
        <v>#VALUE!</v>
      </c>
      <c r="Q30" s="579" t="e">
        <f ca="1">TableauProduit[[#This Row],[Prix de vente/kg]]*TableauProduit[[#This Row],[Total (kg) N1]]-TableauProduit[[#This Row],[Achat par kg N1]]</f>
        <v>#VALUE!</v>
      </c>
      <c r="R30" s="582">
        <v>0</v>
      </c>
      <c r="S30" s="453">
        <v>180</v>
      </c>
      <c r="T30" s="452">
        <f>TableauProduit[[#This Row],[Poids (g) / unite]]*TableauProduit[[#This Row],[Objectif de vente en unite N1]]/1000</f>
        <v>9</v>
      </c>
      <c r="U30" s="571">
        <f>TableauProduit[[#This Row],[Objectif de vente en unite N1]]*TableauProduit[[#This Row],[Packaging / unite]]</f>
        <v>115.2</v>
      </c>
      <c r="V30" s="571" t="e">
        <f ca="1">TableauProduit[[#This Row],[Prix Achat de plante par kg]]*TableauProduit[[#This Row],[Total (kg) N1]]</f>
        <v>#VALUE!</v>
      </c>
      <c r="W30" s="571">
        <f>TableauProduit[[#This Row],[Prix de vente/kg]]*TableauProduit[[#This Row],[Total (kg) N1]]</f>
        <v>900</v>
      </c>
      <c r="X30" s="565" t="e">
        <f ca="1">TableauProduit[[#This Row],[Revenue brut N1]]-TableauProduit[[#This Row],[Achat par kg N1]]-TableauProduit[[#This Row],[Conditionnement N1]]</f>
        <v>#VALUE!</v>
      </c>
      <c r="Y30" s="566">
        <v>180</v>
      </c>
      <c r="Z30" s="456">
        <f>TableauProduit[[#This Row],[Poids (g) / unite]]*TableauProduit[[#This Row],[Objectif de vente en unite N1]]/1000</f>
        <v>9</v>
      </c>
      <c r="AA30" s="574">
        <f>TableauProduit[[#This Row],[Objectif de vente en unite N1]]*TableauProduit[[#This Row],[Packaging / unite]]</f>
        <v>115.2</v>
      </c>
      <c r="AB30" s="574" t="e">
        <f ca="1">TableauProduit[[#This Row],[Prix Achat de plante par kg]]*TableauProduit[[#This Row],[Total (kg) N1]]</f>
        <v>#VALUE!</v>
      </c>
      <c r="AC30" s="574">
        <f>TableauProduit[[#This Row],[Prix de vente/kg]]*TableauProduit[[#This Row],[Total (kg) N1]]</f>
        <v>900</v>
      </c>
      <c r="AD30" s="583" t="e">
        <f ca="1">TableauProduit[[#This Row],[Revenue brut N1]]-TableauProduit[[#This Row],[Achat par kg N1]]-TableauProduit[[#This Row],[Conditionnement N1]]</f>
        <v>#VALUE!</v>
      </c>
      <c r="AE30" s="458">
        <v>180</v>
      </c>
      <c r="AF30" s="458">
        <f>TableauProduit[[#This Row],[Poids (g) / unite]]*TableauProduit[[#This Row],[Objectif de vente en unite N1]]/1000</f>
        <v>9</v>
      </c>
      <c r="AG30" s="577">
        <f>TableauProduit[[#This Row],[Objectif de vente en unite N1]]*TableauProduit[[#This Row],[Packaging / unite]]</f>
        <v>115.2</v>
      </c>
      <c r="AH30" s="577" t="e">
        <f ca="1">TableauProduit[[#This Row],[Prix Achat de plante par kg]]*TableauProduit[[#This Row],[Total (kg) N1]]</f>
        <v>#VALUE!</v>
      </c>
      <c r="AI30" s="577">
        <f>TableauProduit[[#This Row],[Prix de vente/kg]]*TableauProduit[[#This Row],[Total (kg) N1]]</f>
        <v>900</v>
      </c>
      <c r="AJ30" s="458" t="e">
        <f ca="1">TableauProduit[[#This Row],[Revenue brut N1]]-TableauProduit[[#This Row],[Achat par kg N1]]-TableauProduit[[#This Row],[Conditionnement N1]]</f>
        <v>#VALUE!</v>
      </c>
      <c r="AK30" s="460">
        <v>180</v>
      </c>
      <c r="AL30" s="460">
        <f>TableauProduit[[#This Row],[Poids (g) / unite]]*TableauProduit[[#This Row],[Objectif de vente en unite N1]]/1000</f>
        <v>9</v>
      </c>
      <c r="AM30" s="584">
        <f>TableauProduit[[#This Row],[Objectif de vente en unite N1]]*TableauProduit[[#This Row],[Packaging / unite]]</f>
        <v>115.2</v>
      </c>
      <c r="AN30" s="584" t="e">
        <f ca="1">TableauProduit[[#This Row],[Prix Achat de plante par kg]]*TableauProduit[[#This Row],[Total (kg) N1]]</f>
        <v>#VALUE!</v>
      </c>
      <c r="AO30" s="584">
        <f>TableauProduit[[#This Row],[Prix de vente/kg]]*TableauProduit[[#This Row],[Total (kg) N1]]</f>
        <v>900</v>
      </c>
      <c r="AP30" s="460" t="e">
        <f ca="1">TableauProduit[[#This Row],[Revenue brut N1]]-TableauProduit[[#This Row],[Achat par kg N1]]-TableauProduit[[#This Row],[Conditionnement N1]]</f>
        <v>#VALUE!</v>
      </c>
      <c r="AQ30" s="462">
        <v>180</v>
      </c>
      <c r="AR30" s="462">
        <f>TableauProduit[[#This Row],[Poids (g) / unite]]*TableauProduit[[#This Row],[Objectif de vente en unite N1]]/1000</f>
        <v>9</v>
      </c>
      <c r="AS30" s="585">
        <f>TableauProduit[[#This Row],[Objectif de vente en unite N1]]*TableauProduit[[#This Row],[Packaging / unite]]</f>
        <v>115.2</v>
      </c>
      <c r="AT30" s="585" t="e">
        <f ca="1">TableauProduit[[#This Row],[Prix Achat de plante par kg]]*TableauProduit[[#This Row],[Total (kg) N1]]</f>
        <v>#VALUE!</v>
      </c>
      <c r="AU30" s="585">
        <f>TableauProduit[[#This Row],[Prix de vente/kg]]*TableauProduit[[#This Row],[Total (kg) N1]]</f>
        <v>900</v>
      </c>
      <c r="AV30" s="462" t="e">
        <f ca="1">TableauProduit[[#This Row],[Revenue brut N1]]-TableauProduit[[#This Row],[Achat par kg N1]]-TableauProduit[[#This Row],[Conditionnement N1]]</f>
        <v>#VALUE!</v>
      </c>
      <c r="AW30" s="450">
        <v>180</v>
      </c>
      <c r="AX30" s="450">
        <f>TableauProduit[[#This Row],[Poids (g) / unite]]*TableauProduit[[#This Row],[Objectif de vente en unite N1]]/1000</f>
        <v>9</v>
      </c>
      <c r="AY30" s="579">
        <f>TableauProduit[[#This Row],[Objectif de vente en unite N1]]*TableauProduit[[#This Row],[Packaging / unite]]</f>
        <v>115.2</v>
      </c>
      <c r="AZ30" s="579" t="e">
        <f ca="1">TableauProduit[[#This Row],[Prix Achat de plante par kg]]*TableauProduit[[#This Row],[Total (kg) N1]]</f>
        <v>#VALUE!</v>
      </c>
      <c r="BA30" s="579">
        <f>TableauProduit[[#This Row],[Prix de vente/kg]]*TableauProduit[[#This Row],[Total (kg) N1]]</f>
        <v>900</v>
      </c>
      <c r="BB30" s="586" t="e">
        <f ca="1">TableauProduit[[#This Row],[Revenue brut N1]]-TableauProduit[[#This Row],[Achat par kg N1]]-TableauProduit[[#This Row],[Conditionnement N1]]</f>
        <v>#VALUE!</v>
      </c>
      <c r="BC30" s="568">
        <v>180</v>
      </c>
      <c r="BD30" s="465">
        <f>TableauProduit[[#This Row],[Poids (g) / unite]]*TableauProduit[[#This Row],[Objectif de vente en unite N1]]/1000</f>
        <v>9</v>
      </c>
      <c r="BE30" s="587">
        <f>TableauProduit[[#This Row],[Objectif de vente en unite N1]]*TableauProduit[[#This Row],[Packaging / unite]]</f>
        <v>115.2</v>
      </c>
      <c r="BF30" s="587" t="e">
        <f ca="1">TableauProduit[[#This Row],[Prix Achat de plante par kg]]*TableauProduit[[#This Row],[Total (kg) N1]]</f>
        <v>#VALUE!</v>
      </c>
      <c r="BG30" s="587">
        <f>TableauProduit[[#This Row],[Prix de vente/kg]]*TableauProduit[[#This Row],[Total (kg) N1]]</f>
        <v>900</v>
      </c>
      <c r="BH30" s="588" t="e">
        <f ca="1">TableauProduit[[#This Row],[Revenue brut N1]]-TableauProduit[[#This Row],[Achat par kg N1]]-TableauProduit[[#This Row],[Conditionnement N1]]</f>
        <v>#VALUE!</v>
      </c>
      <c r="BI30" s="520">
        <v>180</v>
      </c>
      <c r="BJ30" s="467">
        <f>TableauProduit[[#This Row],[Poids (g) / unite]]*TableauProduit[[#This Row],[Objectif de vente en unite N1]]/1000</f>
        <v>9</v>
      </c>
      <c r="BK30" s="589">
        <f>TableauProduit[[#This Row],[Objectif de vente en unite N1]]*TableauProduit[[#This Row],[Packaging / unite]]</f>
        <v>115.2</v>
      </c>
      <c r="BL30" s="589" t="e">
        <f ca="1">TableauProduit[[#This Row],[Prix Achat de plante par kg]]*TableauProduit[[#This Row],[Total (kg) N1]]</f>
        <v>#VALUE!</v>
      </c>
      <c r="BM30" s="589">
        <f>TableauProduit[[#This Row],[Prix de vente/kg]]*TableauProduit[[#This Row],[Total (kg) N1]]</f>
        <v>900</v>
      </c>
      <c r="BN30" s="467" t="e">
        <f ca="1">TableauProduit[[#This Row],[Revenue brut N1]]-TableauProduit[[#This Row],[Achat par kg N1]]-TableauProduit[[#This Row],[Conditionnement N1]]</f>
        <v>#VALUE!</v>
      </c>
    </row>
    <row r="31" spans="1:66">
      <c r="A31" s="13" t="s">
        <v>79</v>
      </c>
      <c r="B31" s="54" t="str">
        <f>TableauProduit[[#This Row],[Recette]]&amp;TableauProduit[[#This Row],[Conditionnement]]</f>
        <v>Curry MadraEpice 100ml</v>
      </c>
      <c r="C31" s="11">
        <v>1</v>
      </c>
      <c r="D31" s="11">
        <v>50</v>
      </c>
      <c r="E31" s="6" t="s">
        <v>55</v>
      </c>
      <c r="F31" s="7">
        <f>IFERROR(VLOOKUP(TableauProduit[[#This Row],[Conditionnement]],TableauConditionnement[[Nom]:[Contenance]],4,TRUE),"")</f>
        <v>0.64</v>
      </c>
      <c r="G31" s="627">
        <f ca="1">SUMIFS(TableauRecette[Prix d''achat / kg],TableauRecette[Recette],TableauProduit[[#This Row],[Recette]],TableauRecette[Conditionnement],TableauProduit[[#This Row],[Conditionnement]])</f>
        <v>4.1482142857142854</v>
      </c>
      <c r="H31" s="628">
        <v>4</v>
      </c>
      <c r="I31" s="629">
        <f>1000*TableauProduit[[#This Row],[Prix de vente/U]]/TableauProduit[[#This Row],[Poids (g) / unite]]</f>
        <v>80</v>
      </c>
      <c r="J31" s="630">
        <f>SUMIFS(TableauConcurence[PRIX_KG],TableauConcurence[PRODUIT],TableauProduit[[#This Row],[Recette]],TableauConcurence[DISTRIBUTION],"magasin NON BIO")</f>
        <v>0</v>
      </c>
      <c r="K31" s="631">
        <f>SUMIFS(TableauConcurence[PRIX_KG],TableauConcurence[PRODUIT],TableauProduit[[#This Row],[Recette]],TableauConcurence[DISTRIBUTION],"magasin BIO")</f>
        <v>0</v>
      </c>
      <c r="L31" s="632">
        <f>SUMIFS(TableauConcurence[PRIX_KG],TableauConcurence[PRODUIT],TableauProduit[[#This Row],[Recette]],TableauConcurence[DISTRIBUTION],"artisanale BIO")</f>
        <v>0</v>
      </c>
      <c r="M31" s="564">
        <v>180</v>
      </c>
      <c r="N31" s="450">
        <f>TableauProduit[[#This Row],[Poids (g) / unite]]*TableauProduit[[#This Row],[Objectif de vente en unite N1]]/1000</f>
        <v>9</v>
      </c>
      <c r="O31" s="579">
        <f>TableauProduit[[#This Row],[Objectif de vente en unite N1]]*TableauProduit[[#This Row],[Packaging / unite]]</f>
        <v>115.2</v>
      </c>
      <c r="P31" s="579">
        <f t="shared" ca="1" si="0"/>
        <v>0</v>
      </c>
      <c r="Q31" s="579">
        <f ca="1">TableauProduit[[#This Row],[Prix de vente/kg]]*TableauProduit[[#This Row],[Total (kg) N1]]-TableauProduit[[#This Row],[Achat par kg N1]]</f>
        <v>620</v>
      </c>
      <c r="R31" s="582">
        <f ca="1">TableauProduit[[#This Row],[Revenue brut N1]]-TableauProduit[[#This Row],[Conditionnement N1]]</f>
        <v>504.8</v>
      </c>
      <c r="S31" s="453">
        <v>180</v>
      </c>
      <c r="T31" s="452">
        <f>TableauProduit[[#This Row],[Poids (g) / unite]]*TableauProduit[[#This Row],[Objectif de vente en unite N1]]/1000</f>
        <v>9</v>
      </c>
      <c r="U31" s="571">
        <f>TableauProduit[[#This Row],[Objectif de vente en unite N1]]*TableauProduit[[#This Row],[Packaging / unite]]</f>
        <v>115.2</v>
      </c>
      <c r="V31" s="571">
        <f ca="1">TableauProduit[[#This Row],[Prix Achat de plante par kg]]*TableauProduit[[#This Row],[Total (kg) N1]]</f>
        <v>41.482142857142854</v>
      </c>
      <c r="W31" s="571">
        <f>TableauProduit[[#This Row],[Prix de vente/kg]]*TableauProduit[[#This Row],[Total (kg) N1]]</f>
        <v>720</v>
      </c>
      <c r="X31" s="565">
        <f ca="1">TableauProduit[[#This Row],[Revenue brut N1]]-TableauProduit[[#This Row],[Achat par kg N1]]-TableauProduit[[#This Row],[Conditionnement N1]]</f>
        <v>404.8</v>
      </c>
      <c r="Y31" s="566">
        <v>180</v>
      </c>
      <c r="Z31" s="456">
        <f>TableauProduit[[#This Row],[Poids (g) / unite]]*TableauProduit[[#This Row],[Objectif de vente en unite N1]]/1000</f>
        <v>9</v>
      </c>
      <c r="AA31" s="574">
        <f>TableauProduit[[#This Row],[Objectif de vente en unite N1]]*TableauProduit[[#This Row],[Packaging / unite]]</f>
        <v>115.2</v>
      </c>
      <c r="AB31" s="574">
        <f ca="1">TableauProduit[[#This Row],[Prix Achat de plante par kg]]*TableauProduit[[#This Row],[Total (kg) N1]]</f>
        <v>41.482142857142854</v>
      </c>
      <c r="AC31" s="574">
        <f>TableauProduit[[#This Row],[Prix de vente/kg]]*TableauProduit[[#This Row],[Total (kg) N1]]</f>
        <v>720</v>
      </c>
      <c r="AD31" s="583">
        <f ca="1">TableauProduit[[#This Row],[Revenue brut N1]]-TableauProduit[[#This Row],[Achat par kg N1]]-TableauProduit[[#This Row],[Conditionnement N1]]</f>
        <v>404.8</v>
      </c>
      <c r="AE31" s="458">
        <v>180</v>
      </c>
      <c r="AF31" s="458">
        <f>TableauProduit[[#This Row],[Poids (g) / unite]]*TableauProduit[[#This Row],[Objectif de vente en unite N1]]/1000</f>
        <v>9</v>
      </c>
      <c r="AG31" s="577">
        <f>TableauProduit[[#This Row],[Objectif de vente en unite N1]]*TableauProduit[[#This Row],[Packaging / unite]]</f>
        <v>115.2</v>
      </c>
      <c r="AH31" s="577">
        <f ca="1">TableauProduit[[#This Row],[Prix Achat de plante par kg]]*TableauProduit[[#This Row],[Total (kg) N1]]</f>
        <v>41.482142857142854</v>
      </c>
      <c r="AI31" s="577">
        <f>TableauProduit[[#This Row],[Prix de vente/kg]]*TableauProduit[[#This Row],[Total (kg) N1]]</f>
        <v>720</v>
      </c>
      <c r="AJ31" s="458">
        <f ca="1">TableauProduit[[#This Row],[Revenue brut N1]]-TableauProduit[[#This Row],[Achat par kg N1]]-TableauProduit[[#This Row],[Conditionnement N1]]</f>
        <v>404.8</v>
      </c>
      <c r="AK31" s="460">
        <v>180</v>
      </c>
      <c r="AL31" s="460">
        <f>TableauProduit[[#This Row],[Poids (g) / unite]]*TableauProduit[[#This Row],[Objectif de vente en unite N1]]/1000</f>
        <v>9</v>
      </c>
      <c r="AM31" s="584">
        <f>TableauProduit[[#This Row],[Objectif de vente en unite N1]]*TableauProduit[[#This Row],[Packaging / unite]]</f>
        <v>115.2</v>
      </c>
      <c r="AN31" s="584">
        <f ca="1">TableauProduit[[#This Row],[Prix Achat de plante par kg]]*TableauProduit[[#This Row],[Total (kg) N1]]</f>
        <v>41.482142857142854</v>
      </c>
      <c r="AO31" s="584">
        <f>TableauProduit[[#This Row],[Prix de vente/kg]]*TableauProduit[[#This Row],[Total (kg) N1]]</f>
        <v>720</v>
      </c>
      <c r="AP31" s="460">
        <f ca="1">TableauProduit[[#This Row],[Revenue brut N1]]-TableauProduit[[#This Row],[Achat par kg N1]]-TableauProduit[[#This Row],[Conditionnement N1]]</f>
        <v>404.8</v>
      </c>
      <c r="AQ31" s="462">
        <v>180</v>
      </c>
      <c r="AR31" s="462">
        <f>TableauProduit[[#This Row],[Poids (g) / unite]]*TableauProduit[[#This Row],[Objectif de vente en unite N1]]/1000</f>
        <v>9</v>
      </c>
      <c r="AS31" s="585">
        <f>TableauProduit[[#This Row],[Objectif de vente en unite N1]]*TableauProduit[[#This Row],[Packaging / unite]]</f>
        <v>115.2</v>
      </c>
      <c r="AT31" s="585">
        <f ca="1">TableauProduit[[#This Row],[Prix Achat de plante par kg]]*TableauProduit[[#This Row],[Total (kg) N1]]</f>
        <v>41.482142857142854</v>
      </c>
      <c r="AU31" s="585">
        <f>TableauProduit[[#This Row],[Prix de vente/kg]]*TableauProduit[[#This Row],[Total (kg) N1]]</f>
        <v>720</v>
      </c>
      <c r="AV31" s="462">
        <f ca="1">TableauProduit[[#This Row],[Revenue brut N1]]-TableauProduit[[#This Row],[Achat par kg N1]]-TableauProduit[[#This Row],[Conditionnement N1]]</f>
        <v>404.8</v>
      </c>
      <c r="AW31" s="450">
        <v>180</v>
      </c>
      <c r="AX31" s="450">
        <f>TableauProduit[[#This Row],[Poids (g) / unite]]*TableauProduit[[#This Row],[Objectif de vente en unite N1]]/1000</f>
        <v>9</v>
      </c>
      <c r="AY31" s="579">
        <f>TableauProduit[[#This Row],[Objectif de vente en unite N1]]*TableauProduit[[#This Row],[Packaging / unite]]</f>
        <v>115.2</v>
      </c>
      <c r="AZ31" s="579">
        <f ca="1">TableauProduit[[#This Row],[Prix Achat de plante par kg]]*TableauProduit[[#This Row],[Total (kg) N1]]</f>
        <v>41.482142857142854</v>
      </c>
      <c r="BA31" s="579">
        <f>TableauProduit[[#This Row],[Prix de vente/kg]]*TableauProduit[[#This Row],[Total (kg) N1]]</f>
        <v>720</v>
      </c>
      <c r="BB31" s="586">
        <f ca="1">TableauProduit[[#This Row],[Revenue brut N1]]-TableauProduit[[#This Row],[Achat par kg N1]]-TableauProduit[[#This Row],[Conditionnement N1]]</f>
        <v>404.8</v>
      </c>
      <c r="BC31" s="568">
        <v>180</v>
      </c>
      <c r="BD31" s="465">
        <f>TableauProduit[[#This Row],[Poids (g) / unite]]*TableauProduit[[#This Row],[Objectif de vente en unite N1]]/1000</f>
        <v>9</v>
      </c>
      <c r="BE31" s="587">
        <f>TableauProduit[[#This Row],[Objectif de vente en unite N1]]*TableauProduit[[#This Row],[Packaging / unite]]</f>
        <v>115.2</v>
      </c>
      <c r="BF31" s="587">
        <f ca="1">TableauProduit[[#This Row],[Prix Achat de plante par kg]]*TableauProduit[[#This Row],[Total (kg) N1]]</f>
        <v>41.482142857142854</v>
      </c>
      <c r="BG31" s="587">
        <f>TableauProduit[[#This Row],[Prix de vente/kg]]*TableauProduit[[#This Row],[Total (kg) N1]]</f>
        <v>720</v>
      </c>
      <c r="BH31" s="588">
        <f ca="1">TableauProduit[[#This Row],[Revenue brut N1]]-TableauProduit[[#This Row],[Achat par kg N1]]-TableauProduit[[#This Row],[Conditionnement N1]]</f>
        <v>404.8</v>
      </c>
      <c r="BI31" s="520">
        <v>180</v>
      </c>
      <c r="BJ31" s="467">
        <f>TableauProduit[[#This Row],[Poids (g) / unite]]*TableauProduit[[#This Row],[Objectif de vente en unite N1]]/1000</f>
        <v>9</v>
      </c>
      <c r="BK31" s="589">
        <f>TableauProduit[[#This Row],[Objectif de vente en unite N1]]*TableauProduit[[#This Row],[Packaging / unite]]</f>
        <v>115.2</v>
      </c>
      <c r="BL31" s="589">
        <f ca="1">TableauProduit[[#This Row],[Prix Achat de plante par kg]]*TableauProduit[[#This Row],[Total (kg) N1]]</f>
        <v>41.482142857142854</v>
      </c>
      <c r="BM31" s="589">
        <f>TableauProduit[[#This Row],[Prix de vente/kg]]*TableauProduit[[#This Row],[Total (kg) N1]]</f>
        <v>720</v>
      </c>
      <c r="BN31" s="467">
        <f ca="1">TableauProduit[[#This Row],[Revenue brut N1]]-TableauProduit[[#This Row],[Achat par kg N1]]-TableauProduit[[#This Row],[Conditionnement N1]]</f>
        <v>404.8</v>
      </c>
    </row>
    <row r="32" spans="1:66">
      <c r="A32" s="553" t="s">
        <v>52</v>
      </c>
      <c r="B32" s="54" t="str">
        <f>TableauProduit[[#This Row],[Recette]]&amp;TableauProduit[[#This Row],[Conditionnement]]</f>
        <v>Cornichons aigres-douxCornichon doux</v>
      </c>
      <c r="C32" s="11">
        <v>1.5</v>
      </c>
      <c r="D32" s="11">
        <v>900</v>
      </c>
      <c r="E32" s="6" t="s">
        <v>53</v>
      </c>
      <c r="F32" s="7">
        <v>1.69</v>
      </c>
      <c r="G32" s="627">
        <f ca="1">SUMIFS(TableauRecette[Prix d''achat / kg],TableauRecette[Recette],TableauProduit[[#This Row],[Recette]],TableauRecette[Conditionnement],TableauProduit[[#This Row],[Conditionnement]])</f>
        <v>0</v>
      </c>
      <c r="H32" s="634">
        <v>7</v>
      </c>
      <c r="I32" s="629">
        <f>1000*TableauProduit[[#This Row],[Prix de vente/U]]/TableauProduit[[#This Row],[Poids (g) / unite]]</f>
        <v>7.7777777777777777</v>
      </c>
      <c r="J32" s="630">
        <f>SUMIFS(TableauConcurence[PRIX_KG],TableauConcurence[PRODUIT],TableauProduit[[#This Row],[Recette]],TableauConcurence[DISTRIBUTION],"magasin NON BIO")</f>
        <v>0</v>
      </c>
      <c r="K32" s="635">
        <f>SUMIFS(TableauConcurence[PRIX_KG],TableauConcurence[PRODUIT],TableauProduit[[#This Row],[Recette]],TableauConcurence[DISTRIBUTION],"magasin BIO")</f>
        <v>0</v>
      </c>
      <c r="L32" s="636">
        <f>SUMIFS(TableauConcurence[PRIX_KG],TableauConcurence[PRODUIT],TableauProduit[[#This Row],[Recette]],TableauConcurence[DISTRIBUTION],"artisanale BIO")</f>
        <v>0</v>
      </c>
      <c r="M32" s="564">
        <v>150</v>
      </c>
      <c r="N32" s="450">
        <f>TableauProduit[[#This Row],[Poids (g) / unite]]*TableauProduit[[#This Row],[Objectif de vente en unite N1]]/1000</f>
        <v>135</v>
      </c>
      <c r="O32" s="579">
        <f>TableauProduit[[#This Row],[Objectif de vente en unite N1]]*TableauProduit[[#This Row],[Packaging / unite]]</f>
        <v>253.5</v>
      </c>
      <c r="P32" s="579">
        <f t="shared" ca="1" si="0"/>
        <v>0</v>
      </c>
      <c r="Q32" s="579">
        <f ca="1">TableauProduit[[#This Row],[Prix de vente/kg]]*TableauProduit[[#This Row],[Total (kg) N1]]-TableauProduit[[#This Row],[Achat par kg N1]]</f>
        <v>4478.5714285714284</v>
      </c>
      <c r="R32" s="582">
        <f ca="1">TableauProduit[[#This Row],[Revenue brut N1]]-TableauProduit[[#This Row],[Conditionnement N1]]</f>
        <v>3211.0714285714284</v>
      </c>
      <c r="S32" s="453"/>
      <c r="T32" s="452">
        <f>TableauProduit[[#This Row],[Poids (g) / unite]]*TableauProduit[[#This Row],[Objectif de vente en unite N1]]/1000</f>
        <v>135</v>
      </c>
      <c r="U32" s="571">
        <f>TableauProduit[[#This Row],[Objectif de vente en unite N1]]*TableauProduit[[#This Row],[Packaging / unite]]</f>
        <v>253.5</v>
      </c>
      <c r="V32" s="571">
        <f ca="1">TableauProduit[[#This Row],[Prix Achat de plante par kg]]*TableauProduit[[#This Row],[Total (kg) N1]]</f>
        <v>0</v>
      </c>
      <c r="W32" s="571">
        <f>TableauProduit[[#This Row],[Prix de vente/kg]]*TableauProduit[[#This Row],[Total (kg) N1]]</f>
        <v>1050</v>
      </c>
      <c r="X32" s="565">
        <f ca="1">TableauProduit[[#This Row],[Revenue brut N1]]-TableauProduit[[#This Row],[Achat par kg N1]]-TableauProduit[[#This Row],[Conditionnement N1]]</f>
        <v>3189.6428571428569</v>
      </c>
      <c r="Y32" s="566"/>
      <c r="Z32" s="456">
        <f>TableauProduit[[#This Row],[Poids (g) / unite]]*TableauProduit[[#This Row],[Objectif de vente en unite N1]]/1000</f>
        <v>135</v>
      </c>
      <c r="AA32" s="574">
        <f>TableauProduit[[#This Row],[Objectif de vente en unite N1]]*TableauProduit[[#This Row],[Packaging / unite]]</f>
        <v>253.5</v>
      </c>
      <c r="AB32" s="574">
        <f ca="1">TableauProduit[[#This Row],[Prix Achat de plante par kg]]*TableauProduit[[#This Row],[Total (kg) N1]]</f>
        <v>0</v>
      </c>
      <c r="AC32" s="574">
        <f>TableauProduit[[#This Row],[Prix de vente/kg]]*TableauProduit[[#This Row],[Total (kg) N1]]</f>
        <v>1050</v>
      </c>
      <c r="AD32" s="583">
        <f ca="1">TableauProduit[[#This Row],[Revenue brut N1]]-TableauProduit[[#This Row],[Achat par kg N1]]-TableauProduit[[#This Row],[Conditionnement N1]]</f>
        <v>3189.6428571428569</v>
      </c>
      <c r="AE32" s="458"/>
      <c r="AF32" s="458">
        <f>TableauProduit[[#This Row],[Poids (g) / unite]]*TableauProduit[[#This Row],[Objectif de vente en unite N1]]/1000</f>
        <v>135</v>
      </c>
      <c r="AG32" s="577">
        <f>TableauProduit[[#This Row],[Objectif de vente en unite N1]]*TableauProduit[[#This Row],[Packaging / unite]]</f>
        <v>253.5</v>
      </c>
      <c r="AH32" s="577">
        <f ca="1">TableauProduit[[#This Row],[Prix Achat de plante par kg]]*TableauProduit[[#This Row],[Total (kg) N1]]</f>
        <v>0</v>
      </c>
      <c r="AI32" s="577">
        <f>TableauProduit[[#This Row],[Prix de vente/kg]]*TableauProduit[[#This Row],[Total (kg) N1]]</f>
        <v>1050</v>
      </c>
      <c r="AJ32" s="458">
        <f ca="1">TableauProduit[[#This Row],[Revenue brut N1]]-TableauProduit[[#This Row],[Achat par kg N1]]-TableauProduit[[#This Row],[Conditionnement N1]]</f>
        <v>3189.6428571428569</v>
      </c>
      <c r="AK32" s="460"/>
      <c r="AL32" s="460">
        <f>TableauProduit[[#This Row],[Poids (g) / unite]]*TableauProduit[[#This Row],[Objectif de vente en unite N1]]/1000</f>
        <v>135</v>
      </c>
      <c r="AM32" s="584">
        <f>TableauProduit[[#This Row],[Objectif de vente en unite N1]]*TableauProduit[[#This Row],[Packaging / unite]]</f>
        <v>253.5</v>
      </c>
      <c r="AN32" s="584">
        <f ca="1">TableauProduit[[#This Row],[Prix Achat de plante par kg]]*TableauProduit[[#This Row],[Total (kg) N1]]</f>
        <v>0</v>
      </c>
      <c r="AO32" s="584">
        <f>TableauProduit[[#This Row],[Prix de vente/kg]]*TableauProduit[[#This Row],[Total (kg) N1]]</f>
        <v>1050</v>
      </c>
      <c r="AP32" s="460">
        <f ca="1">TableauProduit[[#This Row],[Revenue brut N1]]-TableauProduit[[#This Row],[Achat par kg N1]]-TableauProduit[[#This Row],[Conditionnement N1]]</f>
        <v>3189.6428571428569</v>
      </c>
      <c r="AQ32" s="462"/>
      <c r="AR32" s="462">
        <f>TableauProduit[[#This Row],[Poids (g) / unite]]*TableauProduit[[#This Row],[Objectif de vente en unite N1]]/1000</f>
        <v>135</v>
      </c>
      <c r="AS32" s="585">
        <f>TableauProduit[[#This Row],[Objectif de vente en unite N1]]*TableauProduit[[#This Row],[Packaging / unite]]</f>
        <v>253.5</v>
      </c>
      <c r="AT32" s="585">
        <f ca="1">TableauProduit[[#This Row],[Prix Achat de plante par kg]]*TableauProduit[[#This Row],[Total (kg) N1]]</f>
        <v>0</v>
      </c>
      <c r="AU32" s="585">
        <f>TableauProduit[[#This Row],[Prix de vente/kg]]*TableauProduit[[#This Row],[Total (kg) N1]]</f>
        <v>1050</v>
      </c>
      <c r="AV32" s="462">
        <f ca="1">TableauProduit[[#This Row],[Revenue brut N1]]-TableauProduit[[#This Row],[Achat par kg N1]]-TableauProduit[[#This Row],[Conditionnement N1]]</f>
        <v>3189.6428571428569</v>
      </c>
      <c r="AW32" s="450"/>
      <c r="AX32" s="450">
        <f>TableauProduit[[#This Row],[Poids (g) / unite]]*TableauProduit[[#This Row],[Objectif de vente en unite N1]]/1000</f>
        <v>135</v>
      </c>
      <c r="AY32" s="579">
        <f>TableauProduit[[#This Row],[Objectif de vente en unite N1]]*TableauProduit[[#This Row],[Packaging / unite]]</f>
        <v>253.5</v>
      </c>
      <c r="AZ32" s="579">
        <f ca="1">TableauProduit[[#This Row],[Prix Achat de plante par kg]]*TableauProduit[[#This Row],[Total (kg) N1]]</f>
        <v>0</v>
      </c>
      <c r="BA32" s="579">
        <f>TableauProduit[[#This Row],[Prix de vente/kg]]*TableauProduit[[#This Row],[Total (kg) N1]]</f>
        <v>1050</v>
      </c>
      <c r="BB32" s="586">
        <f ca="1">TableauProduit[[#This Row],[Revenue brut N1]]-TableauProduit[[#This Row],[Achat par kg N1]]-TableauProduit[[#This Row],[Conditionnement N1]]</f>
        <v>3189.6428571428569</v>
      </c>
      <c r="BC32" s="568"/>
      <c r="BD32" s="465">
        <f>TableauProduit[[#This Row],[Poids (g) / unite]]*TableauProduit[[#This Row],[Objectif de vente en unite N1]]/1000</f>
        <v>135</v>
      </c>
      <c r="BE32" s="587">
        <f>TableauProduit[[#This Row],[Objectif de vente en unite N1]]*TableauProduit[[#This Row],[Packaging / unite]]</f>
        <v>253.5</v>
      </c>
      <c r="BF32" s="587">
        <f ca="1">TableauProduit[[#This Row],[Prix Achat de plante par kg]]*TableauProduit[[#This Row],[Total (kg) N1]]</f>
        <v>0</v>
      </c>
      <c r="BG32" s="587">
        <f>TableauProduit[[#This Row],[Prix de vente/kg]]*TableauProduit[[#This Row],[Total (kg) N1]]</f>
        <v>1050</v>
      </c>
      <c r="BH32" s="588">
        <f ca="1">TableauProduit[[#This Row],[Revenue brut N1]]-TableauProduit[[#This Row],[Achat par kg N1]]-TableauProduit[[#This Row],[Conditionnement N1]]</f>
        <v>3189.6428571428569</v>
      </c>
      <c r="BI32" s="520"/>
      <c r="BJ32" s="467">
        <f>TableauProduit[[#This Row],[Poids (g) / unite]]*TableauProduit[[#This Row],[Objectif de vente en unite N1]]/1000</f>
        <v>135</v>
      </c>
      <c r="BK32" s="589">
        <f>TableauProduit[[#This Row],[Objectif de vente en unite N1]]*TableauProduit[[#This Row],[Packaging / unite]]</f>
        <v>253.5</v>
      </c>
      <c r="BL32" s="589">
        <f ca="1">TableauProduit[[#This Row],[Prix Achat de plante par kg]]*TableauProduit[[#This Row],[Total (kg) N1]]</f>
        <v>0</v>
      </c>
      <c r="BM32" s="589">
        <f>TableauProduit[[#This Row],[Prix de vente/kg]]*TableauProduit[[#This Row],[Total (kg) N1]]</f>
        <v>1050</v>
      </c>
      <c r="BN32" s="467">
        <f ca="1">TableauProduit[[#This Row],[Revenue brut N1]]-TableauProduit[[#This Row],[Achat par kg N1]]-TableauProduit[[#This Row],[Conditionnement N1]]</f>
        <v>3189.6428571428569</v>
      </c>
    </row>
    <row r="33" spans="1:66">
      <c r="A33" s="13" t="s">
        <v>80</v>
      </c>
      <c r="B33" s="54" t="str">
        <f>TableauProduit[[#This Row],[Recette]]&amp;TableauProduit[[#This Row],[Conditionnement]]</f>
        <v>Tabasco violet fortEpice 100ml</v>
      </c>
      <c r="C33" s="11">
        <v>1</v>
      </c>
      <c r="D33" s="11">
        <f>VLOOKUP(TableauProduit[[#This Row],[Recette]],Old[],3)</f>
        <v>20</v>
      </c>
      <c r="E33" s="6" t="s">
        <v>55</v>
      </c>
      <c r="F33" s="7">
        <f>IFERROR(VLOOKUP(TableauProduit[[#This Row],[Conditionnement]],TableauConditionnement[[Nom]:[Contenance]],4,TRUE),"")</f>
        <v>0.64</v>
      </c>
      <c r="G33" s="627" t="e">
        <f ca="1">SUMIFS(TableauRecette[Prix d''achat / kg],TableauRecette[Recette],TableauProduit[[#This Row],[Recette]],TableauRecette[Conditionnement],TableauProduit[[#This Row],[Conditionnement]])</f>
        <v>#VALUE!</v>
      </c>
      <c r="H33" s="628">
        <v>2.9</v>
      </c>
      <c r="I33" s="629">
        <f>1000*TableauProduit[[#This Row],[Prix de vente/U]]/TableauProduit[[#This Row],[Poids (g) / unite]]</f>
        <v>145</v>
      </c>
      <c r="J33" s="630">
        <f>SUMIFS(TableauConcurence[PRIX_KG],TableauConcurence[PRODUIT],TableauProduit[[#This Row],[Recette]],TableauConcurence[DISTRIBUTION],"magasin NON BIO")</f>
        <v>71.5</v>
      </c>
      <c r="K33" s="631">
        <f>SUMIFS(TableauConcurence[PRIX_KG],TableauConcurence[PRODUIT],TableauProduit[[#This Row],[Recette]],TableauConcurence[DISTRIBUTION],"magasin BIO")</f>
        <v>66.67</v>
      </c>
      <c r="L33" s="632">
        <f>SUMIFS(TableauConcurence[PRIX_KG],TableauConcurence[PRODUIT],TableauProduit[[#This Row],[Recette]],TableauConcurence[DISTRIBUTION],"artisanale BIO")</f>
        <v>100</v>
      </c>
      <c r="M33" s="564">
        <v>90</v>
      </c>
      <c r="N33" s="450">
        <f>TableauProduit[[#This Row],[Poids (g) / unite]]*TableauProduit[[#This Row],[Objectif de vente en unite N1]]/1000</f>
        <v>1.8</v>
      </c>
      <c r="O33" s="579">
        <f>TableauProduit[[#This Row],[Objectif de vente en unite N1]]*TableauProduit[[#This Row],[Packaging / unite]]</f>
        <v>57.6</v>
      </c>
      <c r="P33" s="579" t="e">
        <f t="shared" ref="P33:P64" ca="1" si="1">G33</f>
        <v>#VALUE!</v>
      </c>
      <c r="Q33" s="579" t="e">
        <f ca="1">TableauProduit[[#This Row],[Prix de vente/kg]]*TableauProduit[[#This Row],[Total (kg) N1]]-TableauProduit[[#This Row],[Achat par kg N1]]</f>
        <v>#VALUE!</v>
      </c>
      <c r="R33" s="582" t="e">
        <f ca="1">TableauProduit[[#This Row],[Revenue brut N1]]-TableauProduit[[#This Row],[Conditionnement N1]]</f>
        <v>#VALUE!</v>
      </c>
      <c r="S33" s="453">
        <v>90</v>
      </c>
      <c r="T33" s="452">
        <f>TableauProduit[[#This Row],[Poids (g) / unite]]*TableauProduit[[#This Row],[Objectif de vente en unite N1]]/1000</f>
        <v>1.8</v>
      </c>
      <c r="U33" s="571">
        <f>TableauProduit[[#This Row],[Objectif de vente en unite N1]]*TableauProduit[[#This Row],[Packaging / unite]]</f>
        <v>57.6</v>
      </c>
      <c r="V33" s="571" t="e">
        <f ca="1">TableauProduit[[#This Row],[Prix Achat de plante par kg]]*TableauProduit[[#This Row],[Total (kg) N1]]</f>
        <v>#VALUE!</v>
      </c>
      <c r="W33" s="571">
        <f>TableauProduit[[#This Row],[Prix de vente/kg]]*TableauProduit[[#This Row],[Total (kg) N1]]</f>
        <v>261</v>
      </c>
      <c r="X33" s="565" t="e">
        <f ca="1">TableauProduit[[#This Row],[Revenue brut N1]]-TableauProduit[[#This Row],[Achat par kg N1]]-TableauProduit[[#This Row],[Conditionnement N1]]</f>
        <v>#VALUE!</v>
      </c>
      <c r="Y33" s="566">
        <v>90</v>
      </c>
      <c r="Z33" s="456">
        <f>TableauProduit[[#This Row],[Poids (g) / unite]]*TableauProduit[[#This Row],[Objectif de vente en unite N1]]/1000</f>
        <v>1.8</v>
      </c>
      <c r="AA33" s="574">
        <f>TableauProduit[[#This Row],[Objectif de vente en unite N1]]*TableauProduit[[#This Row],[Packaging / unite]]</f>
        <v>57.6</v>
      </c>
      <c r="AB33" s="574" t="e">
        <f ca="1">TableauProduit[[#This Row],[Prix Achat de plante par kg]]*TableauProduit[[#This Row],[Total (kg) N1]]</f>
        <v>#VALUE!</v>
      </c>
      <c r="AC33" s="574">
        <f>TableauProduit[[#This Row],[Prix de vente/kg]]*TableauProduit[[#This Row],[Total (kg) N1]]</f>
        <v>261</v>
      </c>
      <c r="AD33" s="583" t="e">
        <f ca="1">TableauProduit[[#This Row],[Revenue brut N1]]-TableauProduit[[#This Row],[Achat par kg N1]]-TableauProduit[[#This Row],[Conditionnement N1]]</f>
        <v>#VALUE!</v>
      </c>
      <c r="AE33" s="458">
        <v>90</v>
      </c>
      <c r="AF33" s="458">
        <f>TableauProduit[[#This Row],[Poids (g) / unite]]*TableauProduit[[#This Row],[Objectif de vente en unite N1]]/1000</f>
        <v>1.8</v>
      </c>
      <c r="AG33" s="577">
        <f>TableauProduit[[#This Row],[Objectif de vente en unite N1]]*TableauProduit[[#This Row],[Packaging / unite]]</f>
        <v>57.6</v>
      </c>
      <c r="AH33" s="577" t="e">
        <f ca="1">TableauProduit[[#This Row],[Prix Achat de plante par kg]]*TableauProduit[[#This Row],[Total (kg) N1]]</f>
        <v>#VALUE!</v>
      </c>
      <c r="AI33" s="577">
        <f>TableauProduit[[#This Row],[Prix de vente/kg]]*TableauProduit[[#This Row],[Total (kg) N1]]</f>
        <v>261</v>
      </c>
      <c r="AJ33" s="458" t="e">
        <f ca="1">TableauProduit[[#This Row],[Revenue brut N1]]-TableauProduit[[#This Row],[Achat par kg N1]]-TableauProduit[[#This Row],[Conditionnement N1]]</f>
        <v>#VALUE!</v>
      </c>
      <c r="AK33" s="460">
        <v>90</v>
      </c>
      <c r="AL33" s="460">
        <f>TableauProduit[[#This Row],[Poids (g) / unite]]*TableauProduit[[#This Row],[Objectif de vente en unite N1]]/1000</f>
        <v>1.8</v>
      </c>
      <c r="AM33" s="584">
        <f>TableauProduit[[#This Row],[Objectif de vente en unite N1]]*TableauProduit[[#This Row],[Packaging / unite]]</f>
        <v>57.6</v>
      </c>
      <c r="AN33" s="584" t="e">
        <f ca="1">TableauProduit[[#This Row],[Prix Achat de plante par kg]]*TableauProduit[[#This Row],[Total (kg) N1]]</f>
        <v>#VALUE!</v>
      </c>
      <c r="AO33" s="584">
        <f>TableauProduit[[#This Row],[Prix de vente/kg]]*TableauProduit[[#This Row],[Total (kg) N1]]</f>
        <v>261</v>
      </c>
      <c r="AP33" s="460" t="e">
        <f ca="1">TableauProduit[[#This Row],[Revenue brut N1]]-TableauProduit[[#This Row],[Achat par kg N1]]-TableauProduit[[#This Row],[Conditionnement N1]]</f>
        <v>#VALUE!</v>
      </c>
      <c r="AQ33" s="462">
        <v>90</v>
      </c>
      <c r="AR33" s="462">
        <f>TableauProduit[[#This Row],[Poids (g) / unite]]*TableauProduit[[#This Row],[Objectif de vente en unite N1]]/1000</f>
        <v>1.8</v>
      </c>
      <c r="AS33" s="585">
        <f>TableauProduit[[#This Row],[Objectif de vente en unite N1]]*TableauProduit[[#This Row],[Packaging / unite]]</f>
        <v>57.6</v>
      </c>
      <c r="AT33" s="585" t="e">
        <f ca="1">TableauProduit[[#This Row],[Prix Achat de plante par kg]]*TableauProduit[[#This Row],[Total (kg) N1]]</f>
        <v>#VALUE!</v>
      </c>
      <c r="AU33" s="585">
        <f>TableauProduit[[#This Row],[Prix de vente/kg]]*TableauProduit[[#This Row],[Total (kg) N1]]</f>
        <v>261</v>
      </c>
      <c r="AV33" s="462" t="e">
        <f ca="1">TableauProduit[[#This Row],[Revenue brut N1]]-TableauProduit[[#This Row],[Achat par kg N1]]-TableauProduit[[#This Row],[Conditionnement N1]]</f>
        <v>#VALUE!</v>
      </c>
      <c r="AW33" s="450">
        <v>90</v>
      </c>
      <c r="AX33" s="450">
        <f>TableauProduit[[#This Row],[Poids (g) / unite]]*TableauProduit[[#This Row],[Objectif de vente en unite N1]]/1000</f>
        <v>1.8</v>
      </c>
      <c r="AY33" s="579">
        <f>TableauProduit[[#This Row],[Objectif de vente en unite N1]]*TableauProduit[[#This Row],[Packaging / unite]]</f>
        <v>57.6</v>
      </c>
      <c r="AZ33" s="579" t="e">
        <f ca="1">TableauProduit[[#This Row],[Prix Achat de plante par kg]]*TableauProduit[[#This Row],[Total (kg) N1]]</f>
        <v>#VALUE!</v>
      </c>
      <c r="BA33" s="579">
        <f>TableauProduit[[#This Row],[Prix de vente/kg]]*TableauProduit[[#This Row],[Total (kg) N1]]</f>
        <v>261</v>
      </c>
      <c r="BB33" s="586" t="e">
        <f ca="1">TableauProduit[[#This Row],[Revenue brut N1]]-TableauProduit[[#This Row],[Achat par kg N1]]-TableauProduit[[#This Row],[Conditionnement N1]]</f>
        <v>#VALUE!</v>
      </c>
      <c r="BC33" s="568">
        <v>90</v>
      </c>
      <c r="BD33" s="465">
        <f>TableauProduit[[#This Row],[Poids (g) / unite]]*TableauProduit[[#This Row],[Objectif de vente en unite N1]]/1000</f>
        <v>1.8</v>
      </c>
      <c r="BE33" s="587">
        <f>TableauProduit[[#This Row],[Objectif de vente en unite N1]]*TableauProduit[[#This Row],[Packaging / unite]]</f>
        <v>57.6</v>
      </c>
      <c r="BF33" s="587" t="e">
        <f ca="1">TableauProduit[[#This Row],[Prix Achat de plante par kg]]*TableauProduit[[#This Row],[Total (kg) N1]]</f>
        <v>#VALUE!</v>
      </c>
      <c r="BG33" s="587">
        <f>TableauProduit[[#This Row],[Prix de vente/kg]]*TableauProduit[[#This Row],[Total (kg) N1]]</f>
        <v>261</v>
      </c>
      <c r="BH33" s="588" t="e">
        <f ca="1">TableauProduit[[#This Row],[Revenue brut N1]]-TableauProduit[[#This Row],[Achat par kg N1]]-TableauProduit[[#This Row],[Conditionnement N1]]</f>
        <v>#VALUE!</v>
      </c>
      <c r="BI33" s="520">
        <v>90</v>
      </c>
      <c r="BJ33" s="467">
        <f>TableauProduit[[#This Row],[Poids (g) / unite]]*TableauProduit[[#This Row],[Objectif de vente en unite N1]]/1000</f>
        <v>1.8</v>
      </c>
      <c r="BK33" s="589">
        <f>TableauProduit[[#This Row],[Objectif de vente en unite N1]]*TableauProduit[[#This Row],[Packaging / unite]]</f>
        <v>57.6</v>
      </c>
      <c r="BL33" s="589" t="e">
        <f ca="1">TableauProduit[[#This Row],[Prix Achat de plante par kg]]*TableauProduit[[#This Row],[Total (kg) N1]]</f>
        <v>#VALUE!</v>
      </c>
      <c r="BM33" s="589">
        <f>TableauProduit[[#This Row],[Prix de vente/kg]]*TableauProduit[[#This Row],[Total (kg) N1]]</f>
        <v>261</v>
      </c>
      <c r="BN33" s="467" t="e">
        <f ca="1">TableauProduit[[#This Row],[Revenue brut N1]]-TableauProduit[[#This Row],[Achat par kg N1]]-TableauProduit[[#This Row],[Conditionnement N1]]</f>
        <v>#VALUE!</v>
      </c>
    </row>
    <row r="34" spans="1:66">
      <c r="A34" s="13" t="s">
        <v>81</v>
      </c>
      <c r="B34" s="54" t="str">
        <f>TableauProduit[[#This Row],[Recette]]&amp;TableauProduit[[#This Row],[Conditionnement]]</f>
        <v>Panch phoronEpice 100ml</v>
      </c>
      <c r="C34" s="11">
        <v>1</v>
      </c>
      <c r="D34" s="11">
        <f>VLOOKUP(TableauProduit[[#This Row],[Recette]],Old[],3)</f>
        <v>50</v>
      </c>
      <c r="E34" s="6" t="s">
        <v>55</v>
      </c>
      <c r="F34" s="7">
        <f>IFERROR(VLOOKUP(TableauProduit[[#This Row],[Conditionnement]],TableauConditionnement[[Nom]:[Contenance]],4,TRUE),"")</f>
        <v>0.64</v>
      </c>
      <c r="G34" s="627" t="e">
        <f ca="1">SUMIFS(TableauRecette[Prix d''achat / kg],TableauRecette[Recette],TableauProduit[[#This Row],[Recette]],TableauRecette[Conditionnement],TableauProduit[[#This Row],[Conditionnement]])</f>
        <v>#VALUE!</v>
      </c>
      <c r="H34" s="628">
        <v>5</v>
      </c>
      <c r="I34" s="629">
        <f>1000*TableauProduit[[#This Row],[Prix de vente/U]]/TableauProduit[[#This Row],[Poids (g) / unite]]</f>
        <v>100</v>
      </c>
      <c r="J34" s="630">
        <f>SUMIFS(TableauConcurence[PRIX_KG],TableauConcurence[PRODUIT],TableauProduit[[#This Row],[Recette]],TableauConcurence[DISTRIBUTION],"magasin NON BIO")</f>
        <v>0</v>
      </c>
      <c r="K34" s="631">
        <f>SUMIFS(TableauConcurence[PRIX_KG],TableauConcurence[PRODUIT],TableauProduit[[#This Row],[Recette]],TableauConcurence[DISTRIBUTION],"magasin BIO")</f>
        <v>0</v>
      </c>
      <c r="L34" s="632">
        <f>SUMIFS(TableauConcurence[PRIX_KG],TableauConcurence[PRODUIT],TableauProduit[[#This Row],[Recette]],TableauConcurence[DISTRIBUTION],"artisanale BIO")</f>
        <v>0</v>
      </c>
      <c r="M34" s="564">
        <v>0</v>
      </c>
      <c r="N34" s="450">
        <f>TableauProduit[[#This Row],[Poids (g) / unite]]*TableauProduit[[#This Row],[Objectif de vente en unite N1]]/1000</f>
        <v>0</v>
      </c>
      <c r="O34" s="579">
        <f>TableauProduit[[#This Row],[Objectif de vente en unite N1]]*TableauProduit[[#This Row],[Packaging / unite]]</f>
        <v>0</v>
      </c>
      <c r="P34" s="579" t="e">
        <f t="shared" ca="1" si="1"/>
        <v>#VALUE!</v>
      </c>
      <c r="Q34" s="579" t="e">
        <f ca="1">TableauProduit[[#This Row],[Prix de vente/kg]]*TableauProduit[[#This Row],[Total (kg) N1]]-TableauProduit[[#This Row],[Achat par kg N1]]</f>
        <v>#VALUE!</v>
      </c>
      <c r="R34" s="582" t="e">
        <f ca="1">TableauProduit[[#This Row],[Revenue brut N1]]-TableauProduit[[#This Row],[Conditionnement N1]]</f>
        <v>#VALUE!</v>
      </c>
      <c r="S34" s="453">
        <v>0</v>
      </c>
      <c r="T34" s="452">
        <f>TableauProduit[[#This Row],[Poids (g) / unite]]*TableauProduit[[#This Row],[Objectif de vente en unite N1]]/1000</f>
        <v>0</v>
      </c>
      <c r="U34" s="571">
        <f>TableauProduit[[#This Row],[Objectif de vente en unite N1]]*TableauProduit[[#This Row],[Packaging / unite]]</f>
        <v>0</v>
      </c>
      <c r="V34" s="571" t="e">
        <f ca="1">TableauProduit[[#This Row],[Prix Achat de plante par kg]]*TableauProduit[[#This Row],[Total (kg) N1]]</f>
        <v>#VALUE!</v>
      </c>
      <c r="W34" s="571">
        <f>TableauProduit[[#This Row],[Prix de vente/kg]]*TableauProduit[[#This Row],[Total (kg) N1]]</f>
        <v>0</v>
      </c>
      <c r="X34" s="565" t="e">
        <f ca="1">TableauProduit[[#This Row],[Revenue brut N1]]-TableauProduit[[#This Row],[Achat par kg N1]]-TableauProduit[[#This Row],[Conditionnement N1]]</f>
        <v>#VALUE!</v>
      </c>
      <c r="Y34" s="566">
        <v>0</v>
      </c>
      <c r="Z34" s="456">
        <f>TableauProduit[[#This Row],[Poids (g) / unite]]*TableauProduit[[#This Row],[Objectif de vente en unite N1]]/1000</f>
        <v>0</v>
      </c>
      <c r="AA34" s="574">
        <f>TableauProduit[[#This Row],[Objectif de vente en unite N1]]*TableauProduit[[#This Row],[Packaging / unite]]</f>
        <v>0</v>
      </c>
      <c r="AB34" s="574" t="e">
        <f ca="1">TableauProduit[[#This Row],[Prix Achat de plante par kg]]*TableauProduit[[#This Row],[Total (kg) N1]]</f>
        <v>#VALUE!</v>
      </c>
      <c r="AC34" s="574">
        <f>TableauProduit[[#This Row],[Prix de vente/kg]]*TableauProduit[[#This Row],[Total (kg) N1]]</f>
        <v>0</v>
      </c>
      <c r="AD34" s="583" t="e">
        <f ca="1">TableauProduit[[#This Row],[Revenue brut N1]]-TableauProduit[[#This Row],[Achat par kg N1]]-TableauProduit[[#This Row],[Conditionnement N1]]</f>
        <v>#VALUE!</v>
      </c>
      <c r="AE34" s="458">
        <v>0</v>
      </c>
      <c r="AF34" s="458">
        <f>TableauProduit[[#This Row],[Poids (g) / unite]]*TableauProduit[[#This Row],[Objectif de vente en unite N1]]/1000</f>
        <v>0</v>
      </c>
      <c r="AG34" s="577">
        <f>TableauProduit[[#This Row],[Objectif de vente en unite N1]]*TableauProduit[[#This Row],[Packaging / unite]]</f>
        <v>0</v>
      </c>
      <c r="AH34" s="577" t="e">
        <f ca="1">TableauProduit[[#This Row],[Prix Achat de plante par kg]]*TableauProduit[[#This Row],[Total (kg) N1]]</f>
        <v>#VALUE!</v>
      </c>
      <c r="AI34" s="577">
        <f>TableauProduit[[#This Row],[Prix de vente/kg]]*TableauProduit[[#This Row],[Total (kg) N1]]</f>
        <v>0</v>
      </c>
      <c r="AJ34" s="458" t="e">
        <f ca="1">TableauProduit[[#This Row],[Revenue brut N1]]-TableauProduit[[#This Row],[Achat par kg N1]]-TableauProduit[[#This Row],[Conditionnement N1]]</f>
        <v>#VALUE!</v>
      </c>
      <c r="AK34" s="460">
        <v>0</v>
      </c>
      <c r="AL34" s="460">
        <f>TableauProduit[[#This Row],[Poids (g) / unite]]*TableauProduit[[#This Row],[Objectif de vente en unite N1]]/1000</f>
        <v>0</v>
      </c>
      <c r="AM34" s="584">
        <f>TableauProduit[[#This Row],[Objectif de vente en unite N1]]*TableauProduit[[#This Row],[Packaging / unite]]</f>
        <v>0</v>
      </c>
      <c r="AN34" s="584" t="e">
        <f ca="1">TableauProduit[[#This Row],[Prix Achat de plante par kg]]*TableauProduit[[#This Row],[Total (kg) N1]]</f>
        <v>#VALUE!</v>
      </c>
      <c r="AO34" s="584">
        <f>TableauProduit[[#This Row],[Prix de vente/kg]]*TableauProduit[[#This Row],[Total (kg) N1]]</f>
        <v>0</v>
      </c>
      <c r="AP34" s="460" t="e">
        <f ca="1">TableauProduit[[#This Row],[Revenue brut N1]]-TableauProduit[[#This Row],[Achat par kg N1]]-TableauProduit[[#This Row],[Conditionnement N1]]</f>
        <v>#VALUE!</v>
      </c>
      <c r="AQ34" s="462">
        <v>0</v>
      </c>
      <c r="AR34" s="462">
        <f>TableauProduit[[#This Row],[Poids (g) / unite]]*TableauProduit[[#This Row],[Objectif de vente en unite N1]]/1000</f>
        <v>0</v>
      </c>
      <c r="AS34" s="585">
        <f>TableauProduit[[#This Row],[Objectif de vente en unite N1]]*TableauProduit[[#This Row],[Packaging / unite]]</f>
        <v>0</v>
      </c>
      <c r="AT34" s="585" t="e">
        <f ca="1">TableauProduit[[#This Row],[Prix Achat de plante par kg]]*TableauProduit[[#This Row],[Total (kg) N1]]</f>
        <v>#VALUE!</v>
      </c>
      <c r="AU34" s="585">
        <f>TableauProduit[[#This Row],[Prix de vente/kg]]*TableauProduit[[#This Row],[Total (kg) N1]]</f>
        <v>0</v>
      </c>
      <c r="AV34" s="462" t="e">
        <f ca="1">TableauProduit[[#This Row],[Revenue brut N1]]-TableauProduit[[#This Row],[Achat par kg N1]]-TableauProduit[[#This Row],[Conditionnement N1]]</f>
        <v>#VALUE!</v>
      </c>
      <c r="AW34" s="450">
        <v>0</v>
      </c>
      <c r="AX34" s="450">
        <f>TableauProduit[[#This Row],[Poids (g) / unite]]*TableauProduit[[#This Row],[Objectif de vente en unite N1]]/1000</f>
        <v>0</v>
      </c>
      <c r="AY34" s="579">
        <f>TableauProduit[[#This Row],[Objectif de vente en unite N1]]*TableauProduit[[#This Row],[Packaging / unite]]</f>
        <v>0</v>
      </c>
      <c r="AZ34" s="579" t="e">
        <f ca="1">TableauProduit[[#This Row],[Prix Achat de plante par kg]]*TableauProduit[[#This Row],[Total (kg) N1]]</f>
        <v>#VALUE!</v>
      </c>
      <c r="BA34" s="579">
        <f>TableauProduit[[#This Row],[Prix de vente/kg]]*TableauProduit[[#This Row],[Total (kg) N1]]</f>
        <v>0</v>
      </c>
      <c r="BB34" s="586" t="e">
        <f ca="1">TableauProduit[[#This Row],[Revenue brut N1]]-TableauProduit[[#This Row],[Achat par kg N1]]-TableauProduit[[#This Row],[Conditionnement N1]]</f>
        <v>#VALUE!</v>
      </c>
      <c r="BC34" s="568">
        <v>0</v>
      </c>
      <c r="BD34" s="465">
        <f>TableauProduit[[#This Row],[Poids (g) / unite]]*TableauProduit[[#This Row],[Objectif de vente en unite N1]]/1000</f>
        <v>0</v>
      </c>
      <c r="BE34" s="587">
        <f>TableauProduit[[#This Row],[Objectif de vente en unite N1]]*TableauProduit[[#This Row],[Packaging / unite]]</f>
        <v>0</v>
      </c>
      <c r="BF34" s="587" t="e">
        <f ca="1">TableauProduit[[#This Row],[Prix Achat de plante par kg]]*TableauProduit[[#This Row],[Total (kg) N1]]</f>
        <v>#VALUE!</v>
      </c>
      <c r="BG34" s="587">
        <f>TableauProduit[[#This Row],[Prix de vente/kg]]*TableauProduit[[#This Row],[Total (kg) N1]]</f>
        <v>0</v>
      </c>
      <c r="BH34" s="588" t="e">
        <f ca="1">TableauProduit[[#This Row],[Revenue brut N1]]-TableauProduit[[#This Row],[Achat par kg N1]]-TableauProduit[[#This Row],[Conditionnement N1]]</f>
        <v>#VALUE!</v>
      </c>
      <c r="BI34" s="520">
        <v>0</v>
      </c>
      <c r="BJ34" s="467">
        <f>TableauProduit[[#This Row],[Poids (g) / unite]]*TableauProduit[[#This Row],[Objectif de vente en unite N1]]/1000</f>
        <v>0</v>
      </c>
      <c r="BK34" s="589">
        <f>TableauProduit[[#This Row],[Objectif de vente en unite N1]]*TableauProduit[[#This Row],[Packaging / unite]]</f>
        <v>0</v>
      </c>
      <c r="BL34" s="589" t="e">
        <f ca="1">TableauProduit[[#This Row],[Prix Achat de plante par kg]]*TableauProduit[[#This Row],[Total (kg) N1]]</f>
        <v>#VALUE!</v>
      </c>
      <c r="BM34" s="589">
        <f>TableauProduit[[#This Row],[Prix de vente/kg]]*TableauProduit[[#This Row],[Total (kg) N1]]</f>
        <v>0</v>
      </c>
      <c r="BN34" s="467" t="e">
        <f ca="1">TableauProduit[[#This Row],[Revenue brut N1]]-TableauProduit[[#This Row],[Achat par kg N1]]-TableauProduit[[#This Row],[Conditionnement N1]]</f>
        <v>#VALUE!</v>
      </c>
    </row>
    <row r="35" spans="1:66">
      <c r="A35" s="13" t="s">
        <v>82</v>
      </c>
      <c r="B35" s="54" t="str">
        <f>TableauProduit[[#This Row],[Recette]]&amp;TableauProduit[[#This Row],[Conditionnement]]</f>
        <v>Sans selEpice 100ml</v>
      </c>
      <c r="C35" s="11">
        <v>1</v>
      </c>
      <c r="D35" s="11">
        <f>VLOOKUP(TableauProduit[[#This Row],[Recette]],Old[],3)</f>
        <v>50</v>
      </c>
      <c r="E35" s="6" t="s">
        <v>55</v>
      </c>
      <c r="F35" s="7">
        <f>IFERROR(VLOOKUP(TableauProduit[[#This Row],[Conditionnement]],TableauConditionnement[[Nom]:[Contenance]],4,TRUE),"")</f>
        <v>0.64</v>
      </c>
      <c r="G35" s="627" t="e">
        <f ca="1">SUMIFS(TableauRecette[Prix d''achat / kg],TableauRecette[Recette],TableauProduit[[#This Row],[Recette]],TableauRecette[Conditionnement],TableauProduit[[#This Row],[Conditionnement]])</f>
        <v>#VALUE!</v>
      </c>
      <c r="H35" s="628">
        <v>5</v>
      </c>
      <c r="I35" s="629">
        <f>1000*TableauProduit[[#This Row],[Prix de vente/U]]/TableauProduit[[#This Row],[Poids (g) / unite]]</f>
        <v>100</v>
      </c>
      <c r="J35" s="630">
        <f>SUMIFS(TableauConcurence[PRIX_KG],TableauConcurence[PRODUIT],TableauProduit[[#This Row],[Recette]],TableauConcurence[DISTRIBUTION],"magasin NON BIO")</f>
        <v>0</v>
      </c>
      <c r="K35" s="631">
        <f>SUMIFS(TableauConcurence[PRIX_KG],TableauConcurence[PRODUIT],TableauProduit[[#This Row],[Recette]],TableauConcurence[DISTRIBUTION],"magasin BIO")</f>
        <v>0</v>
      </c>
      <c r="L35" s="632">
        <f>SUMIFS(TableauConcurence[PRIX_KG],TableauConcurence[PRODUIT],TableauProduit[[#This Row],[Recette]],TableauConcurence[DISTRIBUTION],"artisanale BIO")</f>
        <v>0</v>
      </c>
      <c r="M35" s="564">
        <v>0</v>
      </c>
      <c r="N35" s="450">
        <f>TableauProduit[[#This Row],[Poids (g) / unite]]*TableauProduit[[#This Row],[Objectif de vente en unite N1]]/1000</f>
        <v>0</v>
      </c>
      <c r="O35" s="579">
        <f>TableauProduit[[#This Row],[Objectif de vente en unite N1]]*TableauProduit[[#This Row],[Packaging / unite]]</f>
        <v>0</v>
      </c>
      <c r="P35" s="579" t="e">
        <f t="shared" ca="1" si="1"/>
        <v>#VALUE!</v>
      </c>
      <c r="Q35" s="579" t="e">
        <f ca="1">TableauProduit[[#This Row],[Prix de vente/kg]]*TableauProduit[[#This Row],[Total (kg) N1]]-TableauProduit[[#This Row],[Achat par kg N1]]</f>
        <v>#VALUE!</v>
      </c>
      <c r="R35" s="582" t="e">
        <f ca="1">TableauProduit[[#This Row],[Revenue brut N1]]-TableauProduit[[#This Row],[Conditionnement N1]]</f>
        <v>#VALUE!</v>
      </c>
      <c r="S35" s="453">
        <v>0</v>
      </c>
      <c r="T35" s="452">
        <f>TableauProduit[[#This Row],[Poids (g) / unite]]*TableauProduit[[#This Row],[Objectif de vente en unite N1]]/1000</f>
        <v>0</v>
      </c>
      <c r="U35" s="571">
        <f>TableauProduit[[#This Row],[Objectif de vente en unite N1]]*TableauProduit[[#This Row],[Packaging / unite]]</f>
        <v>0</v>
      </c>
      <c r="V35" s="571" t="e">
        <f ca="1">TableauProduit[[#This Row],[Prix Achat de plante par kg]]*TableauProduit[[#This Row],[Total (kg) N1]]</f>
        <v>#VALUE!</v>
      </c>
      <c r="W35" s="571">
        <f>TableauProduit[[#This Row],[Prix de vente/kg]]*TableauProduit[[#This Row],[Total (kg) N1]]</f>
        <v>0</v>
      </c>
      <c r="X35" s="565" t="e">
        <f ca="1">TableauProduit[[#This Row],[Revenue brut N1]]-TableauProduit[[#This Row],[Achat par kg N1]]-TableauProduit[[#This Row],[Conditionnement N1]]</f>
        <v>#VALUE!</v>
      </c>
      <c r="Y35" s="566">
        <v>0</v>
      </c>
      <c r="Z35" s="456">
        <f>TableauProduit[[#This Row],[Poids (g) / unite]]*TableauProduit[[#This Row],[Objectif de vente en unite N1]]/1000</f>
        <v>0</v>
      </c>
      <c r="AA35" s="574">
        <f>TableauProduit[[#This Row],[Objectif de vente en unite N1]]*TableauProduit[[#This Row],[Packaging / unite]]</f>
        <v>0</v>
      </c>
      <c r="AB35" s="574" t="e">
        <f ca="1">TableauProduit[[#This Row],[Prix Achat de plante par kg]]*TableauProduit[[#This Row],[Total (kg) N1]]</f>
        <v>#VALUE!</v>
      </c>
      <c r="AC35" s="574">
        <f>TableauProduit[[#This Row],[Prix de vente/kg]]*TableauProduit[[#This Row],[Total (kg) N1]]</f>
        <v>0</v>
      </c>
      <c r="AD35" s="583" t="e">
        <f ca="1">TableauProduit[[#This Row],[Revenue brut N1]]-TableauProduit[[#This Row],[Achat par kg N1]]-TableauProduit[[#This Row],[Conditionnement N1]]</f>
        <v>#VALUE!</v>
      </c>
      <c r="AE35" s="458">
        <v>0</v>
      </c>
      <c r="AF35" s="458">
        <f>TableauProduit[[#This Row],[Poids (g) / unite]]*TableauProduit[[#This Row],[Objectif de vente en unite N1]]/1000</f>
        <v>0</v>
      </c>
      <c r="AG35" s="577">
        <f>TableauProduit[[#This Row],[Objectif de vente en unite N1]]*TableauProduit[[#This Row],[Packaging / unite]]</f>
        <v>0</v>
      </c>
      <c r="AH35" s="577" t="e">
        <f ca="1">TableauProduit[[#This Row],[Prix Achat de plante par kg]]*TableauProduit[[#This Row],[Total (kg) N1]]</f>
        <v>#VALUE!</v>
      </c>
      <c r="AI35" s="577">
        <f>TableauProduit[[#This Row],[Prix de vente/kg]]*TableauProduit[[#This Row],[Total (kg) N1]]</f>
        <v>0</v>
      </c>
      <c r="AJ35" s="458" t="e">
        <f ca="1">TableauProduit[[#This Row],[Revenue brut N1]]-TableauProduit[[#This Row],[Achat par kg N1]]-TableauProduit[[#This Row],[Conditionnement N1]]</f>
        <v>#VALUE!</v>
      </c>
      <c r="AK35" s="460">
        <v>0</v>
      </c>
      <c r="AL35" s="460">
        <f>TableauProduit[[#This Row],[Poids (g) / unite]]*TableauProduit[[#This Row],[Objectif de vente en unite N1]]/1000</f>
        <v>0</v>
      </c>
      <c r="AM35" s="584">
        <f>TableauProduit[[#This Row],[Objectif de vente en unite N1]]*TableauProduit[[#This Row],[Packaging / unite]]</f>
        <v>0</v>
      </c>
      <c r="AN35" s="584" t="e">
        <f ca="1">TableauProduit[[#This Row],[Prix Achat de plante par kg]]*TableauProduit[[#This Row],[Total (kg) N1]]</f>
        <v>#VALUE!</v>
      </c>
      <c r="AO35" s="584">
        <f>TableauProduit[[#This Row],[Prix de vente/kg]]*TableauProduit[[#This Row],[Total (kg) N1]]</f>
        <v>0</v>
      </c>
      <c r="AP35" s="460" t="e">
        <f ca="1">TableauProduit[[#This Row],[Revenue brut N1]]-TableauProduit[[#This Row],[Achat par kg N1]]-TableauProduit[[#This Row],[Conditionnement N1]]</f>
        <v>#VALUE!</v>
      </c>
      <c r="AQ35" s="462">
        <v>0</v>
      </c>
      <c r="AR35" s="462">
        <f>TableauProduit[[#This Row],[Poids (g) / unite]]*TableauProduit[[#This Row],[Objectif de vente en unite N1]]/1000</f>
        <v>0</v>
      </c>
      <c r="AS35" s="585">
        <f>TableauProduit[[#This Row],[Objectif de vente en unite N1]]*TableauProduit[[#This Row],[Packaging / unite]]</f>
        <v>0</v>
      </c>
      <c r="AT35" s="585" t="e">
        <f ca="1">TableauProduit[[#This Row],[Prix Achat de plante par kg]]*TableauProduit[[#This Row],[Total (kg) N1]]</f>
        <v>#VALUE!</v>
      </c>
      <c r="AU35" s="585">
        <f>TableauProduit[[#This Row],[Prix de vente/kg]]*TableauProduit[[#This Row],[Total (kg) N1]]</f>
        <v>0</v>
      </c>
      <c r="AV35" s="462" t="e">
        <f ca="1">TableauProduit[[#This Row],[Revenue brut N1]]-TableauProduit[[#This Row],[Achat par kg N1]]-TableauProduit[[#This Row],[Conditionnement N1]]</f>
        <v>#VALUE!</v>
      </c>
      <c r="AW35" s="450">
        <v>0</v>
      </c>
      <c r="AX35" s="450">
        <f>TableauProduit[[#This Row],[Poids (g) / unite]]*TableauProduit[[#This Row],[Objectif de vente en unite N1]]/1000</f>
        <v>0</v>
      </c>
      <c r="AY35" s="579">
        <f>TableauProduit[[#This Row],[Objectif de vente en unite N1]]*TableauProduit[[#This Row],[Packaging / unite]]</f>
        <v>0</v>
      </c>
      <c r="AZ35" s="579" t="e">
        <f ca="1">TableauProduit[[#This Row],[Prix Achat de plante par kg]]*TableauProduit[[#This Row],[Total (kg) N1]]</f>
        <v>#VALUE!</v>
      </c>
      <c r="BA35" s="579">
        <f>TableauProduit[[#This Row],[Prix de vente/kg]]*TableauProduit[[#This Row],[Total (kg) N1]]</f>
        <v>0</v>
      </c>
      <c r="BB35" s="586" t="e">
        <f ca="1">TableauProduit[[#This Row],[Revenue brut N1]]-TableauProduit[[#This Row],[Achat par kg N1]]-TableauProduit[[#This Row],[Conditionnement N1]]</f>
        <v>#VALUE!</v>
      </c>
      <c r="BC35" s="568">
        <v>0</v>
      </c>
      <c r="BD35" s="465">
        <f>TableauProduit[[#This Row],[Poids (g) / unite]]*TableauProduit[[#This Row],[Objectif de vente en unite N1]]/1000</f>
        <v>0</v>
      </c>
      <c r="BE35" s="587">
        <f>TableauProduit[[#This Row],[Objectif de vente en unite N1]]*TableauProduit[[#This Row],[Packaging / unite]]</f>
        <v>0</v>
      </c>
      <c r="BF35" s="587" t="e">
        <f ca="1">TableauProduit[[#This Row],[Prix Achat de plante par kg]]*TableauProduit[[#This Row],[Total (kg) N1]]</f>
        <v>#VALUE!</v>
      </c>
      <c r="BG35" s="587">
        <f>TableauProduit[[#This Row],[Prix de vente/kg]]*TableauProduit[[#This Row],[Total (kg) N1]]</f>
        <v>0</v>
      </c>
      <c r="BH35" s="588" t="e">
        <f ca="1">TableauProduit[[#This Row],[Revenue brut N1]]-TableauProduit[[#This Row],[Achat par kg N1]]-TableauProduit[[#This Row],[Conditionnement N1]]</f>
        <v>#VALUE!</v>
      </c>
      <c r="BI35" s="520">
        <v>0</v>
      </c>
      <c r="BJ35" s="467">
        <f>TableauProduit[[#This Row],[Poids (g) / unite]]*TableauProduit[[#This Row],[Objectif de vente en unite N1]]/1000</f>
        <v>0</v>
      </c>
      <c r="BK35" s="589">
        <f>TableauProduit[[#This Row],[Objectif de vente en unite N1]]*TableauProduit[[#This Row],[Packaging / unite]]</f>
        <v>0</v>
      </c>
      <c r="BL35" s="589" t="e">
        <f ca="1">TableauProduit[[#This Row],[Prix Achat de plante par kg]]*TableauProduit[[#This Row],[Total (kg) N1]]</f>
        <v>#VALUE!</v>
      </c>
      <c r="BM35" s="589">
        <f>TableauProduit[[#This Row],[Prix de vente/kg]]*TableauProduit[[#This Row],[Total (kg) N1]]</f>
        <v>0</v>
      </c>
      <c r="BN35" s="467" t="e">
        <f ca="1">TableauProduit[[#This Row],[Revenue brut N1]]-TableauProduit[[#This Row],[Achat par kg N1]]-TableauProduit[[#This Row],[Conditionnement N1]]</f>
        <v>#VALUE!</v>
      </c>
    </row>
    <row r="36" spans="1:66">
      <c r="A36" s="13" t="s">
        <v>83</v>
      </c>
      <c r="B36" s="54" t="str">
        <f>TableauProduit[[#This Row],[Recette]]&amp;TableauProduit[[#This Row],[Conditionnement]]</f>
        <v>Shichimi togarashiEpice 100ml</v>
      </c>
      <c r="C36" s="11">
        <v>1</v>
      </c>
      <c r="D36" s="11">
        <f>VLOOKUP(TableauProduit[[#This Row],[Recette]],Old[],3)</f>
        <v>50</v>
      </c>
      <c r="E36" s="6" t="s">
        <v>55</v>
      </c>
      <c r="F36" s="7">
        <f>IFERROR(VLOOKUP(TableauProduit[[#This Row],[Conditionnement]],TableauConditionnement[[Nom]:[Contenance]],4,TRUE),"")</f>
        <v>0.64</v>
      </c>
      <c r="G36" s="627" t="e">
        <f ca="1">SUMIFS(TableauRecette[Prix d''achat / kg],TableauRecette[Recette],TableauProduit[[#This Row],[Recette]],TableauRecette[Conditionnement],TableauProduit[[#This Row],[Conditionnement]])</f>
        <v>#VALUE!</v>
      </c>
      <c r="H36" s="628">
        <v>5</v>
      </c>
      <c r="I36" s="629">
        <f>1000*TableauProduit[[#This Row],[Prix de vente/U]]/TableauProduit[[#This Row],[Poids (g) / unite]]</f>
        <v>100</v>
      </c>
      <c r="J36" s="630">
        <f>SUMIFS(TableauConcurence[PRIX_KG],TableauConcurence[PRODUIT],TableauProduit[[#This Row],[Recette]],TableauConcurence[DISTRIBUTION],"magasin NON BIO")</f>
        <v>0</v>
      </c>
      <c r="K36" s="631">
        <f>SUMIFS(TableauConcurence[PRIX_KG],TableauConcurence[PRODUIT],TableauProduit[[#This Row],[Recette]],TableauConcurence[DISTRIBUTION],"magasin BIO")</f>
        <v>0</v>
      </c>
      <c r="L36" s="632">
        <f>SUMIFS(TableauConcurence[PRIX_KG],TableauConcurence[PRODUIT],TableauProduit[[#This Row],[Recette]],TableauConcurence[DISTRIBUTION],"artisanale BIO")</f>
        <v>0</v>
      </c>
      <c r="M36" s="564">
        <v>0</v>
      </c>
      <c r="N36" s="450">
        <f>TableauProduit[[#This Row],[Poids (g) / unite]]*TableauProduit[[#This Row],[Objectif de vente en unite N1]]/1000</f>
        <v>0</v>
      </c>
      <c r="O36" s="579">
        <f>TableauProduit[[#This Row],[Objectif de vente en unite N1]]*TableauProduit[[#This Row],[Packaging / unite]]</f>
        <v>0</v>
      </c>
      <c r="P36" s="579" t="e">
        <f t="shared" ca="1" si="1"/>
        <v>#VALUE!</v>
      </c>
      <c r="Q36" s="579" t="e">
        <f ca="1">TableauProduit[[#This Row],[Prix de vente/kg]]*TableauProduit[[#This Row],[Total (kg) N1]]-TableauProduit[[#This Row],[Achat par kg N1]]</f>
        <v>#VALUE!</v>
      </c>
      <c r="R36" s="582" t="e">
        <f ca="1">TableauProduit[[#This Row],[Revenue brut N1]]-TableauProduit[[#This Row],[Conditionnement N1]]</f>
        <v>#VALUE!</v>
      </c>
      <c r="S36" s="453">
        <v>0</v>
      </c>
      <c r="T36" s="452">
        <f>TableauProduit[[#This Row],[Poids (g) / unite]]*TableauProduit[[#This Row],[Objectif de vente en unite N1]]/1000</f>
        <v>0</v>
      </c>
      <c r="U36" s="571">
        <f>TableauProduit[[#This Row],[Objectif de vente en unite N1]]*TableauProduit[[#This Row],[Packaging / unite]]</f>
        <v>0</v>
      </c>
      <c r="V36" s="571" t="e">
        <f ca="1">TableauProduit[[#This Row],[Prix Achat de plante par kg]]*TableauProduit[[#This Row],[Total (kg) N1]]</f>
        <v>#VALUE!</v>
      </c>
      <c r="W36" s="571">
        <f>TableauProduit[[#This Row],[Prix de vente/kg]]*TableauProduit[[#This Row],[Total (kg) N1]]</f>
        <v>0</v>
      </c>
      <c r="X36" s="565" t="e">
        <f ca="1">TableauProduit[[#This Row],[Revenue brut N1]]-TableauProduit[[#This Row],[Achat par kg N1]]-TableauProduit[[#This Row],[Conditionnement N1]]</f>
        <v>#VALUE!</v>
      </c>
      <c r="Y36" s="566">
        <v>0</v>
      </c>
      <c r="Z36" s="456">
        <f>TableauProduit[[#This Row],[Poids (g) / unite]]*TableauProduit[[#This Row],[Objectif de vente en unite N1]]/1000</f>
        <v>0</v>
      </c>
      <c r="AA36" s="574">
        <f>TableauProduit[[#This Row],[Objectif de vente en unite N1]]*TableauProduit[[#This Row],[Packaging / unite]]</f>
        <v>0</v>
      </c>
      <c r="AB36" s="574" t="e">
        <f ca="1">TableauProduit[[#This Row],[Prix Achat de plante par kg]]*TableauProduit[[#This Row],[Total (kg) N1]]</f>
        <v>#VALUE!</v>
      </c>
      <c r="AC36" s="574">
        <f>TableauProduit[[#This Row],[Prix de vente/kg]]*TableauProduit[[#This Row],[Total (kg) N1]]</f>
        <v>0</v>
      </c>
      <c r="AD36" s="583" t="e">
        <f ca="1">TableauProduit[[#This Row],[Revenue brut N1]]-TableauProduit[[#This Row],[Achat par kg N1]]-TableauProduit[[#This Row],[Conditionnement N1]]</f>
        <v>#VALUE!</v>
      </c>
      <c r="AE36" s="458">
        <v>0</v>
      </c>
      <c r="AF36" s="458">
        <f>TableauProduit[[#This Row],[Poids (g) / unite]]*TableauProduit[[#This Row],[Objectif de vente en unite N1]]/1000</f>
        <v>0</v>
      </c>
      <c r="AG36" s="577">
        <f>TableauProduit[[#This Row],[Objectif de vente en unite N1]]*TableauProduit[[#This Row],[Packaging / unite]]</f>
        <v>0</v>
      </c>
      <c r="AH36" s="577" t="e">
        <f ca="1">TableauProduit[[#This Row],[Prix Achat de plante par kg]]*TableauProduit[[#This Row],[Total (kg) N1]]</f>
        <v>#VALUE!</v>
      </c>
      <c r="AI36" s="577">
        <f>TableauProduit[[#This Row],[Prix de vente/kg]]*TableauProduit[[#This Row],[Total (kg) N1]]</f>
        <v>0</v>
      </c>
      <c r="AJ36" s="458" t="e">
        <f ca="1">TableauProduit[[#This Row],[Revenue brut N1]]-TableauProduit[[#This Row],[Achat par kg N1]]-TableauProduit[[#This Row],[Conditionnement N1]]</f>
        <v>#VALUE!</v>
      </c>
      <c r="AK36" s="460">
        <v>0</v>
      </c>
      <c r="AL36" s="460">
        <f>TableauProduit[[#This Row],[Poids (g) / unite]]*TableauProduit[[#This Row],[Objectif de vente en unite N1]]/1000</f>
        <v>0</v>
      </c>
      <c r="AM36" s="584">
        <f>TableauProduit[[#This Row],[Objectif de vente en unite N1]]*TableauProduit[[#This Row],[Packaging / unite]]</f>
        <v>0</v>
      </c>
      <c r="AN36" s="584" t="e">
        <f ca="1">TableauProduit[[#This Row],[Prix Achat de plante par kg]]*TableauProduit[[#This Row],[Total (kg) N1]]</f>
        <v>#VALUE!</v>
      </c>
      <c r="AO36" s="584">
        <f>TableauProduit[[#This Row],[Prix de vente/kg]]*TableauProduit[[#This Row],[Total (kg) N1]]</f>
        <v>0</v>
      </c>
      <c r="AP36" s="460" t="e">
        <f ca="1">TableauProduit[[#This Row],[Revenue brut N1]]-TableauProduit[[#This Row],[Achat par kg N1]]-TableauProduit[[#This Row],[Conditionnement N1]]</f>
        <v>#VALUE!</v>
      </c>
      <c r="AQ36" s="462">
        <v>0</v>
      </c>
      <c r="AR36" s="462">
        <f>TableauProduit[[#This Row],[Poids (g) / unite]]*TableauProduit[[#This Row],[Objectif de vente en unite N1]]/1000</f>
        <v>0</v>
      </c>
      <c r="AS36" s="585">
        <f>TableauProduit[[#This Row],[Objectif de vente en unite N1]]*TableauProduit[[#This Row],[Packaging / unite]]</f>
        <v>0</v>
      </c>
      <c r="AT36" s="585" t="e">
        <f ca="1">TableauProduit[[#This Row],[Prix Achat de plante par kg]]*TableauProduit[[#This Row],[Total (kg) N1]]</f>
        <v>#VALUE!</v>
      </c>
      <c r="AU36" s="585">
        <f>TableauProduit[[#This Row],[Prix de vente/kg]]*TableauProduit[[#This Row],[Total (kg) N1]]</f>
        <v>0</v>
      </c>
      <c r="AV36" s="462" t="e">
        <f ca="1">TableauProduit[[#This Row],[Revenue brut N1]]-TableauProduit[[#This Row],[Achat par kg N1]]-TableauProduit[[#This Row],[Conditionnement N1]]</f>
        <v>#VALUE!</v>
      </c>
      <c r="AW36" s="450">
        <v>0</v>
      </c>
      <c r="AX36" s="450">
        <f>TableauProduit[[#This Row],[Poids (g) / unite]]*TableauProduit[[#This Row],[Objectif de vente en unite N1]]/1000</f>
        <v>0</v>
      </c>
      <c r="AY36" s="579">
        <f>TableauProduit[[#This Row],[Objectif de vente en unite N1]]*TableauProduit[[#This Row],[Packaging / unite]]</f>
        <v>0</v>
      </c>
      <c r="AZ36" s="579" t="e">
        <f ca="1">TableauProduit[[#This Row],[Prix Achat de plante par kg]]*TableauProduit[[#This Row],[Total (kg) N1]]</f>
        <v>#VALUE!</v>
      </c>
      <c r="BA36" s="579">
        <f>TableauProduit[[#This Row],[Prix de vente/kg]]*TableauProduit[[#This Row],[Total (kg) N1]]</f>
        <v>0</v>
      </c>
      <c r="BB36" s="586" t="e">
        <f ca="1">TableauProduit[[#This Row],[Revenue brut N1]]-TableauProduit[[#This Row],[Achat par kg N1]]-TableauProduit[[#This Row],[Conditionnement N1]]</f>
        <v>#VALUE!</v>
      </c>
      <c r="BC36" s="568">
        <v>0</v>
      </c>
      <c r="BD36" s="465">
        <f>TableauProduit[[#This Row],[Poids (g) / unite]]*TableauProduit[[#This Row],[Objectif de vente en unite N1]]/1000</f>
        <v>0</v>
      </c>
      <c r="BE36" s="587">
        <f>TableauProduit[[#This Row],[Objectif de vente en unite N1]]*TableauProduit[[#This Row],[Packaging / unite]]</f>
        <v>0</v>
      </c>
      <c r="BF36" s="587" t="e">
        <f ca="1">TableauProduit[[#This Row],[Prix Achat de plante par kg]]*TableauProduit[[#This Row],[Total (kg) N1]]</f>
        <v>#VALUE!</v>
      </c>
      <c r="BG36" s="587">
        <f>TableauProduit[[#This Row],[Prix de vente/kg]]*TableauProduit[[#This Row],[Total (kg) N1]]</f>
        <v>0</v>
      </c>
      <c r="BH36" s="588" t="e">
        <f ca="1">TableauProduit[[#This Row],[Revenue brut N1]]-TableauProduit[[#This Row],[Achat par kg N1]]-TableauProduit[[#This Row],[Conditionnement N1]]</f>
        <v>#VALUE!</v>
      </c>
      <c r="BI36" s="520">
        <v>0</v>
      </c>
      <c r="BJ36" s="467">
        <f>TableauProduit[[#This Row],[Poids (g) / unite]]*TableauProduit[[#This Row],[Objectif de vente en unite N1]]/1000</f>
        <v>0</v>
      </c>
      <c r="BK36" s="589">
        <f>TableauProduit[[#This Row],[Objectif de vente en unite N1]]*TableauProduit[[#This Row],[Packaging / unite]]</f>
        <v>0</v>
      </c>
      <c r="BL36" s="589" t="e">
        <f ca="1">TableauProduit[[#This Row],[Prix Achat de plante par kg]]*TableauProduit[[#This Row],[Total (kg) N1]]</f>
        <v>#VALUE!</v>
      </c>
      <c r="BM36" s="589">
        <f>TableauProduit[[#This Row],[Prix de vente/kg]]*TableauProduit[[#This Row],[Total (kg) N1]]</f>
        <v>0</v>
      </c>
      <c r="BN36" s="467" t="e">
        <f ca="1">TableauProduit[[#This Row],[Revenue brut N1]]-TableauProduit[[#This Row],[Achat par kg N1]]-TableauProduit[[#This Row],[Conditionnement N1]]</f>
        <v>#VALUE!</v>
      </c>
    </row>
    <row r="37" spans="1:66">
      <c r="A37" s="13" t="s">
        <v>84</v>
      </c>
      <c r="B37" s="54" t="str">
        <f>TableauProduit[[#This Row],[Recette]]&amp;TableauProduit[[#This Row],[Conditionnement]]</f>
        <v>KetchupPiment liquide 250ml</v>
      </c>
      <c r="C37" s="11">
        <v>1</v>
      </c>
      <c r="D37" s="11">
        <v>230</v>
      </c>
      <c r="E37" s="6" t="s">
        <v>85</v>
      </c>
      <c r="F37" s="7">
        <f>IFERROR(VLOOKUP(TableauProduit[[#This Row],[Conditionnement]],TableauConditionnement[[Nom]:[Contenance]],4,TRUE),"")</f>
        <v>1.68</v>
      </c>
      <c r="G37" s="627" t="e">
        <f ca="1">SUMIFS(TableauRecette[Prix d''achat / kg],TableauRecette[Recette],TableauProduit[[#This Row],[Recette]],TableauRecette[Conditionnement],TableauProduit[[#This Row],[Conditionnement]])</f>
        <v>#VALUE!</v>
      </c>
      <c r="H37" s="628">
        <v>3.5</v>
      </c>
      <c r="I37" s="629">
        <f>1000*TableauProduit[[#This Row],[Prix de vente/U]]/TableauProduit[[#This Row],[Poids (g) / unite]]</f>
        <v>15.217391304347826</v>
      </c>
      <c r="J37" s="630">
        <f>SUMIFS(TableauConcurence[PRIX_KG],TableauConcurence[PRODUIT],TableauProduit[[#This Row],[Recette]],TableauConcurence[DISTRIBUTION],"magasin NON BIO")</f>
        <v>5</v>
      </c>
      <c r="K37" s="631">
        <f>SUMIFS(TableauConcurence[PRIX_KG],TableauConcurence[PRODUIT],TableauProduit[[#This Row],[Recette]],TableauConcurence[DISTRIBUTION],"magasin BIO")</f>
        <v>36.040000000000006</v>
      </c>
      <c r="L37" s="632">
        <f>SUMIFS(TableauConcurence[PRIX_KG],TableauConcurence[PRODUIT],TableauProduit[[#This Row],[Recette]],TableauConcurence[DISTRIBUTION],"artisanale BIO")</f>
        <v>16</v>
      </c>
      <c r="M37" s="564">
        <v>0</v>
      </c>
      <c r="N37" s="450">
        <f>TableauProduit[[#This Row],[Poids (g) / unite]]*TableauProduit[[#This Row],[Objectif de vente en unite N1]]/1000</f>
        <v>0</v>
      </c>
      <c r="O37" s="579">
        <f>TableauProduit[[#This Row],[Objectif de vente en unite N1]]*TableauProduit[[#This Row],[Packaging / unite]]</f>
        <v>0</v>
      </c>
      <c r="P37" s="579" t="e">
        <f t="shared" ca="1" si="1"/>
        <v>#VALUE!</v>
      </c>
      <c r="Q37" s="579" t="e">
        <f ca="1">TableauProduit[[#This Row],[Prix de vente/kg]]*TableauProduit[[#This Row],[Total (kg) N1]]-TableauProduit[[#This Row],[Achat par kg N1]]</f>
        <v>#VALUE!</v>
      </c>
      <c r="R37" s="582" t="e">
        <f ca="1">TableauProduit[[#This Row],[Revenue brut N1]]-TableauProduit[[#This Row],[Conditionnement N1]]</f>
        <v>#VALUE!</v>
      </c>
      <c r="S37" s="453">
        <v>1200</v>
      </c>
      <c r="T37" s="452">
        <f>TableauProduit[[#This Row],[Poids (g) / unite]]*TableauProduit[[#This Row],[Objectif de vente en unite N1]]/1000</f>
        <v>0</v>
      </c>
      <c r="U37" s="571">
        <f>TableauProduit[[#This Row],[Objectif de vente en unite N1]]*TableauProduit[[#This Row],[Packaging / unite]]</f>
        <v>0</v>
      </c>
      <c r="V37" s="571" t="e">
        <f ca="1">TableauProduit[[#This Row],[Prix Achat de plante par kg]]*TableauProduit[[#This Row],[Total (kg) N1]]</f>
        <v>#VALUE!</v>
      </c>
      <c r="W37" s="571">
        <f>TableauProduit[[#This Row],[Prix de vente/kg]]*TableauProduit[[#This Row],[Total (kg) N1]]</f>
        <v>0</v>
      </c>
      <c r="X37" s="565" t="e">
        <f ca="1">TableauProduit[[#This Row],[Revenue brut N1]]-TableauProduit[[#This Row],[Achat par kg N1]]-TableauProduit[[#This Row],[Conditionnement N1]]</f>
        <v>#VALUE!</v>
      </c>
      <c r="Y37" s="566">
        <v>1200</v>
      </c>
      <c r="Z37" s="456">
        <f>TableauProduit[[#This Row],[Poids (g) / unite]]*TableauProduit[[#This Row],[Objectif de vente en unite N1]]/1000</f>
        <v>0</v>
      </c>
      <c r="AA37" s="574">
        <f>TableauProduit[[#This Row],[Objectif de vente en unite N1]]*TableauProduit[[#This Row],[Packaging / unite]]</f>
        <v>0</v>
      </c>
      <c r="AB37" s="574" t="e">
        <f ca="1">TableauProduit[[#This Row],[Prix Achat de plante par kg]]*TableauProduit[[#This Row],[Total (kg) N1]]</f>
        <v>#VALUE!</v>
      </c>
      <c r="AC37" s="574">
        <f>TableauProduit[[#This Row],[Prix de vente/kg]]*TableauProduit[[#This Row],[Total (kg) N1]]</f>
        <v>0</v>
      </c>
      <c r="AD37" s="583" t="e">
        <f ca="1">TableauProduit[[#This Row],[Revenue brut N1]]-TableauProduit[[#This Row],[Achat par kg N1]]-TableauProduit[[#This Row],[Conditionnement N1]]</f>
        <v>#VALUE!</v>
      </c>
      <c r="AE37" s="458">
        <v>1200</v>
      </c>
      <c r="AF37" s="458">
        <f>TableauProduit[[#This Row],[Poids (g) / unite]]*TableauProduit[[#This Row],[Objectif de vente en unite N1]]/1000</f>
        <v>0</v>
      </c>
      <c r="AG37" s="577">
        <f>TableauProduit[[#This Row],[Objectif de vente en unite N1]]*TableauProduit[[#This Row],[Packaging / unite]]</f>
        <v>0</v>
      </c>
      <c r="AH37" s="577" t="e">
        <f ca="1">TableauProduit[[#This Row],[Prix Achat de plante par kg]]*TableauProduit[[#This Row],[Total (kg) N1]]</f>
        <v>#VALUE!</v>
      </c>
      <c r="AI37" s="577">
        <f>TableauProduit[[#This Row],[Prix de vente/kg]]*TableauProduit[[#This Row],[Total (kg) N1]]</f>
        <v>0</v>
      </c>
      <c r="AJ37" s="458" t="e">
        <f ca="1">TableauProduit[[#This Row],[Revenue brut N1]]-TableauProduit[[#This Row],[Achat par kg N1]]-TableauProduit[[#This Row],[Conditionnement N1]]</f>
        <v>#VALUE!</v>
      </c>
      <c r="AK37" s="460">
        <v>1200</v>
      </c>
      <c r="AL37" s="460">
        <f>TableauProduit[[#This Row],[Poids (g) / unite]]*TableauProduit[[#This Row],[Objectif de vente en unite N1]]/1000</f>
        <v>0</v>
      </c>
      <c r="AM37" s="584">
        <f>TableauProduit[[#This Row],[Objectif de vente en unite N1]]*TableauProduit[[#This Row],[Packaging / unite]]</f>
        <v>0</v>
      </c>
      <c r="AN37" s="584" t="e">
        <f ca="1">TableauProduit[[#This Row],[Prix Achat de plante par kg]]*TableauProduit[[#This Row],[Total (kg) N1]]</f>
        <v>#VALUE!</v>
      </c>
      <c r="AO37" s="584">
        <f>TableauProduit[[#This Row],[Prix de vente/kg]]*TableauProduit[[#This Row],[Total (kg) N1]]</f>
        <v>0</v>
      </c>
      <c r="AP37" s="460" t="e">
        <f ca="1">TableauProduit[[#This Row],[Revenue brut N1]]-TableauProduit[[#This Row],[Achat par kg N1]]-TableauProduit[[#This Row],[Conditionnement N1]]</f>
        <v>#VALUE!</v>
      </c>
      <c r="AQ37" s="462">
        <v>1200</v>
      </c>
      <c r="AR37" s="462">
        <f>TableauProduit[[#This Row],[Poids (g) / unite]]*TableauProduit[[#This Row],[Objectif de vente en unite N1]]/1000</f>
        <v>0</v>
      </c>
      <c r="AS37" s="585">
        <f>TableauProduit[[#This Row],[Objectif de vente en unite N1]]*TableauProduit[[#This Row],[Packaging / unite]]</f>
        <v>0</v>
      </c>
      <c r="AT37" s="585" t="e">
        <f ca="1">TableauProduit[[#This Row],[Prix Achat de plante par kg]]*TableauProduit[[#This Row],[Total (kg) N1]]</f>
        <v>#VALUE!</v>
      </c>
      <c r="AU37" s="585">
        <f>TableauProduit[[#This Row],[Prix de vente/kg]]*TableauProduit[[#This Row],[Total (kg) N1]]</f>
        <v>0</v>
      </c>
      <c r="AV37" s="462" t="e">
        <f ca="1">TableauProduit[[#This Row],[Revenue brut N1]]-TableauProduit[[#This Row],[Achat par kg N1]]-TableauProduit[[#This Row],[Conditionnement N1]]</f>
        <v>#VALUE!</v>
      </c>
      <c r="AW37" s="450">
        <v>1200</v>
      </c>
      <c r="AX37" s="450">
        <f>TableauProduit[[#This Row],[Poids (g) / unite]]*TableauProduit[[#This Row],[Objectif de vente en unite N1]]/1000</f>
        <v>0</v>
      </c>
      <c r="AY37" s="579">
        <f>TableauProduit[[#This Row],[Objectif de vente en unite N1]]*TableauProduit[[#This Row],[Packaging / unite]]</f>
        <v>0</v>
      </c>
      <c r="AZ37" s="579" t="e">
        <f ca="1">TableauProduit[[#This Row],[Prix Achat de plante par kg]]*TableauProduit[[#This Row],[Total (kg) N1]]</f>
        <v>#VALUE!</v>
      </c>
      <c r="BA37" s="579">
        <f>TableauProduit[[#This Row],[Prix de vente/kg]]*TableauProduit[[#This Row],[Total (kg) N1]]</f>
        <v>0</v>
      </c>
      <c r="BB37" s="586" t="e">
        <f ca="1">TableauProduit[[#This Row],[Revenue brut N1]]-TableauProduit[[#This Row],[Achat par kg N1]]-TableauProduit[[#This Row],[Conditionnement N1]]</f>
        <v>#VALUE!</v>
      </c>
      <c r="BC37" s="568">
        <v>1200</v>
      </c>
      <c r="BD37" s="465">
        <f>TableauProduit[[#This Row],[Poids (g) / unite]]*TableauProduit[[#This Row],[Objectif de vente en unite N1]]/1000</f>
        <v>0</v>
      </c>
      <c r="BE37" s="587">
        <f>TableauProduit[[#This Row],[Objectif de vente en unite N1]]*TableauProduit[[#This Row],[Packaging / unite]]</f>
        <v>0</v>
      </c>
      <c r="BF37" s="587" t="e">
        <f ca="1">TableauProduit[[#This Row],[Prix Achat de plante par kg]]*TableauProduit[[#This Row],[Total (kg) N1]]</f>
        <v>#VALUE!</v>
      </c>
      <c r="BG37" s="587">
        <f>TableauProduit[[#This Row],[Prix de vente/kg]]*TableauProduit[[#This Row],[Total (kg) N1]]</f>
        <v>0</v>
      </c>
      <c r="BH37" s="588" t="e">
        <f ca="1">TableauProduit[[#This Row],[Revenue brut N1]]-TableauProduit[[#This Row],[Achat par kg N1]]-TableauProduit[[#This Row],[Conditionnement N1]]</f>
        <v>#VALUE!</v>
      </c>
      <c r="BI37" s="520">
        <v>1200</v>
      </c>
      <c r="BJ37" s="467">
        <f>TableauProduit[[#This Row],[Poids (g) / unite]]*TableauProduit[[#This Row],[Objectif de vente en unite N1]]/1000</f>
        <v>0</v>
      </c>
      <c r="BK37" s="589">
        <f>TableauProduit[[#This Row],[Objectif de vente en unite N1]]*TableauProduit[[#This Row],[Packaging / unite]]</f>
        <v>0</v>
      </c>
      <c r="BL37" s="589" t="e">
        <f ca="1">TableauProduit[[#This Row],[Prix Achat de plante par kg]]*TableauProduit[[#This Row],[Total (kg) N1]]</f>
        <v>#VALUE!</v>
      </c>
      <c r="BM37" s="589">
        <f>TableauProduit[[#This Row],[Prix de vente/kg]]*TableauProduit[[#This Row],[Total (kg) N1]]</f>
        <v>0</v>
      </c>
      <c r="BN37" s="467" t="e">
        <f ca="1">TableauProduit[[#This Row],[Revenue brut N1]]-TableauProduit[[#This Row],[Achat par kg N1]]-TableauProduit[[#This Row],[Conditionnement N1]]</f>
        <v>#VALUE!</v>
      </c>
    </row>
    <row r="38" spans="1:66">
      <c r="A38" s="13" t="s">
        <v>86</v>
      </c>
      <c r="B38" s="54" t="str">
        <f>TableauProduit[[#This Row],[Recette]]&amp;TableauProduit[[#This Row],[Conditionnement]]</f>
        <v>Gomasio maisonEpice 100ml</v>
      </c>
      <c r="C38" s="11">
        <v>1</v>
      </c>
      <c r="D38" s="11">
        <f>VLOOKUP(TableauProduit[[#This Row],[Recette]],Old[],3)</f>
        <v>50</v>
      </c>
      <c r="E38" s="6" t="s">
        <v>55</v>
      </c>
      <c r="F38" s="7">
        <f>IFERROR(VLOOKUP(TableauProduit[[#This Row],[Conditionnement]],TableauConditionnement[[Nom]:[Contenance]],4,TRUE),"")</f>
        <v>0.64</v>
      </c>
      <c r="G38" s="627" t="e">
        <f ca="1">SUMIFS(TableauRecette[Prix d''achat / kg],TableauRecette[Recette],TableauProduit[[#This Row],[Recette]],TableauRecette[Conditionnement],TableauProduit[[#This Row],[Conditionnement]])</f>
        <v>#VALUE!</v>
      </c>
      <c r="H38" s="628">
        <v>5</v>
      </c>
      <c r="I38" s="629">
        <f>1000*TableauProduit[[#This Row],[Prix de vente/U]]/TableauProduit[[#This Row],[Poids (g) / unite]]</f>
        <v>100</v>
      </c>
      <c r="J38" s="630">
        <f>SUMIFS(TableauConcurence[PRIX_KG],TableauConcurence[PRODUIT],TableauProduit[[#This Row],[Recette]],TableauConcurence[DISTRIBUTION],"magasin NON BIO")</f>
        <v>0</v>
      </c>
      <c r="K38" s="631">
        <f>SUMIFS(TableauConcurence[PRIX_KG],TableauConcurence[PRODUIT],TableauProduit[[#This Row],[Recette]],TableauConcurence[DISTRIBUTION],"magasin BIO")</f>
        <v>0</v>
      </c>
      <c r="L38" s="632">
        <f>SUMIFS(TableauConcurence[PRIX_KG],TableauConcurence[PRODUIT],TableauProduit[[#This Row],[Recette]],TableauConcurence[DISTRIBUTION],"artisanale BIO")</f>
        <v>0</v>
      </c>
      <c r="M38" s="564">
        <v>0</v>
      </c>
      <c r="N38" s="450">
        <f>TableauProduit[[#This Row],[Poids (g) / unite]]*TableauProduit[[#This Row],[Objectif de vente en unite N1]]/1000</f>
        <v>0</v>
      </c>
      <c r="O38" s="579">
        <f>TableauProduit[[#This Row],[Objectif de vente en unite N1]]*TableauProduit[[#This Row],[Packaging / unite]]</f>
        <v>0</v>
      </c>
      <c r="P38" s="579" t="e">
        <f t="shared" ca="1" si="1"/>
        <v>#VALUE!</v>
      </c>
      <c r="Q38" s="579" t="e">
        <f ca="1">TableauProduit[[#This Row],[Prix de vente/kg]]*TableauProduit[[#This Row],[Total (kg) N1]]-TableauProduit[[#This Row],[Achat par kg N1]]</f>
        <v>#VALUE!</v>
      </c>
      <c r="R38" s="582" t="e">
        <f ca="1">TableauProduit[[#This Row],[Revenue brut N1]]-TableauProduit[[#This Row],[Conditionnement N1]]</f>
        <v>#VALUE!</v>
      </c>
      <c r="S38" s="453">
        <v>0</v>
      </c>
      <c r="T38" s="452">
        <f>TableauProduit[[#This Row],[Poids (g) / unite]]*TableauProduit[[#This Row],[Objectif de vente en unite N1]]/1000</f>
        <v>0</v>
      </c>
      <c r="U38" s="571">
        <f>TableauProduit[[#This Row],[Objectif de vente en unite N1]]*TableauProduit[[#This Row],[Packaging / unite]]</f>
        <v>0</v>
      </c>
      <c r="V38" s="571" t="e">
        <f ca="1">TableauProduit[[#This Row],[Prix Achat de plante par kg]]*TableauProduit[[#This Row],[Total (kg) N1]]</f>
        <v>#VALUE!</v>
      </c>
      <c r="W38" s="571">
        <f>TableauProduit[[#This Row],[Prix de vente/kg]]*TableauProduit[[#This Row],[Total (kg) N1]]</f>
        <v>0</v>
      </c>
      <c r="X38" s="565" t="e">
        <f ca="1">TableauProduit[[#This Row],[Revenue brut N1]]-TableauProduit[[#This Row],[Achat par kg N1]]-TableauProduit[[#This Row],[Conditionnement N1]]</f>
        <v>#VALUE!</v>
      </c>
      <c r="Y38" s="566">
        <v>0</v>
      </c>
      <c r="Z38" s="456">
        <f>TableauProduit[[#This Row],[Poids (g) / unite]]*TableauProduit[[#This Row],[Objectif de vente en unite N1]]/1000</f>
        <v>0</v>
      </c>
      <c r="AA38" s="574">
        <f>TableauProduit[[#This Row],[Objectif de vente en unite N1]]*TableauProduit[[#This Row],[Packaging / unite]]</f>
        <v>0</v>
      </c>
      <c r="AB38" s="574" t="e">
        <f ca="1">TableauProduit[[#This Row],[Prix Achat de plante par kg]]*TableauProduit[[#This Row],[Total (kg) N1]]</f>
        <v>#VALUE!</v>
      </c>
      <c r="AC38" s="574">
        <f>TableauProduit[[#This Row],[Prix de vente/kg]]*TableauProduit[[#This Row],[Total (kg) N1]]</f>
        <v>0</v>
      </c>
      <c r="AD38" s="583" t="e">
        <f ca="1">TableauProduit[[#This Row],[Revenue brut N1]]-TableauProduit[[#This Row],[Achat par kg N1]]-TableauProduit[[#This Row],[Conditionnement N1]]</f>
        <v>#VALUE!</v>
      </c>
      <c r="AE38" s="458">
        <v>0</v>
      </c>
      <c r="AF38" s="458">
        <f>TableauProduit[[#This Row],[Poids (g) / unite]]*TableauProduit[[#This Row],[Objectif de vente en unite N1]]/1000</f>
        <v>0</v>
      </c>
      <c r="AG38" s="577">
        <f>TableauProduit[[#This Row],[Objectif de vente en unite N1]]*TableauProduit[[#This Row],[Packaging / unite]]</f>
        <v>0</v>
      </c>
      <c r="AH38" s="577" t="e">
        <f ca="1">TableauProduit[[#This Row],[Prix Achat de plante par kg]]*TableauProduit[[#This Row],[Total (kg) N1]]</f>
        <v>#VALUE!</v>
      </c>
      <c r="AI38" s="577">
        <f>TableauProduit[[#This Row],[Prix de vente/kg]]*TableauProduit[[#This Row],[Total (kg) N1]]</f>
        <v>0</v>
      </c>
      <c r="AJ38" s="458" t="e">
        <f ca="1">TableauProduit[[#This Row],[Revenue brut N1]]-TableauProduit[[#This Row],[Achat par kg N1]]-TableauProduit[[#This Row],[Conditionnement N1]]</f>
        <v>#VALUE!</v>
      </c>
      <c r="AK38" s="460">
        <v>0</v>
      </c>
      <c r="AL38" s="460">
        <f>TableauProduit[[#This Row],[Poids (g) / unite]]*TableauProduit[[#This Row],[Objectif de vente en unite N1]]/1000</f>
        <v>0</v>
      </c>
      <c r="AM38" s="584">
        <f>TableauProduit[[#This Row],[Objectif de vente en unite N1]]*TableauProduit[[#This Row],[Packaging / unite]]</f>
        <v>0</v>
      </c>
      <c r="AN38" s="584" t="e">
        <f ca="1">TableauProduit[[#This Row],[Prix Achat de plante par kg]]*TableauProduit[[#This Row],[Total (kg) N1]]</f>
        <v>#VALUE!</v>
      </c>
      <c r="AO38" s="584">
        <f>TableauProduit[[#This Row],[Prix de vente/kg]]*TableauProduit[[#This Row],[Total (kg) N1]]</f>
        <v>0</v>
      </c>
      <c r="AP38" s="460" t="e">
        <f ca="1">TableauProduit[[#This Row],[Revenue brut N1]]-TableauProduit[[#This Row],[Achat par kg N1]]-TableauProduit[[#This Row],[Conditionnement N1]]</f>
        <v>#VALUE!</v>
      </c>
      <c r="AQ38" s="462">
        <v>0</v>
      </c>
      <c r="AR38" s="462">
        <f>TableauProduit[[#This Row],[Poids (g) / unite]]*TableauProduit[[#This Row],[Objectif de vente en unite N1]]/1000</f>
        <v>0</v>
      </c>
      <c r="AS38" s="585">
        <f>TableauProduit[[#This Row],[Objectif de vente en unite N1]]*TableauProduit[[#This Row],[Packaging / unite]]</f>
        <v>0</v>
      </c>
      <c r="AT38" s="585" t="e">
        <f ca="1">TableauProduit[[#This Row],[Prix Achat de plante par kg]]*TableauProduit[[#This Row],[Total (kg) N1]]</f>
        <v>#VALUE!</v>
      </c>
      <c r="AU38" s="585">
        <f>TableauProduit[[#This Row],[Prix de vente/kg]]*TableauProduit[[#This Row],[Total (kg) N1]]</f>
        <v>0</v>
      </c>
      <c r="AV38" s="462" t="e">
        <f ca="1">TableauProduit[[#This Row],[Revenue brut N1]]-TableauProduit[[#This Row],[Achat par kg N1]]-TableauProduit[[#This Row],[Conditionnement N1]]</f>
        <v>#VALUE!</v>
      </c>
      <c r="AW38" s="450">
        <v>0</v>
      </c>
      <c r="AX38" s="450">
        <f>TableauProduit[[#This Row],[Poids (g) / unite]]*TableauProduit[[#This Row],[Objectif de vente en unite N1]]/1000</f>
        <v>0</v>
      </c>
      <c r="AY38" s="579">
        <f>TableauProduit[[#This Row],[Objectif de vente en unite N1]]*TableauProduit[[#This Row],[Packaging / unite]]</f>
        <v>0</v>
      </c>
      <c r="AZ38" s="579" t="e">
        <f ca="1">TableauProduit[[#This Row],[Prix Achat de plante par kg]]*TableauProduit[[#This Row],[Total (kg) N1]]</f>
        <v>#VALUE!</v>
      </c>
      <c r="BA38" s="579">
        <f>TableauProduit[[#This Row],[Prix de vente/kg]]*TableauProduit[[#This Row],[Total (kg) N1]]</f>
        <v>0</v>
      </c>
      <c r="BB38" s="586" t="e">
        <f ca="1">TableauProduit[[#This Row],[Revenue brut N1]]-TableauProduit[[#This Row],[Achat par kg N1]]-TableauProduit[[#This Row],[Conditionnement N1]]</f>
        <v>#VALUE!</v>
      </c>
      <c r="BC38" s="568">
        <v>0</v>
      </c>
      <c r="BD38" s="465">
        <f>TableauProduit[[#This Row],[Poids (g) / unite]]*TableauProduit[[#This Row],[Objectif de vente en unite N1]]/1000</f>
        <v>0</v>
      </c>
      <c r="BE38" s="587">
        <f>TableauProduit[[#This Row],[Objectif de vente en unite N1]]*TableauProduit[[#This Row],[Packaging / unite]]</f>
        <v>0</v>
      </c>
      <c r="BF38" s="587" t="e">
        <f ca="1">TableauProduit[[#This Row],[Prix Achat de plante par kg]]*TableauProduit[[#This Row],[Total (kg) N1]]</f>
        <v>#VALUE!</v>
      </c>
      <c r="BG38" s="587">
        <f>TableauProduit[[#This Row],[Prix de vente/kg]]*TableauProduit[[#This Row],[Total (kg) N1]]</f>
        <v>0</v>
      </c>
      <c r="BH38" s="588" t="e">
        <f ca="1">TableauProduit[[#This Row],[Revenue brut N1]]-TableauProduit[[#This Row],[Achat par kg N1]]-TableauProduit[[#This Row],[Conditionnement N1]]</f>
        <v>#VALUE!</v>
      </c>
      <c r="BI38" s="520">
        <v>0</v>
      </c>
      <c r="BJ38" s="467">
        <f>TableauProduit[[#This Row],[Poids (g) / unite]]*TableauProduit[[#This Row],[Objectif de vente en unite N1]]/1000</f>
        <v>0</v>
      </c>
      <c r="BK38" s="589">
        <f>TableauProduit[[#This Row],[Objectif de vente en unite N1]]*TableauProduit[[#This Row],[Packaging / unite]]</f>
        <v>0</v>
      </c>
      <c r="BL38" s="589" t="e">
        <f ca="1">TableauProduit[[#This Row],[Prix Achat de plante par kg]]*TableauProduit[[#This Row],[Total (kg) N1]]</f>
        <v>#VALUE!</v>
      </c>
      <c r="BM38" s="589">
        <f>TableauProduit[[#This Row],[Prix de vente/kg]]*TableauProduit[[#This Row],[Total (kg) N1]]</f>
        <v>0</v>
      </c>
      <c r="BN38" s="467" t="e">
        <f ca="1">TableauProduit[[#This Row],[Revenue brut N1]]-TableauProduit[[#This Row],[Achat par kg N1]]-TableauProduit[[#This Row],[Conditionnement N1]]</f>
        <v>#VALUE!</v>
      </c>
    </row>
    <row r="39" spans="1:66">
      <c r="A39" s="13" t="s">
        <v>87</v>
      </c>
      <c r="B39" s="54" t="str">
        <f>TableauProduit[[#This Row],[Recette]]&amp;TableauProduit[[#This Row],[Conditionnement]]</f>
        <v>Timur ko chhopEpice 100ml</v>
      </c>
      <c r="C39" s="11">
        <v>1</v>
      </c>
      <c r="D39" s="11">
        <f>VLOOKUP(TableauProduit[[#This Row],[Recette]],Old[],3)</f>
        <v>20</v>
      </c>
      <c r="E39" s="6" t="s">
        <v>55</v>
      </c>
      <c r="F39" s="7">
        <f>IFERROR(VLOOKUP(TableauProduit[[#This Row],[Conditionnement]],TableauConditionnement[[Nom]:[Contenance]],4,TRUE),"")</f>
        <v>0.64</v>
      </c>
      <c r="G39" s="627" t="e">
        <f ca="1">SUMIFS(TableauRecette[Prix d''achat / kg],TableauRecette[Recette],TableauProduit[[#This Row],[Recette]],TableauRecette[Conditionnement],TableauProduit[[#This Row],[Conditionnement]])</f>
        <v>#VALUE!</v>
      </c>
      <c r="H39" s="628">
        <v>2.9</v>
      </c>
      <c r="I39" s="629">
        <f>1000*TableauProduit[[#This Row],[Prix de vente/U]]/TableauProduit[[#This Row],[Poids (g) / unite]]</f>
        <v>145</v>
      </c>
      <c r="J39" s="630">
        <f>SUMIFS(TableauConcurence[PRIX_KG],TableauConcurence[PRODUIT],TableauProduit[[#This Row],[Recette]],TableauConcurence[DISTRIBUTION],"magasin NON BIO")</f>
        <v>0</v>
      </c>
      <c r="K39" s="631">
        <f>SUMIFS(TableauConcurence[PRIX_KG],TableauConcurence[PRODUIT],TableauProduit[[#This Row],[Recette]],TableauConcurence[DISTRIBUTION],"magasin BIO")</f>
        <v>0</v>
      </c>
      <c r="L39" s="632">
        <f>SUMIFS(TableauConcurence[PRIX_KG],TableauConcurence[PRODUIT],TableauProduit[[#This Row],[Recette]],TableauConcurence[DISTRIBUTION],"artisanale BIO")</f>
        <v>0</v>
      </c>
      <c r="M39" s="564">
        <v>0</v>
      </c>
      <c r="N39" s="450">
        <f>TableauProduit[[#This Row],[Poids (g) / unite]]*TableauProduit[[#This Row],[Objectif de vente en unite N1]]/1000</f>
        <v>0</v>
      </c>
      <c r="O39" s="579">
        <f>TableauProduit[[#This Row],[Objectif de vente en unite N1]]*TableauProduit[[#This Row],[Packaging / unite]]</f>
        <v>0</v>
      </c>
      <c r="P39" s="579" t="e">
        <f t="shared" ca="1" si="1"/>
        <v>#VALUE!</v>
      </c>
      <c r="Q39" s="579" t="e">
        <f ca="1">TableauProduit[[#This Row],[Prix de vente/kg]]*TableauProduit[[#This Row],[Total (kg) N1]]-TableauProduit[[#This Row],[Achat par kg N1]]</f>
        <v>#VALUE!</v>
      </c>
      <c r="R39" s="582" t="e">
        <f ca="1">TableauProduit[[#This Row],[Revenue brut N1]]-TableauProduit[[#This Row],[Conditionnement N1]]</f>
        <v>#VALUE!</v>
      </c>
      <c r="S39" s="453">
        <v>0</v>
      </c>
      <c r="T39" s="452">
        <f>TableauProduit[[#This Row],[Poids (g) / unite]]*TableauProduit[[#This Row],[Objectif de vente en unite N1]]/1000</f>
        <v>0</v>
      </c>
      <c r="U39" s="571">
        <f>TableauProduit[[#This Row],[Objectif de vente en unite N1]]*TableauProduit[[#This Row],[Packaging / unite]]</f>
        <v>0</v>
      </c>
      <c r="V39" s="571" t="e">
        <f ca="1">TableauProduit[[#This Row],[Prix Achat de plante par kg]]*TableauProduit[[#This Row],[Total (kg) N1]]</f>
        <v>#VALUE!</v>
      </c>
      <c r="W39" s="571">
        <f>TableauProduit[[#This Row],[Prix de vente/kg]]*TableauProduit[[#This Row],[Total (kg) N1]]</f>
        <v>0</v>
      </c>
      <c r="X39" s="565" t="e">
        <f ca="1">TableauProduit[[#This Row],[Revenue brut N1]]-TableauProduit[[#This Row],[Achat par kg N1]]-TableauProduit[[#This Row],[Conditionnement N1]]</f>
        <v>#VALUE!</v>
      </c>
      <c r="Y39" s="566">
        <v>0</v>
      </c>
      <c r="Z39" s="456">
        <f>TableauProduit[[#This Row],[Poids (g) / unite]]*TableauProduit[[#This Row],[Objectif de vente en unite N1]]/1000</f>
        <v>0</v>
      </c>
      <c r="AA39" s="574">
        <f>TableauProduit[[#This Row],[Objectif de vente en unite N1]]*TableauProduit[[#This Row],[Packaging / unite]]</f>
        <v>0</v>
      </c>
      <c r="AB39" s="574" t="e">
        <f ca="1">TableauProduit[[#This Row],[Prix Achat de plante par kg]]*TableauProduit[[#This Row],[Total (kg) N1]]</f>
        <v>#VALUE!</v>
      </c>
      <c r="AC39" s="574">
        <f>TableauProduit[[#This Row],[Prix de vente/kg]]*TableauProduit[[#This Row],[Total (kg) N1]]</f>
        <v>0</v>
      </c>
      <c r="AD39" s="583" t="e">
        <f ca="1">TableauProduit[[#This Row],[Revenue brut N1]]-TableauProduit[[#This Row],[Achat par kg N1]]-TableauProduit[[#This Row],[Conditionnement N1]]</f>
        <v>#VALUE!</v>
      </c>
      <c r="AE39" s="458">
        <v>0</v>
      </c>
      <c r="AF39" s="458">
        <f>TableauProduit[[#This Row],[Poids (g) / unite]]*TableauProduit[[#This Row],[Objectif de vente en unite N1]]/1000</f>
        <v>0</v>
      </c>
      <c r="AG39" s="577">
        <f>TableauProduit[[#This Row],[Objectif de vente en unite N1]]*TableauProduit[[#This Row],[Packaging / unite]]</f>
        <v>0</v>
      </c>
      <c r="AH39" s="577" t="e">
        <f ca="1">TableauProduit[[#This Row],[Prix Achat de plante par kg]]*TableauProduit[[#This Row],[Total (kg) N1]]</f>
        <v>#VALUE!</v>
      </c>
      <c r="AI39" s="577">
        <f>TableauProduit[[#This Row],[Prix de vente/kg]]*TableauProduit[[#This Row],[Total (kg) N1]]</f>
        <v>0</v>
      </c>
      <c r="AJ39" s="458" t="e">
        <f ca="1">TableauProduit[[#This Row],[Revenue brut N1]]-TableauProduit[[#This Row],[Achat par kg N1]]-TableauProduit[[#This Row],[Conditionnement N1]]</f>
        <v>#VALUE!</v>
      </c>
      <c r="AK39" s="460">
        <v>0</v>
      </c>
      <c r="AL39" s="460">
        <f>TableauProduit[[#This Row],[Poids (g) / unite]]*TableauProduit[[#This Row],[Objectif de vente en unite N1]]/1000</f>
        <v>0</v>
      </c>
      <c r="AM39" s="584">
        <f>TableauProduit[[#This Row],[Objectif de vente en unite N1]]*TableauProduit[[#This Row],[Packaging / unite]]</f>
        <v>0</v>
      </c>
      <c r="AN39" s="584" t="e">
        <f ca="1">TableauProduit[[#This Row],[Prix Achat de plante par kg]]*TableauProduit[[#This Row],[Total (kg) N1]]</f>
        <v>#VALUE!</v>
      </c>
      <c r="AO39" s="584">
        <f>TableauProduit[[#This Row],[Prix de vente/kg]]*TableauProduit[[#This Row],[Total (kg) N1]]</f>
        <v>0</v>
      </c>
      <c r="AP39" s="460" t="e">
        <f ca="1">TableauProduit[[#This Row],[Revenue brut N1]]-TableauProduit[[#This Row],[Achat par kg N1]]-TableauProduit[[#This Row],[Conditionnement N1]]</f>
        <v>#VALUE!</v>
      </c>
      <c r="AQ39" s="462">
        <v>0</v>
      </c>
      <c r="AR39" s="462">
        <f>TableauProduit[[#This Row],[Poids (g) / unite]]*TableauProduit[[#This Row],[Objectif de vente en unite N1]]/1000</f>
        <v>0</v>
      </c>
      <c r="AS39" s="585">
        <f>TableauProduit[[#This Row],[Objectif de vente en unite N1]]*TableauProduit[[#This Row],[Packaging / unite]]</f>
        <v>0</v>
      </c>
      <c r="AT39" s="585" t="e">
        <f ca="1">TableauProduit[[#This Row],[Prix Achat de plante par kg]]*TableauProduit[[#This Row],[Total (kg) N1]]</f>
        <v>#VALUE!</v>
      </c>
      <c r="AU39" s="585">
        <f>TableauProduit[[#This Row],[Prix de vente/kg]]*TableauProduit[[#This Row],[Total (kg) N1]]</f>
        <v>0</v>
      </c>
      <c r="AV39" s="462" t="e">
        <f ca="1">TableauProduit[[#This Row],[Revenue brut N1]]-TableauProduit[[#This Row],[Achat par kg N1]]-TableauProduit[[#This Row],[Conditionnement N1]]</f>
        <v>#VALUE!</v>
      </c>
      <c r="AW39" s="450">
        <v>0</v>
      </c>
      <c r="AX39" s="450">
        <f>TableauProduit[[#This Row],[Poids (g) / unite]]*TableauProduit[[#This Row],[Objectif de vente en unite N1]]/1000</f>
        <v>0</v>
      </c>
      <c r="AY39" s="579">
        <f>TableauProduit[[#This Row],[Objectif de vente en unite N1]]*TableauProduit[[#This Row],[Packaging / unite]]</f>
        <v>0</v>
      </c>
      <c r="AZ39" s="579" t="e">
        <f ca="1">TableauProduit[[#This Row],[Prix Achat de plante par kg]]*TableauProduit[[#This Row],[Total (kg) N1]]</f>
        <v>#VALUE!</v>
      </c>
      <c r="BA39" s="579">
        <f>TableauProduit[[#This Row],[Prix de vente/kg]]*TableauProduit[[#This Row],[Total (kg) N1]]</f>
        <v>0</v>
      </c>
      <c r="BB39" s="586" t="e">
        <f ca="1">TableauProduit[[#This Row],[Revenue brut N1]]-TableauProduit[[#This Row],[Achat par kg N1]]-TableauProduit[[#This Row],[Conditionnement N1]]</f>
        <v>#VALUE!</v>
      </c>
      <c r="BC39" s="568">
        <v>0</v>
      </c>
      <c r="BD39" s="465">
        <f>TableauProduit[[#This Row],[Poids (g) / unite]]*TableauProduit[[#This Row],[Objectif de vente en unite N1]]/1000</f>
        <v>0</v>
      </c>
      <c r="BE39" s="587">
        <f>TableauProduit[[#This Row],[Objectif de vente en unite N1]]*TableauProduit[[#This Row],[Packaging / unite]]</f>
        <v>0</v>
      </c>
      <c r="BF39" s="587" t="e">
        <f ca="1">TableauProduit[[#This Row],[Prix Achat de plante par kg]]*TableauProduit[[#This Row],[Total (kg) N1]]</f>
        <v>#VALUE!</v>
      </c>
      <c r="BG39" s="587">
        <f>TableauProduit[[#This Row],[Prix de vente/kg]]*TableauProduit[[#This Row],[Total (kg) N1]]</f>
        <v>0</v>
      </c>
      <c r="BH39" s="588" t="e">
        <f ca="1">TableauProduit[[#This Row],[Revenue brut N1]]-TableauProduit[[#This Row],[Achat par kg N1]]-TableauProduit[[#This Row],[Conditionnement N1]]</f>
        <v>#VALUE!</v>
      </c>
      <c r="BI39" s="520">
        <v>0</v>
      </c>
      <c r="BJ39" s="467">
        <f>TableauProduit[[#This Row],[Poids (g) / unite]]*TableauProduit[[#This Row],[Objectif de vente en unite N1]]/1000</f>
        <v>0</v>
      </c>
      <c r="BK39" s="589">
        <f>TableauProduit[[#This Row],[Objectif de vente en unite N1]]*TableauProduit[[#This Row],[Packaging / unite]]</f>
        <v>0</v>
      </c>
      <c r="BL39" s="589" t="e">
        <f ca="1">TableauProduit[[#This Row],[Prix Achat de plante par kg]]*TableauProduit[[#This Row],[Total (kg) N1]]</f>
        <v>#VALUE!</v>
      </c>
      <c r="BM39" s="589">
        <f>TableauProduit[[#This Row],[Prix de vente/kg]]*TableauProduit[[#This Row],[Total (kg) N1]]</f>
        <v>0</v>
      </c>
      <c r="BN39" s="467" t="e">
        <f ca="1">TableauProduit[[#This Row],[Revenue brut N1]]-TableauProduit[[#This Row],[Achat par kg N1]]-TableauProduit[[#This Row],[Conditionnement N1]]</f>
        <v>#VALUE!</v>
      </c>
    </row>
    <row r="40" spans="1:66">
      <c r="A40" s="13" t="s">
        <v>88</v>
      </c>
      <c r="B40" s="54" t="str">
        <f>TableauProduit[[#This Row],[Recette]]&amp;TableauProduit[[#This Row],[Conditionnement]]</f>
        <v>HarissaEpice 100ml</v>
      </c>
      <c r="C40" s="11">
        <v>1</v>
      </c>
      <c r="D40" s="11">
        <f>VLOOKUP(TableauProduit[[#This Row],[Recette]],Old[],3)</f>
        <v>50</v>
      </c>
      <c r="E40" s="6" t="s">
        <v>55</v>
      </c>
      <c r="F40" s="7">
        <f>IFERROR(VLOOKUP(TableauProduit[[#This Row],[Conditionnement]],TableauConditionnement[[Nom]:[Contenance]],4,TRUE),"")</f>
        <v>0.64</v>
      </c>
      <c r="G40" s="627" t="e">
        <f ca="1">SUMIFS(TableauRecette[Prix d''achat / kg],TableauRecette[Recette],TableauProduit[[#This Row],[Recette]],TableauRecette[Conditionnement],TableauProduit[[#This Row],[Conditionnement]])</f>
        <v>#VALUE!</v>
      </c>
      <c r="H40" s="628">
        <v>5</v>
      </c>
      <c r="I40" s="629">
        <f>1000*TableauProduit[[#This Row],[Prix de vente/U]]/TableauProduit[[#This Row],[Poids (g) / unite]]</f>
        <v>100</v>
      </c>
      <c r="J40" s="630">
        <f>SUMIFS(TableauConcurence[PRIX_KG],TableauConcurence[PRODUIT],TableauProduit[[#This Row],[Recette]],TableauConcurence[DISTRIBUTION],"magasin NON BIO")</f>
        <v>0</v>
      </c>
      <c r="K40" s="631">
        <f>SUMIFS(TableauConcurence[PRIX_KG],TableauConcurence[PRODUIT],TableauProduit[[#This Row],[Recette]],TableauConcurence[DISTRIBUTION],"magasin BIO")</f>
        <v>0</v>
      </c>
      <c r="L40" s="632">
        <f>SUMIFS(TableauConcurence[PRIX_KG],TableauConcurence[PRODUIT],TableauProduit[[#This Row],[Recette]],TableauConcurence[DISTRIBUTION],"artisanale BIO")</f>
        <v>0</v>
      </c>
      <c r="M40" s="564">
        <v>0</v>
      </c>
      <c r="N40" s="450">
        <f>TableauProduit[[#This Row],[Poids (g) / unite]]*TableauProduit[[#This Row],[Objectif de vente en unite N1]]/1000</f>
        <v>0</v>
      </c>
      <c r="O40" s="579">
        <f>TableauProduit[[#This Row],[Objectif de vente en unite N1]]*TableauProduit[[#This Row],[Packaging / unite]]</f>
        <v>0</v>
      </c>
      <c r="P40" s="579" t="e">
        <f t="shared" ca="1" si="1"/>
        <v>#VALUE!</v>
      </c>
      <c r="Q40" s="579" t="e">
        <f ca="1">TableauProduit[[#This Row],[Prix de vente/kg]]*TableauProduit[[#This Row],[Total (kg) N1]]-TableauProduit[[#This Row],[Achat par kg N1]]</f>
        <v>#VALUE!</v>
      </c>
      <c r="R40" s="582" t="e">
        <f ca="1">TableauProduit[[#This Row],[Revenue brut N1]]-TableauProduit[[#This Row],[Conditionnement N1]]</f>
        <v>#VALUE!</v>
      </c>
      <c r="S40" s="453">
        <v>0</v>
      </c>
      <c r="T40" s="452">
        <f>TableauProduit[[#This Row],[Poids (g) / unite]]*TableauProduit[[#This Row],[Objectif de vente en unite N1]]/1000</f>
        <v>0</v>
      </c>
      <c r="U40" s="571">
        <f>TableauProduit[[#This Row],[Objectif de vente en unite N1]]*TableauProduit[[#This Row],[Packaging / unite]]</f>
        <v>0</v>
      </c>
      <c r="V40" s="571" t="e">
        <f ca="1">TableauProduit[[#This Row],[Prix Achat de plante par kg]]*TableauProduit[[#This Row],[Total (kg) N1]]</f>
        <v>#VALUE!</v>
      </c>
      <c r="W40" s="571">
        <f>TableauProduit[[#This Row],[Prix de vente/kg]]*TableauProduit[[#This Row],[Total (kg) N1]]</f>
        <v>0</v>
      </c>
      <c r="X40" s="565" t="e">
        <f ca="1">TableauProduit[[#This Row],[Revenue brut N1]]-TableauProduit[[#This Row],[Achat par kg N1]]-TableauProduit[[#This Row],[Conditionnement N1]]</f>
        <v>#VALUE!</v>
      </c>
      <c r="Y40" s="566">
        <v>0</v>
      </c>
      <c r="Z40" s="456">
        <f>TableauProduit[[#This Row],[Poids (g) / unite]]*TableauProduit[[#This Row],[Objectif de vente en unite N1]]/1000</f>
        <v>0</v>
      </c>
      <c r="AA40" s="574">
        <f>TableauProduit[[#This Row],[Objectif de vente en unite N1]]*TableauProduit[[#This Row],[Packaging / unite]]</f>
        <v>0</v>
      </c>
      <c r="AB40" s="574" t="e">
        <f ca="1">TableauProduit[[#This Row],[Prix Achat de plante par kg]]*TableauProduit[[#This Row],[Total (kg) N1]]</f>
        <v>#VALUE!</v>
      </c>
      <c r="AC40" s="574">
        <f>TableauProduit[[#This Row],[Prix de vente/kg]]*TableauProduit[[#This Row],[Total (kg) N1]]</f>
        <v>0</v>
      </c>
      <c r="AD40" s="583" t="e">
        <f ca="1">TableauProduit[[#This Row],[Revenue brut N1]]-TableauProduit[[#This Row],[Achat par kg N1]]-TableauProduit[[#This Row],[Conditionnement N1]]</f>
        <v>#VALUE!</v>
      </c>
      <c r="AE40" s="458">
        <v>0</v>
      </c>
      <c r="AF40" s="458">
        <f>TableauProduit[[#This Row],[Poids (g) / unite]]*TableauProduit[[#This Row],[Objectif de vente en unite N1]]/1000</f>
        <v>0</v>
      </c>
      <c r="AG40" s="577">
        <f>TableauProduit[[#This Row],[Objectif de vente en unite N1]]*TableauProduit[[#This Row],[Packaging / unite]]</f>
        <v>0</v>
      </c>
      <c r="AH40" s="577" t="e">
        <f ca="1">TableauProduit[[#This Row],[Prix Achat de plante par kg]]*TableauProduit[[#This Row],[Total (kg) N1]]</f>
        <v>#VALUE!</v>
      </c>
      <c r="AI40" s="577">
        <f>TableauProduit[[#This Row],[Prix de vente/kg]]*TableauProduit[[#This Row],[Total (kg) N1]]</f>
        <v>0</v>
      </c>
      <c r="AJ40" s="458" t="e">
        <f ca="1">TableauProduit[[#This Row],[Revenue brut N1]]-TableauProduit[[#This Row],[Achat par kg N1]]-TableauProduit[[#This Row],[Conditionnement N1]]</f>
        <v>#VALUE!</v>
      </c>
      <c r="AK40" s="460">
        <v>0</v>
      </c>
      <c r="AL40" s="460">
        <f>TableauProduit[[#This Row],[Poids (g) / unite]]*TableauProduit[[#This Row],[Objectif de vente en unite N1]]/1000</f>
        <v>0</v>
      </c>
      <c r="AM40" s="584">
        <f>TableauProduit[[#This Row],[Objectif de vente en unite N1]]*TableauProduit[[#This Row],[Packaging / unite]]</f>
        <v>0</v>
      </c>
      <c r="AN40" s="584" t="e">
        <f ca="1">TableauProduit[[#This Row],[Prix Achat de plante par kg]]*TableauProduit[[#This Row],[Total (kg) N1]]</f>
        <v>#VALUE!</v>
      </c>
      <c r="AO40" s="584">
        <f>TableauProduit[[#This Row],[Prix de vente/kg]]*TableauProduit[[#This Row],[Total (kg) N1]]</f>
        <v>0</v>
      </c>
      <c r="AP40" s="460" t="e">
        <f ca="1">TableauProduit[[#This Row],[Revenue brut N1]]-TableauProduit[[#This Row],[Achat par kg N1]]-TableauProduit[[#This Row],[Conditionnement N1]]</f>
        <v>#VALUE!</v>
      </c>
      <c r="AQ40" s="462">
        <v>0</v>
      </c>
      <c r="AR40" s="462">
        <f>TableauProduit[[#This Row],[Poids (g) / unite]]*TableauProduit[[#This Row],[Objectif de vente en unite N1]]/1000</f>
        <v>0</v>
      </c>
      <c r="AS40" s="585">
        <f>TableauProduit[[#This Row],[Objectif de vente en unite N1]]*TableauProduit[[#This Row],[Packaging / unite]]</f>
        <v>0</v>
      </c>
      <c r="AT40" s="585" t="e">
        <f ca="1">TableauProduit[[#This Row],[Prix Achat de plante par kg]]*TableauProduit[[#This Row],[Total (kg) N1]]</f>
        <v>#VALUE!</v>
      </c>
      <c r="AU40" s="585">
        <f>TableauProduit[[#This Row],[Prix de vente/kg]]*TableauProduit[[#This Row],[Total (kg) N1]]</f>
        <v>0</v>
      </c>
      <c r="AV40" s="462" t="e">
        <f ca="1">TableauProduit[[#This Row],[Revenue brut N1]]-TableauProduit[[#This Row],[Achat par kg N1]]-TableauProduit[[#This Row],[Conditionnement N1]]</f>
        <v>#VALUE!</v>
      </c>
      <c r="AW40" s="450">
        <v>0</v>
      </c>
      <c r="AX40" s="450">
        <f>TableauProduit[[#This Row],[Poids (g) / unite]]*TableauProduit[[#This Row],[Objectif de vente en unite N1]]/1000</f>
        <v>0</v>
      </c>
      <c r="AY40" s="579">
        <f>TableauProduit[[#This Row],[Objectif de vente en unite N1]]*TableauProduit[[#This Row],[Packaging / unite]]</f>
        <v>0</v>
      </c>
      <c r="AZ40" s="579" t="e">
        <f ca="1">TableauProduit[[#This Row],[Prix Achat de plante par kg]]*TableauProduit[[#This Row],[Total (kg) N1]]</f>
        <v>#VALUE!</v>
      </c>
      <c r="BA40" s="579">
        <f>TableauProduit[[#This Row],[Prix de vente/kg]]*TableauProduit[[#This Row],[Total (kg) N1]]</f>
        <v>0</v>
      </c>
      <c r="BB40" s="586" t="e">
        <f ca="1">TableauProduit[[#This Row],[Revenue brut N1]]-TableauProduit[[#This Row],[Achat par kg N1]]-TableauProduit[[#This Row],[Conditionnement N1]]</f>
        <v>#VALUE!</v>
      </c>
      <c r="BC40" s="568">
        <v>0</v>
      </c>
      <c r="BD40" s="465">
        <f>TableauProduit[[#This Row],[Poids (g) / unite]]*TableauProduit[[#This Row],[Objectif de vente en unite N1]]/1000</f>
        <v>0</v>
      </c>
      <c r="BE40" s="587">
        <f>TableauProduit[[#This Row],[Objectif de vente en unite N1]]*TableauProduit[[#This Row],[Packaging / unite]]</f>
        <v>0</v>
      </c>
      <c r="BF40" s="587" t="e">
        <f ca="1">TableauProduit[[#This Row],[Prix Achat de plante par kg]]*TableauProduit[[#This Row],[Total (kg) N1]]</f>
        <v>#VALUE!</v>
      </c>
      <c r="BG40" s="587">
        <f>TableauProduit[[#This Row],[Prix de vente/kg]]*TableauProduit[[#This Row],[Total (kg) N1]]</f>
        <v>0</v>
      </c>
      <c r="BH40" s="588" t="e">
        <f ca="1">TableauProduit[[#This Row],[Revenue brut N1]]-TableauProduit[[#This Row],[Achat par kg N1]]-TableauProduit[[#This Row],[Conditionnement N1]]</f>
        <v>#VALUE!</v>
      </c>
      <c r="BI40" s="520">
        <v>0</v>
      </c>
      <c r="BJ40" s="467">
        <f>TableauProduit[[#This Row],[Poids (g) / unite]]*TableauProduit[[#This Row],[Objectif de vente en unite N1]]/1000</f>
        <v>0</v>
      </c>
      <c r="BK40" s="589">
        <f>TableauProduit[[#This Row],[Objectif de vente en unite N1]]*TableauProduit[[#This Row],[Packaging / unite]]</f>
        <v>0</v>
      </c>
      <c r="BL40" s="589" t="e">
        <f ca="1">TableauProduit[[#This Row],[Prix Achat de plante par kg]]*TableauProduit[[#This Row],[Total (kg) N1]]</f>
        <v>#VALUE!</v>
      </c>
      <c r="BM40" s="589">
        <f>TableauProduit[[#This Row],[Prix de vente/kg]]*TableauProduit[[#This Row],[Total (kg) N1]]</f>
        <v>0</v>
      </c>
      <c r="BN40" s="467" t="e">
        <f ca="1">TableauProduit[[#This Row],[Revenue brut N1]]-TableauProduit[[#This Row],[Achat par kg N1]]-TableauProduit[[#This Row],[Conditionnement N1]]</f>
        <v>#VALUE!</v>
      </c>
    </row>
    <row r="41" spans="1:66">
      <c r="A41" s="13" t="s">
        <v>694</v>
      </c>
      <c r="B41" s="54" t="str">
        <f>TableauProduit[[#This Row],[Recette]]&amp;TableauProduit[[#This Row],[Conditionnement]]</f>
        <v>epices cajunEpice 100ml</v>
      </c>
      <c r="C41" s="11">
        <v>1</v>
      </c>
      <c r="D41" s="11">
        <f>VLOOKUP(TableauProduit[[#This Row],[Recette]],Old[],3)</f>
        <v>40</v>
      </c>
      <c r="E41" s="6" t="s">
        <v>55</v>
      </c>
      <c r="F41" s="7">
        <f>IFERROR(VLOOKUP(TableauProduit[[#This Row],[Conditionnement]],TableauConditionnement[[Nom]:[Contenance]],4,TRUE),"")</f>
        <v>0.64</v>
      </c>
      <c r="G41" s="627">
        <f ca="1">SUMIFS(TableauRecette[Prix d''achat / kg],TableauRecette[Recette],TableauProduit[[#This Row],[Recette]],TableauRecette[Conditionnement],TableauProduit[[#This Row],[Conditionnement]])</f>
        <v>2.25</v>
      </c>
      <c r="H41" s="628">
        <v>4</v>
      </c>
      <c r="I41" s="629">
        <f>1000*TableauProduit[[#This Row],[Prix de vente/U]]/TableauProduit[[#This Row],[Poids (g) / unite]]</f>
        <v>100</v>
      </c>
      <c r="J41" s="630">
        <f>SUMIFS(TableauConcurence[PRIX_KG],TableauConcurence[PRODUIT],TableauProduit[[#This Row],[Recette]],TableauConcurence[DISTRIBUTION],"magasin NON BIO")</f>
        <v>0</v>
      </c>
      <c r="K41" s="631">
        <f>SUMIFS(TableauConcurence[PRIX_KG],TableauConcurence[PRODUIT],TableauProduit[[#This Row],[Recette]],TableauConcurence[DISTRIBUTION],"magasin BIO")</f>
        <v>0</v>
      </c>
      <c r="L41" s="632">
        <f>SUMIFS(TableauConcurence[PRIX_KG],TableauConcurence[PRODUIT],TableauProduit[[#This Row],[Recette]],TableauConcurence[DISTRIBUTION],"artisanale BIO")</f>
        <v>0</v>
      </c>
      <c r="M41" s="564">
        <v>0</v>
      </c>
      <c r="N41" s="450">
        <f>TableauProduit[[#This Row],[Poids (g) / unite]]*TableauProduit[[#This Row],[Objectif de vente en unite N1]]/1000</f>
        <v>0</v>
      </c>
      <c r="O41" s="579">
        <f>TableauProduit[[#This Row],[Objectif de vente en unite N1]]*TableauProduit[[#This Row],[Packaging / unite]]</f>
        <v>0</v>
      </c>
      <c r="P41" s="579">
        <f t="shared" ca="1" si="1"/>
        <v>0</v>
      </c>
      <c r="Q41" s="579">
        <f ca="1">TableauProduit[[#This Row],[Prix de vente/kg]]*TableauProduit[[#This Row],[Total (kg) N1]]-TableauProduit[[#This Row],[Achat par kg N1]]</f>
        <v>-100</v>
      </c>
      <c r="R41" s="582">
        <f ca="1">TableauProduit[[#This Row],[Revenue brut N1]]-TableauProduit[[#This Row],[Conditionnement N1]]</f>
        <v>-100</v>
      </c>
      <c r="S41" s="453">
        <v>0</v>
      </c>
      <c r="T41" s="452">
        <f>TableauProduit[[#This Row],[Poids (g) / unite]]*TableauProduit[[#This Row],[Objectif de vente en unite N1]]/1000</f>
        <v>0</v>
      </c>
      <c r="U41" s="571">
        <f>TableauProduit[[#This Row],[Objectif de vente en unite N1]]*TableauProduit[[#This Row],[Packaging / unite]]</f>
        <v>0</v>
      </c>
      <c r="V41" s="571">
        <f ca="1">TableauProduit[[#This Row],[Prix Achat de plante par kg]]*TableauProduit[[#This Row],[Total (kg) N1]]</f>
        <v>0</v>
      </c>
      <c r="W41" s="571">
        <f>TableauProduit[[#This Row],[Prix de vente/kg]]*TableauProduit[[#This Row],[Total (kg) N1]]</f>
        <v>0</v>
      </c>
      <c r="X41" s="565">
        <f ca="1">TableauProduit[[#This Row],[Revenue brut N1]]-TableauProduit[[#This Row],[Achat par kg N1]]-TableauProduit[[#This Row],[Conditionnement N1]]</f>
        <v>-200</v>
      </c>
      <c r="Y41" s="566">
        <v>0</v>
      </c>
      <c r="Z41" s="456">
        <f>TableauProduit[[#This Row],[Poids (g) / unite]]*TableauProduit[[#This Row],[Objectif de vente en unite N1]]/1000</f>
        <v>0</v>
      </c>
      <c r="AA41" s="574">
        <f>TableauProduit[[#This Row],[Objectif de vente en unite N1]]*TableauProduit[[#This Row],[Packaging / unite]]</f>
        <v>0</v>
      </c>
      <c r="AB41" s="574">
        <f ca="1">TableauProduit[[#This Row],[Prix Achat de plante par kg]]*TableauProduit[[#This Row],[Total (kg) N1]]</f>
        <v>0</v>
      </c>
      <c r="AC41" s="574">
        <f>TableauProduit[[#This Row],[Prix de vente/kg]]*TableauProduit[[#This Row],[Total (kg) N1]]</f>
        <v>0</v>
      </c>
      <c r="AD41" s="583">
        <f ca="1">TableauProduit[[#This Row],[Revenue brut N1]]-TableauProduit[[#This Row],[Achat par kg N1]]-TableauProduit[[#This Row],[Conditionnement N1]]</f>
        <v>-200</v>
      </c>
      <c r="AE41" s="458">
        <v>0</v>
      </c>
      <c r="AF41" s="458">
        <f>TableauProduit[[#This Row],[Poids (g) / unite]]*TableauProduit[[#This Row],[Objectif de vente en unite N1]]/1000</f>
        <v>0</v>
      </c>
      <c r="AG41" s="577">
        <f>TableauProduit[[#This Row],[Objectif de vente en unite N1]]*TableauProduit[[#This Row],[Packaging / unite]]</f>
        <v>0</v>
      </c>
      <c r="AH41" s="577">
        <f ca="1">TableauProduit[[#This Row],[Prix Achat de plante par kg]]*TableauProduit[[#This Row],[Total (kg) N1]]</f>
        <v>0</v>
      </c>
      <c r="AI41" s="577">
        <f>TableauProduit[[#This Row],[Prix de vente/kg]]*TableauProduit[[#This Row],[Total (kg) N1]]</f>
        <v>0</v>
      </c>
      <c r="AJ41" s="458">
        <f ca="1">TableauProduit[[#This Row],[Revenue brut N1]]-TableauProduit[[#This Row],[Achat par kg N1]]-TableauProduit[[#This Row],[Conditionnement N1]]</f>
        <v>-200</v>
      </c>
      <c r="AK41" s="460">
        <v>0</v>
      </c>
      <c r="AL41" s="460">
        <f>TableauProduit[[#This Row],[Poids (g) / unite]]*TableauProduit[[#This Row],[Objectif de vente en unite N1]]/1000</f>
        <v>0</v>
      </c>
      <c r="AM41" s="584">
        <f>TableauProduit[[#This Row],[Objectif de vente en unite N1]]*TableauProduit[[#This Row],[Packaging / unite]]</f>
        <v>0</v>
      </c>
      <c r="AN41" s="584">
        <f ca="1">TableauProduit[[#This Row],[Prix Achat de plante par kg]]*TableauProduit[[#This Row],[Total (kg) N1]]</f>
        <v>0</v>
      </c>
      <c r="AO41" s="584">
        <f>TableauProduit[[#This Row],[Prix de vente/kg]]*TableauProduit[[#This Row],[Total (kg) N1]]</f>
        <v>0</v>
      </c>
      <c r="AP41" s="460">
        <f ca="1">TableauProduit[[#This Row],[Revenue brut N1]]-TableauProduit[[#This Row],[Achat par kg N1]]-TableauProduit[[#This Row],[Conditionnement N1]]</f>
        <v>-200</v>
      </c>
      <c r="AQ41" s="462">
        <v>0</v>
      </c>
      <c r="AR41" s="462">
        <f>TableauProduit[[#This Row],[Poids (g) / unite]]*TableauProduit[[#This Row],[Objectif de vente en unite N1]]/1000</f>
        <v>0</v>
      </c>
      <c r="AS41" s="585">
        <f>TableauProduit[[#This Row],[Objectif de vente en unite N1]]*TableauProduit[[#This Row],[Packaging / unite]]</f>
        <v>0</v>
      </c>
      <c r="AT41" s="585">
        <f ca="1">TableauProduit[[#This Row],[Prix Achat de plante par kg]]*TableauProduit[[#This Row],[Total (kg) N1]]</f>
        <v>0</v>
      </c>
      <c r="AU41" s="585">
        <f>TableauProduit[[#This Row],[Prix de vente/kg]]*TableauProduit[[#This Row],[Total (kg) N1]]</f>
        <v>0</v>
      </c>
      <c r="AV41" s="462">
        <f ca="1">TableauProduit[[#This Row],[Revenue brut N1]]-TableauProduit[[#This Row],[Achat par kg N1]]-TableauProduit[[#This Row],[Conditionnement N1]]</f>
        <v>-200</v>
      </c>
      <c r="AW41" s="450">
        <v>0</v>
      </c>
      <c r="AX41" s="450">
        <f>TableauProduit[[#This Row],[Poids (g) / unite]]*TableauProduit[[#This Row],[Objectif de vente en unite N1]]/1000</f>
        <v>0</v>
      </c>
      <c r="AY41" s="579">
        <f>TableauProduit[[#This Row],[Objectif de vente en unite N1]]*TableauProduit[[#This Row],[Packaging / unite]]</f>
        <v>0</v>
      </c>
      <c r="AZ41" s="579">
        <f ca="1">TableauProduit[[#This Row],[Prix Achat de plante par kg]]*TableauProduit[[#This Row],[Total (kg) N1]]</f>
        <v>0</v>
      </c>
      <c r="BA41" s="579">
        <f>TableauProduit[[#This Row],[Prix de vente/kg]]*TableauProduit[[#This Row],[Total (kg) N1]]</f>
        <v>0</v>
      </c>
      <c r="BB41" s="586">
        <f ca="1">TableauProduit[[#This Row],[Revenue brut N1]]-TableauProduit[[#This Row],[Achat par kg N1]]-TableauProduit[[#This Row],[Conditionnement N1]]</f>
        <v>-200</v>
      </c>
      <c r="BC41" s="568">
        <v>0</v>
      </c>
      <c r="BD41" s="465">
        <f>TableauProduit[[#This Row],[Poids (g) / unite]]*TableauProduit[[#This Row],[Objectif de vente en unite N1]]/1000</f>
        <v>0</v>
      </c>
      <c r="BE41" s="587">
        <f>TableauProduit[[#This Row],[Objectif de vente en unite N1]]*TableauProduit[[#This Row],[Packaging / unite]]</f>
        <v>0</v>
      </c>
      <c r="BF41" s="587">
        <f ca="1">TableauProduit[[#This Row],[Prix Achat de plante par kg]]*TableauProduit[[#This Row],[Total (kg) N1]]</f>
        <v>0</v>
      </c>
      <c r="BG41" s="587">
        <f>TableauProduit[[#This Row],[Prix de vente/kg]]*TableauProduit[[#This Row],[Total (kg) N1]]</f>
        <v>0</v>
      </c>
      <c r="BH41" s="588">
        <f ca="1">TableauProduit[[#This Row],[Revenue brut N1]]-TableauProduit[[#This Row],[Achat par kg N1]]-TableauProduit[[#This Row],[Conditionnement N1]]</f>
        <v>-200</v>
      </c>
      <c r="BI41" s="520">
        <v>0</v>
      </c>
      <c r="BJ41" s="467">
        <f>TableauProduit[[#This Row],[Poids (g) / unite]]*TableauProduit[[#This Row],[Objectif de vente en unite N1]]/1000</f>
        <v>0</v>
      </c>
      <c r="BK41" s="589">
        <f>TableauProduit[[#This Row],[Objectif de vente en unite N1]]*TableauProduit[[#This Row],[Packaging / unite]]</f>
        <v>0</v>
      </c>
      <c r="BL41" s="589">
        <f ca="1">TableauProduit[[#This Row],[Prix Achat de plante par kg]]*TableauProduit[[#This Row],[Total (kg) N1]]</f>
        <v>0</v>
      </c>
      <c r="BM41" s="589">
        <f>TableauProduit[[#This Row],[Prix de vente/kg]]*TableauProduit[[#This Row],[Total (kg) N1]]</f>
        <v>0</v>
      </c>
      <c r="BN41" s="467">
        <f ca="1">TableauProduit[[#This Row],[Revenue brut N1]]-TableauProduit[[#This Row],[Achat par kg N1]]-TableauProduit[[#This Row],[Conditionnement N1]]</f>
        <v>-200</v>
      </c>
    </row>
    <row r="42" spans="1:66">
      <c r="A42" s="13" t="s">
        <v>89</v>
      </c>
      <c r="B42" s="54" t="str">
        <f>TableauProduit[[#This Row],[Recette]]&amp;TableauProduit[[#This Row],[Conditionnement]]</f>
        <v>TakliaEpice 100ml</v>
      </c>
      <c r="C42" s="11">
        <v>1</v>
      </c>
      <c r="D42" s="11">
        <f>VLOOKUP(TableauProduit[[#This Row],[Recette]],Old[],3)</f>
        <v>20</v>
      </c>
      <c r="E42" s="6" t="s">
        <v>55</v>
      </c>
      <c r="F42" s="7">
        <f>IFERROR(VLOOKUP(TableauProduit[[#This Row],[Conditionnement]],TableauConditionnement[[Nom]:[Contenance]],4,TRUE),"")</f>
        <v>0.64</v>
      </c>
      <c r="G42" s="627" t="e">
        <f ca="1">SUMIFS(TableauRecette[Prix d''achat / kg],TableauRecette[Recette],TableauProduit[[#This Row],[Recette]],TableauRecette[Conditionnement],TableauProduit[[#This Row],[Conditionnement]])</f>
        <v>#VALUE!</v>
      </c>
      <c r="H42" s="628">
        <v>2.9</v>
      </c>
      <c r="I42" s="629">
        <f>1000*TableauProduit[[#This Row],[Prix de vente/U]]/TableauProduit[[#This Row],[Poids (g) / unite]]</f>
        <v>145</v>
      </c>
      <c r="J42" s="630">
        <f>SUMIFS(TableauConcurence[PRIX_KG],TableauConcurence[PRODUIT],TableauProduit[[#This Row],[Recette]],TableauConcurence[DISTRIBUTION],"magasin NON BIO")</f>
        <v>0</v>
      </c>
      <c r="K42" s="631">
        <f>SUMIFS(TableauConcurence[PRIX_KG],TableauConcurence[PRODUIT],TableauProduit[[#This Row],[Recette]],TableauConcurence[DISTRIBUTION],"magasin BIO")</f>
        <v>0</v>
      </c>
      <c r="L42" s="632">
        <f>SUMIFS(TableauConcurence[PRIX_KG],TableauConcurence[PRODUIT],TableauProduit[[#This Row],[Recette]],TableauConcurence[DISTRIBUTION],"artisanale BIO")</f>
        <v>0</v>
      </c>
      <c r="M42" s="564">
        <v>0</v>
      </c>
      <c r="N42" s="450">
        <f>TableauProduit[[#This Row],[Poids (g) / unite]]*TableauProduit[[#This Row],[Objectif de vente en unite N1]]/1000</f>
        <v>0</v>
      </c>
      <c r="O42" s="579">
        <f>TableauProduit[[#This Row],[Objectif de vente en unite N1]]*TableauProduit[[#This Row],[Packaging / unite]]</f>
        <v>0</v>
      </c>
      <c r="P42" s="579" t="e">
        <f t="shared" ca="1" si="1"/>
        <v>#VALUE!</v>
      </c>
      <c r="Q42" s="579" t="e">
        <f ca="1">TableauProduit[[#This Row],[Prix de vente/kg]]*TableauProduit[[#This Row],[Total (kg) N1]]-TableauProduit[[#This Row],[Achat par kg N1]]</f>
        <v>#VALUE!</v>
      </c>
      <c r="R42" s="582" t="e">
        <f ca="1">TableauProduit[[#This Row],[Revenue brut N1]]-TableauProduit[[#This Row],[Conditionnement N1]]</f>
        <v>#VALUE!</v>
      </c>
      <c r="S42" s="453">
        <v>0</v>
      </c>
      <c r="T42" s="452">
        <f>TableauProduit[[#This Row],[Poids (g) / unite]]*TableauProduit[[#This Row],[Objectif de vente en unite N1]]/1000</f>
        <v>0</v>
      </c>
      <c r="U42" s="571">
        <f>TableauProduit[[#This Row],[Objectif de vente en unite N1]]*TableauProduit[[#This Row],[Packaging / unite]]</f>
        <v>0</v>
      </c>
      <c r="V42" s="571" t="e">
        <f ca="1">TableauProduit[[#This Row],[Prix Achat de plante par kg]]*TableauProduit[[#This Row],[Total (kg) N1]]</f>
        <v>#VALUE!</v>
      </c>
      <c r="W42" s="571">
        <f>TableauProduit[[#This Row],[Prix de vente/kg]]*TableauProduit[[#This Row],[Total (kg) N1]]</f>
        <v>0</v>
      </c>
      <c r="X42" s="565" t="e">
        <f ca="1">TableauProduit[[#This Row],[Revenue brut N1]]-TableauProduit[[#This Row],[Achat par kg N1]]-TableauProduit[[#This Row],[Conditionnement N1]]</f>
        <v>#VALUE!</v>
      </c>
      <c r="Y42" s="566">
        <v>0</v>
      </c>
      <c r="Z42" s="456">
        <f>TableauProduit[[#This Row],[Poids (g) / unite]]*TableauProduit[[#This Row],[Objectif de vente en unite N1]]/1000</f>
        <v>0</v>
      </c>
      <c r="AA42" s="574">
        <f>TableauProduit[[#This Row],[Objectif de vente en unite N1]]*TableauProduit[[#This Row],[Packaging / unite]]</f>
        <v>0</v>
      </c>
      <c r="AB42" s="574" t="e">
        <f ca="1">TableauProduit[[#This Row],[Prix Achat de plante par kg]]*TableauProduit[[#This Row],[Total (kg) N1]]</f>
        <v>#VALUE!</v>
      </c>
      <c r="AC42" s="574">
        <f>TableauProduit[[#This Row],[Prix de vente/kg]]*TableauProduit[[#This Row],[Total (kg) N1]]</f>
        <v>0</v>
      </c>
      <c r="AD42" s="583" t="e">
        <f ca="1">TableauProduit[[#This Row],[Revenue brut N1]]-TableauProduit[[#This Row],[Achat par kg N1]]-TableauProduit[[#This Row],[Conditionnement N1]]</f>
        <v>#VALUE!</v>
      </c>
      <c r="AE42" s="458">
        <v>0</v>
      </c>
      <c r="AF42" s="458">
        <f>TableauProduit[[#This Row],[Poids (g) / unite]]*TableauProduit[[#This Row],[Objectif de vente en unite N1]]/1000</f>
        <v>0</v>
      </c>
      <c r="AG42" s="577">
        <f>TableauProduit[[#This Row],[Objectif de vente en unite N1]]*TableauProduit[[#This Row],[Packaging / unite]]</f>
        <v>0</v>
      </c>
      <c r="AH42" s="577" t="e">
        <f ca="1">TableauProduit[[#This Row],[Prix Achat de plante par kg]]*TableauProduit[[#This Row],[Total (kg) N1]]</f>
        <v>#VALUE!</v>
      </c>
      <c r="AI42" s="577">
        <f>TableauProduit[[#This Row],[Prix de vente/kg]]*TableauProduit[[#This Row],[Total (kg) N1]]</f>
        <v>0</v>
      </c>
      <c r="AJ42" s="458" t="e">
        <f ca="1">TableauProduit[[#This Row],[Revenue brut N1]]-TableauProduit[[#This Row],[Achat par kg N1]]-TableauProduit[[#This Row],[Conditionnement N1]]</f>
        <v>#VALUE!</v>
      </c>
      <c r="AK42" s="460">
        <v>0</v>
      </c>
      <c r="AL42" s="460">
        <f>TableauProduit[[#This Row],[Poids (g) / unite]]*TableauProduit[[#This Row],[Objectif de vente en unite N1]]/1000</f>
        <v>0</v>
      </c>
      <c r="AM42" s="584">
        <f>TableauProduit[[#This Row],[Objectif de vente en unite N1]]*TableauProduit[[#This Row],[Packaging / unite]]</f>
        <v>0</v>
      </c>
      <c r="AN42" s="584" t="e">
        <f ca="1">TableauProduit[[#This Row],[Prix Achat de plante par kg]]*TableauProduit[[#This Row],[Total (kg) N1]]</f>
        <v>#VALUE!</v>
      </c>
      <c r="AO42" s="584">
        <f>TableauProduit[[#This Row],[Prix de vente/kg]]*TableauProduit[[#This Row],[Total (kg) N1]]</f>
        <v>0</v>
      </c>
      <c r="AP42" s="460" t="e">
        <f ca="1">TableauProduit[[#This Row],[Revenue brut N1]]-TableauProduit[[#This Row],[Achat par kg N1]]-TableauProduit[[#This Row],[Conditionnement N1]]</f>
        <v>#VALUE!</v>
      </c>
      <c r="AQ42" s="462">
        <v>0</v>
      </c>
      <c r="AR42" s="462">
        <f>TableauProduit[[#This Row],[Poids (g) / unite]]*TableauProduit[[#This Row],[Objectif de vente en unite N1]]/1000</f>
        <v>0</v>
      </c>
      <c r="AS42" s="585">
        <f>TableauProduit[[#This Row],[Objectif de vente en unite N1]]*TableauProduit[[#This Row],[Packaging / unite]]</f>
        <v>0</v>
      </c>
      <c r="AT42" s="585" t="e">
        <f ca="1">TableauProduit[[#This Row],[Prix Achat de plante par kg]]*TableauProduit[[#This Row],[Total (kg) N1]]</f>
        <v>#VALUE!</v>
      </c>
      <c r="AU42" s="585">
        <f>TableauProduit[[#This Row],[Prix de vente/kg]]*TableauProduit[[#This Row],[Total (kg) N1]]</f>
        <v>0</v>
      </c>
      <c r="AV42" s="462" t="e">
        <f ca="1">TableauProduit[[#This Row],[Revenue brut N1]]-TableauProduit[[#This Row],[Achat par kg N1]]-TableauProduit[[#This Row],[Conditionnement N1]]</f>
        <v>#VALUE!</v>
      </c>
      <c r="AW42" s="450">
        <v>0</v>
      </c>
      <c r="AX42" s="450">
        <f>TableauProduit[[#This Row],[Poids (g) / unite]]*TableauProduit[[#This Row],[Objectif de vente en unite N1]]/1000</f>
        <v>0</v>
      </c>
      <c r="AY42" s="579">
        <f>TableauProduit[[#This Row],[Objectif de vente en unite N1]]*TableauProduit[[#This Row],[Packaging / unite]]</f>
        <v>0</v>
      </c>
      <c r="AZ42" s="579" t="e">
        <f ca="1">TableauProduit[[#This Row],[Prix Achat de plante par kg]]*TableauProduit[[#This Row],[Total (kg) N1]]</f>
        <v>#VALUE!</v>
      </c>
      <c r="BA42" s="579">
        <f>TableauProduit[[#This Row],[Prix de vente/kg]]*TableauProduit[[#This Row],[Total (kg) N1]]</f>
        <v>0</v>
      </c>
      <c r="BB42" s="586" t="e">
        <f ca="1">TableauProduit[[#This Row],[Revenue brut N1]]-TableauProduit[[#This Row],[Achat par kg N1]]-TableauProduit[[#This Row],[Conditionnement N1]]</f>
        <v>#VALUE!</v>
      </c>
      <c r="BC42" s="568">
        <v>0</v>
      </c>
      <c r="BD42" s="465">
        <f>TableauProduit[[#This Row],[Poids (g) / unite]]*TableauProduit[[#This Row],[Objectif de vente en unite N1]]/1000</f>
        <v>0</v>
      </c>
      <c r="BE42" s="587">
        <f>TableauProduit[[#This Row],[Objectif de vente en unite N1]]*TableauProduit[[#This Row],[Packaging / unite]]</f>
        <v>0</v>
      </c>
      <c r="BF42" s="587" t="e">
        <f ca="1">TableauProduit[[#This Row],[Prix Achat de plante par kg]]*TableauProduit[[#This Row],[Total (kg) N1]]</f>
        <v>#VALUE!</v>
      </c>
      <c r="BG42" s="587">
        <f>TableauProduit[[#This Row],[Prix de vente/kg]]*TableauProduit[[#This Row],[Total (kg) N1]]</f>
        <v>0</v>
      </c>
      <c r="BH42" s="588" t="e">
        <f ca="1">TableauProduit[[#This Row],[Revenue brut N1]]-TableauProduit[[#This Row],[Achat par kg N1]]-TableauProduit[[#This Row],[Conditionnement N1]]</f>
        <v>#VALUE!</v>
      </c>
      <c r="BI42" s="520">
        <v>0</v>
      </c>
      <c r="BJ42" s="467">
        <f>TableauProduit[[#This Row],[Poids (g) / unite]]*TableauProduit[[#This Row],[Objectif de vente en unite N1]]/1000</f>
        <v>0</v>
      </c>
      <c r="BK42" s="589">
        <f>TableauProduit[[#This Row],[Objectif de vente en unite N1]]*TableauProduit[[#This Row],[Packaging / unite]]</f>
        <v>0</v>
      </c>
      <c r="BL42" s="589" t="e">
        <f ca="1">TableauProduit[[#This Row],[Prix Achat de plante par kg]]*TableauProduit[[#This Row],[Total (kg) N1]]</f>
        <v>#VALUE!</v>
      </c>
      <c r="BM42" s="589">
        <f>TableauProduit[[#This Row],[Prix de vente/kg]]*TableauProduit[[#This Row],[Total (kg) N1]]</f>
        <v>0</v>
      </c>
      <c r="BN42" s="467" t="e">
        <f ca="1">TableauProduit[[#This Row],[Revenue brut N1]]-TableauProduit[[#This Row],[Achat par kg N1]]-TableauProduit[[#This Row],[Conditionnement N1]]</f>
        <v>#VALUE!</v>
      </c>
    </row>
    <row r="43" spans="1:66">
      <c r="A43" s="13" t="s">
        <v>90</v>
      </c>
      <c r="B43" s="54" t="str">
        <f>TableauProduit[[#This Row],[Recette]]&amp;TableauProduit[[#This Row],[Conditionnement]]</f>
        <v>DukkahEpice 100ml</v>
      </c>
      <c r="C43" s="11">
        <v>1</v>
      </c>
      <c r="D43" s="11">
        <f>VLOOKUP(TableauProduit[[#This Row],[Recette]],Old[],3)</f>
        <v>40</v>
      </c>
      <c r="E43" s="6" t="s">
        <v>55</v>
      </c>
      <c r="F43" s="7">
        <f>IFERROR(VLOOKUP(TableauProduit[[#This Row],[Conditionnement]],TableauConditionnement[[Nom]:[Contenance]],4,TRUE),"")</f>
        <v>0.64</v>
      </c>
      <c r="G43" s="627">
        <f ca="1">SUMIFS(TableauRecette[Prix d''achat / kg],TableauRecette[Recette],TableauProduit[[#This Row],[Recette]],TableauRecette[Conditionnement],TableauProduit[[#This Row],[Conditionnement]])</f>
        <v>3.2551083591331267</v>
      </c>
      <c r="H43" s="628">
        <v>4</v>
      </c>
      <c r="I43" s="629">
        <f>1000*TableauProduit[[#This Row],[Prix de vente/U]]/TableauProduit[[#This Row],[Poids (g) / unite]]</f>
        <v>100</v>
      </c>
      <c r="J43" s="630">
        <f>SUMIFS(TableauConcurence[PRIX_KG],TableauConcurence[PRODUIT],TableauProduit[[#This Row],[Recette]],TableauConcurence[DISTRIBUTION],"magasin NON BIO")</f>
        <v>0</v>
      </c>
      <c r="K43" s="631">
        <f>SUMIFS(TableauConcurence[PRIX_KG],TableauConcurence[PRODUIT],TableauProduit[[#This Row],[Recette]],TableauConcurence[DISTRIBUTION],"magasin BIO")</f>
        <v>0</v>
      </c>
      <c r="L43" s="632">
        <f>SUMIFS(TableauConcurence[PRIX_KG],TableauConcurence[PRODUIT],TableauProduit[[#This Row],[Recette]],TableauConcurence[DISTRIBUTION],"artisanale BIO")</f>
        <v>0</v>
      </c>
      <c r="M43" s="564">
        <v>0</v>
      </c>
      <c r="N43" s="450">
        <f>TableauProduit[[#This Row],[Poids (g) / unite]]*TableauProduit[[#This Row],[Objectif de vente en unite N1]]/1000</f>
        <v>0</v>
      </c>
      <c r="O43" s="579">
        <f>TableauProduit[[#This Row],[Objectif de vente en unite N1]]*TableauProduit[[#This Row],[Packaging / unite]]</f>
        <v>0</v>
      </c>
      <c r="P43" s="579">
        <f t="shared" ca="1" si="1"/>
        <v>0</v>
      </c>
      <c r="Q43" s="579">
        <f ca="1">TableauProduit[[#This Row],[Prix de vente/kg]]*TableauProduit[[#This Row],[Total (kg) N1]]-TableauProduit[[#This Row],[Achat par kg N1]]</f>
        <v>-145</v>
      </c>
      <c r="R43" s="582">
        <f ca="1">TableauProduit[[#This Row],[Revenue brut N1]]-TableauProduit[[#This Row],[Conditionnement N1]]</f>
        <v>-145</v>
      </c>
      <c r="S43" s="453">
        <v>0</v>
      </c>
      <c r="T43" s="452">
        <f>TableauProduit[[#This Row],[Poids (g) / unite]]*TableauProduit[[#This Row],[Objectif de vente en unite N1]]/1000</f>
        <v>0</v>
      </c>
      <c r="U43" s="571">
        <f>TableauProduit[[#This Row],[Objectif de vente en unite N1]]*TableauProduit[[#This Row],[Packaging / unite]]</f>
        <v>0</v>
      </c>
      <c r="V43" s="571">
        <f ca="1">TableauProduit[[#This Row],[Prix Achat de plante par kg]]*TableauProduit[[#This Row],[Total (kg) N1]]</f>
        <v>0</v>
      </c>
      <c r="W43" s="571">
        <f>TableauProduit[[#This Row],[Prix de vente/kg]]*TableauProduit[[#This Row],[Total (kg) N1]]</f>
        <v>0</v>
      </c>
      <c r="X43" s="565">
        <f ca="1">TableauProduit[[#This Row],[Revenue brut N1]]-TableauProduit[[#This Row],[Achat par kg N1]]-TableauProduit[[#This Row],[Conditionnement N1]]</f>
        <v>-290</v>
      </c>
      <c r="Y43" s="566">
        <v>0</v>
      </c>
      <c r="Z43" s="456">
        <f>TableauProduit[[#This Row],[Poids (g) / unite]]*TableauProduit[[#This Row],[Objectif de vente en unite N1]]/1000</f>
        <v>0</v>
      </c>
      <c r="AA43" s="574">
        <f>TableauProduit[[#This Row],[Objectif de vente en unite N1]]*TableauProduit[[#This Row],[Packaging / unite]]</f>
        <v>0</v>
      </c>
      <c r="AB43" s="574">
        <f ca="1">TableauProduit[[#This Row],[Prix Achat de plante par kg]]*TableauProduit[[#This Row],[Total (kg) N1]]</f>
        <v>0</v>
      </c>
      <c r="AC43" s="574">
        <f>TableauProduit[[#This Row],[Prix de vente/kg]]*TableauProduit[[#This Row],[Total (kg) N1]]</f>
        <v>0</v>
      </c>
      <c r="AD43" s="583">
        <f ca="1">TableauProduit[[#This Row],[Revenue brut N1]]-TableauProduit[[#This Row],[Achat par kg N1]]-TableauProduit[[#This Row],[Conditionnement N1]]</f>
        <v>-290</v>
      </c>
      <c r="AE43" s="458">
        <v>0</v>
      </c>
      <c r="AF43" s="458">
        <f>TableauProduit[[#This Row],[Poids (g) / unite]]*TableauProduit[[#This Row],[Objectif de vente en unite N1]]/1000</f>
        <v>0</v>
      </c>
      <c r="AG43" s="577">
        <f>TableauProduit[[#This Row],[Objectif de vente en unite N1]]*TableauProduit[[#This Row],[Packaging / unite]]</f>
        <v>0</v>
      </c>
      <c r="AH43" s="577">
        <f ca="1">TableauProduit[[#This Row],[Prix Achat de plante par kg]]*TableauProduit[[#This Row],[Total (kg) N1]]</f>
        <v>0</v>
      </c>
      <c r="AI43" s="577">
        <f>TableauProduit[[#This Row],[Prix de vente/kg]]*TableauProduit[[#This Row],[Total (kg) N1]]</f>
        <v>0</v>
      </c>
      <c r="AJ43" s="458">
        <f ca="1">TableauProduit[[#This Row],[Revenue brut N1]]-TableauProduit[[#This Row],[Achat par kg N1]]-TableauProduit[[#This Row],[Conditionnement N1]]</f>
        <v>-290</v>
      </c>
      <c r="AK43" s="460">
        <v>0</v>
      </c>
      <c r="AL43" s="460">
        <f>TableauProduit[[#This Row],[Poids (g) / unite]]*TableauProduit[[#This Row],[Objectif de vente en unite N1]]/1000</f>
        <v>0</v>
      </c>
      <c r="AM43" s="584">
        <f>TableauProduit[[#This Row],[Objectif de vente en unite N1]]*TableauProduit[[#This Row],[Packaging / unite]]</f>
        <v>0</v>
      </c>
      <c r="AN43" s="584">
        <f ca="1">TableauProduit[[#This Row],[Prix Achat de plante par kg]]*TableauProduit[[#This Row],[Total (kg) N1]]</f>
        <v>0</v>
      </c>
      <c r="AO43" s="584">
        <f>TableauProduit[[#This Row],[Prix de vente/kg]]*TableauProduit[[#This Row],[Total (kg) N1]]</f>
        <v>0</v>
      </c>
      <c r="AP43" s="460">
        <f ca="1">TableauProduit[[#This Row],[Revenue brut N1]]-TableauProduit[[#This Row],[Achat par kg N1]]-TableauProduit[[#This Row],[Conditionnement N1]]</f>
        <v>-290</v>
      </c>
      <c r="AQ43" s="462">
        <v>0</v>
      </c>
      <c r="AR43" s="462">
        <f>TableauProduit[[#This Row],[Poids (g) / unite]]*TableauProduit[[#This Row],[Objectif de vente en unite N1]]/1000</f>
        <v>0</v>
      </c>
      <c r="AS43" s="585">
        <f>TableauProduit[[#This Row],[Objectif de vente en unite N1]]*TableauProduit[[#This Row],[Packaging / unite]]</f>
        <v>0</v>
      </c>
      <c r="AT43" s="585">
        <f ca="1">TableauProduit[[#This Row],[Prix Achat de plante par kg]]*TableauProduit[[#This Row],[Total (kg) N1]]</f>
        <v>0</v>
      </c>
      <c r="AU43" s="585">
        <f>TableauProduit[[#This Row],[Prix de vente/kg]]*TableauProduit[[#This Row],[Total (kg) N1]]</f>
        <v>0</v>
      </c>
      <c r="AV43" s="462">
        <f ca="1">TableauProduit[[#This Row],[Revenue brut N1]]-TableauProduit[[#This Row],[Achat par kg N1]]-TableauProduit[[#This Row],[Conditionnement N1]]</f>
        <v>-290</v>
      </c>
      <c r="AW43" s="450">
        <v>0</v>
      </c>
      <c r="AX43" s="450">
        <f>TableauProduit[[#This Row],[Poids (g) / unite]]*TableauProduit[[#This Row],[Objectif de vente en unite N1]]/1000</f>
        <v>0</v>
      </c>
      <c r="AY43" s="579">
        <f>TableauProduit[[#This Row],[Objectif de vente en unite N1]]*TableauProduit[[#This Row],[Packaging / unite]]</f>
        <v>0</v>
      </c>
      <c r="AZ43" s="579">
        <f ca="1">TableauProduit[[#This Row],[Prix Achat de plante par kg]]*TableauProduit[[#This Row],[Total (kg) N1]]</f>
        <v>0</v>
      </c>
      <c r="BA43" s="579">
        <f>TableauProduit[[#This Row],[Prix de vente/kg]]*TableauProduit[[#This Row],[Total (kg) N1]]</f>
        <v>0</v>
      </c>
      <c r="BB43" s="586">
        <f ca="1">TableauProduit[[#This Row],[Revenue brut N1]]-TableauProduit[[#This Row],[Achat par kg N1]]-TableauProduit[[#This Row],[Conditionnement N1]]</f>
        <v>-290</v>
      </c>
      <c r="BC43" s="568">
        <v>0</v>
      </c>
      <c r="BD43" s="465">
        <f>TableauProduit[[#This Row],[Poids (g) / unite]]*TableauProduit[[#This Row],[Objectif de vente en unite N1]]/1000</f>
        <v>0</v>
      </c>
      <c r="BE43" s="587">
        <f>TableauProduit[[#This Row],[Objectif de vente en unite N1]]*TableauProduit[[#This Row],[Packaging / unite]]</f>
        <v>0</v>
      </c>
      <c r="BF43" s="587">
        <f ca="1">TableauProduit[[#This Row],[Prix Achat de plante par kg]]*TableauProduit[[#This Row],[Total (kg) N1]]</f>
        <v>0</v>
      </c>
      <c r="BG43" s="587">
        <f>TableauProduit[[#This Row],[Prix de vente/kg]]*TableauProduit[[#This Row],[Total (kg) N1]]</f>
        <v>0</v>
      </c>
      <c r="BH43" s="588">
        <f ca="1">TableauProduit[[#This Row],[Revenue brut N1]]-TableauProduit[[#This Row],[Achat par kg N1]]-TableauProduit[[#This Row],[Conditionnement N1]]</f>
        <v>-290</v>
      </c>
      <c r="BI43" s="520">
        <v>0</v>
      </c>
      <c r="BJ43" s="467">
        <f>TableauProduit[[#This Row],[Poids (g) / unite]]*TableauProduit[[#This Row],[Objectif de vente en unite N1]]/1000</f>
        <v>0</v>
      </c>
      <c r="BK43" s="589">
        <f>TableauProduit[[#This Row],[Objectif de vente en unite N1]]*TableauProduit[[#This Row],[Packaging / unite]]</f>
        <v>0</v>
      </c>
      <c r="BL43" s="589">
        <f ca="1">TableauProduit[[#This Row],[Prix Achat de plante par kg]]*TableauProduit[[#This Row],[Total (kg) N1]]</f>
        <v>0</v>
      </c>
      <c r="BM43" s="589">
        <f>TableauProduit[[#This Row],[Prix de vente/kg]]*TableauProduit[[#This Row],[Total (kg) N1]]</f>
        <v>0</v>
      </c>
      <c r="BN43" s="467">
        <f ca="1">TableauProduit[[#This Row],[Revenue brut N1]]-TableauProduit[[#This Row],[Achat par kg N1]]-TableauProduit[[#This Row],[Conditionnement N1]]</f>
        <v>-290</v>
      </c>
    </row>
    <row r="44" spans="1:66">
      <c r="A44" s="13" t="s">
        <v>91</v>
      </c>
      <c r="B44" s="54" t="str">
        <f>TableauProduit[[#This Row],[Recette]]&amp;TableauProduit[[#This Row],[Conditionnement]]</f>
        <v>Tabel ou Tabil tunisienEpice 100ml</v>
      </c>
      <c r="C44" s="11">
        <v>1</v>
      </c>
      <c r="D44" s="11">
        <f>VLOOKUP(TableauProduit[[#This Row],[Recette]],Old[],3)</f>
        <v>20</v>
      </c>
      <c r="E44" s="6" t="s">
        <v>55</v>
      </c>
      <c r="F44" s="7">
        <f>IFERROR(VLOOKUP(TableauProduit[[#This Row],[Conditionnement]],TableauConditionnement[[Nom]:[Contenance]],4,TRUE),"")</f>
        <v>0.64</v>
      </c>
      <c r="G44" s="627" t="e">
        <f ca="1">SUMIFS(TableauRecette[Prix d''achat / kg],TableauRecette[Recette],TableauProduit[[#This Row],[Recette]],TableauRecette[Conditionnement],TableauProduit[[#This Row],[Conditionnement]])</f>
        <v>#VALUE!</v>
      </c>
      <c r="H44" s="628">
        <v>2.9</v>
      </c>
      <c r="I44" s="629">
        <f>1000*TableauProduit[[#This Row],[Prix de vente/U]]/TableauProduit[[#This Row],[Poids (g) / unite]]</f>
        <v>145</v>
      </c>
      <c r="J44" s="630">
        <f>SUMIFS(TableauConcurence[PRIX_KG],TableauConcurence[PRODUIT],TableauProduit[[#This Row],[Recette]],TableauConcurence[DISTRIBUTION],"magasin NON BIO")</f>
        <v>0</v>
      </c>
      <c r="K44" s="631">
        <f>SUMIFS(TableauConcurence[PRIX_KG],TableauConcurence[PRODUIT],TableauProduit[[#This Row],[Recette]],TableauConcurence[DISTRIBUTION],"magasin BIO")</f>
        <v>0</v>
      </c>
      <c r="L44" s="632">
        <f>SUMIFS(TableauConcurence[PRIX_KG],TableauConcurence[PRODUIT],TableauProduit[[#This Row],[Recette]],TableauConcurence[DISTRIBUTION],"artisanale BIO")</f>
        <v>0</v>
      </c>
      <c r="M44" s="564">
        <v>0</v>
      </c>
      <c r="N44" s="450">
        <f>TableauProduit[[#This Row],[Poids (g) / unite]]*TableauProduit[[#This Row],[Objectif de vente en unite N1]]/1000</f>
        <v>0</v>
      </c>
      <c r="O44" s="579">
        <f>TableauProduit[[#This Row],[Objectif de vente en unite N1]]*TableauProduit[[#This Row],[Packaging / unite]]</f>
        <v>0</v>
      </c>
      <c r="P44" s="579" t="e">
        <f t="shared" ca="1" si="1"/>
        <v>#VALUE!</v>
      </c>
      <c r="Q44" s="579" t="e">
        <f ca="1">TableauProduit[[#This Row],[Prix de vente/kg]]*TableauProduit[[#This Row],[Total (kg) N1]]-TableauProduit[[#This Row],[Achat par kg N1]]</f>
        <v>#VALUE!</v>
      </c>
      <c r="R44" s="582" t="e">
        <f ca="1">TableauProduit[[#This Row],[Revenue brut N1]]-TableauProduit[[#This Row],[Conditionnement N1]]</f>
        <v>#VALUE!</v>
      </c>
      <c r="S44" s="453">
        <v>0</v>
      </c>
      <c r="T44" s="452">
        <f>TableauProduit[[#This Row],[Poids (g) / unite]]*TableauProduit[[#This Row],[Objectif de vente en unite N1]]/1000</f>
        <v>0</v>
      </c>
      <c r="U44" s="571">
        <f>TableauProduit[[#This Row],[Objectif de vente en unite N1]]*TableauProduit[[#This Row],[Packaging / unite]]</f>
        <v>0</v>
      </c>
      <c r="V44" s="571" t="e">
        <f ca="1">TableauProduit[[#This Row],[Prix Achat de plante par kg]]*TableauProduit[[#This Row],[Total (kg) N1]]</f>
        <v>#VALUE!</v>
      </c>
      <c r="W44" s="571">
        <f>TableauProduit[[#This Row],[Prix de vente/kg]]*TableauProduit[[#This Row],[Total (kg) N1]]</f>
        <v>0</v>
      </c>
      <c r="X44" s="565" t="e">
        <f ca="1">TableauProduit[[#This Row],[Revenue brut N1]]-TableauProduit[[#This Row],[Achat par kg N1]]-TableauProduit[[#This Row],[Conditionnement N1]]</f>
        <v>#VALUE!</v>
      </c>
      <c r="Y44" s="566">
        <v>0</v>
      </c>
      <c r="Z44" s="456">
        <f>TableauProduit[[#This Row],[Poids (g) / unite]]*TableauProduit[[#This Row],[Objectif de vente en unite N1]]/1000</f>
        <v>0</v>
      </c>
      <c r="AA44" s="574">
        <f>TableauProduit[[#This Row],[Objectif de vente en unite N1]]*TableauProduit[[#This Row],[Packaging / unite]]</f>
        <v>0</v>
      </c>
      <c r="AB44" s="574" t="e">
        <f ca="1">TableauProduit[[#This Row],[Prix Achat de plante par kg]]*TableauProduit[[#This Row],[Total (kg) N1]]</f>
        <v>#VALUE!</v>
      </c>
      <c r="AC44" s="574">
        <f>TableauProduit[[#This Row],[Prix de vente/kg]]*TableauProduit[[#This Row],[Total (kg) N1]]</f>
        <v>0</v>
      </c>
      <c r="AD44" s="583" t="e">
        <f ca="1">TableauProduit[[#This Row],[Revenue brut N1]]-TableauProduit[[#This Row],[Achat par kg N1]]-TableauProduit[[#This Row],[Conditionnement N1]]</f>
        <v>#VALUE!</v>
      </c>
      <c r="AE44" s="458">
        <v>0</v>
      </c>
      <c r="AF44" s="458">
        <f>TableauProduit[[#This Row],[Poids (g) / unite]]*TableauProduit[[#This Row],[Objectif de vente en unite N1]]/1000</f>
        <v>0</v>
      </c>
      <c r="AG44" s="577">
        <f>TableauProduit[[#This Row],[Objectif de vente en unite N1]]*TableauProduit[[#This Row],[Packaging / unite]]</f>
        <v>0</v>
      </c>
      <c r="AH44" s="577" t="e">
        <f ca="1">TableauProduit[[#This Row],[Prix Achat de plante par kg]]*TableauProduit[[#This Row],[Total (kg) N1]]</f>
        <v>#VALUE!</v>
      </c>
      <c r="AI44" s="577">
        <f>TableauProduit[[#This Row],[Prix de vente/kg]]*TableauProduit[[#This Row],[Total (kg) N1]]</f>
        <v>0</v>
      </c>
      <c r="AJ44" s="458" t="e">
        <f ca="1">TableauProduit[[#This Row],[Revenue brut N1]]-TableauProduit[[#This Row],[Achat par kg N1]]-TableauProduit[[#This Row],[Conditionnement N1]]</f>
        <v>#VALUE!</v>
      </c>
      <c r="AK44" s="460">
        <v>0</v>
      </c>
      <c r="AL44" s="460">
        <f>TableauProduit[[#This Row],[Poids (g) / unite]]*TableauProduit[[#This Row],[Objectif de vente en unite N1]]/1000</f>
        <v>0</v>
      </c>
      <c r="AM44" s="584">
        <f>TableauProduit[[#This Row],[Objectif de vente en unite N1]]*TableauProduit[[#This Row],[Packaging / unite]]</f>
        <v>0</v>
      </c>
      <c r="AN44" s="584" t="e">
        <f ca="1">TableauProduit[[#This Row],[Prix Achat de plante par kg]]*TableauProduit[[#This Row],[Total (kg) N1]]</f>
        <v>#VALUE!</v>
      </c>
      <c r="AO44" s="584">
        <f>TableauProduit[[#This Row],[Prix de vente/kg]]*TableauProduit[[#This Row],[Total (kg) N1]]</f>
        <v>0</v>
      </c>
      <c r="AP44" s="460" t="e">
        <f ca="1">TableauProduit[[#This Row],[Revenue brut N1]]-TableauProduit[[#This Row],[Achat par kg N1]]-TableauProduit[[#This Row],[Conditionnement N1]]</f>
        <v>#VALUE!</v>
      </c>
      <c r="AQ44" s="462">
        <v>0</v>
      </c>
      <c r="AR44" s="462">
        <f>TableauProduit[[#This Row],[Poids (g) / unite]]*TableauProduit[[#This Row],[Objectif de vente en unite N1]]/1000</f>
        <v>0</v>
      </c>
      <c r="AS44" s="585">
        <f>TableauProduit[[#This Row],[Objectif de vente en unite N1]]*TableauProduit[[#This Row],[Packaging / unite]]</f>
        <v>0</v>
      </c>
      <c r="AT44" s="585" t="e">
        <f ca="1">TableauProduit[[#This Row],[Prix Achat de plante par kg]]*TableauProduit[[#This Row],[Total (kg) N1]]</f>
        <v>#VALUE!</v>
      </c>
      <c r="AU44" s="585">
        <f>TableauProduit[[#This Row],[Prix de vente/kg]]*TableauProduit[[#This Row],[Total (kg) N1]]</f>
        <v>0</v>
      </c>
      <c r="AV44" s="462" t="e">
        <f ca="1">TableauProduit[[#This Row],[Revenue brut N1]]-TableauProduit[[#This Row],[Achat par kg N1]]-TableauProduit[[#This Row],[Conditionnement N1]]</f>
        <v>#VALUE!</v>
      </c>
      <c r="AW44" s="450">
        <v>0</v>
      </c>
      <c r="AX44" s="450">
        <f>TableauProduit[[#This Row],[Poids (g) / unite]]*TableauProduit[[#This Row],[Objectif de vente en unite N1]]/1000</f>
        <v>0</v>
      </c>
      <c r="AY44" s="579">
        <f>TableauProduit[[#This Row],[Objectif de vente en unite N1]]*TableauProduit[[#This Row],[Packaging / unite]]</f>
        <v>0</v>
      </c>
      <c r="AZ44" s="579" t="e">
        <f ca="1">TableauProduit[[#This Row],[Prix Achat de plante par kg]]*TableauProduit[[#This Row],[Total (kg) N1]]</f>
        <v>#VALUE!</v>
      </c>
      <c r="BA44" s="579">
        <f>TableauProduit[[#This Row],[Prix de vente/kg]]*TableauProduit[[#This Row],[Total (kg) N1]]</f>
        <v>0</v>
      </c>
      <c r="BB44" s="586" t="e">
        <f ca="1">TableauProduit[[#This Row],[Revenue brut N1]]-TableauProduit[[#This Row],[Achat par kg N1]]-TableauProduit[[#This Row],[Conditionnement N1]]</f>
        <v>#VALUE!</v>
      </c>
      <c r="BC44" s="568">
        <v>0</v>
      </c>
      <c r="BD44" s="465">
        <f>TableauProduit[[#This Row],[Poids (g) / unite]]*TableauProduit[[#This Row],[Objectif de vente en unite N1]]/1000</f>
        <v>0</v>
      </c>
      <c r="BE44" s="587">
        <f>TableauProduit[[#This Row],[Objectif de vente en unite N1]]*TableauProduit[[#This Row],[Packaging / unite]]</f>
        <v>0</v>
      </c>
      <c r="BF44" s="587" t="e">
        <f ca="1">TableauProduit[[#This Row],[Prix Achat de plante par kg]]*TableauProduit[[#This Row],[Total (kg) N1]]</f>
        <v>#VALUE!</v>
      </c>
      <c r="BG44" s="587">
        <f>TableauProduit[[#This Row],[Prix de vente/kg]]*TableauProduit[[#This Row],[Total (kg) N1]]</f>
        <v>0</v>
      </c>
      <c r="BH44" s="588" t="e">
        <f ca="1">TableauProduit[[#This Row],[Revenue brut N1]]-TableauProduit[[#This Row],[Achat par kg N1]]-TableauProduit[[#This Row],[Conditionnement N1]]</f>
        <v>#VALUE!</v>
      </c>
      <c r="BI44" s="520">
        <v>0</v>
      </c>
      <c r="BJ44" s="467">
        <f>TableauProduit[[#This Row],[Poids (g) / unite]]*TableauProduit[[#This Row],[Objectif de vente en unite N1]]/1000</f>
        <v>0</v>
      </c>
      <c r="BK44" s="589">
        <f>TableauProduit[[#This Row],[Objectif de vente en unite N1]]*TableauProduit[[#This Row],[Packaging / unite]]</f>
        <v>0</v>
      </c>
      <c r="BL44" s="589" t="e">
        <f ca="1">TableauProduit[[#This Row],[Prix Achat de plante par kg]]*TableauProduit[[#This Row],[Total (kg) N1]]</f>
        <v>#VALUE!</v>
      </c>
      <c r="BM44" s="589">
        <f>TableauProduit[[#This Row],[Prix de vente/kg]]*TableauProduit[[#This Row],[Total (kg) N1]]</f>
        <v>0</v>
      </c>
      <c r="BN44" s="467" t="e">
        <f ca="1">TableauProduit[[#This Row],[Revenue brut N1]]-TableauProduit[[#This Row],[Achat par kg N1]]-TableauProduit[[#This Row],[Conditionnement N1]]</f>
        <v>#VALUE!</v>
      </c>
    </row>
    <row r="45" spans="1:66">
      <c r="A45" s="13" t="s">
        <v>92</v>
      </c>
      <c r="B45" s="54" t="str">
        <f>TableauProduit[[#This Row],[Recette]]&amp;TableauProduit[[#This Row],[Conditionnement]]</f>
        <v>ZhugEpice 100ml</v>
      </c>
      <c r="C45" s="11">
        <v>1</v>
      </c>
      <c r="D45" s="11">
        <f>VLOOKUP(TableauProduit[[#This Row],[Recette]],Old[],3)</f>
        <v>20</v>
      </c>
      <c r="E45" s="6" t="s">
        <v>55</v>
      </c>
      <c r="F45" s="7">
        <f>IFERROR(VLOOKUP(TableauProduit[[#This Row],[Conditionnement]],TableauConditionnement[[Nom]:[Contenance]],4,TRUE),"")</f>
        <v>0.64</v>
      </c>
      <c r="G45" s="627" t="e">
        <f ca="1">SUMIFS(TableauRecette[Prix d''achat / kg],TableauRecette[Recette],TableauProduit[[#This Row],[Recette]],TableauRecette[Conditionnement],TableauProduit[[#This Row],[Conditionnement]])</f>
        <v>#VALUE!</v>
      </c>
      <c r="H45" s="628">
        <v>2.9</v>
      </c>
      <c r="I45" s="629">
        <f>1000*TableauProduit[[#This Row],[Prix de vente/U]]/TableauProduit[[#This Row],[Poids (g) / unite]]</f>
        <v>145</v>
      </c>
      <c r="J45" s="630">
        <f>SUMIFS(TableauConcurence[PRIX_KG],TableauConcurence[PRODUIT],TableauProduit[[#This Row],[Recette]],TableauConcurence[DISTRIBUTION],"magasin NON BIO")</f>
        <v>0</v>
      </c>
      <c r="K45" s="631">
        <f>SUMIFS(TableauConcurence[PRIX_KG],TableauConcurence[PRODUIT],TableauProduit[[#This Row],[Recette]],TableauConcurence[DISTRIBUTION],"magasin BIO")</f>
        <v>0</v>
      </c>
      <c r="L45" s="632">
        <f>SUMIFS(TableauConcurence[PRIX_KG],TableauConcurence[PRODUIT],TableauProduit[[#This Row],[Recette]],TableauConcurence[DISTRIBUTION],"artisanale BIO")</f>
        <v>0</v>
      </c>
      <c r="M45" s="564">
        <v>0</v>
      </c>
      <c r="N45" s="450">
        <f>TableauProduit[[#This Row],[Poids (g) / unite]]*TableauProduit[[#This Row],[Objectif de vente en unite N1]]/1000</f>
        <v>0</v>
      </c>
      <c r="O45" s="579">
        <f>TableauProduit[[#This Row],[Objectif de vente en unite N1]]*TableauProduit[[#This Row],[Packaging / unite]]</f>
        <v>0</v>
      </c>
      <c r="P45" s="579" t="e">
        <f t="shared" ca="1" si="1"/>
        <v>#VALUE!</v>
      </c>
      <c r="Q45" s="579" t="e">
        <f ca="1">TableauProduit[[#This Row],[Prix de vente/kg]]*TableauProduit[[#This Row],[Total (kg) N1]]-TableauProduit[[#This Row],[Achat par kg N1]]</f>
        <v>#VALUE!</v>
      </c>
      <c r="R45" s="582" t="e">
        <f ca="1">TableauProduit[[#This Row],[Revenue brut N1]]-TableauProduit[[#This Row],[Conditionnement N1]]</f>
        <v>#VALUE!</v>
      </c>
      <c r="S45" s="453">
        <v>0</v>
      </c>
      <c r="T45" s="452">
        <f>TableauProduit[[#This Row],[Poids (g) / unite]]*TableauProduit[[#This Row],[Objectif de vente en unite N1]]/1000</f>
        <v>0</v>
      </c>
      <c r="U45" s="571">
        <f>TableauProduit[[#This Row],[Objectif de vente en unite N1]]*TableauProduit[[#This Row],[Packaging / unite]]</f>
        <v>0</v>
      </c>
      <c r="V45" s="571" t="e">
        <f ca="1">TableauProduit[[#This Row],[Prix Achat de plante par kg]]*TableauProduit[[#This Row],[Total (kg) N1]]</f>
        <v>#VALUE!</v>
      </c>
      <c r="W45" s="571">
        <f>TableauProduit[[#This Row],[Prix de vente/kg]]*TableauProduit[[#This Row],[Total (kg) N1]]</f>
        <v>0</v>
      </c>
      <c r="X45" s="565" t="e">
        <f ca="1">TableauProduit[[#This Row],[Revenue brut N1]]-TableauProduit[[#This Row],[Achat par kg N1]]-TableauProduit[[#This Row],[Conditionnement N1]]</f>
        <v>#VALUE!</v>
      </c>
      <c r="Y45" s="566">
        <v>0</v>
      </c>
      <c r="Z45" s="456">
        <f>TableauProduit[[#This Row],[Poids (g) / unite]]*TableauProduit[[#This Row],[Objectif de vente en unite N1]]/1000</f>
        <v>0</v>
      </c>
      <c r="AA45" s="574">
        <f>TableauProduit[[#This Row],[Objectif de vente en unite N1]]*TableauProduit[[#This Row],[Packaging / unite]]</f>
        <v>0</v>
      </c>
      <c r="AB45" s="574" t="e">
        <f ca="1">TableauProduit[[#This Row],[Prix Achat de plante par kg]]*TableauProduit[[#This Row],[Total (kg) N1]]</f>
        <v>#VALUE!</v>
      </c>
      <c r="AC45" s="574">
        <f>TableauProduit[[#This Row],[Prix de vente/kg]]*TableauProduit[[#This Row],[Total (kg) N1]]</f>
        <v>0</v>
      </c>
      <c r="AD45" s="583" t="e">
        <f ca="1">TableauProduit[[#This Row],[Revenue brut N1]]-TableauProduit[[#This Row],[Achat par kg N1]]-TableauProduit[[#This Row],[Conditionnement N1]]</f>
        <v>#VALUE!</v>
      </c>
      <c r="AE45" s="458">
        <v>0</v>
      </c>
      <c r="AF45" s="458">
        <f>TableauProduit[[#This Row],[Poids (g) / unite]]*TableauProduit[[#This Row],[Objectif de vente en unite N1]]/1000</f>
        <v>0</v>
      </c>
      <c r="AG45" s="577">
        <f>TableauProduit[[#This Row],[Objectif de vente en unite N1]]*TableauProduit[[#This Row],[Packaging / unite]]</f>
        <v>0</v>
      </c>
      <c r="AH45" s="577" t="e">
        <f ca="1">TableauProduit[[#This Row],[Prix Achat de plante par kg]]*TableauProduit[[#This Row],[Total (kg) N1]]</f>
        <v>#VALUE!</v>
      </c>
      <c r="AI45" s="577">
        <f>TableauProduit[[#This Row],[Prix de vente/kg]]*TableauProduit[[#This Row],[Total (kg) N1]]</f>
        <v>0</v>
      </c>
      <c r="AJ45" s="458" t="e">
        <f ca="1">TableauProduit[[#This Row],[Revenue brut N1]]-TableauProduit[[#This Row],[Achat par kg N1]]-TableauProduit[[#This Row],[Conditionnement N1]]</f>
        <v>#VALUE!</v>
      </c>
      <c r="AK45" s="460">
        <v>0</v>
      </c>
      <c r="AL45" s="460">
        <f>TableauProduit[[#This Row],[Poids (g) / unite]]*TableauProduit[[#This Row],[Objectif de vente en unite N1]]/1000</f>
        <v>0</v>
      </c>
      <c r="AM45" s="584">
        <f>TableauProduit[[#This Row],[Objectif de vente en unite N1]]*TableauProduit[[#This Row],[Packaging / unite]]</f>
        <v>0</v>
      </c>
      <c r="AN45" s="584" t="e">
        <f ca="1">TableauProduit[[#This Row],[Prix Achat de plante par kg]]*TableauProduit[[#This Row],[Total (kg) N1]]</f>
        <v>#VALUE!</v>
      </c>
      <c r="AO45" s="584">
        <f>TableauProduit[[#This Row],[Prix de vente/kg]]*TableauProduit[[#This Row],[Total (kg) N1]]</f>
        <v>0</v>
      </c>
      <c r="AP45" s="460" t="e">
        <f ca="1">TableauProduit[[#This Row],[Revenue brut N1]]-TableauProduit[[#This Row],[Achat par kg N1]]-TableauProduit[[#This Row],[Conditionnement N1]]</f>
        <v>#VALUE!</v>
      </c>
      <c r="AQ45" s="462">
        <v>0</v>
      </c>
      <c r="AR45" s="462">
        <f>TableauProduit[[#This Row],[Poids (g) / unite]]*TableauProduit[[#This Row],[Objectif de vente en unite N1]]/1000</f>
        <v>0</v>
      </c>
      <c r="AS45" s="585">
        <f>TableauProduit[[#This Row],[Objectif de vente en unite N1]]*TableauProduit[[#This Row],[Packaging / unite]]</f>
        <v>0</v>
      </c>
      <c r="AT45" s="585" t="e">
        <f ca="1">TableauProduit[[#This Row],[Prix Achat de plante par kg]]*TableauProduit[[#This Row],[Total (kg) N1]]</f>
        <v>#VALUE!</v>
      </c>
      <c r="AU45" s="585">
        <f>TableauProduit[[#This Row],[Prix de vente/kg]]*TableauProduit[[#This Row],[Total (kg) N1]]</f>
        <v>0</v>
      </c>
      <c r="AV45" s="462" t="e">
        <f ca="1">TableauProduit[[#This Row],[Revenue brut N1]]-TableauProduit[[#This Row],[Achat par kg N1]]-TableauProduit[[#This Row],[Conditionnement N1]]</f>
        <v>#VALUE!</v>
      </c>
      <c r="AW45" s="450">
        <v>0</v>
      </c>
      <c r="AX45" s="450">
        <f>TableauProduit[[#This Row],[Poids (g) / unite]]*TableauProduit[[#This Row],[Objectif de vente en unite N1]]/1000</f>
        <v>0</v>
      </c>
      <c r="AY45" s="579">
        <f>TableauProduit[[#This Row],[Objectif de vente en unite N1]]*TableauProduit[[#This Row],[Packaging / unite]]</f>
        <v>0</v>
      </c>
      <c r="AZ45" s="579" t="e">
        <f ca="1">TableauProduit[[#This Row],[Prix Achat de plante par kg]]*TableauProduit[[#This Row],[Total (kg) N1]]</f>
        <v>#VALUE!</v>
      </c>
      <c r="BA45" s="579">
        <f>TableauProduit[[#This Row],[Prix de vente/kg]]*TableauProduit[[#This Row],[Total (kg) N1]]</f>
        <v>0</v>
      </c>
      <c r="BB45" s="586" t="e">
        <f ca="1">TableauProduit[[#This Row],[Revenue brut N1]]-TableauProduit[[#This Row],[Achat par kg N1]]-TableauProduit[[#This Row],[Conditionnement N1]]</f>
        <v>#VALUE!</v>
      </c>
      <c r="BC45" s="568">
        <v>0</v>
      </c>
      <c r="BD45" s="465">
        <f>TableauProduit[[#This Row],[Poids (g) / unite]]*TableauProduit[[#This Row],[Objectif de vente en unite N1]]/1000</f>
        <v>0</v>
      </c>
      <c r="BE45" s="587">
        <f>TableauProduit[[#This Row],[Objectif de vente en unite N1]]*TableauProduit[[#This Row],[Packaging / unite]]</f>
        <v>0</v>
      </c>
      <c r="BF45" s="587" t="e">
        <f ca="1">TableauProduit[[#This Row],[Prix Achat de plante par kg]]*TableauProduit[[#This Row],[Total (kg) N1]]</f>
        <v>#VALUE!</v>
      </c>
      <c r="BG45" s="587">
        <f>TableauProduit[[#This Row],[Prix de vente/kg]]*TableauProduit[[#This Row],[Total (kg) N1]]</f>
        <v>0</v>
      </c>
      <c r="BH45" s="588" t="e">
        <f ca="1">TableauProduit[[#This Row],[Revenue brut N1]]-TableauProduit[[#This Row],[Achat par kg N1]]-TableauProduit[[#This Row],[Conditionnement N1]]</f>
        <v>#VALUE!</v>
      </c>
      <c r="BI45" s="520">
        <v>0</v>
      </c>
      <c r="BJ45" s="467">
        <f>TableauProduit[[#This Row],[Poids (g) / unite]]*TableauProduit[[#This Row],[Objectif de vente en unite N1]]/1000</f>
        <v>0</v>
      </c>
      <c r="BK45" s="589">
        <f>TableauProduit[[#This Row],[Objectif de vente en unite N1]]*TableauProduit[[#This Row],[Packaging / unite]]</f>
        <v>0</v>
      </c>
      <c r="BL45" s="589" t="e">
        <f ca="1">TableauProduit[[#This Row],[Prix Achat de plante par kg]]*TableauProduit[[#This Row],[Total (kg) N1]]</f>
        <v>#VALUE!</v>
      </c>
      <c r="BM45" s="589">
        <f>TableauProduit[[#This Row],[Prix de vente/kg]]*TableauProduit[[#This Row],[Total (kg) N1]]</f>
        <v>0</v>
      </c>
      <c r="BN45" s="467" t="e">
        <f ca="1">TableauProduit[[#This Row],[Revenue brut N1]]-TableauProduit[[#This Row],[Achat par kg N1]]-TableauProduit[[#This Row],[Conditionnement N1]]</f>
        <v>#VALUE!</v>
      </c>
    </row>
    <row r="46" spans="1:66">
      <c r="A46" s="13" t="s">
        <v>695</v>
      </c>
      <c r="B46" s="54" t="str">
        <f>TableauProduit[[#This Row],[Recette]]&amp;TableauProduit[[#This Row],[Conditionnement]]</f>
        <v>epices pour marinadeEpice 100ml</v>
      </c>
      <c r="C46" s="11">
        <v>1</v>
      </c>
      <c r="D46" s="11">
        <f>VLOOKUP(TableauProduit[[#This Row],[Recette]],Old[],3)</f>
        <v>50</v>
      </c>
      <c r="E46" s="6" t="s">
        <v>55</v>
      </c>
      <c r="F46" s="7">
        <f>IFERROR(VLOOKUP(TableauProduit[[#This Row],[Conditionnement]],TableauConditionnement[[Nom]:[Contenance]],4,TRUE),"")</f>
        <v>0.64</v>
      </c>
      <c r="G46" s="627">
        <f ca="1">SUMIFS(TableauRecette[Prix d''achat / kg],TableauRecette[Recette],TableauProduit[[#This Row],[Recette]],TableauRecette[Conditionnement],TableauProduit[[#This Row],[Conditionnement]])</f>
        <v>5.2694610778443112</v>
      </c>
      <c r="H46" s="628">
        <v>5</v>
      </c>
      <c r="I46" s="629">
        <f>1000*TableauProduit[[#This Row],[Prix de vente/U]]/TableauProduit[[#This Row],[Poids (g) / unite]]</f>
        <v>100</v>
      </c>
      <c r="J46" s="630">
        <f>SUMIFS(TableauConcurence[PRIX_KG],TableauConcurence[PRODUIT],TableauProduit[[#This Row],[Recette]],TableauConcurence[DISTRIBUTION],"magasin NON BIO")</f>
        <v>0</v>
      </c>
      <c r="K46" s="631">
        <f>SUMIFS(TableauConcurence[PRIX_KG],TableauConcurence[PRODUIT],TableauProduit[[#This Row],[Recette]],TableauConcurence[DISTRIBUTION],"magasin BIO")</f>
        <v>0</v>
      </c>
      <c r="L46" s="632">
        <f>SUMIFS(TableauConcurence[PRIX_KG],TableauConcurence[PRODUIT],TableauProduit[[#This Row],[Recette]],TableauConcurence[DISTRIBUTION],"artisanale BIO")</f>
        <v>0</v>
      </c>
      <c r="M46" s="564">
        <v>0</v>
      </c>
      <c r="N46" s="450">
        <f>TableauProduit[[#This Row],[Poids (g) / unite]]*TableauProduit[[#This Row],[Objectif de vente en unite N1]]/1000</f>
        <v>0</v>
      </c>
      <c r="O46" s="579">
        <f>TableauProduit[[#This Row],[Objectif de vente en unite N1]]*TableauProduit[[#This Row],[Packaging / unite]]</f>
        <v>0</v>
      </c>
      <c r="P46" s="579">
        <f t="shared" ca="1" si="1"/>
        <v>0</v>
      </c>
      <c r="Q46" s="579">
        <f ca="1">TableauProduit[[#This Row],[Prix de vente/kg]]*TableauProduit[[#This Row],[Total (kg) N1]]-TableauProduit[[#This Row],[Achat par kg N1]]</f>
        <v>-145</v>
      </c>
      <c r="R46" s="582">
        <f ca="1">TableauProduit[[#This Row],[Revenue brut N1]]-TableauProduit[[#This Row],[Conditionnement N1]]</f>
        <v>-145</v>
      </c>
      <c r="S46" s="453">
        <v>0</v>
      </c>
      <c r="T46" s="452">
        <f>TableauProduit[[#This Row],[Poids (g) / unite]]*TableauProduit[[#This Row],[Objectif de vente en unite N1]]/1000</f>
        <v>0</v>
      </c>
      <c r="U46" s="571">
        <f>TableauProduit[[#This Row],[Objectif de vente en unite N1]]*TableauProduit[[#This Row],[Packaging / unite]]</f>
        <v>0</v>
      </c>
      <c r="V46" s="571">
        <f ca="1">TableauProduit[[#This Row],[Prix Achat de plante par kg]]*TableauProduit[[#This Row],[Total (kg) N1]]</f>
        <v>0</v>
      </c>
      <c r="W46" s="571">
        <f>TableauProduit[[#This Row],[Prix de vente/kg]]*TableauProduit[[#This Row],[Total (kg) N1]]</f>
        <v>0</v>
      </c>
      <c r="X46" s="565">
        <f ca="1">TableauProduit[[#This Row],[Revenue brut N1]]-TableauProduit[[#This Row],[Achat par kg N1]]-TableauProduit[[#This Row],[Conditionnement N1]]</f>
        <v>-290</v>
      </c>
      <c r="Y46" s="566">
        <v>0</v>
      </c>
      <c r="Z46" s="456">
        <f>TableauProduit[[#This Row],[Poids (g) / unite]]*TableauProduit[[#This Row],[Objectif de vente en unite N1]]/1000</f>
        <v>0</v>
      </c>
      <c r="AA46" s="574">
        <f>TableauProduit[[#This Row],[Objectif de vente en unite N1]]*TableauProduit[[#This Row],[Packaging / unite]]</f>
        <v>0</v>
      </c>
      <c r="AB46" s="574">
        <f ca="1">TableauProduit[[#This Row],[Prix Achat de plante par kg]]*TableauProduit[[#This Row],[Total (kg) N1]]</f>
        <v>0</v>
      </c>
      <c r="AC46" s="574">
        <f>TableauProduit[[#This Row],[Prix de vente/kg]]*TableauProduit[[#This Row],[Total (kg) N1]]</f>
        <v>0</v>
      </c>
      <c r="AD46" s="583">
        <f ca="1">TableauProduit[[#This Row],[Revenue brut N1]]-TableauProduit[[#This Row],[Achat par kg N1]]-TableauProduit[[#This Row],[Conditionnement N1]]</f>
        <v>-290</v>
      </c>
      <c r="AE46" s="458">
        <v>0</v>
      </c>
      <c r="AF46" s="458">
        <f>TableauProduit[[#This Row],[Poids (g) / unite]]*TableauProduit[[#This Row],[Objectif de vente en unite N1]]/1000</f>
        <v>0</v>
      </c>
      <c r="AG46" s="577">
        <f>TableauProduit[[#This Row],[Objectif de vente en unite N1]]*TableauProduit[[#This Row],[Packaging / unite]]</f>
        <v>0</v>
      </c>
      <c r="AH46" s="577">
        <f ca="1">TableauProduit[[#This Row],[Prix Achat de plante par kg]]*TableauProduit[[#This Row],[Total (kg) N1]]</f>
        <v>0</v>
      </c>
      <c r="AI46" s="577">
        <f>TableauProduit[[#This Row],[Prix de vente/kg]]*TableauProduit[[#This Row],[Total (kg) N1]]</f>
        <v>0</v>
      </c>
      <c r="AJ46" s="458">
        <f ca="1">TableauProduit[[#This Row],[Revenue brut N1]]-TableauProduit[[#This Row],[Achat par kg N1]]-TableauProduit[[#This Row],[Conditionnement N1]]</f>
        <v>-290</v>
      </c>
      <c r="AK46" s="460">
        <v>0</v>
      </c>
      <c r="AL46" s="460">
        <f>TableauProduit[[#This Row],[Poids (g) / unite]]*TableauProduit[[#This Row],[Objectif de vente en unite N1]]/1000</f>
        <v>0</v>
      </c>
      <c r="AM46" s="584">
        <f>TableauProduit[[#This Row],[Objectif de vente en unite N1]]*TableauProduit[[#This Row],[Packaging / unite]]</f>
        <v>0</v>
      </c>
      <c r="AN46" s="584">
        <f ca="1">TableauProduit[[#This Row],[Prix Achat de plante par kg]]*TableauProduit[[#This Row],[Total (kg) N1]]</f>
        <v>0</v>
      </c>
      <c r="AO46" s="584">
        <f>TableauProduit[[#This Row],[Prix de vente/kg]]*TableauProduit[[#This Row],[Total (kg) N1]]</f>
        <v>0</v>
      </c>
      <c r="AP46" s="460">
        <f ca="1">TableauProduit[[#This Row],[Revenue brut N1]]-TableauProduit[[#This Row],[Achat par kg N1]]-TableauProduit[[#This Row],[Conditionnement N1]]</f>
        <v>-290</v>
      </c>
      <c r="AQ46" s="462">
        <v>0</v>
      </c>
      <c r="AR46" s="462">
        <f>TableauProduit[[#This Row],[Poids (g) / unite]]*TableauProduit[[#This Row],[Objectif de vente en unite N1]]/1000</f>
        <v>0</v>
      </c>
      <c r="AS46" s="585">
        <f>TableauProduit[[#This Row],[Objectif de vente en unite N1]]*TableauProduit[[#This Row],[Packaging / unite]]</f>
        <v>0</v>
      </c>
      <c r="AT46" s="585">
        <f ca="1">TableauProduit[[#This Row],[Prix Achat de plante par kg]]*TableauProduit[[#This Row],[Total (kg) N1]]</f>
        <v>0</v>
      </c>
      <c r="AU46" s="585">
        <f>TableauProduit[[#This Row],[Prix de vente/kg]]*TableauProduit[[#This Row],[Total (kg) N1]]</f>
        <v>0</v>
      </c>
      <c r="AV46" s="462">
        <f ca="1">TableauProduit[[#This Row],[Revenue brut N1]]-TableauProduit[[#This Row],[Achat par kg N1]]-TableauProduit[[#This Row],[Conditionnement N1]]</f>
        <v>-290</v>
      </c>
      <c r="AW46" s="450">
        <v>0</v>
      </c>
      <c r="AX46" s="450">
        <f>TableauProduit[[#This Row],[Poids (g) / unite]]*TableauProduit[[#This Row],[Objectif de vente en unite N1]]/1000</f>
        <v>0</v>
      </c>
      <c r="AY46" s="579">
        <f>TableauProduit[[#This Row],[Objectif de vente en unite N1]]*TableauProduit[[#This Row],[Packaging / unite]]</f>
        <v>0</v>
      </c>
      <c r="AZ46" s="579">
        <f ca="1">TableauProduit[[#This Row],[Prix Achat de plante par kg]]*TableauProduit[[#This Row],[Total (kg) N1]]</f>
        <v>0</v>
      </c>
      <c r="BA46" s="579">
        <f>TableauProduit[[#This Row],[Prix de vente/kg]]*TableauProduit[[#This Row],[Total (kg) N1]]</f>
        <v>0</v>
      </c>
      <c r="BB46" s="586">
        <f ca="1">TableauProduit[[#This Row],[Revenue brut N1]]-TableauProduit[[#This Row],[Achat par kg N1]]-TableauProduit[[#This Row],[Conditionnement N1]]</f>
        <v>-290</v>
      </c>
      <c r="BC46" s="568">
        <v>0</v>
      </c>
      <c r="BD46" s="465">
        <f>TableauProduit[[#This Row],[Poids (g) / unite]]*TableauProduit[[#This Row],[Objectif de vente en unite N1]]/1000</f>
        <v>0</v>
      </c>
      <c r="BE46" s="587">
        <f>TableauProduit[[#This Row],[Objectif de vente en unite N1]]*TableauProduit[[#This Row],[Packaging / unite]]</f>
        <v>0</v>
      </c>
      <c r="BF46" s="587">
        <f ca="1">TableauProduit[[#This Row],[Prix Achat de plante par kg]]*TableauProduit[[#This Row],[Total (kg) N1]]</f>
        <v>0</v>
      </c>
      <c r="BG46" s="587">
        <f>TableauProduit[[#This Row],[Prix de vente/kg]]*TableauProduit[[#This Row],[Total (kg) N1]]</f>
        <v>0</v>
      </c>
      <c r="BH46" s="588">
        <f ca="1">TableauProduit[[#This Row],[Revenue brut N1]]-TableauProduit[[#This Row],[Achat par kg N1]]-TableauProduit[[#This Row],[Conditionnement N1]]</f>
        <v>-290</v>
      </c>
      <c r="BI46" s="520">
        <v>0</v>
      </c>
      <c r="BJ46" s="467">
        <f>TableauProduit[[#This Row],[Poids (g) / unite]]*TableauProduit[[#This Row],[Objectif de vente en unite N1]]/1000</f>
        <v>0</v>
      </c>
      <c r="BK46" s="589">
        <f>TableauProduit[[#This Row],[Objectif de vente en unite N1]]*TableauProduit[[#This Row],[Packaging / unite]]</f>
        <v>0</v>
      </c>
      <c r="BL46" s="589">
        <f ca="1">TableauProduit[[#This Row],[Prix Achat de plante par kg]]*TableauProduit[[#This Row],[Total (kg) N1]]</f>
        <v>0</v>
      </c>
      <c r="BM46" s="589">
        <f>TableauProduit[[#This Row],[Prix de vente/kg]]*TableauProduit[[#This Row],[Total (kg) N1]]</f>
        <v>0</v>
      </c>
      <c r="BN46" s="467">
        <f ca="1">TableauProduit[[#This Row],[Revenue brut N1]]-TableauProduit[[#This Row],[Achat par kg N1]]-TableauProduit[[#This Row],[Conditionnement N1]]</f>
        <v>-290</v>
      </c>
    </row>
    <row r="47" spans="1:66">
      <c r="A47" s="13" t="s">
        <v>696</v>
      </c>
      <c r="B47" s="54" t="str">
        <f>TableauProduit[[#This Row],[Recette]]&amp;TableauProduit[[#This Row],[Conditionnement]]</f>
        <v>epices poissons et fruits de merEpice 100ml</v>
      </c>
      <c r="C47" s="11">
        <v>1</v>
      </c>
      <c r="D47" s="11">
        <f>VLOOKUP(TableauProduit[[#This Row],[Recette]],Old[],3)</f>
        <v>50</v>
      </c>
      <c r="E47" s="6" t="s">
        <v>55</v>
      </c>
      <c r="F47" s="7">
        <f>IFERROR(VLOOKUP(TableauProduit[[#This Row],[Conditionnement]],TableauConditionnement[[Nom]:[Contenance]],4,TRUE),"")</f>
        <v>0.64</v>
      </c>
      <c r="G47" s="627">
        <f ca="1">SUMIFS(TableauRecette[Prix d''achat / kg],TableauRecette[Recette],TableauProduit[[#This Row],[Recette]],TableauRecette[Conditionnement],TableauProduit[[#This Row],[Conditionnement]])</f>
        <v>5.8014250000000001</v>
      </c>
      <c r="H47" s="628">
        <v>5</v>
      </c>
      <c r="I47" s="629">
        <f>1000*TableauProduit[[#This Row],[Prix de vente/U]]/TableauProduit[[#This Row],[Poids (g) / unite]]</f>
        <v>100</v>
      </c>
      <c r="J47" s="630">
        <f>SUMIFS(TableauConcurence[PRIX_KG],TableauConcurence[PRODUIT],TableauProduit[[#This Row],[Recette]],TableauConcurence[DISTRIBUTION],"magasin NON BIO")</f>
        <v>0</v>
      </c>
      <c r="K47" s="631">
        <f>SUMIFS(TableauConcurence[PRIX_KG],TableauConcurence[PRODUIT],TableauProduit[[#This Row],[Recette]],TableauConcurence[DISTRIBUTION],"magasin BIO")</f>
        <v>0</v>
      </c>
      <c r="L47" s="632">
        <f>SUMIFS(TableauConcurence[PRIX_KG],TableauConcurence[PRODUIT],TableauProduit[[#This Row],[Recette]],TableauConcurence[DISTRIBUTION],"artisanale BIO")</f>
        <v>0</v>
      </c>
      <c r="M47" s="564">
        <v>0</v>
      </c>
      <c r="N47" s="450">
        <f>TableauProduit[[#This Row],[Poids (g) / unite]]*TableauProduit[[#This Row],[Objectif de vente en unite N1]]/1000</f>
        <v>0</v>
      </c>
      <c r="O47" s="579">
        <f>TableauProduit[[#This Row],[Objectif de vente en unite N1]]*TableauProduit[[#This Row],[Packaging / unite]]</f>
        <v>0</v>
      </c>
      <c r="P47" s="579">
        <f t="shared" ca="1" si="1"/>
        <v>0</v>
      </c>
      <c r="Q47" s="579">
        <f ca="1">TableauProduit[[#This Row],[Prix de vente/kg]]*TableauProduit[[#This Row],[Total (kg) N1]]-TableauProduit[[#This Row],[Achat par kg N1]]</f>
        <v>-100</v>
      </c>
      <c r="R47" s="582">
        <f ca="1">TableauProduit[[#This Row],[Revenue brut N1]]-TableauProduit[[#This Row],[Conditionnement N1]]</f>
        <v>-100</v>
      </c>
      <c r="S47" s="453">
        <v>0</v>
      </c>
      <c r="T47" s="452">
        <f>TableauProduit[[#This Row],[Poids (g) / unite]]*TableauProduit[[#This Row],[Objectif de vente en unite N1]]/1000</f>
        <v>0</v>
      </c>
      <c r="U47" s="571">
        <f>TableauProduit[[#This Row],[Objectif de vente en unite N1]]*TableauProduit[[#This Row],[Packaging / unite]]</f>
        <v>0</v>
      </c>
      <c r="V47" s="571">
        <f ca="1">TableauProduit[[#This Row],[Prix Achat de plante par kg]]*TableauProduit[[#This Row],[Total (kg) N1]]</f>
        <v>0</v>
      </c>
      <c r="W47" s="571">
        <f>TableauProduit[[#This Row],[Prix de vente/kg]]*TableauProduit[[#This Row],[Total (kg) N1]]</f>
        <v>0</v>
      </c>
      <c r="X47" s="565">
        <f ca="1">TableauProduit[[#This Row],[Revenue brut N1]]-TableauProduit[[#This Row],[Achat par kg N1]]-TableauProduit[[#This Row],[Conditionnement N1]]</f>
        <v>-200</v>
      </c>
      <c r="Y47" s="566">
        <v>0</v>
      </c>
      <c r="Z47" s="456">
        <f>TableauProduit[[#This Row],[Poids (g) / unite]]*TableauProduit[[#This Row],[Objectif de vente en unite N1]]/1000</f>
        <v>0</v>
      </c>
      <c r="AA47" s="574">
        <f>TableauProduit[[#This Row],[Objectif de vente en unite N1]]*TableauProduit[[#This Row],[Packaging / unite]]</f>
        <v>0</v>
      </c>
      <c r="AB47" s="574">
        <f ca="1">TableauProduit[[#This Row],[Prix Achat de plante par kg]]*TableauProduit[[#This Row],[Total (kg) N1]]</f>
        <v>0</v>
      </c>
      <c r="AC47" s="574">
        <f>TableauProduit[[#This Row],[Prix de vente/kg]]*TableauProduit[[#This Row],[Total (kg) N1]]</f>
        <v>0</v>
      </c>
      <c r="AD47" s="583">
        <f ca="1">TableauProduit[[#This Row],[Revenue brut N1]]-TableauProduit[[#This Row],[Achat par kg N1]]-TableauProduit[[#This Row],[Conditionnement N1]]</f>
        <v>-200</v>
      </c>
      <c r="AE47" s="458">
        <v>0</v>
      </c>
      <c r="AF47" s="458">
        <f>TableauProduit[[#This Row],[Poids (g) / unite]]*TableauProduit[[#This Row],[Objectif de vente en unite N1]]/1000</f>
        <v>0</v>
      </c>
      <c r="AG47" s="577">
        <f>TableauProduit[[#This Row],[Objectif de vente en unite N1]]*TableauProduit[[#This Row],[Packaging / unite]]</f>
        <v>0</v>
      </c>
      <c r="AH47" s="577">
        <f ca="1">TableauProduit[[#This Row],[Prix Achat de plante par kg]]*TableauProduit[[#This Row],[Total (kg) N1]]</f>
        <v>0</v>
      </c>
      <c r="AI47" s="577">
        <f>TableauProduit[[#This Row],[Prix de vente/kg]]*TableauProduit[[#This Row],[Total (kg) N1]]</f>
        <v>0</v>
      </c>
      <c r="AJ47" s="458">
        <f ca="1">TableauProduit[[#This Row],[Revenue brut N1]]-TableauProduit[[#This Row],[Achat par kg N1]]-TableauProduit[[#This Row],[Conditionnement N1]]</f>
        <v>-200</v>
      </c>
      <c r="AK47" s="460">
        <v>0</v>
      </c>
      <c r="AL47" s="460">
        <f>TableauProduit[[#This Row],[Poids (g) / unite]]*TableauProduit[[#This Row],[Objectif de vente en unite N1]]/1000</f>
        <v>0</v>
      </c>
      <c r="AM47" s="584">
        <f>TableauProduit[[#This Row],[Objectif de vente en unite N1]]*TableauProduit[[#This Row],[Packaging / unite]]</f>
        <v>0</v>
      </c>
      <c r="AN47" s="584">
        <f ca="1">TableauProduit[[#This Row],[Prix Achat de plante par kg]]*TableauProduit[[#This Row],[Total (kg) N1]]</f>
        <v>0</v>
      </c>
      <c r="AO47" s="584">
        <f>TableauProduit[[#This Row],[Prix de vente/kg]]*TableauProduit[[#This Row],[Total (kg) N1]]</f>
        <v>0</v>
      </c>
      <c r="AP47" s="460">
        <f ca="1">TableauProduit[[#This Row],[Revenue brut N1]]-TableauProduit[[#This Row],[Achat par kg N1]]-TableauProduit[[#This Row],[Conditionnement N1]]</f>
        <v>-200</v>
      </c>
      <c r="AQ47" s="462">
        <v>0</v>
      </c>
      <c r="AR47" s="462">
        <f>TableauProduit[[#This Row],[Poids (g) / unite]]*TableauProduit[[#This Row],[Objectif de vente en unite N1]]/1000</f>
        <v>0</v>
      </c>
      <c r="AS47" s="585">
        <f>TableauProduit[[#This Row],[Objectif de vente en unite N1]]*TableauProduit[[#This Row],[Packaging / unite]]</f>
        <v>0</v>
      </c>
      <c r="AT47" s="585">
        <f ca="1">TableauProduit[[#This Row],[Prix Achat de plante par kg]]*TableauProduit[[#This Row],[Total (kg) N1]]</f>
        <v>0</v>
      </c>
      <c r="AU47" s="585">
        <f>TableauProduit[[#This Row],[Prix de vente/kg]]*TableauProduit[[#This Row],[Total (kg) N1]]</f>
        <v>0</v>
      </c>
      <c r="AV47" s="462">
        <f ca="1">TableauProduit[[#This Row],[Revenue brut N1]]-TableauProduit[[#This Row],[Achat par kg N1]]-TableauProduit[[#This Row],[Conditionnement N1]]</f>
        <v>-200</v>
      </c>
      <c r="AW47" s="450">
        <v>0</v>
      </c>
      <c r="AX47" s="450">
        <f>TableauProduit[[#This Row],[Poids (g) / unite]]*TableauProduit[[#This Row],[Objectif de vente en unite N1]]/1000</f>
        <v>0</v>
      </c>
      <c r="AY47" s="579">
        <f>TableauProduit[[#This Row],[Objectif de vente en unite N1]]*TableauProduit[[#This Row],[Packaging / unite]]</f>
        <v>0</v>
      </c>
      <c r="AZ47" s="579">
        <f ca="1">TableauProduit[[#This Row],[Prix Achat de plante par kg]]*TableauProduit[[#This Row],[Total (kg) N1]]</f>
        <v>0</v>
      </c>
      <c r="BA47" s="579">
        <f>TableauProduit[[#This Row],[Prix de vente/kg]]*TableauProduit[[#This Row],[Total (kg) N1]]</f>
        <v>0</v>
      </c>
      <c r="BB47" s="586">
        <f ca="1">TableauProduit[[#This Row],[Revenue brut N1]]-TableauProduit[[#This Row],[Achat par kg N1]]-TableauProduit[[#This Row],[Conditionnement N1]]</f>
        <v>-200</v>
      </c>
      <c r="BC47" s="568">
        <v>0</v>
      </c>
      <c r="BD47" s="465">
        <f>TableauProduit[[#This Row],[Poids (g) / unite]]*TableauProduit[[#This Row],[Objectif de vente en unite N1]]/1000</f>
        <v>0</v>
      </c>
      <c r="BE47" s="587">
        <f>TableauProduit[[#This Row],[Objectif de vente en unite N1]]*TableauProduit[[#This Row],[Packaging / unite]]</f>
        <v>0</v>
      </c>
      <c r="BF47" s="587">
        <f ca="1">TableauProduit[[#This Row],[Prix Achat de plante par kg]]*TableauProduit[[#This Row],[Total (kg) N1]]</f>
        <v>0</v>
      </c>
      <c r="BG47" s="587">
        <f>TableauProduit[[#This Row],[Prix de vente/kg]]*TableauProduit[[#This Row],[Total (kg) N1]]</f>
        <v>0</v>
      </c>
      <c r="BH47" s="588">
        <f ca="1">TableauProduit[[#This Row],[Revenue brut N1]]-TableauProduit[[#This Row],[Achat par kg N1]]-TableauProduit[[#This Row],[Conditionnement N1]]</f>
        <v>-200</v>
      </c>
      <c r="BI47" s="520">
        <v>0</v>
      </c>
      <c r="BJ47" s="467">
        <f>TableauProduit[[#This Row],[Poids (g) / unite]]*TableauProduit[[#This Row],[Objectif de vente en unite N1]]/1000</f>
        <v>0</v>
      </c>
      <c r="BK47" s="589">
        <f>TableauProduit[[#This Row],[Objectif de vente en unite N1]]*TableauProduit[[#This Row],[Packaging / unite]]</f>
        <v>0</v>
      </c>
      <c r="BL47" s="589">
        <f ca="1">TableauProduit[[#This Row],[Prix Achat de plante par kg]]*TableauProduit[[#This Row],[Total (kg) N1]]</f>
        <v>0</v>
      </c>
      <c r="BM47" s="589">
        <f>TableauProduit[[#This Row],[Prix de vente/kg]]*TableauProduit[[#This Row],[Total (kg) N1]]</f>
        <v>0</v>
      </c>
      <c r="BN47" s="467">
        <f ca="1">TableauProduit[[#This Row],[Revenue brut N1]]-TableauProduit[[#This Row],[Achat par kg N1]]-TableauProduit[[#This Row],[Conditionnement N1]]</f>
        <v>-200</v>
      </c>
    </row>
    <row r="48" spans="1:66">
      <c r="A48" s="13" t="s">
        <v>697</v>
      </c>
      <c r="B48" s="54" t="str">
        <f>TableauProduit[[#This Row],[Recette]]&amp;TableauProduit[[#This Row],[Conditionnement]]</f>
        <v>Suya ghaneenEpice 100ml</v>
      </c>
      <c r="C48" s="11">
        <v>1</v>
      </c>
      <c r="D48" s="11">
        <f>VLOOKUP(TableauProduit[[#This Row],[Recette]],Old[],3)</f>
        <v>50</v>
      </c>
      <c r="E48" s="6" t="s">
        <v>55</v>
      </c>
      <c r="F48" s="7">
        <f>IFERROR(VLOOKUP(TableauProduit[[#This Row],[Conditionnement]],TableauConditionnement[[Nom]:[Contenance]],4,TRUE),"")</f>
        <v>0.64</v>
      </c>
      <c r="G48" s="627" t="e">
        <f ca="1">SUMIFS(TableauRecette[Prix d''achat / kg],TableauRecette[Recette],TableauProduit[[#This Row],[Recette]],TableauRecette[Conditionnement],TableauProduit[[#This Row],[Conditionnement]])</f>
        <v>#VALUE!</v>
      </c>
      <c r="H48" s="628">
        <v>5</v>
      </c>
      <c r="I48" s="629">
        <f>1000*TableauProduit[[#This Row],[Prix de vente/U]]/TableauProduit[[#This Row],[Poids (g) / unite]]</f>
        <v>100</v>
      </c>
      <c r="J48" s="630">
        <f>SUMIFS(TableauConcurence[PRIX_KG],TableauConcurence[PRODUIT],TableauProduit[[#This Row],[Recette]],TableauConcurence[DISTRIBUTION],"magasin NON BIO")</f>
        <v>0</v>
      </c>
      <c r="K48" s="631">
        <f>SUMIFS(TableauConcurence[PRIX_KG],TableauConcurence[PRODUIT],TableauProduit[[#This Row],[Recette]],TableauConcurence[DISTRIBUTION],"magasin BIO")</f>
        <v>0</v>
      </c>
      <c r="L48" s="632">
        <f>SUMIFS(TableauConcurence[PRIX_KG],TableauConcurence[PRODUIT],TableauProduit[[#This Row],[Recette]],TableauConcurence[DISTRIBUTION],"artisanale BIO")</f>
        <v>0</v>
      </c>
      <c r="M48" s="564">
        <v>0</v>
      </c>
      <c r="N48" s="450">
        <f>TableauProduit[[#This Row],[Poids (g) / unite]]*TableauProduit[[#This Row],[Objectif de vente en unite N1]]/1000</f>
        <v>0</v>
      </c>
      <c r="O48" s="579">
        <f>TableauProduit[[#This Row],[Objectif de vente en unite N1]]*TableauProduit[[#This Row],[Packaging / unite]]</f>
        <v>0</v>
      </c>
      <c r="P48" s="579" t="e">
        <f t="shared" ca="1" si="1"/>
        <v>#VALUE!</v>
      </c>
      <c r="Q48" s="579" t="e">
        <f ca="1">TableauProduit[[#This Row],[Prix de vente/kg]]*TableauProduit[[#This Row],[Total (kg) N1]]-TableauProduit[[#This Row],[Achat par kg N1]]</f>
        <v>#VALUE!</v>
      </c>
      <c r="R48" s="582" t="e">
        <f ca="1">TableauProduit[[#This Row],[Revenue brut N1]]-TableauProduit[[#This Row],[Conditionnement N1]]</f>
        <v>#VALUE!</v>
      </c>
      <c r="S48" s="453">
        <v>0</v>
      </c>
      <c r="T48" s="452">
        <f>TableauProduit[[#This Row],[Poids (g) / unite]]*TableauProduit[[#This Row],[Objectif de vente en unite N1]]/1000</f>
        <v>0</v>
      </c>
      <c r="U48" s="571">
        <f>TableauProduit[[#This Row],[Objectif de vente en unite N1]]*TableauProduit[[#This Row],[Packaging / unite]]</f>
        <v>0</v>
      </c>
      <c r="V48" s="571" t="e">
        <f ca="1">TableauProduit[[#This Row],[Prix Achat de plante par kg]]*TableauProduit[[#This Row],[Total (kg) N1]]</f>
        <v>#VALUE!</v>
      </c>
      <c r="W48" s="571">
        <f>TableauProduit[[#This Row],[Prix de vente/kg]]*TableauProduit[[#This Row],[Total (kg) N1]]</f>
        <v>0</v>
      </c>
      <c r="X48" s="565" t="e">
        <f ca="1">TableauProduit[[#This Row],[Revenue brut N1]]-TableauProduit[[#This Row],[Achat par kg N1]]-TableauProduit[[#This Row],[Conditionnement N1]]</f>
        <v>#VALUE!</v>
      </c>
      <c r="Y48" s="566">
        <v>0</v>
      </c>
      <c r="Z48" s="456">
        <f>TableauProduit[[#This Row],[Poids (g) / unite]]*TableauProduit[[#This Row],[Objectif de vente en unite N1]]/1000</f>
        <v>0</v>
      </c>
      <c r="AA48" s="574">
        <f>TableauProduit[[#This Row],[Objectif de vente en unite N1]]*TableauProduit[[#This Row],[Packaging / unite]]</f>
        <v>0</v>
      </c>
      <c r="AB48" s="574" t="e">
        <f ca="1">TableauProduit[[#This Row],[Prix Achat de plante par kg]]*TableauProduit[[#This Row],[Total (kg) N1]]</f>
        <v>#VALUE!</v>
      </c>
      <c r="AC48" s="574">
        <f>TableauProduit[[#This Row],[Prix de vente/kg]]*TableauProduit[[#This Row],[Total (kg) N1]]</f>
        <v>0</v>
      </c>
      <c r="AD48" s="583" t="e">
        <f ca="1">TableauProduit[[#This Row],[Revenue brut N1]]-TableauProduit[[#This Row],[Achat par kg N1]]-TableauProduit[[#This Row],[Conditionnement N1]]</f>
        <v>#VALUE!</v>
      </c>
      <c r="AE48" s="458">
        <v>0</v>
      </c>
      <c r="AF48" s="458">
        <f>TableauProduit[[#This Row],[Poids (g) / unite]]*TableauProduit[[#This Row],[Objectif de vente en unite N1]]/1000</f>
        <v>0</v>
      </c>
      <c r="AG48" s="577">
        <f>TableauProduit[[#This Row],[Objectif de vente en unite N1]]*TableauProduit[[#This Row],[Packaging / unite]]</f>
        <v>0</v>
      </c>
      <c r="AH48" s="577" t="e">
        <f ca="1">TableauProduit[[#This Row],[Prix Achat de plante par kg]]*TableauProduit[[#This Row],[Total (kg) N1]]</f>
        <v>#VALUE!</v>
      </c>
      <c r="AI48" s="577">
        <f>TableauProduit[[#This Row],[Prix de vente/kg]]*TableauProduit[[#This Row],[Total (kg) N1]]</f>
        <v>0</v>
      </c>
      <c r="AJ48" s="458" t="e">
        <f ca="1">TableauProduit[[#This Row],[Revenue brut N1]]-TableauProduit[[#This Row],[Achat par kg N1]]-TableauProduit[[#This Row],[Conditionnement N1]]</f>
        <v>#VALUE!</v>
      </c>
      <c r="AK48" s="460">
        <v>0</v>
      </c>
      <c r="AL48" s="460">
        <f>TableauProduit[[#This Row],[Poids (g) / unite]]*TableauProduit[[#This Row],[Objectif de vente en unite N1]]/1000</f>
        <v>0</v>
      </c>
      <c r="AM48" s="584">
        <f>TableauProduit[[#This Row],[Objectif de vente en unite N1]]*TableauProduit[[#This Row],[Packaging / unite]]</f>
        <v>0</v>
      </c>
      <c r="AN48" s="584" t="e">
        <f ca="1">TableauProduit[[#This Row],[Prix Achat de plante par kg]]*TableauProduit[[#This Row],[Total (kg) N1]]</f>
        <v>#VALUE!</v>
      </c>
      <c r="AO48" s="584">
        <f>TableauProduit[[#This Row],[Prix de vente/kg]]*TableauProduit[[#This Row],[Total (kg) N1]]</f>
        <v>0</v>
      </c>
      <c r="AP48" s="460" t="e">
        <f ca="1">TableauProduit[[#This Row],[Revenue brut N1]]-TableauProduit[[#This Row],[Achat par kg N1]]-TableauProduit[[#This Row],[Conditionnement N1]]</f>
        <v>#VALUE!</v>
      </c>
      <c r="AQ48" s="462">
        <v>0</v>
      </c>
      <c r="AR48" s="462">
        <f>TableauProduit[[#This Row],[Poids (g) / unite]]*TableauProduit[[#This Row],[Objectif de vente en unite N1]]/1000</f>
        <v>0</v>
      </c>
      <c r="AS48" s="585">
        <f>TableauProduit[[#This Row],[Objectif de vente en unite N1]]*TableauProduit[[#This Row],[Packaging / unite]]</f>
        <v>0</v>
      </c>
      <c r="AT48" s="585" t="e">
        <f ca="1">TableauProduit[[#This Row],[Prix Achat de plante par kg]]*TableauProduit[[#This Row],[Total (kg) N1]]</f>
        <v>#VALUE!</v>
      </c>
      <c r="AU48" s="585">
        <f>TableauProduit[[#This Row],[Prix de vente/kg]]*TableauProduit[[#This Row],[Total (kg) N1]]</f>
        <v>0</v>
      </c>
      <c r="AV48" s="462" t="e">
        <f ca="1">TableauProduit[[#This Row],[Revenue brut N1]]-TableauProduit[[#This Row],[Achat par kg N1]]-TableauProduit[[#This Row],[Conditionnement N1]]</f>
        <v>#VALUE!</v>
      </c>
      <c r="AW48" s="450">
        <v>0</v>
      </c>
      <c r="AX48" s="450">
        <f>TableauProduit[[#This Row],[Poids (g) / unite]]*TableauProduit[[#This Row],[Objectif de vente en unite N1]]/1000</f>
        <v>0</v>
      </c>
      <c r="AY48" s="579">
        <f>TableauProduit[[#This Row],[Objectif de vente en unite N1]]*TableauProduit[[#This Row],[Packaging / unite]]</f>
        <v>0</v>
      </c>
      <c r="AZ48" s="579" t="e">
        <f ca="1">TableauProduit[[#This Row],[Prix Achat de plante par kg]]*TableauProduit[[#This Row],[Total (kg) N1]]</f>
        <v>#VALUE!</v>
      </c>
      <c r="BA48" s="579">
        <f>TableauProduit[[#This Row],[Prix de vente/kg]]*TableauProduit[[#This Row],[Total (kg) N1]]</f>
        <v>0</v>
      </c>
      <c r="BB48" s="586" t="e">
        <f ca="1">TableauProduit[[#This Row],[Revenue brut N1]]-TableauProduit[[#This Row],[Achat par kg N1]]-TableauProduit[[#This Row],[Conditionnement N1]]</f>
        <v>#VALUE!</v>
      </c>
      <c r="BC48" s="568">
        <v>0</v>
      </c>
      <c r="BD48" s="465">
        <f>TableauProduit[[#This Row],[Poids (g) / unite]]*TableauProduit[[#This Row],[Objectif de vente en unite N1]]/1000</f>
        <v>0</v>
      </c>
      <c r="BE48" s="587">
        <f>TableauProduit[[#This Row],[Objectif de vente en unite N1]]*TableauProduit[[#This Row],[Packaging / unite]]</f>
        <v>0</v>
      </c>
      <c r="BF48" s="587" t="e">
        <f ca="1">TableauProduit[[#This Row],[Prix Achat de plante par kg]]*TableauProduit[[#This Row],[Total (kg) N1]]</f>
        <v>#VALUE!</v>
      </c>
      <c r="BG48" s="587">
        <f>TableauProduit[[#This Row],[Prix de vente/kg]]*TableauProduit[[#This Row],[Total (kg) N1]]</f>
        <v>0</v>
      </c>
      <c r="BH48" s="588" t="e">
        <f ca="1">TableauProduit[[#This Row],[Revenue brut N1]]-TableauProduit[[#This Row],[Achat par kg N1]]-TableauProduit[[#This Row],[Conditionnement N1]]</f>
        <v>#VALUE!</v>
      </c>
      <c r="BI48" s="520">
        <v>0</v>
      </c>
      <c r="BJ48" s="467">
        <f>TableauProduit[[#This Row],[Poids (g) / unite]]*TableauProduit[[#This Row],[Objectif de vente en unite N1]]/1000</f>
        <v>0</v>
      </c>
      <c r="BK48" s="589">
        <f>TableauProduit[[#This Row],[Objectif de vente en unite N1]]*TableauProduit[[#This Row],[Packaging / unite]]</f>
        <v>0</v>
      </c>
      <c r="BL48" s="589" t="e">
        <f ca="1">TableauProduit[[#This Row],[Prix Achat de plante par kg]]*TableauProduit[[#This Row],[Total (kg) N1]]</f>
        <v>#VALUE!</v>
      </c>
      <c r="BM48" s="589">
        <f>TableauProduit[[#This Row],[Prix de vente/kg]]*TableauProduit[[#This Row],[Total (kg) N1]]</f>
        <v>0</v>
      </c>
      <c r="BN48" s="467" t="e">
        <f ca="1">TableauProduit[[#This Row],[Revenue brut N1]]-TableauProduit[[#This Row],[Achat par kg N1]]-TableauProduit[[#This Row],[Conditionnement N1]]</f>
        <v>#VALUE!</v>
      </c>
    </row>
    <row r="49" spans="1:66">
      <c r="A49" s="13" t="s">
        <v>698</v>
      </c>
      <c r="B49" s="54" t="str">
        <f>TableauProduit[[#This Row],[Recette]]&amp;TableauProduit[[#This Row],[Conditionnement]]</f>
        <v>Steak de MontrealEpice 100ml</v>
      </c>
      <c r="C49" s="11">
        <v>1</v>
      </c>
      <c r="D49" s="11">
        <f>VLOOKUP(TableauProduit[[#This Row],[Recette]],Old[],3)</f>
        <v>50</v>
      </c>
      <c r="E49" s="6" t="s">
        <v>55</v>
      </c>
      <c r="F49" s="7">
        <f>IFERROR(VLOOKUP(TableauProduit[[#This Row],[Conditionnement]],TableauConditionnement[[Nom]:[Contenance]],4,TRUE),"")</f>
        <v>0.64</v>
      </c>
      <c r="G49" s="627" t="e">
        <f ca="1">SUMIFS(TableauRecette[Prix d''achat / kg],TableauRecette[Recette],TableauProduit[[#This Row],[Recette]],TableauRecette[Conditionnement],TableauProduit[[#This Row],[Conditionnement]])</f>
        <v>#VALUE!</v>
      </c>
      <c r="H49" s="628">
        <v>5</v>
      </c>
      <c r="I49" s="629">
        <f>1000*TableauProduit[[#This Row],[Prix de vente/U]]/TableauProduit[[#This Row],[Poids (g) / unite]]</f>
        <v>100</v>
      </c>
      <c r="J49" s="630">
        <f>SUMIFS(TableauConcurence[PRIX_KG],TableauConcurence[PRODUIT],TableauProduit[[#This Row],[Recette]],TableauConcurence[DISTRIBUTION],"magasin NON BIO")</f>
        <v>0</v>
      </c>
      <c r="K49" s="631">
        <f>SUMIFS(TableauConcurence[PRIX_KG],TableauConcurence[PRODUIT],TableauProduit[[#This Row],[Recette]],TableauConcurence[DISTRIBUTION],"magasin BIO")</f>
        <v>0</v>
      </c>
      <c r="L49" s="632">
        <f>SUMIFS(TableauConcurence[PRIX_KG],TableauConcurence[PRODUIT],TableauProduit[[#This Row],[Recette]],TableauConcurence[DISTRIBUTION],"artisanale BIO")</f>
        <v>0</v>
      </c>
      <c r="M49" s="564">
        <v>0</v>
      </c>
      <c r="N49" s="450">
        <f>TableauProduit[[#This Row],[Poids (g) / unite]]*TableauProduit[[#This Row],[Objectif de vente en unite N1]]/1000</f>
        <v>0</v>
      </c>
      <c r="O49" s="579">
        <f>TableauProduit[[#This Row],[Objectif de vente en unite N1]]*TableauProduit[[#This Row],[Packaging / unite]]</f>
        <v>0</v>
      </c>
      <c r="P49" s="579" t="e">
        <f t="shared" ca="1" si="1"/>
        <v>#VALUE!</v>
      </c>
      <c r="Q49" s="579" t="e">
        <f ca="1">TableauProduit[[#This Row],[Prix de vente/kg]]*TableauProduit[[#This Row],[Total (kg) N1]]-TableauProduit[[#This Row],[Achat par kg N1]]</f>
        <v>#VALUE!</v>
      </c>
      <c r="R49" s="582" t="e">
        <f ca="1">TableauProduit[[#This Row],[Revenue brut N1]]-TableauProduit[[#This Row],[Conditionnement N1]]</f>
        <v>#VALUE!</v>
      </c>
      <c r="S49" s="453">
        <v>0</v>
      </c>
      <c r="T49" s="452">
        <f>TableauProduit[[#This Row],[Poids (g) / unite]]*TableauProduit[[#This Row],[Objectif de vente en unite N1]]/1000</f>
        <v>0</v>
      </c>
      <c r="U49" s="571">
        <f>TableauProduit[[#This Row],[Objectif de vente en unite N1]]*TableauProduit[[#This Row],[Packaging / unite]]</f>
        <v>0</v>
      </c>
      <c r="V49" s="571" t="e">
        <f ca="1">TableauProduit[[#This Row],[Prix Achat de plante par kg]]*TableauProduit[[#This Row],[Total (kg) N1]]</f>
        <v>#VALUE!</v>
      </c>
      <c r="W49" s="571">
        <f>TableauProduit[[#This Row],[Prix de vente/kg]]*TableauProduit[[#This Row],[Total (kg) N1]]</f>
        <v>0</v>
      </c>
      <c r="X49" s="565" t="e">
        <f ca="1">TableauProduit[[#This Row],[Revenue brut N1]]-TableauProduit[[#This Row],[Achat par kg N1]]-TableauProduit[[#This Row],[Conditionnement N1]]</f>
        <v>#VALUE!</v>
      </c>
      <c r="Y49" s="566">
        <v>0</v>
      </c>
      <c r="Z49" s="456">
        <f>TableauProduit[[#This Row],[Poids (g) / unite]]*TableauProduit[[#This Row],[Objectif de vente en unite N1]]/1000</f>
        <v>0</v>
      </c>
      <c r="AA49" s="574">
        <f>TableauProduit[[#This Row],[Objectif de vente en unite N1]]*TableauProduit[[#This Row],[Packaging / unite]]</f>
        <v>0</v>
      </c>
      <c r="AB49" s="574" t="e">
        <f ca="1">TableauProduit[[#This Row],[Prix Achat de plante par kg]]*TableauProduit[[#This Row],[Total (kg) N1]]</f>
        <v>#VALUE!</v>
      </c>
      <c r="AC49" s="574">
        <f>TableauProduit[[#This Row],[Prix de vente/kg]]*TableauProduit[[#This Row],[Total (kg) N1]]</f>
        <v>0</v>
      </c>
      <c r="AD49" s="583" t="e">
        <f ca="1">TableauProduit[[#This Row],[Revenue brut N1]]-TableauProduit[[#This Row],[Achat par kg N1]]-TableauProduit[[#This Row],[Conditionnement N1]]</f>
        <v>#VALUE!</v>
      </c>
      <c r="AE49" s="458">
        <v>0</v>
      </c>
      <c r="AF49" s="458">
        <f>TableauProduit[[#This Row],[Poids (g) / unite]]*TableauProduit[[#This Row],[Objectif de vente en unite N1]]/1000</f>
        <v>0</v>
      </c>
      <c r="AG49" s="577">
        <f>TableauProduit[[#This Row],[Objectif de vente en unite N1]]*TableauProduit[[#This Row],[Packaging / unite]]</f>
        <v>0</v>
      </c>
      <c r="AH49" s="577" t="e">
        <f ca="1">TableauProduit[[#This Row],[Prix Achat de plante par kg]]*TableauProduit[[#This Row],[Total (kg) N1]]</f>
        <v>#VALUE!</v>
      </c>
      <c r="AI49" s="577">
        <f>TableauProduit[[#This Row],[Prix de vente/kg]]*TableauProduit[[#This Row],[Total (kg) N1]]</f>
        <v>0</v>
      </c>
      <c r="AJ49" s="458" t="e">
        <f ca="1">TableauProduit[[#This Row],[Revenue brut N1]]-TableauProduit[[#This Row],[Achat par kg N1]]-TableauProduit[[#This Row],[Conditionnement N1]]</f>
        <v>#VALUE!</v>
      </c>
      <c r="AK49" s="460">
        <v>0</v>
      </c>
      <c r="AL49" s="460">
        <f>TableauProduit[[#This Row],[Poids (g) / unite]]*TableauProduit[[#This Row],[Objectif de vente en unite N1]]/1000</f>
        <v>0</v>
      </c>
      <c r="AM49" s="584">
        <f>TableauProduit[[#This Row],[Objectif de vente en unite N1]]*TableauProduit[[#This Row],[Packaging / unite]]</f>
        <v>0</v>
      </c>
      <c r="AN49" s="584" t="e">
        <f ca="1">TableauProduit[[#This Row],[Prix Achat de plante par kg]]*TableauProduit[[#This Row],[Total (kg) N1]]</f>
        <v>#VALUE!</v>
      </c>
      <c r="AO49" s="584">
        <f>TableauProduit[[#This Row],[Prix de vente/kg]]*TableauProduit[[#This Row],[Total (kg) N1]]</f>
        <v>0</v>
      </c>
      <c r="AP49" s="460" t="e">
        <f ca="1">TableauProduit[[#This Row],[Revenue brut N1]]-TableauProduit[[#This Row],[Achat par kg N1]]-TableauProduit[[#This Row],[Conditionnement N1]]</f>
        <v>#VALUE!</v>
      </c>
      <c r="AQ49" s="462">
        <v>0</v>
      </c>
      <c r="AR49" s="462">
        <f>TableauProduit[[#This Row],[Poids (g) / unite]]*TableauProduit[[#This Row],[Objectif de vente en unite N1]]/1000</f>
        <v>0</v>
      </c>
      <c r="AS49" s="585">
        <f>TableauProduit[[#This Row],[Objectif de vente en unite N1]]*TableauProduit[[#This Row],[Packaging / unite]]</f>
        <v>0</v>
      </c>
      <c r="AT49" s="585" t="e">
        <f ca="1">TableauProduit[[#This Row],[Prix Achat de plante par kg]]*TableauProduit[[#This Row],[Total (kg) N1]]</f>
        <v>#VALUE!</v>
      </c>
      <c r="AU49" s="585">
        <f>TableauProduit[[#This Row],[Prix de vente/kg]]*TableauProduit[[#This Row],[Total (kg) N1]]</f>
        <v>0</v>
      </c>
      <c r="AV49" s="462" t="e">
        <f ca="1">TableauProduit[[#This Row],[Revenue brut N1]]-TableauProduit[[#This Row],[Achat par kg N1]]-TableauProduit[[#This Row],[Conditionnement N1]]</f>
        <v>#VALUE!</v>
      </c>
      <c r="AW49" s="450">
        <v>0</v>
      </c>
      <c r="AX49" s="450">
        <f>TableauProduit[[#This Row],[Poids (g) / unite]]*TableauProduit[[#This Row],[Objectif de vente en unite N1]]/1000</f>
        <v>0</v>
      </c>
      <c r="AY49" s="579">
        <f>TableauProduit[[#This Row],[Objectif de vente en unite N1]]*TableauProduit[[#This Row],[Packaging / unite]]</f>
        <v>0</v>
      </c>
      <c r="AZ49" s="579" t="e">
        <f ca="1">TableauProduit[[#This Row],[Prix Achat de plante par kg]]*TableauProduit[[#This Row],[Total (kg) N1]]</f>
        <v>#VALUE!</v>
      </c>
      <c r="BA49" s="579">
        <f>TableauProduit[[#This Row],[Prix de vente/kg]]*TableauProduit[[#This Row],[Total (kg) N1]]</f>
        <v>0</v>
      </c>
      <c r="BB49" s="586" t="e">
        <f ca="1">TableauProduit[[#This Row],[Revenue brut N1]]-TableauProduit[[#This Row],[Achat par kg N1]]-TableauProduit[[#This Row],[Conditionnement N1]]</f>
        <v>#VALUE!</v>
      </c>
      <c r="BC49" s="568">
        <v>0</v>
      </c>
      <c r="BD49" s="465">
        <f>TableauProduit[[#This Row],[Poids (g) / unite]]*TableauProduit[[#This Row],[Objectif de vente en unite N1]]/1000</f>
        <v>0</v>
      </c>
      <c r="BE49" s="587">
        <f>TableauProduit[[#This Row],[Objectif de vente en unite N1]]*TableauProduit[[#This Row],[Packaging / unite]]</f>
        <v>0</v>
      </c>
      <c r="BF49" s="587" t="e">
        <f ca="1">TableauProduit[[#This Row],[Prix Achat de plante par kg]]*TableauProduit[[#This Row],[Total (kg) N1]]</f>
        <v>#VALUE!</v>
      </c>
      <c r="BG49" s="587">
        <f>TableauProduit[[#This Row],[Prix de vente/kg]]*TableauProduit[[#This Row],[Total (kg) N1]]</f>
        <v>0</v>
      </c>
      <c r="BH49" s="588" t="e">
        <f ca="1">TableauProduit[[#This Row],[Revenue brut N1]]-TableauProduit[[#This Row],[Achat par kg N1]]-TableauProduit[[#This Row],[Conditionnement N1]]</f>
        <v>#VALUE!</v>
      </c>
      <c r="BI49" s="520">
        <v>0</v>
      </c>
      <c r="BJ49" s="467">
        <f>TableauProduit[[#This Row],[Poids (g) / unite]]*TableauProduit[[#This Row],[Objectif de vente en unite N1]]/1000</f>
        <v>0</v>
      </c>
      <c r="BK49" s="589">
        <f>TableauProduit[[#This Row],[Objectif de vente en unite N1]]*TableauProduit[[#This Row],[Packaging / unite]]</f>
        <v>0</v>
      </c>
      <c r="BL49" s="589" t="e">
        <f ca="1">TableauProduit[[#This Row],[Prix Achat de plante par kg]]*TableauProduit[[#This Row],[Total (kg) N1]]</f>
        <v>#VALUE!</v>
      </c>
      <c r="BM49" s="589">
        <f>TableauProduit[[#This Row],[Prix de vente/kg]]*TableauProduit[[#This Row],[Total (kg) N1]]</f>
        <v>0</v>
      </c>
      <c r="BN49" s="467" t="e">
        <f ca="1">TableauProduit[[#This Row],[Revenue brut N1]]-TableauProduit[[#This Row],[Achat par kg N1]]-TableauProduit[[#This Row],[Conditionnement N1]]</f>
        <v>#VALUE!</v>
      </c>
    </row>
    <row r="50" spans="1:66">
      <c r="A50" s="13" t="s">
        <v>93</v>
      </c>
      <c r="B50" s="54" t="str">
        <f>TableauProduit[[#This Row],[Recette]]&amp;TableauProduit[[#This Row],[Conditionnement]]</f>
        <v>ColomboEpice 100ml</v>
      </c>
      <c r="C50" s="11">
        <v>1</v>
      </c>
      <c r="D50" s="11">
        <v>45</v>
      </c>
      <c r="E50" s="6" t="s">
        <v>55</v>
      </c>
      <c r="F50" s="7">
        <f>IFERROR(VLOOKUP(TableauProduit[[#This Row],[Conditionnement]],TableauConditionnement[[Nom]:[Contenance]],4,TRUE),"")</f>
        <v>0.64</v>
      </c>
      <c r="G50" s="627">
        <f ca="1">SUMIFS(TableauRecette[Prix d''achat / kg],TableauRecette[Recette],TableauProduit[[#This Row],[Recette]],TableauRecette[Conditionnement],TableauProduit[[#This Row],[Conditionnement]])</f>
        <v>8.2310338345864658</v>
      </c>
      <c r="H50" s="628">
        <v>4.5</v>
      </c>
      <c r="I50" s="629">
        <f>1000*TableauProduit[[#This Row],[Prix de vente/U]]/TableauProduit[[#This Row],[Poids (g) / unite]]</f>
        <v>100</v>
      </c>
      <c r="J50" s="630">
        <f>SUMIFS(TableauConcurence[PRIX_KG],TableauConcurence[PRODUIT],TableauProduit[[#This Row],[Recette]],TableauConcurence[DISTRIBUTION],"magasin NON BIO")</f>
        <v>0</v>
      </c>
      <c r="K50" s="631">
        <f>SUMIFS(TableauConcurence[PRIX_KG],TableauConcurence[PRODUIT],TableauProduit[[#This Row],[Recette]],TableauConcurence[DISTRIBUTION],"magasin BIO")</f>
        <v>0</v>
      </c>
      <c r="L50" s="632">
        <f>SUMIFS(TableauConcurence[PRIX_KG],TableauConcurence[PRODUIT],TableauProduit[[#This Row],[Recette]],TableauConcurence[DISTRIBUTION],"artisanale BIO")</f>
        <v>0</v>
      </c>
      <c r="M50" s="564">
        <v>0</v>
      </c>
      <c r="N50" s="450">
        <f>TableauProduit[[#This Row],[Poids (g) / unite]]*TableauProduit[[#This Row],[Objectif de vente en unite N1]]/1000</f>
        <v>0</v>
      </c>
      <c r="O50" s="579">
        <f>TableauProduit[[#This Row],[Objectif de vente en unite N1]]*TableauProduit[[#This Row],[Packaging / unite]]</f>
        <v>0</v>
      </c>
      <c r="P50" s="579">
        <f t="shared" ca="1" si="1"/>
        <v>0</v>
      </c>
      <c r="Q50" s="579">
        <f ca="1">TableauProduit[[#This Row],[Prix de vente/kg]]*TableauProduit[[#This Row],[Total (kg) N1]]-TableauProduit[[#This Row],[Achat par kg N1]]</f>
        <v>-100</v>
      </c>
      <c r="R50" s="582">
        <f ca="1">TableauProduit[[#This Row],[Revenue brut N1]]-TableauProduit[[#This Row],[Conditionnement N1]]</f>
        <v>-100</v>
      </c>
      <c r="S50" s="453">
        <v>0</v>
      </c>
      <c r="T50" s="452">
        <f>TableauProduit[[#This Row],[Poids (g) / unite]]*TableauProduit[[#This Row],[Objectif de vente en unite N1]]/1000</f>
        <v>0</v>
      </c>
      <c r="U50" s="571">
        <f>TableauProduit[[#This Row],[Objectif de vente en unite N1]]*TableauProduit[[#This Row],[Packaging / unite]]</f>
        <v>0</v>
      </c>
      <c r="V50" s="571">
        <f ca="1">TableauProduit[[#This Row],[Prix Achat de plante par kg]]*TableauProduit[[#This Row],[Total (kg) N1]]</f>
        <v>0</v>
      </c>
      <c r="W50" s="571">
        <f>TableauProduit[[#This Row],[Prix de vente/kg]]*TableauProduit[[#This Row],[Total (kg) N1]]</f>
        <v>0</v>
      </c>
      <c r="X50" s="565">
        <f ca="1">TableauProduit[[#This Row],[Revenue brut N1]]-TableauProduit[[#This Row],[Achat par kg N1]]-TableauProduit[[#This Row],[Conditionnement N1]]</f>
        <v>-200</v>
      </c>
      <c r="Y50" s="566">
        <v>0</v>
      </c>
      <c r="Z50" s="456">
        <f>TableauProduit[[#This Row],[Poids (g) / unite]]*TableauProduit[[#This Row],[Objectif de vente en unite N1]]/1000</f>
        <v>0</v>
      </c>
      <c r="AA50" s="574">
        <f>TableauProduit[[#This Row],[Objectif de vente en unite N1]]*TableauProduit[[#This Row],[Packaging / unite]]</f>
        <v>0</v>
      </c>
      <c r="AB50" s="574">
        <f ca="1">TableauProduit[[#This Row],[Prix Achat de plante par kg]]*TableauProduit[[#This Row],[Total (kg) N1]]</f>
        <v>0</v>
      </c>
      <c r="AC50" s="574">
        <f>TableauProduit[[#This Row],[Prix de vente/kg]]*TableauProduit[[#This Row],[Total (kg) N1]]</f>
        <v>0</v>
      </c>
      <c r="AD50" s="583">
        <f ca="1">TableauProduit[[#This Row],[Revenue brut N1]]-TableauProduit[[#This Row],[Achat par kg N1]]-TableauProduit[[#This Row],[Conditionnement N1]]</f>
        <v>-200</v>
      </c>
      <c r="AE50" s="458">
        <v>0</v>
      </c>
      <c r="AF50" s="458">
        <f>TableauProduit[[#This Row],[Poids (g) / unite]]*TableauProduit[[#This Row],[Objectif de vente en unite N1]]/1000</f>
        <v>0</v>
      </c>
      <c r="AG50" s="577">
        <f>TableauProduit[[#This Row],[Objectif de vente en unite N1]]*TableauProduit[[#This Row],[Packaging / unite]]</f>
        <v>0</v>
      </c>
      <c r="AH50" s="577">
        <f ca="1">TableauProduit[[#This Row],[Prix Achat de plante par kg]]*TableauProduit[[#This Row],[Total (kg) N1]]</f>
        <v>0</v>
      </c>
      <c r="AI50" s="577">
        <f>TableauProduit[[#This Row],[Prix de vente/kg]]*TableauProduit[[#This Row],[Total (kg) N1]]</f>
        <v>0</v>
      </c>
      <c r="AJ50" s="458">
        <f ca="1">TableauProduit[[#This Row],[Revenue brut N1]]-TableauProduit[[#This Row],[Achat par kg N1]]-TableauProduit[[#This Row],[Conditionnement N1]]</f>
        <v>-200</v>
      </c>
      <c r="AK50" s="460">
        <v>0</v>
      </c>
      <c r="AL50" s="460">
        <f>TableauProduit[[#This Row],[Poids (g) / unite]]*TableauProduit[[#This Row],[Objectif de vente en unite N1]]/1000</f>
        <v>0</v>
      </c>
      <c r="AM50" s="584">
        <f>TableauProduit[[#This Row],[Objectif de vente en unite N1]]*TableauProduit[[#This Row],[Packaging / unite]]</f>
        <v>0</v>
      </c>
      <c r="AN50" s="584">
        <f ca="1">TableauProduit[[#This Row],[Prix Achat de plante par kg]]*TableauProduit[[#This Row],[Total (kg) N1]]</f>
        <v>0</v>
      </c>
      <c r="AO50" s="584">
        <f>TableauProduit[[#This Row],[Prix de vente/kg]]*TableauProduit[[#This Row],[Total (kg) N1]]</f>
        <v>0</v>
      </c>
      <c r="AP50" s="460">
        <f ca="1">TableauProduit[[#This Row],[Revenue brut N1]]-TableauProduit[[#This Row],[Achat par kg N1]]-TableauProduit[[#This Row],[Conditionnement N1]]</f>
        <v>-200</v>
      </c>
      <c r="AQ50" s="462">
        <v>0</v>
      </c>
      <c r="AR50" s="462">
        <f>TableauProduit[[#This Row],[Poids (g) / unite]]*TableauProduit[[#This Row],[Objectif de vente en unite N1]]/1000</f>
        <v>0</v>
      </c>
      <c r="AS50" s="585">
        <f>TableauProduit[[#This Row],[Objectif de vente en unite N1]]*TableauProduit[[#This Row],[Packaging / unite]]</f>
        <v>0</v>
      </c>
      <c r="AT50" s="585">
        <f ca="1">TableauProduit[[#This Row],[Prix Achat de plante par kg]]*TableauProduit[[#This Row],[Total (kg) N1]]</f>
        <v>0</v>
      </c>
      <c r="AU50" s="585">
        <f>TableauProduit[[#This Row],[Prix de vente/kg]]*TableauProduit[[#This Row],[Total (kg) N1]]</f>
        <v>0</v>
      </c>
      <c r="AV50" s="462">
        <f ca="1">TableauProduit[[#This Row],[Revenue brut N1]]-TableauProduit[[#This Row],[Achat par kg N1]]-TableauProduit[[#This Row],[Conditionnement N1]]</f>
        <v>-200</v>
      </c>
      <c r="AW50" s="450">
        <v>0</v>
      </c>
      <c r="AX50" s="450">
        <f>TableauProduit[[#This Row],[Poids (g) / unite]]*TableauProduit[[#This Row],[Objectif de vente en unite N1]]/1000</f>
        <v>0</v>
      </c>
      <c r="AY50" s="579">
        <f>TableauProduit[[#This Row],[Objectif de vente en unite N1]]*TableauProduit[[#This Row],[Packaging / unite]]</f>
        <v>0</v>
      </c>
      <c r="AZ50" s="579">
        <f ca="1">TableauProduit[[#This Row],[Prix Achat de plante par kg]]*TableauProduit[[#This Row],[Total (kg) N1]]</f>
        <v>0</v>
      </c>
      <c r="BA50" s="579">
        <f>TableauProduit[[#This Row],[Prix de vente/kg]]*TableauProduit[[#This Row],[Total (kg) N1]]</f>
        <v>0</v>
      </c>
      <c r="BB50" s="586">
        <f ca="1">TableauProduit[[#This Row],[Revenue brut N1]]-TableauProduit[[#This Row],[Achat par kg N1]]-TableauProduit[[#This Row],[Conditionnement N1]]</f>
        <v>-200</v>
      </c>
      <c r="BC50" s="568">
        <v>0</v>
      </c>
      <c r="BD50" s="465">
        <f>TableauProduit[[#This Row],[Poids (g) / unite]]*TableauProduit[[#This Row],[Objectif de vente en unite N1]]/1000</f>
        <v>0</v>
      </c>
      <c r="BE50" s="587">
        <f>TableauProduit[[#This Row],[Objectif de vente en unite N1]]*TableauProduit[[#This Row],[Packaging / unite]]</f>
        <v>0</v>
      </c>
      <c r="BF50" s="587">
        <f ca="1">TableauProduit[[#This Row],[Prix Achat de plante par kg]]*TableauProduit[[#This Row],[Total (kg) N1]]</f>
        <v>0</v>
      </c>
      <c r="BG50" s="587">
        <f>TableauProduit[[#This Row],[Prix de vente/kg]]*TableauProduit[[#This Row],[Total (kg) N1]]</f>
        <v>0</v>
      </c>
      <c r="BH50" s="588">
        <f ca="1">TableauProduit[[#This Row],[Revenue brut N1]]-TableauProduit[[#This Row],[Achat par kg N1]]-TableauProduit[[#This Row],[Conditionnement N1]]</f>
        <v>-200</v>
      </c>
      <c r="BI50" s="520">
        <v>0</v>
      </c>
      <c r="BJ50" s="467">
        <f>TableauProduit[[#This Row],[Poids (g) / unite]]*TableauProduit[[#This Row],[Objectif de vente en unite N1]]/1000</f>
        <v>0</v>
      </c>
      <c r="BK50" s="589">
        <f>TableauProduit[[#This Row],[Objectif de vente en unite N1]]*TableauProduit[[#This Row],[Packaging / unite]]</f>
        <v>0</v>
      </c>
      <c r="BL50" s="589">
        <f ca="1">TableauProduit[[#This Row],[Prix Achat de plante par kg]]*TableauProduit[[#This Row],[Total (kg) N1]]</f>
        <v>0</v>
      </c>
      <c r="BM50" s="589">
        <f>TableauProduit[[#This Row],[Prix de vente/kg]]*TableauProduit[[#This Row],[Total (kg) N1]]</f>
        <v>0</v>
      </c>
      <c r="BN50" s="467">
        <f ca="1">TableauProduit[[#This Row],[Revenue brut N1]]-TableauProduit[[#This Row],[Achat par kg N1]]-TableauProduit[[#This Row],[Conditionnement N1]]</f>
        <v>-200</v>
      </c>
    </row>
    <row r="51" spans="1:66">
      <c r="A51" s="13" t="s">
        <v>94</v>
      </c>
      <c r="B51" s="54" t="str">
        <f>TableauProduit[[#This Row],[Recette]]&amp;TableauProduit[[#This Row],[Conditionnement]]</f>
        <v>Vindaloo masalaEpice 100ml</v>
      </c>
      <c r="C51" s="11">
        <v>1</v>
      </c>
      <c r="D51" s="11">
        <f>VLOOKUP(TableauProduit[[#This Row],[Recette]],Old[],3)</f>
        <v>20</v>
      </c>
      <c r="E51" s="6" t="s">
        <v>55</v>
      </c>
      <c r="F51" s="7">
        <f>IFERROR(VLOOKUP(TableauProduit[[#This Row],[Conditionnement]],TableauConditionnement[[Nom]:[Contenance]],4,TRUE),"")</f>
        <v>0.64</v>
      </c>
      <c r="G51" s="627" t="e">
        <f ca="1">SUMIFS(TableauRecette[Prix d''achat / kg],TableauRecette[Recette],TableauProduit[[#This Row],[Recette]],TableauRecette[Conditionnement],TableauProduit[[#This Row],[Conditionnement]])</f>
        <v>#VALUE!</v>
      </c>
      <c r="H51" s="628">
        <v>2.9</v>
      </c>
      <c r="I51" s="629">
        <f>1000*TableauProduit[[#This Row],[Prix de vente/U]]/TableauProduit[[#This Row],[Poids (g) / unite]]</f>
        <v>145</v>
      </c>
      <c r="J51" s="630">
        <f>SUMIFS(TableauConcurence[PRIX_KG],TableauConcurence[PRODUIT],TableauProduit[[#This Row],[Recette]],TableauConcurence[DISTRIBUTION],"magasin NON BIO")</f>
        <v>0</v>
      </c>
      <c r="K51" s="631">
        <f>SUMIFS(TableauConcurence[PRIX_KG],TableauConcurence[PRODUIT],TableauProduit[[#This Row],[Recette]],TableauConcurence[DISTRIBUTION],"magasin BIO")</f>
        <v>0</v>
      </c>
      <c r="L51" s="632">
        <f>SUMIFS(TableauConcurence[PRIX_KG],TableauConcurence[PRODUIT],TableauProduit[[#This Row],[Recette]],TableauConcurence[DISTRIBUTION],"artisanale BIO")</f>
        <v>0</v>
      </c>
      <c r="M51" s="564">
        <v>0</v>
      </c>
      <c r="N51" s="450">
        <f>TableauProduit[[#This Row],[Poids (g) / unite]]*TableauProduit[[#This Row],[Objectif de vente en unite N1]]/1000</f>
        <v>0</v>
      </c>
      <c r="O51" s="579">
        <f>TableauProduit[[#This Row],[Objectif de vente en unite N1]]*TableauProduit[[#This Row],[Packaging / unite]]</f>
        <v>0</v>
      </c>
      <c r="P51" s="579" t="e">
        <f t="shared" ca="1" si="1"/>
        <v>#VALUE!</v>
      </c>
      <c r="Q51" s="579" t="e">
        <f ca="1">TableauProduit[[#This Row],[Prix de vente/kg]]*TableauProduit[[#This Row],[Total (kg) N1]]-TableauProduit[[#This Row],[Achat par kg N1]]</f>
        <v>#VALUE!</v>
      </c>
      <c r="R51" s="582" t="e">
        <f ca="1">TableauProduit[[#This Row],[Revenue brut N1]]-TableauProduit[[#This Row],[Conditionnement N1]]</f>
        <v>#VALUE!</v>
      </c>
      <c r="S51" s="453">
        <v>0</v>
      </c>
      <c r="T51" s="452">
        <f>TableauProduit[[#This Row],[Poids (g) / unite]]*TableauProduit[[#This Row],[Objectif de vente en unite N1]]/1000</f>
        <v>0</v>
      </c>
      <c r="U51" s="571">
        <f>TableauProduit[[#This Row],[Objectif de vente en unite N1]]*TableauProduit[[#This Row],[Packaging / unite]]</f>
        <v>0</v>
      </c>
      <c r="V51" s="571" t="e">
        <f ca="1">TableauProduit[[#This Row],[Prix Achat de plante par kg]]*TableauProduit[[#This Row],[Total (kg) N1]]</f>
        <v>#VALUE!</v>
      </c>
      <c r="W51" s="571">
        <f>TableauProduit[[#This Row],[Prix de vente/kg]]*TableauProduit[[#This Row],[Total (kg) N1]]</f>
        <v>0</v>
      </c>
      <c r="X51" s="565" t="e">
        <f ca="1">TableauProduit[[#This Row],[Revenue brut N1]]-TableauProduit[[#This Row],[Achat par kg N1]]-TableauProduit[[#This Row],[Conditionnement N1]]</f>
        <v>#VALUE!</v>
      </c>
      <c r="Y51" s="566">
        <v>0</v>
      </c>
      <c r="Z51" s="456">
        <f>TableauProduit[[#This Row],[Poids (g) / unite]]*TableauProduit[[#This Row],[Objectif de vente en unite N1]]/1000</f>
        <v>0</v>
      </c>
      <c r="AA51" s="574">
        <f>TableauProduit[[#This Row],[Objectif de vente en unite N1]]*TableauProduit[[#This Row],[Packaging / unite]]</f>
        <v>0</v>
      </c>
      <c r="AB51" s="574" t="e">
        <f ca="1">TableauProduit[[#This Row],[Prix Achat de plante par kg]]*TableauProduit[[#This Row],[Total (kg) N1]]</f>
        <v>#VALUE!</v>
      </c>
      <c r="AC51" s="574">
        <f>TableauProduit[[#This Row],[Prix de vente/kg]]*TableauProduit[[#This Row],[Total (kg) N1]]</f>
        <v>0</v>
      </c>
      <c r="AD51" s="583" t="e">
        <f ca="1">TableauProduit[[#This Row],[Revenue brut N1]]-TableauProduit[[#This Row],[Achat par kg N1]]-TableauProduit[[#This Row],[Conditionnement N1]]</f>
        <v>#VALUE!</v>
      </c>
      <c r="AE51" s="458">
        <v>0</v>
      </c>
      <c r="AF51" s="458">
        <f>TableauProduit[[#This Row],[Poids (g) / unite]]*TableauProduit[[#This Row],[Objectif de vente en unite N1]]/1000</f>
        <v>0</v>
      </c>
      <c r="AG51" s="577">
        <f>TableauProduit[[#This Row],[Objectif de vente en unite N1]]*TableauProduit[[#This Row],[Packaging / unite]]</f>
        <v>0</v>
      </c>
      <c r="AH51" s="577" t="e">
        <f ca="1">TableauProduit[[#This Row],[Prix Achat de plante par kg]]*TableauProduit[[#This Row],[Total (kg) N1]]</f>
        <v>#VALUE!</v>
      </c>
      <c r="AI51" s="577">
        <f>TableauProduit[[#This Row],[Prix de vente/kg]]*TableauProduit[[#This Row],[Total (kg) N1]]</f>
        <v>0</v>
      </c>
      <c r="AJ51" s="458" t="e">
        <f ca="1">TableauProduit[[#This Row],[Revenue brut N1]]-TableauProduit[[#This Row],[Achat par kg N1]]-TableauProduit[[#This Row],[Conditionnement N1]]</f>
        <v>#VALUE!</v>
      </c>
      <c r="AK51" s="460">
        <v>0</v>
      </c>
      <c r="AL51" s="460">
        <f>TableauProduit[[#This Row],[Poids (g) / unite]]*TableauProduit[[#This Row],[Objectif de vente en unite N1]]/1000</f>
        <v>0</v>
      </c>
      <c r="AM51" s="584">
        <f>TableauProduit[[#This Row],[Objectif de vente en unite N1]]*TableauProduit[[#This Row],[Packaging / unite]]</f>
        <v>0</v>
      </c>
      <c r="AN51" s="584" t="e">
        <f ca="1">TableauProduit[[#This Row],[Prix Achat de plante par kg]]*TableauProduit[[#This Row],[Total (kg) N1]]</f>
        <v>#VALUE!</v>
      </c>
      <c r="AO51" s="584">
        <f>TableauProduit[[#This Row],[Prix de vente/kg]]*TableauProduit[[#This Row],[Total (kg) N1]]</f>
        <v>0</v>
      </c>
      <c r="AP51" s="460" t="e">
        <f ca="1">TableauProduit[[#This Row],[Revenue brut N1]]-TableauProduit[[#This Row],[Achat par kg N1]]-TableauProduit[[#This Row],[Conditionnement N1]]</f>
        <v>#VALUE!</v>
      </c>
      <c r="AQ51" s="462">
        <v>0</v>
      </c>
      <c r="AR51" s="462">
        <f>TableauProduit[[#This Row],[Poids (g) / unite]]*TableauProduit[[#This Row],[Objectif de vente en unite N1]]/1000</f>
        <v>0</v>
      </c>
      <c r="AS51" s="585">
        <f>TableauProduit[[#This Row],[Objectif de vente en unite N1]]*TableauProduit[[#This Row],[Packaging / unite]]</f>
        <v>0</v>
      </c>
      <c r="AT51" s="585" t="e">
        <f ca="1">TableauProduit[[#This Row],[Prix Achat de plante par kg]]*TableauProduit[[#This Row],[Total (kg) N1]]</f>
        <v>#VALUE!</v>
      </c>
      <c r="AU51" s="585">
        <f>TableauProduit[[#This Row],[Prix de vente/kg]]*TableauProduit[[#This Row],[Total (kg) N1]]</f>
        <v>0</v>
      </c>
      <c r="AV51" s="462" t="e">
        <f ca="1">TableauProduit[[#This Row],[Revenue brut N1]]-TableauProduit[[#This Row],[Achat par kg N1]]-TableauProduit[[#This Row],[Conditionnement N1]]</f>
        <v>#VALUE!</v>
      </c>
      <c r="AW51" s="450">
        <v>0</v>
      </c>
      <c r="AX51" s="450">
        <f>TableauProduit[[#This Row],[Poids (g) / unite]]*TableauProduit[[#This Row],[Objectif de vente en unite N1]]/1000</f>
        <v>0</v>
      </c>
      <c r="AY51" s="579">
        <f>TableauProduit[[#This Row],[Objectif de vente en unite N1]]*TableauProduit[[#This Row],[Packaging / unite]]</f>
        <v>0</v>
      </c>
      <c r="AZ51" s="579" t="e">
        <f ca="1">TableauProduit[[#This Row],[Prix Achat de plante par kg]]*TableauProduit[[#This Row],[Total (kg) N1]]</f>
        <v>#VALUE!</v>
      </c>
      <c r="BA51" s="579">
        <f>TableauProduit[[#This Row],[Prix de vente/kg]]*TableauProduit[[#This Row],[Total (kg) N1]]</f>
        <v>0</v>
      </c>
      <c r="BB51" s="586" t="e">
        <f ca="1">TableauProduit[[#This Row],[Revenue brut N1]]-TableauProduit[[#This Row],[Achat par kg N1]]-TableauProduit[[#This Row],[Conditionnement N1]]</f>
        <v>#VALUE!</v>
      </c>
      <c r="BC51" s="568">
        <v>0</v>
      </c>
      <c r="BD51" s="465">
        <f>TableauProduit[[#This Row],[Poids (g) / unite]]*TableauProduit[[#This Row],[Objectif de vente en unite N1]]/1000</f>
        <v>0</v>
      </c>
      <c r="BE51" s="587">
        <f>TableauProduit[[#This Row],[Objectif de vente en unite N1]]*TableauProduit[[#This Row],[Packaging / unite]]</f>
        <v>0</v>
      </c>
      <c r="BF51" s="587" t="e">
        <f ca="1">TableauProduit[[#This Row],[Prix Achat de plante par kg]]*TableauProduit[[#This Row],[Total (kg) N1]]</f>
        <v>#VALUE!</v>
      </c>
      <c r="BG51" s="587">
        <f>TableauProduit[[#This Row],[Prix de vente/kg]]*TableauProduit[[#This Row],[Total (kg) N1]]</f>
        <v>0</v>
      </c>
      <c r="BH51" s="588" t="e">
        <f ca="1">TableauProduit[[#This Row],[Revenue brut N1]]-TableauProduit[[#This Row],[Achat par kg N1]]-TableauProduit[[#This Row],[Conditionnement N1]]</f>
        <v>#VALUE!</v>
      </c>
      <c r="BI51" s="520">
        <v>0</v>
      </c>
      <c r="BJ51" s="467">
        <f>TableauProduit[[#This Row],[Poids (g) / unite]]*TableauProduit[[#This Row],[Objectif de vente en unite N1]]/1000</f>
        <v>0</v>
      </c>
      <c r="BK51" s="589">
        <f>TableauProduit[[#This Row],[Objectif de vente en unite N1]]*TableauProduit[[#This Row],[Packaging / unite]]</f>
        <v>0</v>
      </c>
      <c r="BL51" s="589" t="e">
        <f ca="1">TableauProduit[[#This Row],[Prix Achat de plante par kg]]*TableauProduit[[#This Row],[Total (kg) N1]]</f>
        <v>#VALUE!</v>
      </c>
      <c r="BM51" s="589">
        <f>TableauProduit[[#This Row],[Prix de vente/kg]]*TableauProduit[[#This Row],[Total (kg) N1]]</f>
        <v>0</v>
      </c>
      <c r="BN51" s="467" t="e">
        <f ca="1">TableauProduit[[#This Row],[Revenue brut N1]]-TableauProduit[[#This Row],[Achat par kg N1]]-TableauProduit[[#This Row],[Conditionnement N1]]</f>
        <v>#VALUE!</v>
      </c>
    </row>
    <row r="52" spans="1:66">
      <c r="A52" s="13" t="s">
        <v>95</v>
      </c>
      <c r="B52" s="54" t="str">
        <f>TableauProduit[[#This Row],[Recette]]&amp;TableauProduit[[#This Row],[Conditionnement]]</f>
        <v>Nuoc chanEpice 100ml</v>
      </c>
      <c r="C52" s="11">
        <v>1</v>
      </c>
      <c r="D52" s="11">
        <f>VLOOKUP(TableauProduit[[#This Row],[Recette]],Old[],3)</f>
        <v>50</v>
      </c>
      <c r="E52" s="6" t="s">
        <v>55</v>
      </c>
      <c r="F52" s="7">
        <f>IFERROR(VLOOKUP(TableauProduit[[#This Row],[Conditionnement]],TableauConditionnement[[Nom]:[Contenance]],4,TRUE),"")</f>
        <v>0.64</v>
      </c>
      <c r="G52" s="627" t="e">
        <f ca="1">SUMIFS(TableauRecette[Prix d''achat / kg],TableauRecette[Recette],TableauProduit[[#This Row],[Recette]],TableauRecette[Conditionnement],TableauProduit[[#This Row],[Conditionnement]])</f>
        <v>#VALUE!</v>
      </c>
      <c r="H52" s="628">
        <v>5</v>
      </c>
      <c r="I52" s="629">
        <f>1000*TableauProduit[[#This Row],[Prix de vente/U]]/TableauProduit[[#This Row],[Poids (g) / unite]]</f>
        <v>100</v>
      </c>
      <c r="J52" s="630">
        <f>SUMIFS(TableauConcurence[PRIX_KG],TableauConcurence[PRODUIT],TableauProduit[[#This Row],[Recette]],TableauConcurence[DISTRIBUTION],"magasin NON BIO")</f>
        <v>0</v>
      </c>
      <c r="K52" s="631">
        <f>SUMIFS(TableauConcurence[PRIX_KG],TableauConcurence[PRODUIT],TableauProduit[[#This Row],[Recette]],TableauConcurence[DISTRIBUTION],"magasin BIO")</f>
        <v>0</v>
      </c>
      <c r="L52" s="632">
        <f>SUMIFS(TableauConcurence[PRIX_KG],TableauConcurence[PRODUIT],TableauProduit[[#This Row],[Recette]],TableauConcurence[DISTRIBUTION],"artisanale BIO")</f>
        <v>0</v>
      </c>
      <c r="M52" s="564">
        <v>0</v>
      </c>
      <c r="N52" s="450">
        <f>TableauProduit[[#This Row],[Poids (g) / unite]]*TableauProduit[[#This Row],[Objectif de vente en unite N1]]/1000</f>
        <v>0</v>
      </c>
      <c r="O52" s="579">
        <f>TableauProduit[[#This Row],[Objectif de vente en unite N1]]*TableauProduit[[#This Row],[Packaging / unite]]</f>
        <v>0</v>
      </c>
      <c r="P52" s="579" t="e">
        <f t="shared" ca="1" si="1"/>
        <v>#VALUE!</v>
      </c>
      <c r="Q52" s="579" t="e">
        <f ca="1">TableauProduit[[#This Row],[Prix de vente/kg]]*TableauProduit[[#This Row],[Total (kg) N1]]-TableauProduit[[#This Row],[Achat par kg N1]]</f>
        <v>#VALUE!</v>
      </c>
      <c r="R52" s="582" t="e">
        <f ca="1">TableauProduit[[#This Row],[Revenue brut N1]]-TableauProduit[[#This Row],[Conditionnement N1]]</f>
        <v>#VALUE!</v>
      </c>
      <c r="S52" s="453">
        <v>0</v>
      </c>
      <c r="T52" s="452">
        <f>TableauProduit[[#This Row],[Poids (g) / unite]]*TableauProduit[[#This Row],[Objectif de vente en unite N1]]/1000</f>
        <v>0</v>
      </c>
      <c r="U52" s="571">
        <f>TableauProduit[[#This Row],[Objectif de vente en unite N1]]*TableauProduit[[#This Row],[Packaging / unite]]</f>
        <v>0</v>
      </c>
      <c r="V52" s="571" t="e">
        <f ca="1">TableauProduit[[#This Row],[Prix Achat de plante par kg]]*TableauProduit[[#This Row],[Total (kg) N1]]</f>
        <v>#VALUE!</v>
      </c>
      <c r="W52" s="571">
        <f>TableauProduit[[#This Row],[Prix de vente/kg]]*TableauProduit[[#This Row],[Total (kg) N1]]</f>
        <v>0</v>
      </c>
      <c r="X52" s="565" t="e">
        <f ca="1">TableauProduit[[#This Row],[Revenue brut N1]]-TableauProduit[[#This Row],[Achat par kg N1]]-TableauProduit[[#This Row],[Conditionnement N1]]</f>
        <v>#VALUE!</v>
      </c>
      <c r="Y52" s="566">
        <v>0</v>
      </c>
      <c r="Z52" s="456">
        <f>TableauProduit[[#This Row],[Poids (g) / unite]]*TableauProduit[[#This Row],[Objectif de vente en unite N1]]/1000</f>
        <v>0</v>
      </c>
      <c r="AA52" s="574">
        <f>TableauProduit[[#This Row],[Objectif de vente en unite N1]]*TableauProduit[[#This Row],[Packaging / unite]]</f>
        <v>0</v>
      </c>
      <c r="AB52" s="574" t="e">
        <f ca="1">TableauProduit[[#This Row],[Prix Achat de plante par kg]]*TableauProduit[[#This Row],[Total (kg) N1]]</f>
        <v>#VALUE!</v>
      </c>
      <c r="AC52" s="574">
        <f>TableauProduit[[#This Row],[Prix de vente/kg]]*TableauProduit[[#This Row],[Total (kg) N1]]</f>
        <v>0</v>
      </c>
      <c r="AD52" s="583" t="e">
        <f ca="1">TableauProduit[[#This Row],[Revenue brut N1]]-TableauProduit[[#This Row],[Achat par kg N1]]-TableauProduit[[#This Row],[Conditionnement N1]]</f>
        <v>#VALUE!</v>
      </c>
      <c r="AE52" s="458">
        <v>0</v>
      </c>
      <c r="AF52" s="458">
        <f>TableauProduit[[#This Row],[Poids (g) / unite]]*TableauProduit[[#This Row],[Objectif de vente en unite N1]]/1000</f>
        <v>0</v>
      </c>
      <c r="AG52" s="577">
        <f>TableauProduit[[#This Row],[Objectif de vente en unite N1]]*TableauProduit[[#This Row],[Packaging / unite]]</f>
        <v>0</v>
      </c>
      <c r="AH52" s="577" t="e">
        <f ca="1">TableauProduit[[#This Row],[Prix Achat de plante par kg]]*TableauProduit[[#This Row],[Total (kg) N1]]</f>
        <v>#VALUE!</v>
      </c>
      <c r="AI52" s="577">
        <f>TableauProduit[[#This Row],[Prix de vente/kg]]*TableauProduit[[#This Row],[Total (kg) N1]]</f>
        <v>0</v>
      </c>
      <c r="AJ52" s="458" t="e">
        <f ca="1">TableauProduit[[#This Row],[Revenue brut N1]]-TableauProduit[[#This Row],[Achat par kg N1]]-TableauProduit[[#This Row],[Conditionnement N1]]</f>
        <v>#VALUE!</v>
      </c>
      <c r="AK52" s="460">
        <v>0</v>
      </c>
      <c r="AL52" s="460">
        <f>TableauProduit[[#This Row],[Poids (g) / unite]]*TableauProduit[[#This Row],[Objectif de vente en unite N1]]/1000</f>
        <v>0</v>
      </c>
      <c r="AM52" s="584">
        <f>TableauProduit[[#This Row],[Objectif de vente en unite N1]]*TableauProduit[[#This Row],[Packaging / unite]]</f>
        <v>0</v>
      </c>
      <c r="AN52" s="584" t="e">
        <f ca="1">TableauProduit[[#This Row],[Prix Achat de plante par kg]]*TableauProduit[[#This Row],[Total (kg) N1]]</f>
        <v>#VALUE!</v>
      </c>
      <c r="AO52" s="584">
        <f>TableauProduit[[#This Row],[Prix de vente/kg]]*TableauProduit[[#This Row],[Total (kg) N1]]</f>
        <v>0</v>
      </c>
      <c r="AP52" s="460" t="e">
        <f ca="1">TableauProduit[[#This Row],[Revenue brut N1]]-TableauProduit[[#This Row],[Achat par kg N1]]-TableauProduit[[#This Row],[Conditionnement N1]]</f>
        <v>#VALUE!</v>
      </c>
      <c r="AQ52" s="462">
        <v>0</v>
      </c>
      <c r="AR52" s="462">
        <f>TableauProduit[[#This Row],[Poids (g) / unite]]*TableauProduit[[#This Row],[Objectif de vente en unite N1]]/1000</f>
        <v>0</v>
      </c>
      <c r="AS52" s="585">
        <f>TableauProduit[[#This Row],[Objectif de vente en unite N1]]*TableauProduit[[#This Row],[Packaging / unite]]</f>
        <v>0</v>
      </c>
      <c r="AT52" s="585" t="e">
        <f ca="1">TableauProduit[[#This Row],[Prix Achat de plante par kg]]*TableauProduit[[#This Row],[Total (kg) N1]]</f>
        <v>#VALUE!</v>
      </c>
      <c r="AU52" s="585">
        <f>TableauProduit[[#This Row],[Prix de vente/kg]]*TableauProduit[[#This Row],[Total (kg) N1]]</f>
        <v>0</v>
      </c>
      <c r="AV52" s="462" t="e">
        <f ca="1">TableauProduit[[#This Row],[Revenue brut N1]]-TableauProduit[[#This Row],[Achat par kg N1]]-TableauProduit[[#This Row],[Conditionnement N1]]</f>
        <v>#VALUE!</v>
      </c>
      <c r="AW52" s="450">
        <v>0</v>
      </c>
      <c r="AX52" s="450">
        <f>TableauProduit[[#This Row],[Poids (g) / unite]]*TableauProduit[[#This Row],[Objectif de vente en unite N1]]/1000</f>
        <v>0</v>
      </c>
      <c r="AY52" s="579">
        <f>TableauProduit[[#This Row],[Objectif de vente en unite N1]]*TableauProduit[[#This Row],[Packaging / unite]]</f>
        <v>0</v>
      </c>
      <c r="AZ52" s="579" t="e">
        <f ca="1">TableauProduit[[#This Row],[Prix Achat de plante par kg]]*TableauProduit[[#This Row],[Total (kg) N1]]</f>
        <v>#VALUE!</v>
      </c>
      <c r="BA52" s="579">
        <f>TableauProduit[[#This Row],[Prix de vente/kg]]*TableauProduit[[#This Row],[Total (kg) N1]]</f>
        <v>0</v>
      </c>
      <c r="BB52" s="586" t="e">
        <f ca="1">TableauProduit[[#This Row],[Revenue brut N1]]-TableauProduit[[#This Row],[Achat par kg N1]]-TableauProduit[[#This Row],[Conditionnement N1]]</f>
        <v>#VALUE!</v>
      </c>
      <c r="BC52" s="568">
        <v>0</v>
      </c>
      <c r="BD52" s="465">
        <f>TableauProduit[[#This Row],[Poids (g) / unite]]*TableauProduit[[#This Row],[Objectif de vente en unite N1]]/1000</f>
        <v>0</v>
      </c>
      <c r="BE52" s="587">
        <f>TableauProduit[[#This Row],[Objectif de vente en unite N1]]*TableauProduit[[#This Row],[Packaging / unite]]</f>
        <v>0</v>
      </c>
      <c r="BF52" s="587" t="e">
        <f ca="1">TableauProduit[[#This Row],[Prix Achat de plante par kg]]*TableauProduit[[#This Row],[Total (kg) N1]]</f>
        <v>#VALUE!</v>
      </c>
      <c r="BG52" s="587">
        <f>TableauProduit[[#This Row],[Prix de vente/kg]]*TableauProduit[[#This Row],[Total (kg) N1]]</f>
        <v>0</v>
      </c>
      <c r="BH52" s="588" t="e">
        <f ca="1">TableauProduit[[#This Row],[Revenue brut N1]]-TableauProduit[[#This Row],[Achat par kg N1]]-TableauProduit[[#This Row],[Conditionnement N1]]</f>
        <v>#VALUE!</v>
      </c>
      <c r="BI52" s="520">
        <v>0</v>
      </c>
      <c r="BJ52" s="467">
        <f>TableauProduit[[#This Row],[Poids (g) / unite]]*TableauProduit[[#This Row],[Objectif de vente en unite N1]]/1000</f>
        <v>0</v>
      </c>
      <c r="BK52" s="589">
        <f>TableauProduit[[#This Row],[Objectif de vente en unite N1]]*TableauProduit[[#This Row],[Packaging / unite]]</f>
        <v>0</v>
      </c>
      <c r="BL52" s="589" t="e">
        <f ca="1">TableauProduit[[#This Row],[Prix Achat de plante par kg]]*TableauProduit[[#This Row],[Total (kg) N1]]</f>
        <v>#VALUE!</v>
      </c>
      <c r="BM52" s="589">
        <f>TableauProduit[[#This Row],[Prix de vente/kg]]*TableauProduit[[#This Row],[Total (kg) N1]]</f>
        <v>0</v>
      </c>
      <c r="BN52" s="467" t="e">
        <f ca="1">TableauProduit[[#This Row],[Revenue brut N1]]-TableauProduit[[#This Row],[Achat par kg N1]]-TableauProduit[[#This Row],[Conditionnement N1]]</f>
        <v>#VALUE!</v>
      </c>
    </row>
    <row r="53" spans="1:66">
      <c r="A53" s="13" t="s">
        <v>699</v>
      </c>
      <c r="B53" s="54" t="str">
        <f>TableauProduit[[#This Row],[Recette]]&amp;TableauProduit[[#This Row],[Conditionnement]]</f>
        <v>epices guacamoleEpice 100ml</v>
      </c>
      <c r="C53" s="11">
        <v>1</v>
      </c>
      <c r="D53" s="11">
        <f>VLOOKUP(TableauProduit[[#This Row],[Recette]],Old[],3)</f>
        <v>40</v>
      </c>
      <c r="E53" s="6" t="s">
        <v>55</v>
      </c>
      <c r="F53" s="7">
        <f>IFERROR(VLOOKUP(TableauProduit[[#This Row],[Conditionnement]],TableauConditionnement[[Nom]:[Contenance]],4,TRUE),"")</f>
        <v>0.64</v>
      </c>
      <c r="G53" s="627">
        <f ca="1">SUMIFS(TableauRecette[Prix d''achat / kg],TableauRecette[Recette],TableauProduit[[#This Row],[Recette]],TableauRecette[Conditionnement],TableauProduit[[#This Row],[Conditionnement]])</f>
        <v>9.338461538461539</v>
      </c>
      <c r="H53" s="628">
        <v>4</v>
      </c>
      <c r="I53" s="629">
        <f>1000*TableauProduit[[#This Row],[Prix de vente/U]]/TableauProduit[[#This Row],[Poids (g) / unite]]</f>
        <v>100</v>
      </c>
      <c r="J53" s="630">
        <f>SUMIFS(TableauConcurence[PRIX_KG],TableauConcurence[PRODUIT],TableauProduit[[#This Row],[Recette]],TableauConcurence[DISTRIBUTION],"magasin NON BIO")</f>
        <v>0</v>
      </c>
      <c r="K53" s="631">
        <f>SUMIFS(TableauConcurence[PRIX_KG],TableauConcurence[PRODUIT],TableauProduit[[#This Row],[Recette]],TableauConcurence[DISTRIBUTION],"magasin BIO")</f>
        <v>0</v>
      </c>
      <c r="L53" s="632">
        <f>SUMIFS(TableauConcurence[PRIX_KG],TableauConcurence[PRODUIT],TableauProduit[[#This Row],[Recette]],TableauConcurence[DISTRIBUTION],"artisanale BIO")</f>
        <v>0</v>
      </c>
      <c r="M53" s="564">
        <v>0</v>
      </c>
      <c r="N53" s="450">
        <f>TableauProduit[[#This Row],[Poids (g) / unite]]*TableauProduit[[#This Row],[Objectif de vente en unite N1]]/1000</f>
        <v>0</v>
      </c>
      <c r="O53" s="579">
        <f>TableauProduit[[#This Row],[Objectif de vente en unite N1]]*TableauProduit[[#This Row],[Packaging / unite]]</f>
        <v>0</v>
      </c>
      <c r="P53" s="579">
        <f t="shared" ca="1" si="1"/>
        <v>0</v>
      </c>
      <c r="Q53" s="579">
        <f ca="1">TableauProduit[[#This Row],[Prix de vente/kg]]*TableauProduit[[#This Row],[Total (kg) N1]]-TableauProduit[[#This Row],[Achat par kg N1]]</f>
        <v>-100</v>
      </c>
      <c r="R53" s="582">
        <f ca="1">TableauProduit[[#This Row],[Revenue brut N1]]-TableauProduit[[#This Row],[Conditionnement N1]]</f>
        <v>-100</v>
      </c>
      <c r="S53" s="453">
        <v>0</v>
      </c>
      <c r="T53" s="452">
        <f>TableauProduit[[#This Row],[Poids (g) / unite]]*TableauProduit[[#This Row],[Objectif de vente en unite N1]]/1000</f>
        <v>0</v>
      </c>
      <c r="U53" s="571">
        <f>TableauProduit[[#This Row],[Objectif de vente en unite N1]]*TableauProduit[[#This Row],[Packaging / unite]]</f>
        <v>0</v>
      </c>
      <c r="V53" s="571">
        <f ca="1">TableauProduit[[#This Row],[Prix Achat de plante par kg]]*TableauProduit[[#This Row],[Total (kg) N1]]</f>
        <v>0</v>
      </c>
      <c r="W53" s="571">
        <f>TableauProduit[[#This Row],[Prix de vente/kg]]*TableauProduit[[#This Row],[Total (kg) N1]]</f>
        <v>0</v>
      </c>
      <c r="X53" s="565">
        <f ca="1">TableauProduit[[#This Row],[Revenue brut N1]]-TableauProduit[[#This Row],[Achat par kg N1]]-TableauProduit[[#This Row],[Conditionnement N1]]</f>
        <v>-200</v>
      </c>
      <c r="Y53" s="566">
        <v>0</v>
      </c>
      <c r="Z53" s="456">
        <f>TableauProduit[[#This Row],[Poids (g) / unite]]*TableauProduit[[#This Row],[Objectif de vente en unite N1]]/1000</f>
        <v>0</v>
      </c>
      <c r="AA53" s="574">
        <f>TableauProduit[[#This Row],[Objectif de vente en unite N1]]*TableauProduit[[#This Row],[Packaging / unite]]</f>
        <v>0</v>
      </c>
      <c r="AB53" s="574">
        <f ca="1">TableauProduit[[#This Row],[Prix Achat de plante par kg]]*TableauProduit[[#This Row],[Total (kg) N1]]</f>
        <v>0</v>
      </c>
      <c r="AC53" s="574">
        <f>TableauProduit[[#This Row],[Prix de vente/kg]]*TableauProduit[[#This Row],[Total (kg) N1]]</f>
        <v>0</v>
      </c>
      <c r="AD53" s="583">
        <f ca="1">TableauProduit[[#This Row],[Revenue brut N1]]-TableauProduit[[#This Row],[Achat par kg N1]]-TableauProduit[[#This Row],[Conditionnement N1]]</f>
        <v>-200</v>
      </c>
      <c r="AE53" s="458">
        <v>0</v>
      </c>
      <c r="AF53" s="458">
        <f>TableauProduit[[#This Row],[Poids (g) / unite]]*TableauProduit[[#This Row],[Objectif de vente en unite N1]]/1000</f>
        <v>0</v>
      </c>
      <c r="AG53" s="577">
        <f>TableauProduit[[#This Row],[Objectif de vente en unite N1]]*TableauProduit[[#This Row],[Packaging / unite]]</f>
        <v>0</v>
      </c>
      <c r="AH53" s="577">
        <f ca="1">TableauProduit[[#This Row],[Prix Achat de plante par kg]]*TableauProduit[[#This Row],[Total (kg) N1]]</f>
        <v>0</v>
      </c>
      <c r="AI53" s="577">
        <f>TableauProduit[[#This Row],[Prix de vente/kg]]*TableauProduit[[#This Row],[Total (kg) N1]]</f>
        <v>0</v>
      </c>
      <c r="AJ53" s="458">
        <f ca="1">TableauProduit[[#This Row],[Revenue brut N1]]-TableauProduit[[#This Row],[Achat par kg N1]]-TableauProduit[[#This Row],[Conditionnement N1]]</f>
        <v>-200</v>
      </c>
      <c r="AK53" s="460">
        <v>0</v>
      </c>
      <c r="AL53" s="460">
        <f>TableauProduit[[#This Row],[Poids (g) / unite]]*TableauProduit[[#This Row],[Objectif de vente en unite N1]]/1000</f>
        <v>0</v>
      </c>
      <c r="AM53" s="584">
        <f>TableauProduit[[#This Row],[Objectif de vente en unite N1]]*TableauProduit[[#This Row],[Packaging / unite]]</f>
        <v>0</v>
      </c>
      <c r="AN53" s="584">
        <f ca="1">TableauProduit[[#This Row],[Prix Achat de plante par kg]]*TableauProduit[[#This Row],[Total (kg) N1]]</f>
        <v>0</v>
      </c>
      <c r="AO53" s="584">
        <f>TableauProduit[[#This Row],[Prix de vente/kg]]*TableauProduit[[#This Row],[Total (kg) N1]]</f>
        <v>0</v>
      </c>
      <c r="AP53" s="460">
        <f ca="1">TableauProduit[[#This Row],[Revenue brut N1]]-TableauProduit[[#This Row],[Achat par kg N1]]-TableauProduit[[#This Row],[Conditionnement N1]]</f>
        <v>-200</v>
      </c>
      <c r="AQ53" s="462">
        <v>0</v>
      </c>
      <c r="AR53" s="462">
        <f>TableauProduit[[#This Row],[Poids (g) / unite]]*TableauProduit[[#This Row],[Objectif de vente en unite N1]]/1000</f>
        <v>0</v>
      </c>
      <c r="AS53" s="585">
        <f>TableauProduit[[#This Row],[Objectif de vente en unite N1]]*TableauProduit[[#This Row],[Packaging / unite]]</f>
        <v>0</v>
      </c>
      <c r="AT53" s="585">
        <f ca="1">TableauProduit[[#This Row],[Prix Achat de plante par kg]]*TableauProduit[[#This Row],[Total (kg) N1]]</f>
        <v>0</v>
      </c>
      <c r="AU53" s="585">
        <f>TableauProduit[[#This Row],[Prix de vente/kg]]*TableauProduit[[#This Row],[Total (kg) N1]]</f>
        <v>0</v>
      </c>
      <c r="AV53" s="462">
        <f ca="1">TableauProduit[[#This Row],[Revenue brut N1]]-TableauProduit[[#This Row],[Achat par kg N1]]-TableauProduit[[#This Row],[Conditionnement N1]]</f>
        <v>-200</v>
      </c>
      <c r="AW53" s="450">
        <v>0</v>
      </c>
      <c r="AX53" s="450">
        <f>TableauProduit[[#This Row],[Poids (g) / unite]]*TableauProduit[[#This Row],[Objectif de vente en unite N1]]/1000</f>
        <v>0</v>
      </c>
      <c r="AY53" s="579">
        <f>TableauProduit[[#This Row],[Objectif de vente en unite N1]]*TableauProduit[[#This Row],[Packaging / unite]]</f>
        <v>0</v>
      </c>
      <c r="AZ53" s="579">
        <f ca="1">TableauProduit[[#This Row],[Prix Achat de plante par kg]]*TableauProduit[[#This Row],[Total (kg) N1]]</f>
        <v>0</v>
      </c>
      <c r="BA53" s="579">
        <f>TableauProduit[[#This Row],[Prix de vente/kg]]*TableauProduit[[#This Row],[Total (kg) N1]]</f>
        <v>0</v>
      </c>
      <c r="BB53" s="586">
        <f ca="1">TableauProduit[[#This Row],[Revenue brut N1]]-TableauProduit[[#This Row],[Achat par kg N1]]-TableauProduit[[#This Row],[Conditionnement N1]]</f>
        <v>-200</v>
      </c>
      <c r="BC53" s="568">
        <v>0</v>
      </c>
      <c r="BD53" s="465">
        <f>TableauProduit[[#This Row],[Poids (g) / unite]]*TableauProduit[[#This Row],[Objectif de vente en unite N1]]/1000</f>
        <v>0</v>
      </c>
      <c r="BE53" s="587">
        <f>TableauProduit[[#This Row],[Objectif de vente en unite N1]]*TableauProduit[[#This Row],[Packaging / unite]]</f>
        <v>0</v>
      </c>
      <c r="BF53" s="587">
        <f ca="1">TableauProduit[[#This Row],[Prix Achat de plante par kg]]*TableauProduit[[#This Row],[Total (kg) N1]]</f>
        <v>0</v>
      </c>
      <c r="BG53" s="587">
        <f>TableauProduit[[#This Row],[Prix de vente/kg]]*TableauProduit[[#This Row],[Total (kg) N1]]</f>
        <v>0</v>
      </c>
      <c r="BH53" s="588">
        <f ca="1">TableauProduit[[#This Row],[Revenue brut N1]]-TableauProduit[[#This Row],[Achat par kg N1]]-TableauProduit[[#This Row],[Conditionnement N1]]</f>
        <v>-200</v>
      </c>
      <c r="BI53" s="520">
        <v>0</v>
      </c>
      <c r="BJ53" s="467">
        <f>TableauProduit[[#This Row],[Poids (g) / unite]]*TableauProduit[[#This Row],[Objectif de vente en unite N1]]/1000</f>
        <v>0</v>
      </c>
      <c r="BK53" s="589">
        <f>TableauProduit[[#This Row],[Objectif de vente en unite N1]]*TableauProduit[[#This Row],[Packaging / unite]]</f>
        <v>0</v>
      </c>
      <c r="BL53" s="589">
        <f ca="1">TableauProduit[[#This Row],[Prix Achat de plante par kg]]*TableauProduit[[#This Row],[Total (kg) N1]]</f>
        <v>0</v>
      </c>
      <c r="BM53" s="589">
        <f>TableauProduit[[#This Row],[Prix de vente/kg]]*TableauProduit[[#This Row],[Total (kg) N1]]</f>
        <v>0</v>
      </c>
      <c r="BN53" s="467">
        <f ca="1">TableauProduit[[#This Row],[Revenue brut N1]]-TableauProduit[[#This Row],[Achat par kg N1]]-TableauProduit[[#This Row],[Conditionnement N1]]</f>
        <v>-200</v>
      </c>
    </row>
    <row r="54" spans="1:66">
      <c r="A54" s="13" t="s">
        <v>96</v>
      </c>
      <c r="B54" s="54" t="str">
        <f>TableauProduit[[#This Row],[Recette]]&amp;TableauProduit[[#This Row],[Conditionnement]]</f>
        <v>Huile massage anti-arthriteEpice 100ml</v>
      </c>
      <c r="C54" s="11">
        <v>1</v>
      </c>
      <c r="D54" s="11">
        <f>VLOOKUP(TableauProduit[[#This Row],[Recette]],Old[],3)</f>
        <v>50</v>
      </c>
      <c r="E54" s="6" t="s">
        <v>55</v>
      </c>
      <c r="F54" s="7">
        <f>IFERROR(VLOOKUP(TableauProduit[[#This Row],[Conditionnement]],TableauConditionnement[[Nom]:[Contenance]],4,TRUE),"")</f>
        <v>0.64</v>
      </c>
      <c r="G54" s="627" t="e">
        <f ca="1">SUMIFS(TableauRecette[Prix d''achat / kg],TableauRecette[Recette],TableauProduit[[#This Row],[Recette]],TableauRecette[Conditionnement],TableauProduit[[#This Row],[Conditionnement]])</f>
        <v>#VALUE!</v>
      </c>
      <c r="H54" s="628">
        <v>5</v>
      </c>
      <c r="I54" s="629">
        <f>1000*TableauProduit[[#This Row],[Prix de vente/U]]/TableauProduit[[#This Row],[Poids (g) / unite]]</f>
        <v>100</v>
      </c>
      <c r="J54" s="630">
        <f>SUMIFS(TableauConcurence[PRIX_KG],TableauConcurence[PRODUIT],TableauProduit[[#This Row],[Recette]],TableauConcurence[DISTRIBUTION],"magasin NON BIO")</f>
        <v>0</v>
      </c>
      <c r="K54" s="631">
        <f>SUMIFS(TableauConcurence[PRIX_KG],TableauConcurence[PRODUIT],TableauProduit[[#This Row],[Recette]],TableauConcurence[DISTRIBUTION],"magasin BIO")</f>
        <v>0</v>
      </c>
      <c r="L54" s="632">
        <f>SUMIFS(TableauConcurence[PRIX_KG],TableauConcurence[PRODUIT],TableauProduit[[#This Row],[Recette]],TableauConcurence[DISTRIBUTION],"artisanale BIO")</f>
        <v>0</v>
      </c>
      <c r="M54" s="564">
        <v>0</v>
      </c>
      <c r="N54" s="450">
        <f>TableauProduit[[#This Row],[Poids (g) / unite]]*TableauProduit[[#This Row],[Objectif de vente en unite N1]]/1000</f>
        <v>0</v>
      </c>
      <c r="O54" s="579">
        <f>TableauProduit[[#This Row],[Objectif de vente en unite N1]]*TableauProduit[[#This Row],[Packaging / unite]]</f>
        <v>0</v>
      </c>
      <c r="P54" s="579" t="e">
        <f t="shared" ca="1" si="1"/>
        <v>#VALUE!</v>
      </c>
      <c r="Q54" s="579" t="e">
        <f ca="1">TableauProduit[[#This Row],[Prix de vente/kg]]*TableauProduit[[#This Row],[Total (kg) N1]]-TableauProduit[[#This Row],[Achat par kg N1]]</f>
        <v>#VALUE!</v>
      </c>
      <c r="R54" s="582" t="e">
        <f ca="1">TableauProduit[[#This Row],[Revenue brut N1]]-TableauProduit[[#This Row],[Conditionnement N1]]</f>
        <v>#VALUE!</v>
      </c>
      <c r="S54" s="453">
        <v>0</v>
      </c>
      <c r="T54" s="452">
        <f>TableauProduit[[#This Row],[Poids (g) / unite]]*TableauProduit[[#This Row],[Objectif de vente en unite N1]]/1000</f>
        <v>0</v>
      </c>
      <c r="U54" s="571">
        <f>TableauProduit[[#This Row],[Objectif de vente en unite N1]]*TableauProduit[[#This Row],[Packaging / unite]]</f>
        <v>0</v>
      </c>
      <c r="V54" s="571" t="e">
        <f ca="1">TableauProduit[[#This Row],[Prix Achat de plante par kg]]*TableauProduit[[#This Row],[Total (kg) N1]]</f>
        <v>#VALUE!</v>
      </c>
      <c r="W54" s="571">
        <f>TableauProduit[[#This Row],[Prix de vente/kg]]*TableauProduit[[#This Row],[Total (kg) N1]]</f>
        <v>0</v>
      </c>
      <c r="X54" s="565" t="e">
        <f ca="1">TableauProduit[[#This Row],[Revenue brut N1]]-TableauProduit[[#This Row],[Achat par kg N1]]-TableauProduit[[#This Row],[Conditionnement N1]]</f>
        <v>#VALUE!</v>
      </c>
      <c r="Y54" s="566">
        <v>0</v>
      </c>
      <c r="Z54" s="456">
        <f>TableauProduit[[#This Row],[Poids (g) / unite]]*TableauProduit[[#This Row],[Objectif de vente en unite N1]]/1000</f>
        <v>0</v>
      </c>
      <c r="AA54" s="574">
        <f>TableauProduit[[#This Row],[Objectif de vente en unite N1]]*TableauProduit[[#This Row],[Packaging / unite]]</f>
        <v>0</v>
      </c>
      <c r="AB54" s="574" t="e">
        <f ca="1">TableauProduit[[#This Row],[Prix Achat de plante par kg]]*TableauProduit[[#This Row],[Total (kg) N1]]</f>
        <v>#VALUE!</v>
      </c>
      <c r="AC54" s="574">
        <f>TableauProduit[[#This Row],[Prix de vente/kg]]*TableauProduit[[#This Row],[Total (kg) N1]]</f>
        <v>0</v>
      </c>
      <c r="AD54" s="583" t="e">
        <f ca="1">TableauProduit[[#This Row],[Revenue brut N1]]-TableauProduit[[#This Row],[Achat par kg N1]]-TableauProduit[[#This Row],[Conditionnement N1]]</f>
        <v>#VALUE!</v>
      </c>
      <c r="AE54" s="458">
        <v>0</v>
      </c>
      <c r="AF54" s="458">
        <f>TableauProduit[[#This Row],[Poids (g) / unite]]*TableauProduit[[#This Row],[Objectif de vente en unite N1]]/1000</f>
        <v>0</v>
      </c>
      <c r="AG54" s="577">
        <f>TableauProduit[[#This Row],[Objectif de vente en unite N1]]*TableauProduit[[#This Row],[Packaging / unite]]</f>
        <v>0</v>
      </c>
      <c r="AH54" s="577" t="e">
        <f ca="1">TableauProduit[[#This Row],[Prix Achat de plante par kg]]*TableauProduit[[#This Row],[Total (kg) N1]]</f>
        <v>#VALUE!</v>
      </c>
      <c r="AI54" s="577">
        <f>TableauProduit[[#This Row],[Prix de vente/kg]]*TableauProduit[[#This Row],[Total (kg) N1]]</f>
        <v>0</v>
      </c>
      <c r="AJ54" s="458" t="e">
        <f ca="1">TableauProduit[[#This Row],[Revenue brut N1]]-TableauProduit[[#This Row],[Achat par kg N1]]-TableauProduit[[#This Row],[Conditionnement N1]]</f>
        <v>#VALUE!</v>
      </c>
      <c r="AK54" s="460">
        <v>0</v>
      </c>
      <c r="AL54" s="460">
        <f>TableauProduit[[#This Row],[Poids (g) / unite]]*TableauProduit[[#This Row],[Objectif de vente en unite N1]]/1000</f>
        <v>0</v>
      </c>
      <c r="AM54" s="584">
        <f>TableauProduit[[#This Row],[Objectif de vente en unite N1]]*TableauProduit[[#This Row],[Packaging / unite]]</f>
        <v>0</v>
      </c>
      <c r="AN54" s="584" t="e">
        <f ca="1">TableauProduit[[#This Row],[Prix Achat de plante par kg]]*TableauProduit[[#This Row],[Total (kg) N1]]</f>
        <v>#VALUE!</v>
      </c>
      <c r="AO54" s="584">
        <f>TableauProduit[[#This Row],[Prix de vente/kg]]*TableauProduit[[#This Row],[Total (kg) N1]]</f>
        <v>0</v>
      </c>
      <c r="AP54" s="460" t="e">
        <f ca="1">TableauProduit[[#This Row],[Revenue brut N1]]-TableauProduit[[#This Row],[Achat par kg N1]]-TableauProduit[[#This Row],[Conditionnement N1]]</f>
        <v>#VALUE!</v>
      </c>
      <c r="AQ54" s="462">
        <v>0</v>
      </c>
      <c r="AR54" s="462">
        <f>TableauProduit[[#This Row],[Poids (g) / unite]]*TableauProduit[[#This Row],[Objectif de vente en unite N1]]/1000</f>
        <v>0</v>
      </c>
      <c r="AS54" s="585">
        <f>TableauProduit[[#This Row],[Objectif de vente en unite N1]]*TableauProduit[[#This Row],[Packaging / unite]]</f>
        <v>0</v>
      </c>
      <c r="AT54" s="585" t="e">
        <f ca="1">TableauProduit[[#This Row],[Prix Achat de plante par kg]]*TableauProduit[[#This Row],[Total (kg) N1]]</f>
        <v>#VALUE!</v>
      </c>
      <c r="AU54" s="585">
        <f>TableauProduit[[#This Row],[Prix de vente/kg]]*TableauProduit[[#This Row],[Total (kg) N1]]</f>
        <v>0</v>
      </c>
      <c r="AV54" s="462" t="e">
        <f ca="1">TableauProduit[[#This Row],[Revenue brut N1]]-TableauProduit[[#This Row],[Achat par kg N1]]-TableauProduit[[#This Row],[Conditionnement N1]]</f>
        <v>#VALUE!</v>
      </c>
      <c r="AW54" s="450">
        <v>0</v>
      </c>
      <c r="AX54" s="450">
        <f>TableauProduit[[#This Row],[Poids (g) / unite]]*TableauProduit[[#This Row],[Objectif de vente en unite N1]]/1000</f>
        <v>0</v>
      </c>
      <c r="AY54" s="579">
        <f>TableauProduit[[#This Row],[Objectif de vente en unite N1]]*TableauProduit[[#This Row],[Packaging / unite]]</f>
        <v>0</v>
      </c>
      <c r="AZ54" s="579" t="e">
        <f ca="1">TableauProduit[[#This Row],[Prix Achat de plante par kg]]*TableauProduit[[#This Row],[Total (kg) N1]]</f>
        <v>#VALUE!</v>
      </c>
      <c r="BA54" s="579">
        <f>TableauProduit[[#This Row],[Prix de vente/kg]]*TableauProduit[[#This Row],[Total (kg) N1]]</f>
        <v>0</v>
      </c>
      <c r="BB54" s="586" t="e">
        <f ca="1">TableauProduit[[#This Row],[Revenue brut N1]]-TableauProduit[[#This Row],[Achat par kg N1]]-TableauProduit[[#This Row],[Conditionnement N1]]</f>
        <v>#VALUE!</v>
      </c>
      <c r="BC54" s="568">
        <v>0</v>
      </c>
      <c r="BD54" s="465">
        <f>TableauProduit[[#This Row],[Poids (g) / unite]]*TableauProduit[[#This Row],[Objectif de vente en unite N1]]/1000</f>
        <v>0</v>
      </c>
      <c r="BE54" s="587">
        <f>TableauProduit[[#This Row],[Objectif de vente en unite N1]]*TableauProduit[[#This Row],[Packaging / unite]]</f>
        <v>0</v>
      </c>
      <c r="BF54" s="587" t="e">
        <f ca="1">TableauProduit[[#This Row],[Prix Achat de plante par kg]]*TableauProduit[[#This Row],[Total (kg) N1]]</f>
        <v>#VALUE!</v>
      </c>
      <c r="BG54" s="587">
        <f>TableauProduit[[#This Row],[Prix de vente/kg]]*TableauProduit[[#This Row],[Total (kg) N1]]</f>
        <v>0</v>
      </c>
      <c r="BH54" s="588" t="e">
        <f ca="1">TableauProduit[[#This Row],[Revenue brut N1]]-TableauProduit[[#This Row],[Achat par kg N1]]-TableauProduit[[#This Row],[Conditionnement N1]]</f>
        <v>#VALUE!</v>
      </c>
      <c r="BI54" s="520">
        <v>0</v>
      </c>
      <c r="BJ54" s="467">
        <f>TableauProduit[[#This Row],[Poids (g) / unite]]*TableauProduit[[#This Row],[Objectif de vente en unite N1]]/1000</f>
        <v>0</v>
      </c>
      <c r="BK54" s="589">
        <f>TableauProduit[[#This Row],[Objectif de vente en unite N1]]*TableauProduit[[#This Row],[Packaging / unite]]</f>
        <v>0</v>
      </c>
      <c r="BL54" s="589" t="e">
        <f ca="1">TableauProduit[[#This Row],[Prix Achat de plante par kg]]*TableauProduit[[#This Row],[Total (kg) N1]]</f>
        <v>#VALUE!</v>
      </c>
      <c r="BM54" s="589">
        <f>TableauProduit[[#This Row],[Prix de vente/kg]]*TableauProduit[[#This Row],[Total (kg) N1]]</f>
        <v>0</v>
      </c>
      <c r="BN54" s="467" t="e">
        <f ca="1">TableauProduit[[#This Row],[Revenue brut N1]]-TableauProduit[[#This Row],[Achat par kg N1]]-TableauProduit[[#This Row],[Conditionnement N1]]</f>
        <v>#VALUE!</v>
      </c>
    </row>
    <row r="55" spans="1:66">
      <c r="A55" s="13" t="s">
        <v>97</v>
      </c>
      <c r="B55" s="54" t="str">
        <f>TableauProduit[[#This Row],[Recette]]&amp;TableauProduit[[#This Row],[Conditionnement]]</f>
        <v>SriratchaEpice 100ml</v>
      </c>
      <c r="C55" s="11">
        <v>1</v>
      </c>
      <c r="D55" s="11">
        <f>VLOOKUP(TableauProduit[[#This Row],[Recette]],Old[],3)</f>
        <v>50</v>
      </c>
      <c r="E55" s="6" t="s">
        <v>55</v>
      </c>
      <c r="F55" s="7">
        <f>IFERROR(VLOOKUP(TableauProduit[[#This Row],[Conditionnement]],TableauConditionnement[[Nom]:[Contenance]],4,TRUE),"")</f>
        <v>0.64</v>
      </c>
      <c r="G55" s="627" t="e">
        <f ca="1">SUMIFS(TableauRecette[Prix d''achat / kg],TableauRecette[Recette],TableauProduit[[#This Row],[Recette]],TableauRecette[Conditionnement],TableauProduit[[#This Row],[Conditionnement]])</f>
        <v>#VALUE!</v>
      </c>
      <c r="H55" s="628">
        <v>5</v>
      </c>
      <c r="I55" s="629">
        <f>1000*TableauProduit[[#This Row],[Prix de vente/U]]/TableauProduit[[#This Row],[Poids (g) / unite]]</f>
        <v>100</v>
      </c>
      <c r="J55" s="630">
        <f>SUMIFS(TableauConcurence[PRIX_KG],TableauConcurence[PRODUIT],TableauProduit[[#This Row],[Recette]],TableauConcurence[DISTRIBUTION],"magasin NON BIO")</f>
        <v>0</v>
      </c>
      <c r="K55" s="631">
        <f>SUMIFS(TableauConcurence[PRIX_KG],TableauConcurence[PRODUIT],TableauProduit[[#This Row],[Recette]],TableauConcurence[DISTRIBUTION],"magasin BIO")</f>
        <v>0</v>
      </c>
      <c r="L55" s="632">
        <f>SUMIFS(TableauConcurence[PRIX_KG],TableauConcurence[PRODUIT],TableauProduit[[#This Row],[Recette]],TableauConcurence[DISTRIBUTION],"artisanale BIO")</f>
        <v>0</v>
      </c>
      <c r="M55" s="564">
        <v>0</v>
      </c>
      <c r="N55" s="450">
        <f>TableauProduit[[#This Row],[Poids (g) / unite]]*TableauProduit[[#This Row],[Objectif de vente en unite N1]]/1000</f>
        <v>0</v>
      </c>
      <c r="O55" s="579">
        <f>TableauProduit[[#This Row],[Objectif de vente en unite N1]]*TableauProduit[[#This Row],[Packaging / unite]]</f>
        <v>0</v>
      </c>
      <c r="P55" s="579" t="e">
        <f t="shared" ca="1" si="1"/>
        <v>#VALUE!</v>
      </c>
      <c r="Q55" s="579" t="e">
        <f ca="1">TableauProduit[[#This Row],[Prix de vente/kg]]*TableauProduit[[#This Row],[Total (kg) N1]]-TableauProduit[[#This Row],[Achat par kg N1]]</f>
        <v>#VALUE!</v>
      </c>
      <c r="R55" s="582" t="e">
        <f ca="1">TableauProduit[[#This Row],[Revenue brut N1]]-TableauProduit[[#This Row],[Conditionnement N1]]</f>
        <v>#VALUE!</v>
      </c>
      <c r="S55" s="453">
        <v>0</v>
      </c>
      <c r="T55" s="452">
        <f>TableauProduit[[#This Row],[Poids (g) / unite]]*TableauProduit[[#This Row],[Objectif de vente en unite N1]]/1000</f>
        <v>0</v>
      </c>
      <c r="U55" s="571">
        <f>TableauProduit[[#This Row],[Objectif de vente en unite N1]]*TableauProduit[[#This Row],[Packaging / unite]]</f>
        <v>0</v>
      </c>
      <c r="V55" s="571" t="e">
        <f ca="1">TableauProduit[[#This Row],[Prix Achat de plante par kg]]*TableauProduit[[#This Row],[Total (kg) N1]]</f>
        <v>#VALUE!</v>
      </c>
      <c r="W55" s="571">
        <f>TableauProduit[[#This Row],[Prix de vente/kg]]*TableauProduit[[#This Row],[Total (kg) N1]]</f>
        <v>0</v>
      </c>
      <c r="X55" s="565" t="e">
        <f ca="1">TableauProduit[[#This Row],[Revenue brut N1]]-TableauProduit[[#This Row],[Achat par kg N1]]-TableauProduit[[#This Row],[Conditionnement N1]]</f>
        <v>#VALUE!</v>
      </c>
      <c r="Y55" s="566">
        <v>0</v>
      </c>
      <c r="Z55" s="456">
        <f>TableauProduit[[#This Row],[Poids (g) / unite]]*TableauProduit[[#This Row],[Objectif de vente en unite N1]]/1000</f>
        <v>0</v>
      </c>
      <c r="AA55" s="574">
        <f>TableauProduit[[#This Row],[Objectif de vente en unite N1]]*TableauProduit[[#This Row],[Packaging / unite]]</f>
        <v>0</v>
      </c>
      <c r="AB55" s="574" t="e">
        <f ca="1">TableauProduit[[#This Row],[Prix Achat de plante par kg]]*TableauProduit[[#This Row],[Total (kg) N1]]</f>
        <v>#VALUE!</v>
      </c>
      <c r="AC55" s="574">
        <f>TableauProduit[[#This Row],[Prix de vente/kg]]*TableauProduit[[#This Row],[Total (kg) N1]]</f>
        <v>0</v>
      </c>
      <c r="AD55" s="583" t="e">
        <f ca="1">TableauProduit[[#This Row],[Revenue brut N1]]-TableauProduit[[#This Row],[Achat par kg N1]]-TableauProduit[[#This Row],[Conditionnement N1]]</f>
        <v>#VALUE!</v>
      </c>
      <c r="AE55" s="458">
        <v>0</v>
      </c>
      <c r="AF55" s="458">
        <f>TableauProduit[[#This Row],[Poids (g) / unite]]*TableauProduit[[#This Row],[Objectif de vente en unite N1]]/1000</f>
        <v>0</v>
      </c>
      <c r="AG55" s="577">
        <f>TableauProduit[[#This Row],[Objectif de vente en unite N1]]*TableauProduit[[#This Row],[Packaging / unite]]</f>
        <v>0</v>
      </c>
      <c r="AH55" s="577" t="e">
        <f ca="1">TableauProduit[[#This Row],[Prix Achat de plante par kg]]*TableauProduit[[#This Row],[Total (kg) N1]]</f>
        <v>#VALUE!</v>
      </c>
      <c r="AI55" s="577">
        <f>TableauProduit[[#This Row],[Prix de vente/kg]]*TableauProduit[[#This Row],[Total (kg) N1]]</f>
        <v>0</v>
      </c>
      <c r="AJ55" s="458" t="e">
        <f ca="1">TableauProduit[[#This Row],[Revenue brut N1]]-TableauProduit[[#This Row],[Achat par kg N1]]-TableauProduit[[#This Row],[Conditionnement N1]]</f>
        <v>#VALUE!</v>
      </c>
      <c r="AK55" s="460">
        <v>0</v>
      </c>
      <c r="AL55" s="460">
        <f>TableauProduit[[#This Row],[Poids (g) / unite]]*TableauProduit[[#This Row],[Objectif de vente en unite N1]]/1000</f>
        <v>0</v>
      </c>
      <c r="AM55" s="584">
        <f>TableauProduit[[#This Row],[Objectif de vente en unite N1]]*TableauProduit[[#This Row],[Packaging / unite]]</f>
        <v>0</v>
      </c>
      <c r="AN55" s="584" t="e">
        <f ca="1">TableauProduit[[#This Row],[Prix Achat de plante par kg]]*TableauProduit[[#This Row],[Total (kg) N1]]</f>
        <v>#VALUE!</v>
      </c>
      <c r="AO55" s="584">
        <f>TableauProduit[[#This Row],[Prix de vente/kg]]*TableauProduit[[#This Row],[Total (kg) N1]]</f>
        <v>0</v>
      </c>
      <c r="AP55" s="460" t="e">
        <f ca="1">TableauProduit[[#This Row],[Revenue brut N1]]-TableauProduit[[#This Row],[Achat par kg N1]]-TableauProduit[[#This Row],[Conditionnement N1]]</f>
        <v>#VALUE!</v>
      </c>
      <c r="AQ55" s="462">
        <v>0</v>
      </c>
      <c r="AR55" s="462">
        <f>TableauProduit[[#This Row],[Poids (g) / unite]]*TableauProduit[[#This Row],[Objectif de vente en unite N1]]/1000</f>
        <v>0</v>
      </c>
      <c r="AS55" s="585">
        <f>TableauProduit[[#This Row],[Objectif de vente en unite N1]]*TableauProduit[[#This Row],[Packaging / unite]]</f>
        <v>0</v>
      </c>
      <c r="AT55" s="585" t="e">
        <f ca="1">TableauProduit[[#This Row],[Prix Achat de plante par kg]]*TableauProduit[[#This Row],[Total (kg) N1]]</f>
        <v>#VALUE!</v>
      </c>
      <c r="AU55" s="585">
        <f>TableauProduit[[#This Row],[Prix de vente/kg]]*TableauProduit[[#This Row],[Total (kg) N1]]</f>
        <v>0</v>
      </c>
      <c r="AV55" s="462" t="e">
        <f ca="1">TableauProduit[[#This Row],[Revenue brut N1]]-TableauProduit[[#This Row],[Achat par kg N1]]-TableauProduit[[#This Row],[Conditionnement N1]]</f>
        <v>#VALUE!</v>
      </c>
      <c r="AW55" s="450">
        <v>0</v>
      </c>
      <c r="AX55" s="450">
        <f>TableauProduit[[#This Row],[Poids (g) / unite]]*TableauProduit[[#This Row],[Objectif de vente en unite N1]]/1000</f>
        <v>0</v>
      </c>
      <c r="AY55" s="579">
        <f>TableauProduit[[#This Row],[Objectif de vente en unite N1]]*TableauProduit[[#This Row],[Packaging / unite]]</f>
        <v>0</v>
      </c>
      <c r="AZ55" s="579" t="e">
        <f ca="1">TableauProduit[[#This Row],[Prix Achat de plante par kg]]*TableauProduit[[#This Row],[Total (kg) N1]]</f>
        <v>#VALUE!</v>
      </c>
      <c r="BA55" s="579">
        <f>TableauProduit[[#This Row],[Prix de vente/kg]]*TableauProduit[[#This Row],[Total (kg) N1]]</f>
        <v>0</v>
      </c>
      <c r="BB55" s="586" t="e">
        <f ca="1">TableauProduit[[#This Row],[Revenue brut N1]]-TableauProduit[[#This Row],[Achat par kg N1]]-TableauProduit[[#This Row],[Conditionnement N1]]</f>
        <v>#VALUE!</v>
      </c>
      <c r="BC55" s="568">
        <v>0</v>
      </c>
      <c r="BD55" s="465">
        <f>TableauProduit[[#This Row],[Poids (g) / unite]]*TableauProduit[[#This Row],[Objectif de vente en unite N1]]/1000</f>
        <v>0</v>
      </c>
      <c r="BE55" s="587">
        <f>TableauProduit[[#This Row],[Objectif de vente en unite N1]]*TableauProduit[[#This Row],[Packaging / unite]]</f>
        <v>0</v>
      </c>
      <c r="BF55" s="587" t="e">
        <f ca="1">TableauProduit[[#This Row],[Prix Achat de plante par kg]]*TableauProduit[[#This Row],[Total (kg) N1]]</f>
        <v>#VALUE!</v>
      </c>
      <c r="BG55" s="587">
        <f>TableauProduit[[#This Row],[Prix de vente/kg]]*TableauProduit[[#This Row],[Total (kg) N1]]</f>
        <v>0</v>
      </c>
      <c r="BH55" s="588" t="e">
        <f ca="1">TableauProduit[[#This Row],[Revenue brut N1]]-TableauProduit[[#This Row],[Achat par kg N1]]-TableauProduit[[#This Row],[Conditionnement N1]]</f>
        <v>#VALUE!</v>
      </c>
      <c r="BI55" s="520">
        <v>0</v>
      </c>
      <c r="BJ55" s="467">
        <f>TableauProduit[[#This Row],[Poids (g) / unite]]*TableauProduit[[#This Row],[Objectif de vente en unite N1]]/1000</f>
        <v>0</v>
      </c>
      <c r="BK55" s="589">
        <f>TableauProduit[[#This Row],[Objectif de vente en unite N1]]*TableauProduit[[#This Row],[Packaging / unite]]</f>
        <v>0</v>
      </c>
      <c r="BL55" s="589" t="e">
        <f ca="1">TableauProduit[[#This Row],[Prix Achat de plante par kg]]*TableauProduit[[#This Row],[Total (kg) N1]]</f>
        <v>#VALUE!</v>
      </c>
      <c r="BM55" s="589">
        <f>TableauProduit[[#This Row],[Prix de vente/kg]]*TableauProduit[[#This Row],[Total (kg) N1]]</f>
        <v>0</v>
      </c>
      <c r="BN55" s="467" t="e">
        <f ca="1">TableauProduit[[#This Row],[Revenue brut N1]]-TableauProduit[[#This Row],[Achat par kg N1]]-TableauProduit[[#This Row],[Conditionnement N1]]</f>
        <v>#VALUE!</v>
      </c>
    </row>
    <row r="56" spans="1:66">
      <c r="A56" s="13" t="s">
        <v>98</v>
      </c>
      <c r="B56" s="54" t="str">
        <f>TableauProduit[[#This Row],[Recette]]&amp;TableauProduit[[#This Row],[Conditionnement]]</f>
        <v>Ras el hanoutEpice 100ml</v>
      </c>
      <c r="C56" s="11">
        <v>1</v>
      </c>
      <c r="D56" s="11">
        <f>VLOOKUP(TableauProduit[[#This Row],[Recette]],Old[],3)</f>
        <v>50</v>
      </c>
      <c r="E56" s="6" t="s">
        <v>55</v>
      </c>
      <c r="F56" s="7">
        <f>IFERROR(VLOOKUP(TableauProduit[[#This Row],[Conditionnement]],TableauConditionnement[[Nom]:[Contenance]],4,TRUE),"")</f>
        <v>0.64</v>
      </c>
      <c r="G56" s="627" t="e">
        <f ca="1">SUMIFS(TableauRecette[Prix d''achat / kg],TableauRecette[Recette],TableauProduit[[#This Row],[Recette]],TableauRecette[Conditionnement],TableauProduit[[#This Row],[Conditionnement]])</f>
        <v>#VALUE!</v>
      </c>
      <c r="H56" s="628">
        <v>5</v>
      </c>
      <c r="I56" s="629">
        <f>1000*TableauProduit[[#This Row],[Prix de vente/U]]/TableauProduit[[#This Row],[Poids (g) / unite]]</f>
        <v>100</v>
      </c>
      <c r="J56" s="630">
        <f>SUMIFS(TableauConcurence[PRIX_KG],TableauConcurence[PRODUIT],TableauProduit[[#This Row],[Recette]],TableauConcurence[DISTRIBUTION],"magasin NON BIO")</f>
        <v>0</v>
      </c>
      <c r="K56" s="631">
        <f>SUMIFS(TableauConcurence[PRIX_KG],TableauConcurence[PRODUIT],TableauProduit[[#This Row],[Recette]],TableauConcurence[DISTRIBUTION],"magasin BIO")</f>
        <v>0</v>
      </c>
      <c r="L56" s="632">
        <f>SUMIFS(TableauConcurence[PRIX_KG],TableauConcurence[PRODUIT],TableauProduit[[#This Row],[Recette]],TableauConcurence[DISTRIBUTION],"artisanale BIO")</f>
        <v>0</v>
      </c>
      <c r="M56" s="564">
        <v>0</v>
      </c>
      <c r="N56" s="450">
        <f>TableauProduit[[#This Row],[Poids (g) / unite]]*TableauProduit[[#This Row],[Objectif de vente en unite N1]]/1000</f>
        <v>0</v>
      </c>
      <c r="O56" s="579">
        <f>TableauProduit[[#This Row],[Objectif de vente en unite N1]]*TableauProduit[[#This Row],[Packaging / unite]]</f>
        <v>0</v>
      </c>
      <c r="P56" s="579" t="e">
        <f t="shared" ca="1" si="1"/>
        <v>#VALUE!</v>
      </c>
      <c r="Q56" s="579" t="e">
        <f ca="1">TableauProduit[[#This Row],[Prix de vente/kg]]*TableauProduit[[#This Row],[Total (kg) N1]]-TableauProduit[[#This Row],[Achat par kg N1]]</f>
        <v>#VALUE!</v>
      </c>
      <c r="R56" s="586" t="e">
        <f ca="1">TableauProduit[[#This Row],[Revenue brut N1]]-TableauProduit[[#This Row],[Conditionnement N1]]</f>
        <v>#VALUE!</v>
      </c>
      <c r="S56" s="453">
        <v>0</v>
      </c>
      <c r="T56" s="452">
        <f>TableauProduit[[#This Row],[Poids (g) / unite]]*TableauProduit[[#This Row],[Objectif de vente en unite N1]]/1000</f>
        <v>0</v>
      </c>
      <c r="U56" s="571">
        <f>TableauProduit[[#This Row],[Objectif de vente en unite N1]]*TableauProduit[[#This Row],[Packaging / unite]]</f>
        <v>0</v>
      </c>
      <c r="V56" s="571" t="e">
        <f ca="1">TableauProduit[[#This Row],[Prix Achat de plante par kg]]*TableauProduit[[#This Row],[Total (kg) N1]]</f>
        <v>#VALUE!</v>
      </c>
      <c r="W56" s="571">
        <f>TableauProduit[[#This Row],[Prix de vente/kg]]*TableauProduit[[#This Row],[Total (kg) N1]]</f>
        <v>0</v>
      </c>
      <c r="X56" s="565" t="e">
        <f ca="1">TableauProduit[[#This Row],[Revenue brut N1]]-TableauProduit[[#This Row],[Achat par kg N1]]-TableauProduit[[#This Row],[Conditionnement N1]]</f>
        <v>#VALUE!</v>
      </c>
      <c r="Y56" s="566">
        <v>0</v>
      </c>
      <c r="Z56" s="456">
        <f>TableauProduit[[#This Row],[Poids (g) / unite]]*TableauProduit[[#This Row],[Objectif de vente en unite N1]]/1000</f>
        <v>0</v>
      </c>
      <c r="AA56" s="574">
        <f>TableauProduit[[#This Row],[Objectif de vente en unite N1]]*TableauProduit[[#This Row],[Packaging / unite]]</f>
        <v>0</v>
      </c>
      <c r="AB56" s="574" t="e">
        <f ca="1">TableauProduit[[#This Row],[Prix Achat de plante par kg]]*TableauProduit[[#This Row],[Total (kg) N1]]</f>
        <v>#VALUE!</v>
      </c>
      <c r="AC56" s="574">
        <f>TableauProduit[[#This Row],[Prix de vente/kg]]*TableauProduit[[#This Row],[Total (kg) N1]]</f>
        <v>0</v>
      </c>
      <c r="AD56" s="583" t="e">
        <f ca="1">TableauProduit[[#This Row],[Revenue brut N1]]-TableauProduit[[#This Row],[Achat par kg N1]]-TableauProduit[[#This Row],[Conditionnement N1]]</f>
        <v>#VALUE!</v>
      </c>
      <c r="AE56" s="458">
        <v>0</v>
      </c>
      <c r="AF56" s="458">
        <f>TableauProduit[[#This Row],[Poids (g) / unite]]*TableauProduit[[#This Row],[Objectif de vente en unite N1]]/1000</f>
        <v>0</v>
      </c>
      <c r="AG56" s="577">
        <f>TableauProduit[[#This Row],[Objectif de vente en unite N1]]*TableauProduit[[#This Row],[Packaging / unite]]</f>
        <v>0</v>
      </c>
      <c r="AH56" s="577" t="e">
        <f ca="1">TableauProduit[[#This Row],[Prix Achat de plante par kg]]*TableauProduit[[#This Row],[Total (kg) N1]]</f>
        <v>#VALUE!</v>
      </c>
      <c r="AI56" s="577">
        <f>TableauProduit[[#This Row],[Prix de vente/kg]]*TableauProduit[[#This Row],[Total (kg) N1]]</f>
        <v>0</v>
      </c>
      <c r="AJ56" s="458" t="e">
        <f ca="1">TableauProduit[[#This Row],[Revenue brut N1]]-TableauProduit[[#This Row],[Achat par kg N1]]-TableauProduit[[#This Row],[Conditionnement N1]]</f>
        <v>#VALUE!</v>
      </c>
      <c r="AK56" s="460">
        <v>0</v>
      </c>
      <c r="AL56" s="460">
        <f>TableauProduit[[#This Row],[Poids (g) / unite]]*TableauProduit[[#This Row],[Objectif de vente en unite N1]]/1000</f>
        <v>0</v>
      </c>
      <c r="AM56" s="584">
        <f>TableauProduit[[#This Row],[Objectif de vente en unite N1]]*TableauProduit[[#This Row],[Packaging / unite]]</f>
        <v>0</v>
      </c>
      <c r="AN56" s="584" t="e">
        <f ca="1">TableauProduit[[#This Row],[Prix Achat de plante par kg]]*TableauProduit[[#This Row],[Total (kg) N1]]</f>
        <v>#VALUE!</v>
      </c>
      <c r="AO56" s="584">
        <f>TableauProduit[[#This Row],[Prix de vente/kg]]*TableauProduit[[#This Row],[Total (kg) N1]]</f>
        <v>0</v>
      </c>
      <c r="AP56" s="460" t="e">
        <f ca="1">TableauProduit[[#This Row],[Revenue brut N1]]-TableauProduit[[#This Row],[Achat par kg N1]]-TableauProduit[[#This Row],[Conditionnement N1]]</f>
        <v>#VALUE!</v>
      </c>
      <c r="AQ56" s="462">
        <v>0</v>
      </c>
      <c r="AR56" s="462">
        <f>TableauProduit[[#This Row],[Poids (g) / unite]]*TableauProduit[[#This Row],[Objectif de vente en unite N1]]/1000</f>
        <v>0</v>
      </c>
      <c r="AS56" s="585">
        <f>TableauProduit[[#This Row],[Objectif de vente en unite N1]]*TableauProduit[[#This Row],[Packaging / unite]]</f>
        <v>0</v>
      </c>
      <c r="AT56" s="585" t="e">
        <f ca="1">TableauProduit[[#This Row],[Prix Achat de plante par kg]]*TableauProduit[[#This Row],[Total (kg) N1]]</f>
        <v>#VALUE!</v>
      </c>
      <c r="AU56" s="585">
        <f>TableauProduit[[#This Row],[Prix de vente/kg]]*TableauProduit[[#This Row],[Total (kg) N1]]</f>
        <v>0</v>
      </c>
      <c r="AV56" s="462" t="e">
        <f ca="1">TableauProduit[[#This Row],[Revenue brut N1]]-TableauProduit[[#This Row],[Achat par kg N1]]-TableauProduit[[#This Row],[Conditionnement N1]]</f>
        <v>#VALUE!</v>
      </c>
      <c r="AW56" s="450">
        <v>0</v>
      </c>
      <c r="AX56" s="450">
        <f>TableauProduit[[#This Row],[Poids (g) / unite]]*TableauProduit[[#This Row],[Objectif de vente en unite N1]]/1000</f>
        <v>0</v>
      </c>
      <c r="AY56" s="579">
        <f>TableauProduit[[#This Row],[Objectif de vente en unite N1]]*TableauProduit[[#This Row],[Packaging / unite]]</f>
        <v>0</v>
      </c>
      <c r="AZ56" s="579" t="e">
        <f ca="1">TableauProduit[[#This Row],[Prix Achat de plante par kg]]*TableauProduit[[#This Row],[Total (kg) N1]]</f>
        <v>#VALUE!</v>
      </c>
      <c r="BA56" s="579">
        <f>TableauProduit[[#This Row],[Prix de vente/kg]]*TableauProduit[[#This Row],[Total (kg) N1]]</f>
        <v>0</v>
      </c>
      <c r="BB56" s="586" t="e">
        <f ca="1">TableauProduit[[#This Row],[Revenue brut N1]]-TableauProduit[[#This Row],[Achat par kg N1]]-TableauProduit[[#This Row],[Conditionnement N1]]</f>
        <v>#VALUE!</v>
      </c>
      <c r="BC56" s="568">
        <v>0</v>
      </c>
      <c r="BD56" s="465">
        <f>TableauProduit[[#This Row],[Poids (g) / unite]]*TableauProduit[[#This Row],[Objectif de vente en unite N1]]/1000</f>
        <v>0</v>
      </c>
      <c r="BE56" s="587">
        <f>TableauProduit[[#This Row],[Objectif de vente en unite N1]]*TableauProduit[[#This Row],[Packaging / unite]]</f>
        <v>0</v>
      </c>
      <c r="BF56" s="587" t="e">
        <f ca="1">TableauProduit[[#This Row],[Prix Achat de plante par kg]]*TableauProduit[[#This Row],[Total (kg) N1]]</f>
        <v>#VALUE!</v>
      </c>
      <c r="BG56" s="587">
        <f>TableauProduit[[#This Row],[Prix de vente/kg]]*TableauProduit[[#This Row],[Total (kg) N1]]</f>
        <v>0</v>
      </c>
      <c r="BH56" s="588" t="e">
        <f ca="1">TableauProduit[[#This Row],[Revenue brut N1]]-TableauProduit[[#This Row],[Achat par kg N1]]-TableauProduit[[#This Row],[Conditionnement N1]]</f>
        <v>#VALUE!</v>
      </c>
      <c r="BI56" s="520">
        <v>0</v>
      </c>
      <c r="BJ56" s="467">
        <f>TableauProduit[[#This Row],[Poids (g) / unite]]*TableauProduit[[#This Row],[Objectif de vente en unite N1]]/1000</f>
        <v>0</v>
      </c>
      <c r="BK56" s="589">
        <f>TableauProduit[[#This Row],[Objectif de vente en unite N1]]*TableauProduit[[#This Row],[Packaging / unite]]</f>
        <v>0</v>
      </c>
      <c r="BL56" s="589" t="e">
        <f ca="1">TableauProduit[[#This Row],[Prix Achat de plante par kg]]*TableauProduit[[#This Row],[Total (kg) N1]]</f>
        <v>#VALUE!</v>
      </c>
      <c r="BM56" s="589">
        <f>TableauProduit[[#This Row],[Prix de vente/kg]]*TableauProduit[[#This Row],[Total (kg) N1]]</f>
        <v>0</v>
      </c>
      <c r="BN56" s="467" t="e">
        <f ca="1">TableauProduit[[#This Row],[Revenue brut N1]]-TableauProduit[[#This Row],[Achat par kg N1]]-TableauProduit[[#This Row],[Conditionnement N1]]</f>
        <v>#VALUE!</v>
      </c>
    </row>
    <row r="57" spans="1:66">
      <c r="A57" s="13" t="s">
        <v>99</v>
      </c>
      <c r="B57" s="54" t="str">
        <f>TableauProduit[[#This Row],[Recette]]&amp;TableauProduit[[#This Row],[Conditionnement]]</f>
        <v>Jamaican JerkEpice 100ml</v>
      </c>
      <c r="C57" s="11">
        <v>1</v>
      </c>
      <c r="D57" s="11">
        <f>VLOOKUP(TableauProduit[[#This Row],[Recette]],Old[],3)</f>
        <v>50</v>
      </c>
      <c r="E57" s="6" t="s">
        <v>55</v>
      </c>
      <c r="F57" s="7">
        <f>IFERROR(VLOOKUP(TableauProduit[[#This Row],[Conditionnement]],TableauConditionnement[[Nom]:[Contenance]],4,TRUE),"")</f>
        <v>0.64</v>
      </c>
      <c r="G57" s="627" t="e">
        <f ca="1">SUMIFS(TableauRecette[Prix d''achat / kg],TableauRecette[Recette],TableauProduit[[#This Row],[Recette]],TableauRecette[Conditionnement],TableauProduit[[#This Row],[Conditionnement]])</f>
        <v>#VALUE!</v>
      </c>
      <c r="H57" s="628">
        <v>5</v>
      </c>
      <c r="I57" s="629">
        <f>1000*TableauProduit[[#This Row],[Prix de vente/U]]/TableauProduit[[#This Row],[Poids (g) / unite]]</f>
        <v>100</v>
      </c>
      <c r="J57" s="630">
        <f>SUMIFS(TableauConcurence[PRIX_KG],TableauConcurence[PRODUIT],TableauProduit[[#This Row],[Recette]],TableauConcurence[DISTRIBUTION],"magasin NON BIO")</f>
        <v>0</v>
      </c>
      <c r="K57" s="631">
        <f>SUMIFS(TableauConcurence[PRIX_KG],TableauConcurence[PRODUIT],TableauProduit[[#This Row],[Recette]],TableauConcurence[DISTRIBUTION],"magasin BIO")</f>
        <v>0</v>
      </c>
      <c r="L57" s="632">
        <f>SUMIFS(TableauConcurence[PRIX_KG],TableauConcurence[PRODUIT],TableauProduit[[#This Row],[Recette]],TableauConcurence[DISTRIBUTION],"artisanale BIO")</f>
        <v>0</v>
      </c>
      <c r="M57" s="564">
        <v>0</v>
      </c>
      <c r="N57" s="450">
        <f>TableauProduit[[#This Row],[Poids (g) / unite]]*TableauProduit[[#This Row],[Objectif de vente en unite N1]]/1000</f>
        <v>0</v>
      </c>
      <c r="O57" s="579">
        <f>TableauProduit[[#This Row],[Objectif de vente en unite N1]]*TableauProduit[[#This Row],[Packaging / unite]]</f>
        <v>0</v>
      </c>
      <c r="P57" s="579" t="e">
        <f t="shared" ca="1" si="1"/>
        <v>#VALUE!</v>
      </c>
      <c r="Q57" s="579" t="e">
        <f ca="1">TableauProduit[[#This Row],[Prix de vente/kg]]*TableauProduit[[#This Row],[Total (kg) N1]]-TableauProduit[[#This Row],[Achat par kg N1]]</f>
        <v>#VALUE!</v>
      </c>
      <c r="R57" s="586" t="e">
        <f ca="1">TableauProduit[[#This Row],[Revenue brut N1]]-TableauProduit[[#This Row],[Conditionnement N1]]</f>
        <v>#VALUE!</v>
      </c>
      <c r="S57" s="453">
        <v>0</v>
      </c>
      <c r="T57" s="452">
        <f>TableauProduit[[#This Row],[Poids (g) / unite]]*TableauProduit[[#This Row],[Objectif de vente en unite N1]]/1000</f>
        <v>0</v>
      </c>
      <c r="U57" s="571">
        <f>TableauProduit[[#This Row],[Objectif de vente en unite N1]]*TableauProduit[[#This Row],[Packaging / unite]]</f>
        <v>0</v>
      </c>
      <c r="V57" s="571" t="e">
        <f ca="1">TableauProduit[[#This Row],[Prix Achat de plante par kg]]*TableauProduit[[#This Row],[Total (kg) N1]]</f>
        <v>#VALUE!</v>
      </c>
      <c r="W57" s="571">
        <f>TableauProduit[[#This Row],[Prix de vente/kg]]*TableauProduit[[#This Row],[Total (kg) N1]]</f>
        <v>0</v>
      </c>
      <c r="X57" s="565" t="e">
        <f ca="1">TableauProduit[[#This Row],[Revenue brut N1]]-TableauProduit[[#This Row],[Achat par kg N1]]-TableauProduit[[#This Row],[Conditionnement N1]]</f>
        <v>#VALUE!</v>
      </c>
      <c r="Y57" s="566">
        <v>0</v>
      </c>
      <c r="Z57" s="456">
        <f>TableauProduit[[#This Row],[Poids (g) / unite]]*TableauProduit[[#This Row],[Objectif de vente en unite N1]]/1000</f>
        <v>0</v>
      </c>
      <c r="AA57" s="574">
        <f>TableauProduit[[#This Row],[Objectif de vente en unite N1]]*TableauProduit[[#This Row],[Packaging / unite]]</f>
        <v>0</v>
      </c>
      <c r="AB57" s="574" t="e">
        <f ca="1">TableauProduit[[#This Row],[Prix Achat de plante par kg]]*TableauProduit[[#This Row],[Total (kg) N1]]</f>
        <v>#VALUE!</v>
      </c>
      <c r="AC57" s="574">
        <f>TableauProduit[[#This Row],[Prix de vente/kg]]*TableauProduit[[#This Row],[Total (kg) N1]]</f>
        <v>0</v>
      </c>
      <c r="AD57" s="583" t="e">
        <f ca="1">TableauProduit[[#This Row],[Revenue brut N1]]-TableauProduit[[#This Row],[Achat par kg N1]]-TableauProduit[[#This Row],[Conditionnement N1]]</f>
        <v>#VALUE!</v>
      </c>
      <c r="AE57" s="458">
        <v>0</v>
      </c>
      <c r="AF57" s="458">
        <f>TableauProduit[[#This Row],[Poids (g) / unite]]*TableauProduit[[#This Row],[Objectif de vente en unite N1]]/1000</f>
        <v>0</v>
      </c>
      <c r="AG57" s="577">
        <f>TableauProduit[[#This Row],[Objectif de vente en unite N1]]*TableauProduit[[#This Row],[Packaging / unite]]</f>
        <v>0</v>
      </c>
      <c r="AH57" s="577" t="e">
        <f ca="1">TableauProduit[[#This Row],[Prix Achat de plante par kg]]*TableauProduit[[#This Row],[Total (kg) N1]]</f>
        <v>#VALUE!</v>
      </c>
      <c r="AI57" s="577">
        <f>TableauProduit[[#This Row],[Prix de vente/kg]]*TableauProduit[[#This Row],[Total (kg) N1]]</f>
        <v>0</v>
      </c>
      <c r="AJ57" s="458" t="e">
        <f ca="1">TableauProduit[[#This Row],[Revenue brut N1]]-TableauProduit[[#This Row],[Achat par kg N1]]-TableauProduit[[#This Row],[Conditionnement N1]]</f>
        <v>#VALUE!</v>
      </c>
      <c r="AK57" s="460">
        <v>0</v>
      </c>
      <c r="AL57" s="460">
        <f>TableauProduit[[#This Row],[Poids (g) / unite]]*TableauProduit[[#This Row],[Objectif de vente en unite N1]]/1000</f>
        <v>0</v>
      </c>
      <c r="AM57" s="584">
        <f>TableauProduit[[#This Row],[Objectif de vente en unite N1]]*TableauProduit[[#This Row],[Packaging / unite]]</f>
        <v>0</v>
      </c>
      <c r="AN57" s="584" t="e">
        <f ca="1">TableauProduit[[#This Row],[Prix Achat de plante par kg]]*TableauProduit[[#This Row],[Total (kg) N1]]</f>
        <v>#VALUE!</v>
      </c>
      <c r="AO57" s="584">
        <f>TableauProduit[[#This Row],[Prix de vente/kg]]*TableauProduit[[#This Row],[Total (kg) N1]]</f>
        <v>0</v>
      </c>
      <c r="AP57" s="460" t="e">
        <f ca="1">TableauProduit[[#This Row],[Revenue brut N1]]-TableauProduit[[#This Row],[Achat par kg N1]]-TableauProduit[[#This Row],[Conditionnement N1]]</f>
        <v>#VALUE!</v>
      </c>
      <c r="AQ57" s="462">
        <v>0</v>
      </c>
      <c r="AR57" s="462">
        <f>TableauProduit[[#This Row],[Poids (g) / unite]]*TableauProduit[[#This Row],[Objectif de vente en unite N1]]/1000</f>
        <v>0</v>
      </c>
      <c r="AS57" s="585">
        <f>TableauProduit[[#This Row],[Objectif de vente en unite N1]]*TableauProduit[[#This Row],[Packaging / unite]]</f>
        <v>0</v>
      </c>
      <c r="AT57" s="585" t="e">
        <f ca="1">TableauProduit[[#This Row],[Prix Achat de plante par kg]]*TableauProduit[[#This Row],[Total (kg) N1]]</f>
        <v>#VALUE!</v>
      </c>
      <c r="AU57" s="585">
        <f>TableauProduit[[#This Row],[Prix de vente/kg]]*TableauProduit[[#This Row],[Total (kg) N1]]</f>
        <v>0</v>
      </c>
      <c r="AV57" s="462" t="e">
        <f ca="1">TableauProduit[[#This Row],[Revenue brut N1]]-TableauProduit[[#This Row],[Achat par kg N1]]-TableauProduit[[#This Row],[Conditionnement N1]]</f>
        <v>#VALUE!</v>
      </c>
      <c r="AW57" s="450">
        <v>0</v>
      </c>
      <c r="AX57" s="450">
        <f>TableauProduit[[#This Row],[Poids (g) / unite]]*TableauProduit[[#This Row],[Objectif de vente en unite N1]]/1000</f>
        <v>0</v>
      </c>
      <c r="AY57" s="579">
        <f>TableauProduit[[#This Row],[Objectif de vente en unite N1]]*TableauProduit[[#This Row],[Packaging / unite]]</f>
        <v>0</v>
      </c>
      <c r="AZ57" s="579" t="e">
        <f ca="1">TableauProduit[[#This Row],[Prix Achat de plante par kg]]*TableauProduit[[#This Row],[Total (kg) N1]]</f>
        <v>#VALUE!</v>
      </c>
      <c r="BA57" s="579">
        <f>TableauProduit[[#This Row],[Prix de vente/kg]]*TableauProduit[[#This Row],[Total (kg) N1]]</f>
        <v>0</v>
      </c>
      <c r="BB57" s="586" t="e">
        <f ca="1">TableauProduit[[#This Row],[Revenue brut N1]]-TableauProduit[[#This Row],[Achat par kg N1]]-TableauProduit[[#This Row],[Conditionnement N1]]</f>
        <v>#VALUE!</v>
      </c>
      <c r="BC57" s="568">
        <v>0</v>
      </c>
      <c r="BD57" s="465">
        <f>TableauProduit[[#This Row],[Poids (g) / unite]]*TableauProduit[[#This Row],[Objectif de vente en unite N1]]/1000</f>
        <v>0</v>
      </c>
      <c r="BE57" s="587">
        <f>TableauProduit[[#This Row],[Objectif de vente en unite N1]]*TableauProduit[[#This Row],[Packaging / unite]]</f>
        <v>0</v>
      </c>
      <c r="BF57" s="587" t="e">
        <f ca="1">TableauProduit[[#This Row],[Prix Achat de plante par kg]]*TableauProduit[[#This Row],[Total (kg) N1]]</f>
        <v>#VALUE!</v>
      </c>
      <c r="BG57" s="587">
        <f>TableauProduit[[#This Row],[Prix de vente/kg]]*TableauProduit[[#This Row],[Total (kg) N1]]</f>
        <v>0</v>
      </c>
      <c r="BH57" s="588" t="e">
        <f ca="1">TableauProduit[[#This Row],[Revenue brut N1]]-TableauProduit[[#This Row],[Achat par kg N1]]-TableauProduit[[#This Row],[Conditionnement N1]]</f>
        <v>#VALUE!</v>
      </c>
      <c r="BI57" s="520">
        <v>0</v>
      </c>
      <c r="BJ57" s="467">
        <f>TableauProduit[[#This Row],[Poids (g) / unite]]*TableauProduit[[#This Row],[Objectif de vente en unite N1]]/1000</f>
        <v>0</v>
      </c>
      <c r="BK57" s="589">
        <f>TableauProduit[[#This Row],[Objectif de vente en unite N1]]*TableauProduit[[#This Row],[Packaging / unite]]</f>
        <v>0</v>
      </c>
      <c r="BL57" s="589" t="e">
        <f ca="1">TableauProduit[[#This Row],[Prix Achat de plante par kg]]*TableauProduit[[#This Row],[Total (kg) N1]]</f>
        <v>#VALUE!</v>
      </c>
      <c r="BM57" s="589">
        <f>TableauProduit[[#This Row],[Prix de vente/kg]]*TableauProduit[[#This Row],[Total (kg) N1]]</f>
        <v>0</v>
      </c>
      <c r="BN57" s="467" t="e">
        <f ca="1">TableauProduit[[#This Row],[Revenue brut N1]]-TableauProduit[[#This Row],[Achat par kg N1]]-TableauProduit[[#This Row],[Conditionnement N1]]</f>
        <v>#VALUE!</v>
      </c>
    </row>
    <row r="58" spans="1:66">
      <c r="A58" s="536" t="s">
        <v>100</v>
      </c>
      <c r="B58" s="54" t="str">
        <f>TableauProduit[[#This Row],[Recette]]&amp;TableauProduit[[#This Row],[Conditionnement]]</f>
        <v>Durban masalaEpice 100ml</v>
      </c>
      <c r="C58" s="11">
        <v>1</v>
      </c>
      <c r="D58" s="11">
        <f>VLOOKUP(TableauProduit[[#This Row],[Recette]],Old[],3)</f>
        <v>40</v>
      </c>
      <c r="E58" s="6" t="s">
        <v>55</v>
      </c>
      <c r="F58" s="7">
        <f>IFERROR(VLOOKUP(TableauProduit[[#This Row],[Conditionnement]],TableauConditionnement[[Nom]:[Contenance]],4,TRUE),"")</f>
        <v>0.64</v>
      </c>
      <c r="G58" s="627">
        <f ca="1">SUMIFS(TableauRecette[Prix d''achat / kg],TableauRecette[Recette],TableauProduit[[#This Row],[Recette]],TableauRecette[Conditionnement],TableauProduit[[#This Row],[Conditionnement]])</f>
        <v>11.406552795031054</v>
      </c>
      <c r="H58" s="633">
        <v>4</v>
      </c>
      <c r="I58" s="629">
        <f>1000*TableauProduit[[#This Row],[Prix de vente/U]]/TableauProduit[[#This Row],[Poids (g) / unite]]</f>
        <v>100</v>
      </c>
      <c r="J58" s="630">
        <f>SUMIFS(TableauConcurence[PRIX_KG],TableauConcurence[PRODUIT],TableauProduit[[#This Row],[Recette]],TableauConcurence[DISTRIBUTION],"magasin NON BIO")</f>
        <v>0</v>
      </c>
      <c r="K58" s="631">
        <f>SUMIFS(TableauConcurence[PRIX_KG],TableauConcurence[PRODUIT],TableauProduit[[#This Row],[Recette]],TableauConcurence[DISTRIBUTION],"magasin BIO")</f>
        <v>0</v>
      </c>
      <c r="L58" s="632">
        <f>SUMIFS(TableauConcurence[PRIX_KG],TableauConcurence[PRODUIT],TableauProduit[[#This Row],[Recette]],TableauConcurence[DISTRIBUTION],"artisanale BIO")</f>
        <v>0</v>
      </c>
      <c r="M58" s="564">
        <v>0</v>
      </c>
      <c r="N58" s="617">
        <f>TableauProduit[[#This Row],[Poids (g) / unite]]*TableauProduit[[#This Row],[Objectif de vente en unite N1]]/1000</f>
        <v>0</v>
      </c>
      <c r="O58" s="579">
        <f>TableauProduit[[#This Row],[Objectif de vente en unite N1]]*TableauProduit[[#This Row],[Packaging / unite]]</f>
        <v>0</v>
      </c>
      <c r="P58" s="579">
        <f t="shared" ca="1" si="1"/>
        <v>0</v>
      </c>
      <c r="Q58" s="579">
        <f ca="1">TableauProduit[[#This Row],[Prix de vente/kg]]*TableauProduit[[#This Row],[Total (kg) N1]]-TableauProduit[[#This Row],[Achat par kg N1]]</f>
        <v>-100</v>
      </c>
      <c r="R58" s="586">
        <f ca="1">TableauProduit[[#This Row],[Revenue brut N1]]-TableauProduit[[#This Row],[Conditionnement N1]]</f>
        <v>-100</v>
      </c>
      <c r="S58" s="565">
        <v>0</v>
      </c>
      <c r="T58" s="513">
        <f>TableauProduit[[#This Row],[Poids (g) / unite]]*TableauProduit[[#This Row],[Objectif de vente en unite N1]]/1000</f>
        <v>0</v>
      </c>
      <c r="U58" s="572">
        <f>TableauProduit[[#This Row],[Objectif de vente en unite N1]]*TableauProduit[[#This Row],[Packaging / unite]]</f>
        <v>0</v>
      </c>
      <c r="V58" s="571">
        <f ca="1">TableauProduit[[#This Row],[Prix Achat de plante par kg]]*TableauProduit[[#This Row],[Total (kg) N1]]</f>
        <v>0</v>
      </c>
      <c r="W58" s="573">
        <f>TableauProduit[[#This Row],[Prix de vente/kg]]*TableauProduit[[#This Row],[Total (kg) N1]]</f>
        <v>0</v>
      </c>
      <c r="X58" s="618">
        <f ca="1">TableauProduit[[#This Row],[Revenue brut N1]]-TableauProduit[[#This Row],[Achat par kg N1]]-TableauProduit[[#This Row],[Conditionnement N1]]</f>
        <v>-200</v>
      </c>
      <c r="Y58" s="567">
        <v>0</v>
      </c>
      <c r="Z58" s="514">
        <f>TableauProduit[[#This Row],[Poids (g) / unite]]*TableauProduit[[#This Row],[Objectif de vente en unite N1]]/1000</f>
        <v>0</v>
      </c>
      <c r="AA58" s="575">
        <f>TableauProduit[[#This Row],[Objectif de vente en unite N1]]*TableauProduit[[#This Row],[Packaging / unite]]</f>
        <v>0</v>
      </c>
      <c r="AB58" s="574">
        <f ca="1">TableauProduit[[#This Row],[Prix Achat de plante par kg]]*TableauProduit[[#This Row],[Total (kg) N1]]</f>
        <v>0</v>
      </c>
      <c r="AC58" s="576">
        <f>TableauProduit[[#This Row],[Prix de vente/kg]]*TableauProduit[[#This Row],[Total (kg) N1]]</f>
        <v>0</v>
      </c>
      <c r="AD58" s="619">
        <f ca="1">TableauProduit[[#This Row],[Revenue brut N1]]-TableauProduit[[#This Row],[Achat par kg N1]]-TableauProduit[[#This Row],[Conditionnement N1]]</f>
        <v>-200</v>
      </c>
      <c r="AE58" s="620">
        <v>0</v>
      </c>
      <c r="AF58" s="515">
        <f>TableauProduit[[#This Row],[Poids (g) / unite]]*TableauProduit[[#This Row],[Objectif de vente en unite N1]]/1000</f>
        <v>0</v>
      </c>
      <c r="AG58" s="578">
        <f>TableauProduit[[#This Row],[Objectif de vente en unite N1]]*TableauProduit[[#This Row],[Packaging / unite]]</f>
        <v>0</v>
      </c>
      <c r="AH58" s="577">
        <f ca="1">TableauProduit[[#This Row],[Prix Achat de plante par kg]]*TableauProduit[[#This Row],[Total (kg) N1]]</f>
        <v>0</v>
      </c>
      <c r="AI58" s="590">
        <f>TableauProduit[[#This Row],[Prix de vente/kg]]*TableauProduit[[#This Row],[Total (kg) N1]]</f>
        <v>0</v>
      </c>
      <c r="AJ58" s="591">
        <f ca="1">TableauProduit[[#This Row],[Revenue brut N1]]-TableauProduit[[#This Row],[Achat par kg N1]]-TableauProduit[[#This Row],[Conditionnement N1]]</f>
        <v>-200</v>
      </c>
      <c r="AK58" s="621">
        <v>0</v>
      </c>
      <c r="AL58" s="516">
        <f>TableauProduit[[#This Row],[Poids (g) / unite]]*TableauProduit[[#This Row],[Objectif de vente en unite N1]]/1000</f>
        <v>0</v>
      </c>
      <c r="AM58" s="592">
        <f>TableauProduit[[#This Row],[Objectif de vente en unite N1]]*TableauProduit[[#This Row],[Packaging / unite]]</f>
        <v>0</v>
      </c>
      <c r="AN58" s="584">
        <f ca="1">TableauProduit[[#This Row],[Prix Achat de plante par kg]]*TableauProduit[[#This Row],[Total (kg) N1]]</f>
        <v>0</v>
      </c>
      <c r="AO58" s="593">
        <f>TableauProduit[[#This Row],[Prix de vente/kg]]*TableauProduit[[#This Row],[Total (kg) N1]]</f>
        <v>0</v>
      </c>
      <c r="AP58" s="594">
        <f ca="1">TableauProduit[[#This Row],[Revenue brut N1]]-TableauProduit[[#This Row],[Achat par kg N1]]-TableauProduit[[#This Row],[Conditionnement N1]]</f>
        <v>-200</v>
      </c>
      <c r="AQ58" s="622">
        <v>0</v>
      </c>
      <c r="AR58" s="517">
        <f>TableauProduit[[#This Row],[Poids (g) / unite]]*TableauProduit[[#This Row],[Objectif de vente en unite N1]]/1000</f>
        <v>0</v>
      </c>
      <c r="AS58" s="595">
        <f>TableauProduit[[#This Row],[Objectif de vente en unite N1]]*TableauProduit[[#This Row],[Packaging / unite]]</f>
        <v>0</v>
      </c>
      <c r="AT58" s="585">
        <f ca="1">TableauProduit[[#This Row],[Prix Achat de plante par kg]]*TableauProduit[[#This Row],[Total (kg) N1]]</f>
        <v>0</v>
      </c>
      <c r="AU58" s="596">
        <f>TableauProduit[[#This Row],[Prix de vente/kg]]*TableauProduit[[#This Row],[Total (kg) N1]]</f>
        <v>0</v>
      </c>
      <c r="AV58" s="597">
        <f ca="1">TableauProduit[[#This Row],[Revenue brut N1]]-TableauProduit[[#This Row],[Achat par kg N1]]-TableauProduit[[#This Row],[Conditionnement N1]]</f>
        <v>-200</v>
      </c>
      <c r="AW58" s="617">
        <v>0</v>
      </c>
      <c r="AX58" s="518">
        <f>TableauProduit[[#This Row],[Poids (g) / unite]]*TableauProduit[[#This Row],[Objectif de vente en unite N1]]/1000</f>
        <v>0</v>
      </c>
      <c r="AY58" s="580">
        <f>TableauProduit[[#This Row],[Objectif de vente en unite N1]]*TableauProduit[[#This Row],[Packaging / unite]]</f>
        <v>0</v>
      </c>
      <c r="AZ58" s="579">
        <f ca="1">TableauProduit[[#This Row],[Prix Achat de plante par kg]]*TableauProduit[[#This Row],[Total (kg) N1]]</f>
        <v>0</v>
      </c>
      <c r="BA58" s="581">
        <f>TableauProduit[[#This Row],[Prix de vente/kg]]*TableauProduit[[#This Row],[Total (kg) N1]]</f>
        <v>0</v>
      </c>
      <c r="BB58" s="586">
        <f ca="1">TableauProduit[[#This Row],[Revenue brut N1]]-TableauProduit[[#This Row],[Achat par kg N1]]-TableauProduit[[#This Row],[Conditionnement N1]]</f>
        <v>-200</v>
      </c>
      <c r="BC58" s="569">
        <v>0</v>
      </c>
      <c r="BD58" s="519">
        <f>TableauProduit[[#This Row],[Poids (g) / unite]]*TableauProduit[[#This Row],[Objectif de vente en unite N1]]/1000</f>
        <v>0</v>
      </c>
      <c r="BE58" s="598">
        <f>TableauProduit[[#This Row],[Objectif de vente en unite N1]]*TableauProduit[[#This Row],[Packaging / unite]]</f>
        <v>0</v>
      </c>
      <c r="BF58" s="587">
        <f ca="1">TableauProduit[[#This Row],[Prix Achat de plante par kg]]*TableauProduit[[#This Row],[Total (kg) N1]]</f>
        <v>0</v>
      </c>
      <c r="BG58" s="599">
        <f>TableauProduit[[#This Row],[Prix de vente/kg]]*TableauProduit[[#This Row],[Total (kg) N1]]</f>
        <v>0</v>
      </c>
      <c r="BH58" s="600">
        <f ca="1">TableauProduit[[#This Row],[Revenue brut N1]]-TableauProduit[[#This Row],[Achat par kg N1]]-TableauProduit[[#This Row],[Conditionnement N1]]</f>
        <v>-200</v>
      </c>
      <c r="BI58" s="624">
        <v>0</v>
      </c>
      <c r="BJ58" s="520">
        <f>TableauProduit[[#This Row],[Poids (g) / unite]]*TableauProduit[[#This Row],[Objectif de vente en unite N1]]/1000</f>
        <v>0</v>
      </c>
      <c r="BK58" s="601">
        <f>TableauProduit[[#This Row],[Objectif de vente en unite N1]]*TableauProduit[[#This Row],[Packaging / unite]]</f>
        <v>0</v>
      </c>
      <c r="BL58" s="589">
        <f ca="1">TableauProduit[[#This Row],[Prix Achat de plante par kg]]*TableauProduit[[#This Row],[Total (kg) N1]]</f>
        <v>0</v>
      </c>
      <c r="BM58" s="602">
        <f>TableauProduit[[#This Row],[Prix de vente/kg]]*TableauProduit[[#This Row],[Total (kg) N1]]</f>
        <v>0</v>
      </c>
      <c r="BN58" s="467">
        <f ca="1">TableauProduit[[#This Row],[Revenue brut N1]]-TableauProduit[[#This Row],[Achat par kg N1]]-TableauProduit[[#This Row],[Conditionnement N1]]</f>
        <v>-200</v>
      </c>
    </row>
    <row r="59" spans="1:66">
      <c r="A59" s="536" t="s">
        <v>101</v>
      </c>
      <c r="B59" s="54" t="str">
        <f>TableauProduit[[#This Row],[Recette]]&amp;TableauProduit[[#This Row],[Conditionnement]]</f>
        <v>Curry japonaisEpice 100ml</v>
      </c>
      <c r="C59" s="11">
        <v>1</v>
      </c>
      <c r="D59" s="11">
        <f>VLOOKUP(TableauProduit[[#This Row],[Recette]],Old[],3)</f>
        <v>40</v>
      </c>
      <c r="E59" s="6" t="s">
        <v>55</v>
      </c>
      <c r="F59" s="7">
        <f>IFERROR(VLOOKUP(TableauProduit[[#This Row],[Conditionnement]],TableauConditionnement[[Nom]:[Contenance]],4,TRUE),"")</f>
        <v>0.64</v>
      </c>
      <c r="G59" s="627">
        <f ca="1">SUMIFS(TableauRecette[Prix d''achat / kg],TableauRecette[Recette],TableauProduit[[#This Row],[Recette]],TableauRecette[Conditionnement],TableauProduit[[#This Row],[Conditionnement]])</f>
        <v>14.874642105263156</v>
      </c>
      <c r="H59" s="633">
        <v>4</v>
      </c>
      <c r="I59" s="629">
        <f>1000*TableauProduit[[#This Row],[Prix de vente/U]]/TableauProduit[[#This Row],[Poids (g) / unite]]</f>
        <v>100</v>
      </c>
      <c r="J59" s="630">
        <f>SUMIFS(TableauConcurence[PRIX_KG],TableauConcurence[PRODUIT],TableauProduit[[#This Row],[Recette]],TableauConcurence[DISTRIBUTION],"magasin NON BIO")</f>
        <v>0</v>
      </c>
      <c r="K59" s="631">
        <f>SUMIFS(TableauConcurence[PRIX_KG],TableauConcurence[PRODUIT],TableauProduit[[#This Row],[Recette]],TableauConcurence[DISTRIBUTION],"magasin BIO")</f>
        <v>0</v>
      </c>
      <c r="L59" s="632">
        <f>SUMIFS(TableauConcurence[PRIX_KG],TableauConcurence[PRODUIT],TableauProduit[[#This Row],[Recette]],TableauConcurence[DISTRIBUTION],"artisanale BIO")</f>
        <v>0</v>
      </c>
      <c r="M59" s="564">
        <v>0</v>
      </c>
      <c r="N59" s="617">
        <f>TableauProduit[[#This Row],[Poids (g) / unite]]*TableauProduit[[#This Row],[Objectif de vente en unite N1]]/1000</f>
        <v>0</v>
      </c>
      <c r="O59" s="579">
        <f>TableauProduit[[#This Row],[Objectif de vente en unite N1]]*TableauProduit[[#This Row],[Packaging / unite]]</f>
        <v>0</v>
      </c>
      <c r="P59" s="579">
        <f t="shared" ca="1" si="1"/>
        <v>0</v>
      </c>
      <c r="Q59" s="579">
        <f ca="1">TableauProduit[[#This Row],[Prix de vente/kg]]*TableauProduit[[#This Row],[Total (kg) N1]]-TableauProduit[[#This Row],[Achat par kg N1]]</f>
        <v>-100</v>
      </c>
      <c r="R59" s="586">
        <f>TableauProduit[[#This Row],[Total (kg) N1]]*TableauProduit[[#This Row],[Prix de vente/U]]</f>
        <v>0</v>
      </c>
      <c r="S59" s="565">
        <v>0</v>
      </c>
      <c r="T59" s="513">
        <f>TableauProduit[[#This Row],[Poids (g) / unite]]*TableauProduit[[#This Row],[Objectif de vente en unite N1]]/1000</f>
        <v>0</v>
      </c>
      <c r="U59" s="572">
        <f>TableauProduit[[#This Row],[Objectif de vente en unite N1]]*TableauProduit[[#This Row],[Packaging / unite]]</f>
        <v>0</v>
      </c>
      <c r="V59" s="571">
        <f ca="1">TableauProduit[[#This Row],[Prix Achat de plante par kg]]*TableauProduit[[#This Row],[Total (kg) N1]]</f>
        <v>0</v>
      </c>
      <c r="W59" s="573">
        <f>TableauProduit[[#This Row],[Prix de vente/kg]]*TableauProduit[[#This Row],[Total (kg) N1]]</f>
        <v>0</v>
      </c>
      <c r="X59" s="618">
        <f ca="1">TableauProduit[[#This Row],[Revenue brut N1]]-TableauProduit[[#This Row],[Achat par kg N1]]-TableauProduit[[#This Row],[Conditionnement N1]]</f>
        <v>-200</v>
      </c>
      <c r="Y59" s="567">
        <v>0</v>
      </c>
      <c r="Z59" s="514">
        <f>TableauProduit[[#This Row],[Poids (g) / unite]]*TableauProduit[[#This Row],[Objectif de vente en unite N1]]/1000</f>
        <v>0</v>
      </c>
      <c r="AA59" s="575">
        <f>TableauProduit[[#This Row],[Objectif de vente en unite N1]]*TableauProduit[[#This Row],[Packaging / unite]]</f>
        <v>0</v>
      </c>
      <c r="AB59" s="574">
        <f ca="1">TableauProduit[[#This Row],[Prix Achat de plante par kg]]*TableauProduit[[#This Row],[Total (kg) N1]]</f>
        <v>0</v>
      </c>
      <c r="AC59" s="576">
        <f>TableauProduit[[#This Row],[Prix de vente/kg]]*TableauProduit[[#This Row],[Total (kg) N1]]</f>
        <v>0</v>
      </c>
      <c r="AD59" s="619">
        <f ca="1">TableauProduit[[#This Row],[Revenue brut N1]]-TableauProduit[[#This Row],[Achat par kg N1]]-TableauProduit[[#This Row],[Conditionnement N1]]</f>
        <v>-200</v>
      </c>
      <c r="AE59" s="620">
        <v>0</v>
      </c>
      <c r="AF59" s="515">
        <f>TableauProduit[[#This Row],[Poids (g) / unite]]*TableauProduit[[#This Row],[Objectif de vente en unite N1]]/1000</f>
        <v>0</v>
      </c>
      <c r="AG59" s="578">
        <f>TableauProduit[[#This Row],[Objectif de vente en unite N1]]*TableauProduit[[#This Row],[Packaging / unite]]</f>
        <v>0</v>
      </c>
      <c r="AH59" s="577">
        <f ca="1">TableauProduit[[#This Row],[Prix Achat de plante par kg]]*TableauProduit[[#This Row],[Total (kg) N1]]</f>
        <v>0</v>
      </c>
      <c r="AI59" s="590">
        <f>TableauProduit[[#This Row],[Prix de vente/kg]]*TableauProduit[[#This Row],[Total (kg) N1]]</f>
        <v>0</v>
      </c>
      <c r="AJ59" s="591">
        <f ca="1">TableauProduit[[#This Row],[Revenue brut N1]]-TableauProduit[[#This Row],[Achat par kg N1]]-TableauProduit[[#This Row],[Conditionnement N1]]</f>
        <v>-200</v>
      </c>
      <c r="AK59" s="621">
        <v>0</v>
      </c>
      <c r="AL59" s="516">
        <f>TableauProduit[[#This Row],[Poids (g) / unite]]*TableauProduit[[#This Row],[Objectif de vente en unite N1]]/1000</f>
        <v>0</v>
      </c>
      <c r="AM59" s="592">
        <f>TableauProduit[[#This Row],[Objectif de vente en unite N1]]*TableauProduit[[#This Row],[Packaging / unite]]</f>
        <v>0</v>
      </c>
      <c r="AN59" s="584">
        <f ca="1">TableauProduit[[#This Row],[Prix Achat de plante par kg]]*TableauProduit[[#This Row],[Total (kg) N1]]</f>
        <v>0</v>
      </c>
      <c r="AO59" s="593">
        <f>TableauProduit[[#This Row],[Prix de vente/kg]]*TableauProduit[[#This Row],[Total (kg) N1]]</f>
        <v>0</v>
      </c>
      <c r="AP59" s="594">
        <f ca="1">TableauProduit[[#This Row],[Revenue brut N1]]-TableauProduit[[#This Row],[Achat par kg N1]]-TableauProduit[[#This Row],[Conditionnement N1]]</f>
        <v>-200</v>
      </c>
      <c r="AQ59" s="622">
        <v>0</v>
      </c>
      <c r="AR59" s="517">
        <f>TableauProduit[[#This Row],[Poids (g) / unite]]*TableauProduit[[#This Row],[Objectif de vente en unite N1]]/1000</f>
        <v>0</v>
      </c>
      <c r="AS59" s="595">
        <f>TableauProduit[[#This Row],[Objectif de vente en unite N1]]*TableauProduit[[#This Row],[Packaging / unite]]</f>
        <v>0</v>
      </c>
      <c r="AT59" s="585">
        <f ca="1">TableauProduit[[#This Row],[Prix Achat de plante par kg]]*TableauProduit[[#This Row],[Total (kg) N1]]</f>
        <v>0</v>
      </c>
      <c r="AU59" s="596">
        <f>TableauProduit[[#This Row],[Prix de vente/kg]]*TableauProduit[[#This Row],[Total (kg) N1]]</f>
        <v>0</v>
      </c>
      <c r="AV59" s="597">
        <f ca="1">TableauProduit[[#This Row],[Revenue brut N1]]-TableauProduit[[#This Row],[Achat par kg N1]]-TableauProduit[[#This Row],[Conditionnement N1]]</f>
        <v>-200</v>
      </c>
      <c r="AW59" s="617">
        <v>0</v>
      </c>
      <c r="AX59" s="518">
        <f>TableauProduit[[#This Row],[Poids (g) / unite]]*TableauProduit[[#This Row],[Objectif de vente en unite N1]]/1000</f>
        <v>0</v>
      </c>
      <c r="AY59" s="580">
        <f>TableauProduit[[#This Row],[Objectif de vente en unite N1]]*TableauProduit[[#This Row],[Packaging / unite]]</f>
        <v>0</v>
      </c>
      <c r="AZ59" s="579">
        <f ca="1">TableauProduit[[#This Row],[Prix Achat de plante par kg]]*TableauProduit[[#This Row],[Total (kg) N1]]</f>
        <v>0</v>
      </c>
      <c r="BA59" s="581">
        <f>TableauProduit[[#This Row],[Prix de vente/kg]]*TableauProduit[[#This Row],[Total (kg) N1]]</f>
        <v>0</v>
      </c>
      <c r="BB59" s="586">
        <f ca="1">TableauProduit[[#This Row],[Revenue brut N1]]-TableauProduit[[#This Row],[Achat par kg N1]]-TableauProduit[[#This Row],[Conditionnement N1]]</f>
        <v>-200</v>
      </c>
      <c r="BC59" s="569">
        <v>0</v>
      </c>
      <c r="BD59" s="519">
        <f>TableauProduit[[#This Row],[Poids (g) / unite]]*TableauProduit[[#This Row],[Objectif de vente en unite N1]]/1000</f>
        <v>0</v>
      </c>
      <c r="BE59" s="598">
        <f>TableauProduit[[#This Row],[Objectif de vente en unite N1]]*TableauProduit[[#This Row],[Packaging / unite]]</f>
        <v>0</v>
      </c>
      <c r="BF59" s="587">
        <f ca="1">TableauProduit[[#This Row],[Prix Achat de plante par kg]]*TableauProduit[[#This Row],[Total (kg) N1]]</f>
        <v>0</v>
      </c>
      <c r="BG59" s="599">
        <f>TableauProduit[[#This Row],[Prix de vente/kg]]*TableauProduit[[#This Row],[Total (kg) N1]]</f>
        <v>0</v>
      </c>
      <c r="BH59" s="600">
        <f ca="1">TableauProduit[[#This Row],[Revenue brut N1]]-TableauProduit[[#This Row],[Achat par kg N1]]-TableauProduit[[#This Row],[Conditionnement N1]]</f>
        <v>-200</v>
      </c>
      <c r="BI59" s="624">
        <v>0</v>
      </c>
      <c r="BJ59" s="520">
        <f>TableauProduit[[#This Row],[Poids (g) / unite]]*TableauProduit[[#This Row],[Objectif de vente en unite N1]]/1000</f>
        <v>0</v>
      </c>
      <c r="BK59" s="601">
        <f>TableauProduit[[#This Row],[Objectif de vente en unite N1]]*TableauProduit[[#This Row],[Packaging / unite]]</f>
        <v>0</v>
      </c>
      <c r="BL59" s="589">
        <f ca="1">TableauProduit[[#This Row],[Prix Achat de plante par kg]]*TableauProduit[[#This Row],[Total (kg) N1]]</f>
        <v>0</v>
      </c>
      <c r="BM59" s="602">
        <f>TableauProduit[[#This Row],[Prix de vente/kg]]*TableauProduit[[#This Row],[Total (kg) N1]]</f>
        <v>0</v>
      </c>
      <c r="BN59" s="467">
        <f ca="1">TableauProduit[[#This Row],[Revenue brut N1]]-TableauProduit[[#This Row],[Achat par kg N1]]-TableauProduit[[#This Row],[Conditionnement N1]]</f>
        <v>-200</v>
      </c>
    </row>
    <row r="60" spans="1:66">
      <c r="A60" s="536" t="s">
        <v>102</v>
      </c>
      <c r="B60" s="54" t="str">
        <f>TableauProduit[[#This Row],[Recette]]&amp;TableauProduit[[#This Row],[Conditionnement]]</f>
        <v>Chaat masalaEpice 100ml</v>
      </c>
      <c r="C60" s="11">
        <v>1</v>
      </c>
      <c r="D60" s="11">
        <f>VLOOKUP(TableauProduit[[#This Row],[Recette]],Old[],3)</f>
        <v>65</v>
      </c>
      <c r="E60" s="6" t="s">
        <v>55</v>
      </c>
      <c r="F60" s="7">
        <f>IFERROR(VLOOKUP(TableauProduit[[#This Row],[Conditionnement]],TableauConditionnement[[Nom]:[Contenance]],4,TRUE),"")</f>
        <v>0.64</v>
      </c>
      <c r="G60" s="627">
        <f ca="1">SUMIFS(TableauRecette[Prix d''achat / kg],TableauRecette[Recette],TableauProduit[[#This Row],[Recette]],TableauRecette[Conditionnement],TableauProduit[[#This Row],[Conditionnement]])</f>
        <v>20.419999999999998</v>
      </c>
      <c r="H60" s="633">
        <v>4.2249999999999996</v>
      </c>
      <c r="I60" s="629">
        <f>1000*TableauProduit[[#This Row],[Prix de vente/U]]/TableauProduit[[#This Row],[Poids (g) / unite]]</f>
        <v>65</v>
      </c>
      <c r="J60" s="630">
        <f>SUMIFS(TableauConcurence[PRIX_KG],TableauConcurence[PRODUIT],TableauProduit[[#This Row],[Recette]],TableauConcurence[DISTRIBUTION],"magasin NON BIO")</f>
        <v>0</v>
      </c>
      <c r="K60" s="631">
        <f>SUMIFS(TableauConcurence[PRIX_KG],TableauConcurence[PRODUIT],TableauProduit[[#This Row],[Recette]],TableauConcurence[DISTRIBUTION],"magasin BIO")</f>
        <v>0</v>
      </c>
      <c r="L60" s="632">
        <f>SUMIFS(TableauConcurence[PRIX_KG],TableauConcurence[PRODUIT],TableauProduit[[#This Row],[Recette]],TableauConcurence[DISTRIBUTION],"artisanale BIO")</f>
        <v>0</v>
      </c>
      <c r="M60" s="564">
        <v>0</v>
      </c>
      <c r="N60" s="617">
        <f>TableauProduit[[#This Row],[Poids (g) / unite]]*TableauProduit[[#This Row],[Objectif de vente en unite N1]]/1000</f>
        <v>0</v>
      </c>
      <c r="O60" s="579">
        <f>TableauProduit[[#This Row],[Objectif de vente en unite N1]]*TableauProduit[[#This Row],[Packaging / unite]]</f>
        <v>0</v>
      </c>
      <c r="P60" s="579">
        <f t="shared" ca="1" si="1"/>
        <v>0</v>
      </c>
      <c r="Q60" s="579">
        <f ca="1">TableauProduit[[#This Row],[Prix de vente/kg]]*TableauProduit[[#This Row],[Total (kg) N1]]-TableauProduit[[#This Row],[Achat par kg N1]]</f>
        <v>-100</v>
      </c>
      <c r="R60" s="586">
        <f>TableauProduit[[#This Row],[Total (kg) N1]]*TableauProduit[[#This Row],[Prix de vente/U]]</f>
        <v>0</v>
      </c>
      <c r="S60" s="565">
        <v>0</v>
      </c>
      <c r="T60" s="513">
        <f>TableauProduit[[#This Row],[Poids (g) / unite]]*TableauProduit[[#This Row],[Objectif de vente en unite N1]]/1000</f>
        <v>0</v>
      </c>
      <c r="U60" s="572">
        <f>TableauProduit[[#This Row],[Objectif de vente en unite N1]]*TableauProduit[[#This Row],[Packaging / unite]]</f>
        <v>0</v>
      </c>
      <c r="V60" s="571">
        <f ca="1">TableauProduit[[#This Row],[Prix Achat de plante par kg]]*TableauProduit[[#This Row],[Total (kg) N1]]</f>
        <v>0</v>
      </c>
      <c r="W60" s="573">
        <f>TableauProduit[[#This Row],[Prix de vente/kg]]*TableauProduit[[#This Row],[Total (kg) N1]]</f>
        <v>0</v>
      </c>
      <c r="X60" s="618">
        <f ca="1">TableauProduit[[#This Row],[Revenue brut N1]]-TableauProduit[[#This Row],[Achat par kg N1]]-TableauProduit[[#This Row],[Conditionnement N1]]</f>
        <v>-200</v>
      </c>
      <c r="Y60" s="567">
        <v>0</v>
      </c>
      <c r="Z60" s="514">
        <f>TableauProduit[[#This Row],[Poids (g) / unite]]*TableauProduit[[#This Row],[Objectif de vente en unite N1]]/1000</f>
        <v>0</v>
      </c>
      <c r="AA60" s="575">
        <f>TableauProduit[[#This Row],[Objectif de vente en unite N1]]*TableauProduit[[#This Row],[Packaging / unite]]</f>
        <v>0</v>
      </c>
      <c r="AB60" s="574">
        <f ca="1">TableauProduit[[#This Row],[Prix Achat de plante par kg]]*TableauProduit[[#This Row],[Total (kg) N1]]</f>
        <v>0</v>
      </c>
      <c r="AC60" s="576">
        <f>TableauProduit[[#This Row],[Prix de vente/kg]]*TableauProduit[[#This Row],[Total (kg) N1]]</f>
        <v>0</v>
      </c>
      <c r="AD60" s="619">
        <f ca="1">TableauProduit[[#This Row],[Revenue brut N1]]-TableauProduit[[#This Row],[Achat par kg N1]]-TableauProduit[[#This Row],[Conditionnement N1]]</f>
        <v>-200</v>
      </c>
      <c r="AE60" s="620">
        <v>0</v>
      </c>
      <c r="AF60" s="515">
        <f>TableauProduit[[#This Row],[Poids (g) / unite]]*TableauProduit[[#This Row],[Objectif de vente en unite N1]]/1000</f>
        <v>0</v>
      </c>
      <c r="AG60" s="578">
        <f>TableauProduit[[#This Row],[Objectif de vente en unite N1]]*TableauProduit[[#This Row],[Packaging / unite]]</f>
        <v>0</v>
      </c>
      <c r="AH60" s="577">
        <f ca="1">TableauProduit[[#This Row],[Prix Achat de plante par kg]]*TableauProduit[[#This Row],[Total (kg) N1]]</f>
        <v>0</v>
      </c>
      <c r="AI60" s="590">
        <f>TableauProduit[[#This Row],[Prix de vente/kg]]*TableauProduit[[#This Row],[Total (kg) N1]]</f>
        <v>0</v>
      </c>
      <c r="AJ60" s="591">
        <f ca="1">TableauProduit[[#This Row],[Revenue brut N1]]-TableauProduit[[#This Row],[Achat par kg N1]]-TableauProduit[[#This Row],[Conditionnement N1]]</f>
        <v>-200</v>
      </c>
      <c r="AK60" s="621">
        <v>0</v>
      </c>
      <c r="AL60" s="516">
        <f>TableauProduit[[#This Row],[Poids (g) / unite]]*TableauProduit[[#This Row],[Objectif de vente en unite N1]]/1000</f>
        <v>0</v>
      </c>
      <c r="AM60" s="592">
        <f>TableauProduit[[#This Row],[Objectif de vente en unite N1]]*TableauProduit[[#This Row],[Packaging / unite]]</f>
        <v>0</v>
      </c>
      <c r="AN60" s="584">
        <f ca="1">TableauProduit[[#This Row],[Prix Achat de plante par kg]]*TableauProduit[[#This Row],[Total (kg) N1]]</f>
        <v>0</v>
      </c>
      <c r="AO60" s="593">
        <f>TableauProduit[[#This Row],[Prix de vente/kg]]*TableauProduit[[#This Row],[Total (kg) N1]]</f>
        <v>0</v>
      </c>
      <c r="AP60" s="594">
        <f ca="1">TableauProduit[[#This Row],[Revenue brut N1]]-TableauProduit[[#This Row],[Achat par kg N1]]-TableauProduit[[#This Row],[Conditionnement N1]]</f>
        <v>-200</v>
      </c>
      <c r="AQ60" s="622">
        <v>0</v>
      </c>
      <c r="AR60" s="517">
        <f>TableauProduit[[#This Row],[Poids (g) / unite]]*TableauProduit[[#This Row],[Objectif de vente en unite N1]]/1000</f>
        <v>0</v>
      </c>
      <c r="AS60" s="595">
        <f>TableauProduit[[#This Row],[Objectif de vente en unite N1]]*TableauProduit[[#This Row],[Packaging / unite]]</f>
        <v>0</v>
      </c>
      <c r="AT60" s="585">
        <f ca="1">TableauProduit[[#This Row],[Prix Achat de plante par kg]]*TableauProduit[[#This Row],[Total (kg) N1]]</f>
        <v>0</v>
      </c>
      <c r="AU60" s="596">
        <f>TableauProduit[[#This Row],[Prix de vente/kg]]*TableauProduit[[#This Row],[Total (kg) N1]]</f>
        <v>0</v>
      </c>
      <c r="AV60" s="597">
        <f ca="1">TableauProduit[[#This Row],[Revenue brut N1]]-TableauProduit[[#This Row],[Achat par kg N1]]-TableauProduit[[#This Row],[Conditionnement N1]]</f>
        <v>-200</v>
      </c>
      <c r="AW60" s="617">
        <v>0</v>
      </c>
      <c r="AX60" s="518">
        <f>TableauProduit[[#This Row],[Poids (g) / unite]]*TableauProduit[[#This Row],[Objectif de vente en unite N1]]/1000</f>
        <v>0</v>
      </c>
      <c r="AY60" s="580">
        <f>TableauProduit[[#This Row],[Objectif de vente en unite N1]]*TableauProduit[[#This Row],[Packaging / unite]]</f>
        <v>0</v>
      </c>
      <c r="AZ60" s="579">
        <f ca="1">TableauProduit[[#This Row],[Prix Achat de plante par kg]]*TableauProduit[[#This Row],[Total (kg) N1]]</f>
        <v>0</v>
      </c>
      <c r="BA60" s="581">
        <f>TableauProduit[[#This Row],[Prix de vente/kg]]*TableauProduit[[#This Row],[Total (kg) N1]]</f>
        <v>0</v>
      </c>
      <c r="BB60" s="586">
        <f ca="1">TableauProduit[[#This Row],[Revenue brut N1]]-TableauProduit[[#This Row],[Achat par kg N1]]-TableauProduit[[#This Row],[Conditionnement N1]]</f>
        <v>-200</v>
      </c>
      <c r="BC60" s="569">
        <v>0</v>
      </c>
      <c r="BD60" s="519">
        <f>TableauProduit[[#This Row],[Poids (g) / unite]]*TableauProduit[[#This Row],[Objectif de vente en unite N1]]/1000</f>
        <v>0</v>
      </c>
      <c r="BE60" s="598">
        <f>TableauProduit[[#This Row],[Objectif de vente en unite N1]]*TableauProduit[[#This Row],[Packaging / unite]]</f>
        <v>0</v>
      </c>
      <c r="BF60" s="587">
        <f ca="1">TableauProduit[[#This Row],[Prix Achat de plante par kg]]*TableauProduit[[#This Row],[Total (kg) N1]]</f>
        <v>0</v>
      </c>
      <c r="BG60" s="599">
        <f>TableauProduit[[#This Row],[Prix de vente/kg]]*TableauProduit[[#This Row],[Total (kg) N1]]</f>
        <v>0</v>
      </c>
      <c r="BH60" s="600">
        <f ca="1">TableauProduit[[#This Row],[Revenue brut N1]]-TableauProduit[[#This Row],[Achat par kg N1]]-TableauProduit[[#This Row],[Conditionnement N1]]</f>
        <v>-200</v>
      </c>
      <c r="BI60" s="624">
        <v>0</v>
      </c>
      <c r="BJ60" s="520">
        <f>TableauProduit[[#This Row],[Poids (g) / unite]]*TableauProduit[[#This Row],[Objectif de vente en unite N1]]/1000</f>
        <v>0</v>
      </c>
      <c r="BK60" s="601">
        <f>TableauProduit[[#This Row],[Objectif de vente en unite N1]]*TableauProduit[[#This Row],[Packaging / unite]]</f>
        <v>0</v>
      </c>
      <c r="BL60" s="589">
        <f ca="1">TableauProduit[[#This Row],[Prix Achat de plante par kg]]*TableauProduit[[#This Row],[Total (kg) N1]]</f>
        <v>0</v>
      </c>
      <c r="BM60" s="602">
        <f>TableauProduit[[#This Row],[Prix de vente/kg]]*TableauProduit[[#This Row],[Total (kg) N1]]</f>
        <v>0</v>
      </c>
      <c r="BN60" s="467">
        <f ca="1">TableauProduit[[#This Row],[Revenue brut N1]]-TableauProduit[[#This Row],[Achat par kg N1]]-TableauProduit[[#This Row],[Conditionnement N1]]</f>
        <v>-200</v>
      </c>
    </row>
    <row r="61" spans="1:66">
      <c r="A61" s="536" t="s">
        <v>103</v>
      </c>
      <c r="B61" s="54" t="str">
        <f>TableauProduit[[#This Row],[Recette]]&amp;TableauProduit[[#This Row],[Conditionnement]]</f>
        <v>HawaijEpice 100ml</v>
      </c>
      <c r="C61" s="11">
        <v>1</v>
      </c>
      <c r="D61" s="11">
        <f>VLOOKUP(TableauProduit[[#This Row],[Recette]],Old[],3)</f>
        <v>50</v>
      </c>
      <c r="E61" s="6" t="s">
        <v>55</v>
      </c>
      <c r="F61" s="7">
        <f>IFERROR(VLOOKUP(TableauProduit[[#This Row],[Conditionnement]],TableauConditionnement[[Nom]:[Contenance]],4,TRUE),"")</f>
        <v>0.64</v>
      </c>
      <c r="G61" s="627" t="e">
        <f ca="1">SUMIFS(TableauRecette[Prix d''achat / kg],TableauRecette[Recette],TableauProduit[[#This Row],[Recette]],TableauRecette[Conditionnement],TableauProduit[[#This Row],[Conditionnement]])</f>
        <v>#VALUE!</v>
      </c>
      <c r="H61" s="633">
        <v>5</v>
      </c>
      <c r="I61" s="629">
        <f>1000*TableauProduit[[#This Row],[Prix de vente/U]]/TableauProduit[[#This Row],[Poids (g) / unite]]</f>
        <v>100</v>
      </c>
      <c r="J61" s="630">
        <f>SUMIFS(TableauConcurence[PRIX_KG],TableauConcurence[PRODUIT],TableauProduit[[#This Row],[Recette]],TableauConcurence[DISTRIBUTION],"magasin NON BIO")</f>
        <v>0</v>
      </c>
      <c r="K61" s="631">
        <f>SUMIFS(TableauConcurence[PRIX_KG],TableauConcurence[PRODUIT],TableauProduit[[#This Row],[Recette]],TableauConcurence[DISTRIBUTION],"magasin BIO")</f>
        <v>0</v>
      </c>
      <c r="L61" s="632">
        <f>SUMIFS(TableauConcurence[PRIX_KG],TableauConcurence[PRODUIT],TableauProduit[[#This Row],[Recette]],TableauConcurence[DISTRIBUTION],"artisanale BIO")</f>
        <v>0</v>
      </c>
      <c r="M61" s="564">
        <v>0</v>
      </c>
      <c r="N61" s="617">
        <f>TableauProduit[[#This Row],[Poids (g) / unite]]*TableauProduit[[#This Row],[Objectif de vente en unite N1]]/1000</f>
        <v>0</v>
      </c>
      <c r="O61" s="579">
        <f>TableauProduit[[#This Row],[Objectif de vente en unite N1]]*TableauProduit[[#This Row],[Packaging / unite]]</f>
        <v>0</v>
      </c>
      <c r="P61" s="579" t="e">
        <f t="shared" ca="1" si="1"/>
        <v>#VALUE!</v>
      </c>
      <c r="Q61" s="579" t="e">
        <f ca="1">TableauProduit[[#This Row],[Prix de vente/kg]]*TableauProduit[[#This Row],[Total (kg) N1]]-TableauProduit[[#This Row],[Achat par kg N1]]</f>
        <v>#VALUE!</v>
      </c>
      <c r="R61" s="586">
        <f>TableauProduit[[#This Row],[Total (kg) N1]]*TableauProduit[[#This Row],[Prix de vente/U]]</f>
        <v>0</v>
      </c>
      <c r="S61" s="565">
        <v>0</v>
      </c>
      <c r="T61" s="513">
        <f>TableauProduit[[#This Row],[Poids (g) / unite]]*TableauProduit[[#This Row],[Objectif de vente en unite N1]]/1000</f>
        <v>0</v>
      </c>
      <c r="U61" s="572">
        <f>TableauProduit[[#This Row],[Objectif de vente en unite N1]]*TableauProduit[[#This Row],[Packaging / unite]]</f>
        <v>0</v>
      </c>
      <c r="V61" s="571" t="e">
        <f ca="1">TableauProduit[[#This Row],[Prix Achat de plante par kg]]*TableauProduit[[#This Row],[Total (kg) N1]]</f>
        <v>#VALUE!</v>
      </c>
      <c r="W61" s="573">
        <f>TableauProduit[[#This Row],[Prix de vente/kg]]*TableauProduit[[#This Row],[Total (kg) N1]]</f>
        <v>0</v>
      </c>
      <c r="X61" s="618" t="e">
        <f ca="1">TableauProduit[[#This Row],[Revenue brut N1]]-TableauProduit[[#This Row],[Achat par kg N1]]-TableauProduit[[#This Row],[Conditionnement N1]]</f>
        <v>#VALUE!</v>
      </c>
      <c r="Y61" s="567">
        <v>0</v>
      </c>
      <c r="Z61" s="514">
        <f>TableauProduit[[#This Row],[Poids (g) / unite]]*TableauProduit[[#This Row],[Objectif de vente en unite N1]]/1000</f>
        <v>0</v>
      </c>
      <c r="AA61" s="575">
        <f>TableauProduit[[#This Row],[Objectif de vente en unite N1]]*TableauProduit[[#This Row],[Packaging / unite]]</f>
        <v>0</v>
      </c>
      <c r="AB61" s="574" t="e">
        <f ca="1">TableauProduit[[#This Row],[Prix Achat de plante par kg]]*TableauProduit[[#This Row],[Total (kg) N1]]</f>
        <v>#VALUE!</v>
      </c>
      <c r="AC61" s="576">
        <f>TableauProduit[[#This Row],[Prix de vente/kg]]*TableauProduit[[#This Row],[Total (kg) N1]]</f>
        <v>0</v>
      </c>
      <c r="AD61" s="619" t="e">
        <f ca="1">TableauProduit[[#This Row],[Revenue brut N1]]-TableauProduit[[#This Row],[Achat par kg N1]]-TableauProduit[[#This Row],[Conditionnement N1]]</f>
        <v>#VALUE!</v>
      </c>
      <c r="AE61" s="620">
        <v>0</v>
      </c>
      <c r="AF61" s="515">
        <f>TableauProduit[[#This Row],[Poids (g) / unite]]*TableauProduit[[#This Row],[Objectif de vente en unite N1]]/1000</f>
        <v>0</v>
      </c>
      <c r="AG61" s="578">
        <f>TableauProduit[[#This Row],[Objectif de vente en unite N1]]*TableauProduit[[#This Row],[Packaging / unite]]</f>
        <v>0</v>
      </c>
      <c r="AH61" s="577" t="e">
        <f ca="1">TableauProduit[[#This Row],[Prix Achat de plante par kg]]*TableauProduit[[#This Row],[Total (kg) N1]]</f>
        <v>#VALUE!</v>
      </c>
      <c r="AI61" s="590">
        <f>TableauProduit[[#This Row],[Prix de vente/kg]]*TableauProduit[[#This Row],[Total (kg) N1]]</f>
        <v>0</v>
      </c>
      <c r="AJ61" s="591" t="e">
        <f ca="1">TableauProduit[[#This Row],[Revenue brut N1]]-TableauProduit[[#This Row],[Achat par kg N1]]-TableauProduit[[#This Row],[Conditionnement N1]]</f>
        <v>#VALUE!</v>
      </c>
      <c r="AK61" s="621">
        <v>0</v>
      </c>
      <c r="AL61" s="516">
        <f>TableauProduit[[#This Row],[Poids (g) / unite]]*TableauProduit[[#This Row],[Objectif de vente en unite N1]]/1000</f>
        <v>0</v>
      </c>
      <c r="AM61" s="592">
        <f>TableauProduit[[#This Row],[Objectif de vente en unite N1]]*TableauProduit[[#This Row],[Packaging / unite]]</f>
        <v>0</v>
      </c>
      <c r="AN61" s="584" t="e">
        <f ca="1">TableauProduit[[#This Row],[Prix Achat de plante par kg]]*TableauProduit[[#This Row],[Total (kg) N1]]</f>
        <v>#VALUE!</v>
      </c>
      <c r="AO61" s="593">
        <f>TableauProduit[[#This Row],[Prix de vente/kg]]*TableauProduit[[#This Row],[Total (kg) N1]]</f>
        <v>0</v>
      </c>
      <c r="AP61" s="594" t="e">
        <f ca="1">TableauProduit[[#This Row],[Revenue brut N1]]-TableauProduit[[#This Row],[Achat par kg N1]]-TableauProduit[[#This Row],[Conditionnement N1]]</f>
        <v>#VALUE!</v>
      </c>
      <c r="AQ61" s="622">
        <v>0</v>
      </c>
      <c r="AR61" s="517">
        <f>TableauProduit[[#This Row],[Poids (g) / unite]]*TableauProduit[[#This Row],[Objectif de vente en unite N1]]/1000</f>
        <v>0</v>
      </c>
      <c r="AS61" s="595">
        <f>TableauProduit[[#This Row],[Objectif de vente en unite N1]]*TableauProduit[[#This Row],[Packaging / unite]]</f>
        <v>0</v>
      </c>
      <c r="AT61" s="585" t="e">
        <f ca="1">TableauProduit[[#This Row],[Prix Achat de plante par kg]]*TableauProduit[[#This Row],[Total (kg) N1]]</f>
        <v>#VALUE!</v>
      </c>
      <c r="AU61" s="596">
        <f>TableauProduit[[#This Row],[Prix de vente/kg]]*TableauProduit[[#This Row],[Total (kg) N1]]</f>
        <v>0</v>
      </c>
      <c r="AV61" s="597" t="e">
        <f ca="1">TableauProduit[[#This Row],[Revenue brut N1]]-TableauProduit[[#This Row],[Achat par kg N1]]-TableauProduit[[#This Row],[Conditionnement N1]]</f>
        <v>#VALUE!</v>
      </c>
      <c r="AW61" s="617">
        <v>0</v>
      </c>
      <c r="AX61" s="518">
        <f>TableauProduit[[#This Row],[Poids (g) / unite]]*TableauProduit[[#This Row],[Objectif de vente en unite N1]]/1000</f>
        <v>0</v>
      </c>
      <c r="AY61" s="580">
        <f>TableauProduit[[#This Row],[Objectif de vente en unite N1]]*TableauProduit[[#This Row],[Packaging / unite]]</f>
        <v>0</v>
      </c>
      <c r="AZ61" s="579" t="e">
        <f ca="1">TableauProduit[[#This Row],[Prix Achat de plante par kg]]*TableauProduit[[#This Row],[Total (kg) N1]]</f>
        <v>#VALUE!</v>
      </c>
      <c r="BA61" s="581">
        <f>TableauProduit[[#This Row],[Prix de vente/kg]]*TableauProduit[[#This Row],[Total (kg) N1]]</f>
        <v>0</v>
      </c>
      <c r="BB61" s="586" t="e">
        <f ca="1">TableauProduit[[#This Row],[Revenue brut N1]]-TableauProduit[[#This Row],[Achat par kg N1]]-TableauProduit[[#This Row],[Conditionnement N1]]</f>
        <v>#VALUE!</v>
      </c>
      <c r="BC61" s="569">
        <v>0</v>
      </c>
      <c r="BD61" s="519">
        <f>TableauProduit[[#This Row],[Poids (g) / unite]]*TableauProduit[[#This Row],[Objectif de vente en unite N1]]/1000</f>
        <v>0</v>
      </c>
      <c r="BE61" s="598">
        <f>TableauProduit[[#This Row],[Objectif de vente en unite N1]]*TableauProduit[[#This Row],[Packaging / unite]]</f>
        <v>0</v>
      </c>
      <c r="BF61" s="587" t="e">
        <f ca="1">TableauProduit[[#This Row],[Prix Achat de plante par kg]]*TableauProduit[[#This Row],[Total (kg) N1]]</f>
        <v>#VALUE!</v>
      </c>
      <c r="BG61" s="599">
        <f>TableauProduit[[#This Row],[Prix de vente/kg]]*TableauProduit[[#This Row],[Total (kg) N1]]</f>
        <v>0</v>
      </c>
      <c r="BH61" s="600" t="e">
        <f ca="1">TableauProduit[[#This Row],[Revenue brut N1]]-TableauProduit[[#This Row],[Achat par kg N1]]-TableauProduit[[#This Row],[Conditionnement N1]]</f>
        <v>#VALUE!</v>
      </c>
      <c r="BI61" s="624">
        <v>0</v>
      </c>
      <c r="BJ61" s="520">
        <f>TableauProduit[[#This Row],[Poids (g) / unite]]*TableauProduit[[#This Row],[Objectif de vente en unite N1]]/1000</f>
        <v>0</v>
      </c>
      <c r="BK61" s="601">
        <f>TableauProduit[[#This Row],[Objectif de vente en unite N1]]*TableauProduit[[#This Row],[Packaging / unite]]</f>
        <v>0</v>
      </c>
      <c r="BL61" s="589" t="e">
        <f ca="1">TableauProduit[[#This Row],[Prix Achat de plante par kg]]*TableauProduit[[#This Row],[Total (kg) N1]]</f>
        <v>#VALUE!</v>
      </c>
      <c r="BM61" s="602">
        <f>TableauProduit[[#This Row],[Prix de vente/kg]]*TableauProduit[[#This Row],[Total (kg) N1]]</f>
        <v>0</v>
      </c>
      <c r="BN61" s="467" t="e">
        <f ca="1">TableauProduit[[#This Row],[Revenue brut N1]]-TableauProduit[[#This Row],[Achat par kg N1]]-TableauProduit[[#This Row],[Conditionnement N1]]</f>
        <v>#VALUE!</v>
      </c>
    </row>
    <row r="62" spans="1:66">
      <c r="A62" s="536" t="s">
        <v>104</v>
      </c>
      <c r="B62" s="54" t="str">
        <f>TableauProduit[[#This Row],[Recette]]&amp;TableauProduit[[#This Row],[Conditionnement]]</f>
        <v>Carvi moulueEpice 100ml</v>
      </c>
      <c r="C62" s="11">
        <v>1</v>
      </c>
      <c r="D62" s="11">
        <f>VLOOKUP(TableauProduit[[#This Row],[Recette]],Old[],3)</f>
        <v>65</v>
      </c>
      <c r="E62" s="6" t="s">
        <v>55</v>
      </c>
      <c r="F62" s="7">
        <f>IFERROR(VLOOKUP(TableauProduit[[#This Row],[Conditionnement]],TableauConditionnement[[Nom]:[Contenance]],4,TRUE),"")</f>
        <v>0.64</v>
      </c>
      <c r="G62" s="627">
        <f ca="1">SUMIFS(TableauRecette[Prix d''achat / kg],TableauRecette[Recette],TableauProduit[[#This Row],[Recette]],TableauRecette[Conditionnement],TableauProduit[[#This Row],[Conditionnement]])</f>
        <v>20.75</v>
      </c>
      <c r="H62" s="633">
        <v>4.2249999999999996</v>
      </c>
      <c r="I62" s="629">
        <f>1000*TableauProduit[[#This Row],[Prix de vente/U]]/TableauProduit[[#This Row],[Poids (g) / unite]]</f>
        <v>65</v>
      </c>
      <c r="J62" s="630">
        <f>SUMIFS(TableauConcurence[PRIX_KG],TableauConcurence[PRODUIT],TableauProduit[[#This Row],[Recette]],TableauConcurence[DISTRIBUTION],"magasin NON BIO")</f>
        <v>0</v>
      </c>
      <c r="K62" s="631">
        <f>SUMIFS(TableauConcurence[PRIX_KG],TableauConcurence[PRODUIT],TableauProduit[[#This Row],[Recette]],TableauConcurence[DISTRIBUTION],"magasin BIO")</f>
        <v>0</v>
      </c>
      <c r="L62" s="632">
        <f>SUMIFS(TableauConcurence[PRIX_KG],TableauConcurence[PRODUIT],TableauProduit[[#This Row],[Recette]],TableauConcurence[DISTRIBUTION],"artisanale BIO")</f>
        <v>0</v>
      </c>
      <c r="M62" s="564">
        <v>0</v>
      </c>
      <c r="N62" s="617">
        <f>TableauProduit[[#This Row],[Poids (g) / unite]]*TableauProduit[[#This Row],[Objectif de vente en unite N1]]/1000</f>
        <v>0</v>
      </c>
      <c r="O62" s="579">
        <f>TableauProduit[[#This Row],[Objectif de vente en unite N1]]*TableauProduit[[#This Row],[Packaging / unite]]</f>
        <v>0</v>
      </c>
      <c r="P62" s="579">
        <f t="shared" ca="1" si="1"/>
        <v>0</v>
      </c>
      <c r="Q62" s="579">
        <f ca="1">TableauProduit[[#This Row],[Prix de vente/kg]]*TableauProduit[[#This Row],[Total (kg) N1]]-TableauProduit[[#This Row],[Achat par kg N1]]</f>
        <v>-100</v>
      </c>
      <c r="R62" s="586">
        <f>TableauProduit[[#This Row],[Total (kg) N1]]*TableauProduit[[#This Row],[Prix de vente/U]]</f>
        <v>0</v>
      </c>
      <c r="S62" s="565">
        <v>0</v>
      </c>
      <c r="T62" s="513">
        <f>TableauProduit[[#This Row],[Poids (g) / unite]]*TableauProduit[[#This Row],[Objectif de vente en unite N1]]/1000</f>
        <v>0</v>
      </c>
      <c r="U62" s="572">
        <f>TableauProduit[[#This Row],[Objectif de vente en unite N1]]*TableauProduit[[#This Row],[Packaging / unite]]</f>
        <v>0</v>
      </c>
      <c r="V62" s="571">
        <f ca="1">TableauProduit[[#This Row],[Prix Achat de plante par kg]]*TableauProduit[[#This Row],[Total (kg) N1]]</f>
        <v>0</v>
      </c>
      <c r="W62" s="573">
        <f>TableauProduit[[#This Row],[Prix de vente/kg]]*TableauProduit[[#This Row],[Total (kg) N1]]</f>
        <v>0</v>
      </c>
      <c r="X62" s="618">
        <f ca="1">TableauProduit[[#This Row],[Revenue brut N1]]-TableauProduit[[#This Row],[Achat par kg N1]]-TableauProduit[[#This Row],[Conditionnement N1]]</f>
        <v>-200</v>
      </c>
      <c r="Y62" s="567">
        <v>0</v>
      </c>
      <c r="Z62" s="514">
        <f>TableauProduit[[#This Row],[Poids (g) / unite]]*TableauProduit[[#This Row],[Objectif de vente en unite N1]]/1000</f>
        <v>0</v>
      </c>
      <c r="AA62" s="575">
        <f>TableauProduit[[#This Row],[Objectif de vente en unite N1]]*TableauProduit[[#This Row],[Packaging / unite]]</f>
        <v>0</v>
      </c>
      <c r="AB62" s="574">
        <f ca="1">TableauProduit[[#This Row],[Prix Achat de plante par kg]]*TableauProduit[[#This Row],[Total (kg) N1]]</f>
        <v>0</v>
      </c>
      <c r="AC62" s="576">
        <f>TableauProduit[[#This Row],[Prix de vente/kg]]*TableauProduit[[#This Row],[Total (kg) N1]]</f>
        <v>0</v>
      </c>
      <c r="AD62" s="619">
        <f ca="1">TableauProduit[[#This Row],[Revenue brut N1]]-TableauProduit[[#This Row],[Achat par kg N1]]-TableauProduit[[#This Row],[Conditionnement N1]]</f>
        <v>-200</v>
      </c>
      <c r="AE62" s="620">
        <v>0</v>
      </c>
      <c r="AF62" s="515">
        <f>TableauProduit[[#This Row],[Poids (g) / unite]]*TableauProduit[[#This Row],[Objectif de vente en unite N1]]/1000</f>
        <v>0</v>
      </c>
      <c r="AG62" s="578">
        <f>TableauProduit[[#This Row],[Objectif de vente en unite N1]]*TableauProduit[[#This Row],[Packaging / unite]]</f>
        <v>0</v>
      </c>
      <c r="AH62" s="577">
        <f ca="1">TableauProduit[[#This Row],[Prix Achat de plante par kg]]*TableauProduit[[#This Row],[Total (kg) N1]]</f>
        <v>0</v>
      </c>
      <c r="AI62" s="590">
        <f>TableauProduit[[#This Row],[Prix de vente/kg]]*TableauProduit[[#This Row],[Total (kg) N1]]</f>
        <v>0</v>
      </c>
      <c r="AJ62" s="591">
        <f ca="1">TableauProduit[[#This Row],[Revenue brut N1]]-TableauProduit[[#This Row],[Achat par kg N1]]-TableauProduit[[#This Row],[Conditionnement N1]]</f>
        <v>-200</v>
      </c>
      <c r="AK62" s="621">
        <v>0</v>
      </c>
      <c r="AL62" s="516">
        <f>TableauProduit[[#This Row],[Poids (g) / unite]]*TableauProduit[[#This Row],[Objectif de vente en unite N1]]/1000</f>
        <v>0</v>
      </c>
      <c r="AM62" s="592">
        <f>TableauProduit[[#This Row],[Objectif de vente en unite N1]]*TableauProduit[[#This Row],[Packaging / unite]]</f>
        <v>0</v>
      </c>
      <c r="AN62" s="584">
        <f ca="1">TableauProduit[[#This Row],[Prix Achat de plante par kg]]*TableauProduit[[#This Row],[Total (kg) N1]]</f>
        <v>0</v>
      </c>
      <c r="AO62" s="593">
        <f>TableauProduit[[#This Row],[Prix de vente/kg]]*TableauProduit[[#This Row],[Total (kg) N1]]</f>
        <v>0</v>
      </c>
      <c r="AP62" s="594">
        <f ca="1">TableauProduit[[#This Row],[Revenue brut N1]]-TableauProduit[[#This Row],[Achat par kg N1]]-TableauProduit[[#This Row],[Conditionnement N1]]</f>
        <v>-200</v>
      </c>
      <c r="AQ62" s="622">
        <v>0</v>
      </c>
      <c r="AR62" s="517">
        <f>TableauProduit[[#This Row],[Poids (g) / unite]]*TableauProduit[[#This Row],[Objectif de vente en unite N1]]/1000</f>
        <v>0</v>
      </c>
      <c r="AS62" s="595">
        <f>TableauProduit[[#This Row],[Objectif de vente en unite N1]]*TableauProduit[[#This Row],[Packaging / unite]]</f>
        <v>0</v>
      </c>
      <c r="AT62" s="585">
        <f ca="1">TableauProduit[[#This Row],[Prix Achat de plante par kg]]*TableauProduit[[#This Row],[Total (kg) N1]]</f>
        <v>0</v>
      </c>
      <c r="AU62" s="596">
        <f>TableauProduit[[#This Row],[Prix de vente/kg]]*TableauProduit[[#This Row],[Total (kg) N1]]</f>
        <v>0</v>
      </c>
      <c r="AV62" s="597">
        <f ca="1">TableauProduit[[#This Row],[Revenue brut N1]]-TableauProduit[[#This Row],[Achat par kg N1]]-TableauProduit[[#This Row],[Conditionnement N1]]</f>
        <v>-200</v>
      </c>
      <c r="AW62" s="617">
        <v>0</v>
      </c>
      <c r="AX62" s="518">
        <f>TableauProduit[[#This Row],[Poids (g) / unite]]*TableauProduit[[#This Row],[Objectif de vente en unite N1]]/1000</f>
        <v>0</v>
      </c>
      <c r="AY62" s="580">
        <f>TableauProduit[[#This Row],[Objectif de vente en unite N1]]*TableauProduit[[#This Row],[Packaging / unite]]</f>
        <v>0</v>
      </c>
      <c r="AZ62" s="579">
        <f ca="1">TableauProduit[[#This Row],[Prix Achat de plante par kg]]*TableauProduit[[#This Row],[Total (kg) N1]]</f>
        <v>0</v>
      </c>
      <c r="BA62" s="581">
        <f>TableauProduit[[#This Row],[Prix de vente/kg]]*TableauProduit[[#This Row],[Total (kg) N1]]</f>
        <v>0</v>
      </c>
      <c r="BB62" s="586">
        <f ca="1">TableauProduit[[#This Row],[Revenue brut N1]]-TableauProduit[[#This Row],[Achat par kg N1]]-TableauProduit[[#This Row],[Conditionnement N1]]</f>
        <v>-200</v>
      </c>
      <c r="BC62" s="569">
        <v>0</v>
      </c>
      <c r="BD62" s="519">
        <f>TableauProduit[[#This Row],[Poids (g) / unite]]*TableauProduit[[#This Row],[Objectif de vente en unite N1]]/1000</f>
        <v>0</v>
      </c>
      <c r="BE62" s="598">
        <f>TableauProduit[[#This Row],[Objectif de vente en unite N1]]*TableauProduit[[#This Row],[Packaging / unite]]</f>
        <v>0</v>
      </c>
      <c r="BF62" s="587">
        <f ca="1">TableauProduit[[#This Row],[Prix Achat de plante par kg]]*TableauProduit[[#This Row],[Total (kg) N1]]</f>
        <v>0</v>
      </c>
      <c r="BG62" s="599">
        <f>TableauProduit[[#This Row],[Prix de vente/kg]]*TableauProduit[[#This Row],[Total (kg) N1]]</f>
        <v>0</v>
      </c>
      <c r="BH62" s="600">
        <f ca="1">TableauProduit[[#This Row],[Revenue brut N1]]-TableauProduit[[#This Row],[Achat par kg N1]]-TableauProduit[[#This Row],[Conditionnement N1]]</f>
        <v>-200</v>
      </c>
      <c r="BI62" s="624">
        <v>0</v>
      </c>
      <c r="BJ62" s="520">
        <f>TableauProduit[[#This Row],[Poids (g) / unite]]*TableauProduit[[#This Row],[Objectif de vente en unite N1]]/1000</f>
        <v>0</v>
      </c>
      <c r="BK62" s="601">
        <f>TableauProduit[[#This Row],[Objectif de vente en unite N1]]*TableauProduit[[#This Row],[Packaging / unite]]</f>
        <v>0</v>
      </c>
      <c r="BL62" s="589">
        <f ca="1">TableauProduit[[#This Row],[Prix Achat de plante par kg]]*TableauProduit[[#This Row],[Total (kg) N1]]</f>
        <v>0</v>
      </c>
      <c r="BM62" s="602">
        <f>TableauProduit[[#This Row],[Prix de vente/kg]]*TableauProduit[[#This Row],[Total (kg) N1]]</f>
        <v>0</v>
      </c>
      <c r="BN62" s="467">
        <f ca="1">TableauProduit[[#This Row],[Revenue brut N1]]-TableauProduit[[#This Row],[Achat par kg N1]]-TableauProduit[[#This Row],[Conditionnement N1]]</f>
        <v>-200</v>
      </c>
    </row>
    <row r="63" spans="1:66">
      <c r="A63" s="536" t="s">
        <v>105</v>
      </c>
      <c r="B63" s="54" t="str">
        <f>TableauProduit[[#This Row],[Recette]]&amp;TableauProduit[[#This Row],[Conditionnement]]</f>
        <v>Baharat arabeEpice 100ml</v>
      </c>
      <c r="C63" s="11">
        <v>1</v>
      </c>
      <c r="D63" s="11">
        <f>VLOOKUP(TableauProduit[[#This Row],[Recette]],Old[],3)</f>
        <v>45</v>
      </c>
      <c r="E63" s="6" t="s">
        <v>55</v>
      </c>
      <c r="F63" s="7">
        <f>IFERROR(VLOOKUP(TableauProduit[[#This Row],[Conditionnement]],TableauConditionnement[[Nom]:[Contenance]],4,TRUE),"")</f>
        <v>0.64</v>
      </c>
      <c r="G63" s="627">
        <f ca="1">SUMIFS(TableauRecette[Prix d''achat / kg],TableauRecette[Recette],TableauProduit[[#This Row],[Recette]],TableauRecette[Conditionnement],TableauProduit[[#This Row],[Conditionnement]])</f>
        <v>20.965384615384618</v>
      </c>
      <c r="H63" s="633">
        <v>7.3125</v>
      </c>
      <c r="I63" s="629">
        <f>1000*TableauProduit[[#This Row],[Prix de vente/U]]/TableauProduit[[#This Row],[Poids (g) / unite]]</f>
        <v>162.5</v>
      </c>
      <c r="J63" s="630">
        <f>SUMIFS(TableauConcurence[PRIX_KG],TableauConcurence[PRODUIT],TableauProduit[[#This Row],[Recette]],TableauConcurence[DISTRIBUTION],"magasin NON BIO")</f>
        <v>69.900000000000006</v>
      </c>
      <c r="K63" s="631">
        <f>SUMIFS(TableauConcurence[PRIX_KG],TableauConcurence[PRODUIT],TableauProduit[[#This Row],[Recette]],TableauConcurence[DISTRIBUTION],"magasin BIO")</f>
        <v>110</v>
      </c>
      <c r="L63" s="632">
        <f>SUMIFS(TableauConcurence[PRIX_KG],TableauConcurence[PRODUIT],TableauProduit[[#This Row],[Recette]],TableauConcurence[DISTRIBUTION],"artisanale BIO")</f>
        <v>75</v>
      </c>
      <c r="M63" s="564">
        <v>0</v>
      </c>
      <c r="N63" s="617">
        <f>TableauProduit[[#This Row],[Poids (g) / unite]]*TableauProduit[[#This Row],[Objectif de vente en unite N1]]/1000</f>
        <v>0</v>
      </c>
      <c r="O63" s="579">
        <f>TableauProduit[[#This Row],[Objectif de vente en unite N1]]*TableauProduit[[#This Row],[Packaging / unite]]</f>
        <v>0</v>
      </c>
      <c r="P63" s="579">
        <f t="shared" ca="1" si="1"/>
        <v>0</v>
      </c>
      <c r="Q63" s="579">
        <f ca="1">TableauProduit[[#This Row],[Prix de vente/kg]]*TableauProduit[[#This Row],[Total (kg) N1]]-TableauProduit[[#This Row],[Achat par kg N1]]</f>
        <v>-65</v>
      </c>
      <c r="R63" s="586">
        <f>TableauProduit[[#This Row],[Total (kg) N1]]*TableauProduit[[#This Row],[Prix de vente/U]]</f>
        <v>0</v>
      </c>
      <c r="S63" s="565">
        <v>0</v>
      </c>
      <c r="T63" s="513">
        <f>TableauProduit[[#This Row],[Poids (g) / unite]]*TableauProduit[[#This Row],[Objectif de vente en unite N1]]/1000</f>
        <v>0</v>
      </c>
      <c r="U63" s="572">
        <f>TableauProduit[[#This Row],[Objectif de vente en unite N1]]*TableauProduit[[#This Row],[Packaging / unite]]</f>
        <v>0</v>
      </c>
      <c r="V63" s="571">
        <f ca="1">TableauProduit[[#This Row],[Prix Achat de plante par kg]]*TableauProduit[[#This Row],[Total (kg) N1]]</f>
        <v>0</v>
      </c>
      <c r="W63" s="573">
        <f>TableauProduit[[#This Row],[Prix de vente/kg]]*TableauProduit[[#This Row],[Total (kg) N1]]</f>
        <v>0</v>
      </c>
      <c r="X63" s="618">
        <f ca="1">TableauProduit[[#This Row],[Revenue brut N1]]-TableauProduit[[#This Row],[Achat par kg N1]]-TableauProduit[[#This Row],[Conditionnement N1]]</f>
        <v>-130</v>
      </c>
      <c r="Y63" s="567">
        <v>0</v>
      </c>
      <c r="Z63" s="514">
        <f>TableauProduit[[#This Row],[Poids (g) / unite]]*TableauProduit[[#This Row],[Objectif de vente en unite N1]]/1000</f>
        <v>0</v>
      </c>
      <c r="AA63" s="575">
        <f>TableauProduit[[#This Row],[Objectif de vente en unite N1]]*TableauProduit[[#This Row],[Packaging / unite]]</f>
        <v>0</v>
      </c>
      <c r="AB63" s="574">
        <f ca="1">TableauProduit[[#This Row],[Prix Achat de plante par kg]]*TableauProduit[[#This Row],[Total (kg) N1]]</f>
        <v>0</v>
      </c>
      <c r="AC63" s="576">
        <f>TableauProduit[[#This Row],[Prix de vente/kg]]*TableauProduit[[#This Row],[Total (kg) N1]]</f>
        <v>0</v>
      </c>
      <c r="AD63" s="619">
        <f ca="1">TableauProduit[[#This Row],[Revenue brut N1]]-TableauProduit[[#This Row],[Achat par kg N1]]-TableauProduit[[#This Row],[Conditionnement N1]]</f>
        <v>-130</v>
      </c>
      <c r="AE63" s="620">
        <v>0</v>
      </c>
      <c r="AF63" s="515">
        <f>TableauProduit[[#This Row],[Poids (g) / unite]]*TableauProduit[[#This Row],[Objectif de vente en unite N1]]/1000</f>
        <v>0</v>
      </c>
      <c r="AG63" s="578">
        <f>TableauProduit[[#This Row],[Objectif de vente en unite N1]]*TableauProduit[[#This Row],[Packaging / unite]]</f>
        <v>0</v>
      </c>
      <c r="AH63" s="577">
        <f ca="1">TableauProduit[[#This Row],[Prix Achat de plante par kg]]*TableauProduit[[#This Row],[Total (kg) N1]]</f>
        <v>0</v>
      </c>
      <c r="AI63" s="590">
        <f>TableauProduit[[#This Row],[Prix de vente/kg]]*TableauProduit[[#This Row],[Total (kg) N1]]</f>
        <v>0</v>
      </c>
      <c r="AJ63" s="591">
        <f ca="1">TableauProduit[[#This Row],[Revenue brut N1]]-TableauProduit[[#This Row],[Achat par kg N1]]-TableauProduit[[#This Row],[Conditionnement N1]]</f>
        <v>-130</v>
      </c>
      <c r="AK63" s="621">
        <v>0</v>
      </c>
      <c r="AL63" s="516">
        <f>TableauProduit[[#This Row],[Poids (g) / unite]]*TableauProduit[[#This Row],[Objectif de vente en unite N1]]/1000</f>
        <v>0</v>
      </c>
      <c r="AM63" s="592">
        <f>TableauProduit[[#This Row],[Objectif de vente en unite N1]]*TableauProduit[[#This Row],[Packaging / unite]]</f>
        <v>0</v>
      </c>
      <c r="AN63" s="584">
        <f ca="1">TableauProduit[[#This Row],[Prix Achat de plante par kg]]*TableauProduit[[#This Row],[Total (kg) N1]]</f>
        <v>0</v>
      </c>
      <c r="AO63" s="593">
        <f>TableauProduit[[#This Row],[Prix de vente/kg]]*TableauProduit[[#This Row],[Total (kg) N1]]</f>
        <v>0</v>
      </c>
      <c r="AP63" s="594">
        <f ca="1">TableauProduit[[#This Row],[Revenue brut N1]]-TableauProduit[[#This Row],[Achat par kg N1]]-TableauProduit[[#This Row],[Conditionnement N1]]</f>
        <v>-130</v>
      </c>
      <c r="AQ63" s="622">
        <v>0</v>
      </c>
      <c r="AR63" s="517">
        <f>TableauProduit[[#This Row],[Poids (g) / unite]]*TableauProduit[[#This Row],[Objectif de vente en unite N1]]/1000</f>
        <v>0</v>
      </c>
      <c r="AS63" s="595">
        <f>TableauProduit[[#This Row],[Objectif de vente en unite N1]]*TableauProduit[[#This Row],[Packaging / unite]]</f>
        <v>0</v>
      </c>
      <c r="AT63" s="585">
        <f ca="1">TableauProduit[[#This Row],[Prix Achat de plante par kg]]*TableauProduit[[#This Row],[Total (kg) N1]]</f>
        <v>0</v>
      </c>
      <c r="AU63" s="596">
        <f>TableauProduit[[#This Row],[Prix de vente/kg]]*TableauProduit[[#This Row],[Total (kg) N1]]</f>
        <v>0</v>
      </c>
      <c r="AV63" s="597">
        <f ca="1">TableauProduit[[#This Row],[Revenue brut N1]]-TableauProduit[[#This Row],[Achat par kg N1]]-TableauProduit[[#This Row],[Conditionnement N1]]</f>
        <v>-130</v>
      </c>
      <c r="AW63" s="617">
        <v>0</v>
      </c>
      <c r="AX63" s="518">
        <f>TableauProduit[[#This Row],[Poids (g) / unite]]*TableauProduit[[#This Row],[Objectif de vente en unite N1]]/1000</f>
        <v>0</v>
      </c>
      <c r="AY63" s="580">
        <f>TableauProduit[[#This Row],[Objectif de vente en unite N1]]*TableauProduit[[#This Row],[Packaging / unite]]</f>
        <v>0</v>
      </c>
      <c r="AZ63" s="579">
        <f ca="1">TableauProduit[[#This Row],[Prix Achat de plante par kg]]*TableauProduit[[#This Row],[Total (kg) N1]]</f>
        <v>0</v>
      </c>
      <c r="BA63" s="581">
        <f>TableauProduit[[#This Row],[Prix de vente/kg]]*TableauProduit[[#This Row],[Total (kg) N1]]</f>
        <v>0</v>
      </c>
      <c r="BB63" s="586">
        <f ca="1">TableauProduit[[#This Row],[Revenue brut N1]]-TableauProduit[[#This Row],[Achat par kg N1]]-TableauProduit[[#This Row],[Conditionnement N1]]</f>
        <v>-130</v>
      </c>
      <c r="BC63" s="569">
        <v>0</v>
      </c>
      <c r="BD63" s="519">
        <f>TableauProduit[[#This Row],[Poids (g) / unite]]*TableauProduit[[#This Row],[Objectif de vente en unite N1]]/1000</f>
        <v>0</v>
      </c>
      <c r="BE63" s="598">
        <f>TableauProduit[[#This Row],[Objectif de vente en unite N1]]*TableauProduit[[#This Row],[Packaging / unite]]</f>
        <v>0</v>
      </c>
      <c r="BF63" s="587">
        <f ca="1">TableauProduit[[#This Row],[Prix Achat de plante par kg]]*TableauProduit[[#This Row],[Total (kg) N1]]</f>
        <v>0</v>
      </c>
      <c r="BG63" s="599">
        <f>TableauProduit[[#This Row],[Prix de vente/kg]]*TableauProduit[[#This Row],[Total (kg) N1]]</f>
        <v>0</v>
      </c>
      <c r="BH63" s="600">
        <f ca="1">TableauProduit[[#This Row],[Revenue brut N1]]-TableauProduit[[#This Row],[Achat par kg N1]]-TableauProduit[[#This Row],[Conditionnement N1]]</f>
        <v>-130</v>
      </c>
      <c r="BI63" s="624">
        <v>0</v>
      </c>
      <c r="BJ63" s="520">
        <f>TableauProduit[[#This Row],[Poids (g) / unite]]*TableauProduit[[#This Row],[Objectif de vente en unite N1]]/1000</f>
        <v>0</v>
      </c>
      <c r="BK63" s="601">
        <f>TableauProduit[[#This Row],[Objectif de vente en unite N1]]*TableauProduit[[#This Row],[Packaging / unite]]</f>
        <v>0</v>
      </c>
      <c r="BL63" s="589">
        <f ca="1">TableauProduit[[#This Row],[Prix Achat de plante par kg]]*TableauProduit[[#This Row],[Total (kg) N1]]</f>
        <v>0</v>
      </c>
      <c r="BM63" s="602">
        <f>TableauProduit[[#This Row],[Prix de vente/kg]]*TableauProduit[[#This Row],[Total (kg) N1]]</f>
        <v>0</v>
      </c>
      <c r="BN63" s="467">
        <f ca="1">TableauProduit[[#This Row],[Revenue brut N1]]-TableauProduit[[#This Row],[Achat par kg N1]]-TableauProduit[[#This Row],[Conditionnement N1]]</f>
        <v>-130</v>
      </c>
    </row>
    <row r="64" spans="1:66">
      <c r="A64" s="536" t="s">
        <v>106</v>
      </c>
      <c r="B64" s="54" t="str">
        <f>TableauProduit[[#This Row],[Recette]]&amp;TableauProduit[[#This Row],[Conditionnement]]</f>
        <v>Pâte vindalooEpice 100ml</v>
      </c>
      <c r="C64" s="11">
        <v>1</v>
      </c>
      <c r="D64" s="11">
        <f>VLOOKUP(TableauProduit[[#This Row],[Recette]],Old[],3)</f>
        <v>50</v>
      </c>
      <c r="E64" s="6" t="s">
        <v>55</v>
      </c>
      <c r="F64" s="7">
        <f>IFERROR(VLOOKUP(TableauProduit[[#This Row],[Conditionnement]],TableauConditionnement[[Nom]:[Contenance]],4,TRUE),"")</f>
        <v>0.64</v>
      </c>
      <c r="G64" s="627" t="e">
        <f ca="1">SUMIFS(TableauRecette[Prix d''achat / kg],TableauRecette[Recette],TableauProduit[[#This Row],[Recette]],TableauRecette[Conditionnement],TableauProduit[[#This Row],[Conditionnement]])</f>
        <v>#VALUE!</v>
      </c>
      <c r="H64" s="633">
        <v>5</v>
      </c>
      <c r="I64" s="629">
        <f>1000*TableauProduit[[#This Row],[Prix de vente/U]]/TableauProduit[[#This Row],[Poids (g) / unite]]</f>
        <v>100</v>
      </c>
      <c r="J64" s="630">
        <f>SUMIFS(TableauConcurence[PRIX_KG],TableauConcurence[PRODUIT],TableauProduit[[#This Row],[Recette]],TableauConcurence[DISTRIBUTION],"magasin NON BIO")</f>
        <v>0</v>
      </c>
      <c r="K64" s="631">
        <f>SUMIFS(TableauConcurence[PRIX_KG],TableauConcurence[PRODUIT],TableauProduit[[#This Row],[Recette]],TableauConcurence[DISTRIBUTION],"magasin BIO")</f>
        <v>0</v>
      </c>
      <c r="L64" s="632">
        <f>SUMIFS(TableauConcurence[PRIX_KG],TableauConcurence[PRODUIT],TableauProduit[[#This Row],[Recette]],TableauConcurence[DISTRIBUTION],"artisanale BIO")</f>
        <v>0</v>
      </c>
      <c r="M64" s="564">
        <v>0</v>
      </c>
      <c r="N64" s="617">
        <f>TableauProduit[[#This Row],[Poids (g) / unite]]*TableauProduit[[#This Row],[Objectif de vente en unite N1]]/1000</f>
        <v>0</v>
      </c>
      <c r="O64" s="579">
        <f>TableauProduit[[#This Row],[Objectif de vente en unite N1]]*TableauProduit[[#This Row],[Packaging / unite]]</f>
        <v>0</v>
      </c>
      <c r="P64" s="579" t="e">
        <f t="shared" ca="1" si="1"/>
        <v>#VALUE!</v>
      </c>
      <c r="Q64" s="579" t="e">
        <f ca="1">TableauProduit[[#This Row],[Prix de vente/kg]]*TableauProduit[[#This Row],[Total (kg) N1]]-TableauProduit[[#This Row],[Achat par kg N1]]</f>
        <v>#VALUE!</v>
      </c>
      <c r="R64" s="586">
        <f>TableauProduit[[#This Row],[Total (kg) N1]]*TableauProduit[[#This Row],[Prix de vente/U]]</f>
        <v>0</v>
      </c>
      <c r="S64" s="565">
        <v>0</v>
      </c>
      <c r="T64" s="513">
        <f>TableauProduit[[#This Row],[Poids (g) / unite]]*TableauProduit[[#This Row],[Objectif de vente en unite N1]]/1000</f>
        <v>0</v>
      </c>
      <c r="U64" s="572">
        <f>TableauProduit[[#This Row],[Objectif de vente en unite N1]]*TableauProduit[[#This Row],[Packaging / unite]]</f>
        <v>0</v>
      </c>
      <c r="V64" s="571" t="e">
        <f ca="1">TableauProduit[[#This Row],[Prix Achat de plante par kg]]*TableauProduit[[#This Row],[Total (kg) N1]]</f>
        <v>#VALUE!</v>
      </c>
      <c r="W64" s="573">
        <f>TableauProduit[[#This Row],[Prix de vente/kg]]*TableauProduit[[#This Row],[Total (kg) N1]]</f>
        <v>0</v>
      </c>
      <c r="X64" s="618" t="e">
        <f ca="1">TableauProduit[[#This Row],[Revenue brut N1]]-TableauProduit[[#This Row],[Achat par kg N1]]-TableauProduit[[#This Row],[Conditionnement N1]]</f>
        <v>#VALUE!</v>
      </c>
      <c r="Y64" s="567">
        <v>0</v>
      </c>
      <c r="Z64" s="514">
        <f>TableauProduit[[#This Row],[Poids (g) / unite]]*TableauProduit[[#This Row],[Objectif de vente en unite N1]]/1000</f>
        <v>0</v>
      </c>
      <c r="AA64" s="575">
        <f>TableauProduit[[#This Row],[Objectif de vente en unite N1]]*TableauProduit[[#This Row],[Packaging / unite]]</f>
        <v>0</v>
      </c>
      <c r="AB64" s="574" t="e">
        <f ca="1">TableauProduit[[#This Row],[Prix Achat de plante par kg]]*TableauProduit[[#This Row],[Total (kg) N1]]</f>
        <v>#VALUE!</v>
      </c>
      <c r="AC64" s="576">
        <f>TableauProduit[[#This Row],[Prix de vente/kg]]*TableauProduit[[#This Row],[Total (kg) N1]]</f>
        <v>0</v>
      </c>
      <c r="AD64" s="619" t="e">
        <f ca="1">TableauProduit[[#This Row],[Revenue brut N1]]-TableauProduit[[#This Row],[Achat par kg N1]]-TableauProduit[[#This Row],[Conditionnement N1]]</f>
        <v>#VALUE!</v>
      </c>
      <c r="AE64" s="620">
        <v>0</v>
      </c>
      <c r="AF64" s="515">
        <f>TableauProduit[[#This Row],[Poids (g) / unite]]*TableauProduit[[#This Row],[Objectif de vente en unite N1]]/1000</f>
        <v>0</v>
      </c>
      <c r="AG64" s="578">
        <f>TableauProduit[[#This Row],[Objectif de vente en unite N1]]*TableauProduit[[#This Row],[Packaging / unite]]</f>
        <v>0</v>
      </c>
      <c r="AH64" s="577" t="e">
        <f ca="1">TableauProduit[[#This Row],[Prix Achat de plante par kg]]*TableauProduit[[#This Row],[Total (kg) N1]]</f>
        <v>#VALUE!</v>
      </c>
      <c r="AI64" s="590">
        <f>TableauProduit[[#This Row],[Prix de vente/kg]]*TableauProduit[[#This Row],[Total (kg) N1]]</f>
        <v>0</v>
      </c>
      <c r="AJ64" s="591" t="e">
        <f ca="1">TableauProduit[[#This Row],[Revenue brut N1]]-TableauProduit[[#This Row],[Achat par kg N1]]-TableauProduit[[#This Row],[Conditionnement N1]]</f>
        <v>#VALUE!</v>
      </c>
      <c r="AK64" s="621">
        <v>0</v>
      </c>
      <c r="AL64" s="516">
        <f>TableauProduit[[#This Row],[Poids (g) / unite]]*TableauProduit[[#This Row],[Objectif de vente en unite N1]]/1000</f>
        <v>0</v>
      </c>
      <c r="AM64" s="592">
        <f>TableauProduit[[#This Row],[Objectif de vente en unite N1]]*TableauProduit[[#This Row],[Packaging / unite]]</f>
        <v>0</v>
      </c>
      <c r="AN64" s="584" t="e">
        <f ca="1">TableauProduit[[#This Row],[Prix Achat de plante par kg]]*TableauProduit[[#This Row],[Total (kg) N1]]</f>
        <v>#VALUE!</v>
      </c>
      <c r="AO64" s="593">
        <f>TableauProduit[[#This Row],[Prix de vente/kg]]*TableauProduit[[#This Row],[Total (kg) N1]]</f>
        <v>0</v>
      </c>
      <c r="AP64" s="594" t="e">
        <f ca="1">TableauProduit[[#This Row],[Revenue brut N1]]-TableauProduit[[#This Row],[Achat par kg N1]]-TableauProduit[[#This Row],[Conditionnement N1]]</f>
        <v>#VALUE!</v>
      </c>
      <c r="AQ64" s="622">
        <v>0</v>
      </c>
      <c r="AR64" s="517">
        <f>TableauProduit[[#This Row],[Poids (g) / unite]]*TableauProduit[[#This Row],[Objectif de vente en unite N1]]/1000</f>
        <v>0</v>
      </c>
      <c r="AS64" s="595">
        <f>TableauProduit[[#This Row],[Objectif de vente en unite N1]]*TableauProduit[[#This Row],[Packaging / unite]]</f>
        <v>0</v>
      </c>
      <c r="AT64" s="585" t="e">
        <f ca="1">TableauProduit[[#This Row],[Prix Achat de plante par kg]]*TableauProduit[[#This Row],[Total (kg) N1]]</f>
        <v>#VALUE!</v>
      </c>
      <c r="AU64" s="596">
        <f>TableauProduit[[#This Row],[Prix de vente/kg]]*TableauProduit[[#This Row],[Total (kg) N1]]</f>
        <v>0</v>
      </c>
      <c r="AV64" s="597" t="e">
        <f ca="1">TableauProduit[[#This Row],[Revenue brut N1]]-TableauProduit[[#This Row],[Achat par kg N1]]-TableauProduit[[#This Row],[Conditionnement N1]]</f>
        <v>#VALUE!</v>
      </c>
      <c r="AW64" s="617">
        <v>0</v>
      </c>
      <c r="AX64" s="518">
        <f>TableauProduit[[#This Row],[Poids (g) / unite]]*TableauProduit[[#This Row],[Objectif de vente en unite N1]]/1000</f>
        <v>0</v>
      </c>
      <c r="AY64" s="580">
        <f>TableauProduit[[#This Row],[Objectif de vente en unite N1]]*TableauProduit[[#This Row],[Packaging / unite]]</f>
        <v>0</v>
      </c>
      <c r="AZ64" s="579" t="e">
        <f ca="1">TableauProduit[[#This Row],[Prix Achat de plante par kg]]*TableauProduit[[#This Row],[Total (kg) N1]]</f>
        <v>#VALUE!</v>
      </c>
      <c r="BA64" s="581">
        <f>TableauProduit[[#This Row],[Prix de vente/kg]]*TableauProduit[[#This Row],[Total (kg) N1]]</f>
        <v>0</v>
      </c>
      <c r="BB64" s="586" t="e">
        <f ca="1">TableauProduit[[#This Row],[Revenue brut N1]]-TableauProduit[[#This Row],[Achat par kg N1]]-TableauProduit[[#This Row],[Conditionnement N1]]</f>
        <v>#VALUE!</v>
      </c>
      <c r="BC64" s="569">
        <v>0</v>
      </c>
      <c r="BD64" s="519">
        <f>TableauProduit[[#This Row],[Poids (g) / unite]]*TableauProduit[[#This Row],[Objectif de vente en unite N1]]/1000</f>
        <v>0</v>
      </c>
      <c r="BE64" s="598">
        <f>TableauProduit[[#This Row],[Objectif de vente en unite N1]]*TableauProduit[[#This Row],[Packaging / unite]]</f>
        <v>0</v>
      </c>
      <c r="BF64" s="587" t="e">
        <f ca="1">TableauProduit[[#This Row],[Prix Achat de plante par kg]]*TableauProduit[[#This Row],[Total (kg) N1]]</f>
        <v>#VALUE!</v>
      </c>
      <c r="BG64" s="599">
        <f>TableauProduit[[#This Row],[Prix de vente/kg]]*TableauProduit[[#This Row],[Total (kg) N1]]</f>
        <v>0</v>
      </c>
      <c r="BH64" s="600" t="e">
        <f ca="1">TableauProduit[[#This Row],[Revenue brut N1]]-TableauProduit[[#This Row],[Achat par kg N1]]-TableauProduit[[#This Row],[Conditionnement N1]]</f>
        <v>#VALUE!</v>
      </c>
      <c r="BI64" s="624">
        <v>0</v>
      </c>
      <c r="BJ64" s="520">
        <f>TableauProduit[[#This Row],[Poids (g) / unite]]*TableauProduit[[#This Row],[Objectif de vente en unite N1]]/1000</f>
        <v>0</v>
      </c>
      <c r="BK64" s="601">
        <f>TableauProduit[[#This Row],[Objectif de vente en unite N1]]*TableauProduit[[#This Row],[Packaging / unite]]</f>
        <v>0</v>
      </c>
      <c r="BL64" s="589" t="e">
        <f ca="1">TableauProduit[[#This Row],[Prix Achat de plante par kg]]*TableauProduit[[#This Row],[Total (kg) N1]]</f>
        <v>#VALUE!</v>
      </c>
      <c r="BM64" s="602">
        <f>TableauProduit[[#This Row],[Prix de vente/kg]]*TableauProduit[[#This Row],[Total (kg) N1]]</f>
        <v>0</v>
      </c>
      <c r="BN64" s="467" t="e">
        <f ca="1">TableauProduit[[#This Row],[Revenue brut N1]]-TableauProduit[[#This Row],[Achat par kg N1]]-TableauProduit[[#This Row],[Conditionnement N1]]</f>
        <v>#VALUE!</v>
      </c>
    </row>
    <row r="65" spans="1:66">
      <c r="A65" s="536" t="s">
        <v>107</v>
      </c>
      <c r="B65" s="54" t="str">
        <f>TableauProduit[[#This Row],[Recette]]&amp;TableauProduit[[#This Row],[Conditionnement]]</f>
        <v>Baharat turcEpice 100ml</v>
      </c>
      <c r="C65" s="11">
        <v>1</v>
      </c>
      <c r="D65" s="11">
        <f>VLOOKUP(TableauProduit[[#This Row],[Recette]],Old[],3)</f>
        <v>65</v>
      </c>
      <c r="E65" s="6" t="s">
        <v>55</v>
      </c>
      <c r="F65" s="7">
        <f>IFERROR(VLOOKUP(TableauProduit[[#This Row],[Conditionnement]],TableauConditionnement[[Nom]:[Contenance]],4,TRUE),"")</f>
        <v>0.64</v>
      </c>
      <c r="G65" s="627">
        <f ca="1">SUMIFS(TableauRecette[Prix d''achat / kg],TableauRecette[Recette],TableauProduit[[#This Row],[Recette]],TableauRecette[Conditionnement],TableauProduit[[#This Row],[Conditionnement]])</f>
        <v>23.687880952380951</v>
      </c>
      <c r="H65" s="633">
        <v>7.8</v>
      </c>
      <c r="I65" s="629">
        <f>1000*TableauProduit[[#This Row],[Prix de vente/U]]/TableauProduit[[#This Row],[Poids (g) / unite]]</f>
        <v>120</v>
      </c>
      <c r="J65" s="630">
        <f>SUMIFS(TableauConcurence[PRIX_KG],TableauConcurence[PRODUIT],TableauProduit[[#This Row],[Recette]],TableauConcurence[DISTRIBUTION],"magasin NON BIO")</f>
        <v>69.900000000000006</v>
      </c>
      <c r="K65" s="631">
        <f>SUMIFS(TableauConcurence[PRIX_KG],TableauConcurence[PRODUIT],TableauProduit[[#This Row],[Recette]],TableauConcurence[DISTRIBUTION],"magasin BIO")</f>
        <v>110</v>
      </c>
      <c r="L65" s="632">
        <f>SUMIFS(TableauConcurence[PRIX_KG],TableauConcurence[PRODUIT],TableauProduit[[#This Row],[Recette]],TableauConcurence[DISTRIBUTION],"artisanale BIO")</f>
        <v>75</v>
      </c>
      <c r="M65" s="564">
        <v>0</v>
      </c>
      <c r="N65" s="617">
        <f>TableauProduit[[#This Row],[Poids (g) / unite]]*TableauProduit[[#This Row],[Objectif de vente en unite N1]]/1000</f>
        <v>0</v>
      </c>
      <c r="O65" s="579">
        <f>TableauProduit[[#This Row],[Objectif de vente en unite N1]]*TableauProduit[[#This Row],[Packaging / unite]]</f>
        <v>0</v>
      </c>
      <c r="P65" s="579">
        <f t="shared" ref="P65:P71" ca="1" si="2">G65</f>
        <v>0</v>
      </c>
      <c r="Q65" s="579">
        <f ca="1">TableauProduit[[#This Row],[Prix de vente/kg]]*TableauProduit[[#This Row],[Total (kg) N1]]-TableauProduit[[#This Row],[Achat par kg N1]]</f>
        <v>-100</v>
      </c>
      <c r="R65" s="586">
        <f>TableauProduit[[#This Row],[Total (kg) N1]]*TableauProduit[[#This Row],[Prix de vente/U]]</f>
        <v>0</v>
      </c>
      <c r="S65" s="565">
        <v>0</v>
      </c>
      <c r="T65" s="513">
        <f>TableauProduit[[#This Row],[Poids (g) / unite]]*TableauProduit[[#This Row],[Objectif de vente en unite N1]]/1000</f>
        <v>0</v>
      </c>
      <c r="U65" s="572">
        <f>TableauProduit[[#This Row],[Objectif de vente en unite N1]]*TableauProduit[[#This Row],[Packaging / unite]]</f>
        <v>0</v>
      </c>
      <c r="V65" s="571">
        <f ca="1">TableauProduit[[#This Row],[Prix Achat de plante par kg]]*TableauProduit[[#This Row],[Total (kg) N1]]</f>
        <v>0</v>
      </c>
      <c r="W65" s="573">
        <f>TableauProduit[[#This Row],[Prix de vente/kg]]*TableauProduit[[#This Row],[Total (kg) N1]]</f>
        <v>0</v>
      </c>
      <c r="X65" s="618">
        <f ca="1">TableauProduit[[#This Row],[Revenue brut N1]]-TableauProduit[[#This Row],[Achat par kg N1]]-TableauProduit[[#This Row],[Conditionnement N1]]</f>
        <v>-200</v>
      </c>
      <c r="Y65" s="567">
        <v>0</v>
      </c>
      <c r="Z65" s="514">
        <f>TableauProduit[[#This Row],[Poids (g) / unite]]*TableauProduit[[#This Row],[Objectif de vente en unite N1]]/1000</f>
        <v>0</v>
      </c>
      <c r="AA65" s="575">
        <f>TableauProduit[[#This Row],[Objectif de vente en unite N1]]*TableauProduit[[#This Row],[Packaging / unite]]</f>
        <v>0</v>
      </c>
      <c r="AB65" s="574">
        <f ca="1">TableauProduit[[#This Row],[Prix Achat de plante par kg]]*TableauProduit[[#This Row],[Total (kg) N1]]</f>
        <v>0</v>
      </c>
      <c r="AC65" s="576">
        <f>TableauProduit[[#This Row],[Prix de vente/kg]]*TableauProduit[[#This Row],[Total (kg) N1]]</f>
        <v>0</v>
      </c>
      <c r="AD65" s="619">
        <f ca="1">TableauProduit[[#This Row],[Revenue brut N1]]-TableauProduit[[#This Row],[Achat par kg N1]]-TableauProduit[[#This Row],[Conditionnement N1]]</f>
        <v>-200</v>
      </c>
      <c r="AE65" s="620">
        <v>0</v>
      </c>
      <c r="AF65" s="515">
        <f>TableauProduit[[#This Row],[Poids (g) / unite]]*TableauProduit[[#This Row],[Objectif de vente en unite N1]]/1000</f>
        <v>0</v>
      </c>
      <c r="AG65" s="578">
        <f>TableauProduit[[#This Row],[Objectif de vente en unite N1]]*TableauProduit[[#This Row],[Packaging / unite]]</f>
        <v>0</v>
      </c>
      <c r="AH65" s="577">
        <f ca="1">TableauProduit[[#This Row],[Prix Achat de plante par kg]]*TableauProduit[[#This Row],[Total (kg) N1]]</f>
        <v>0</v>
      </c>
      <c r="AI65" s="590">
        <f>TableauProduit[[#This Row],[Prix de vente/kg]]*TableauProduit[[#This Row],[Total (kg) N1]]</f>
        <v>0</v>
      </c>
      <c r="AJ65" s="591">
        <f ca="1">TableauProduit[[#This Row],[Revenue brut N1]]-TableauProduit[[#This Row],[Achat par kg N1]]-TableauProduit[[#This Row],[Conditionnement N1]]</f>
        <v>-200</v>
      </c>
      <c r="AK65" s="621">
        <v>0</v>
      </c>
      <c r="AL65" s="516">
        <f>TableauProduit[[#This Row],[Poids (g) / unite]]*TableauProduit[[#This Row],[Objectif de vente en unite N1]]/1000</f>
        <v>0</v>
      </c>
      <c r="AM65" s="592">
        <f>TableauProduit[[#This Row],[Objectif de vente en unite N1]]*TableauProduit[[#This Row],[Packaging / unite]]</f>
        <v>0</v>
      </c>
      <c r="AN65" s="584">
        <f ca="1">TableauProduit[[#This Row],[Prix Achat de plante par kg]]*TableauProduit[[#This Row],[Total (kg) N1]]</f>
        <v>0</v>
      </c>
      <c r="AO65" s="593">
        <f>TableauProduit[[#This Row],[Prix de vente/kg]]*TableauProduit[[#This Row],[Total (kg) N1]]</f>
        <v>0</v>
      </c>
      <c r="AP65" s="594">
        <f ca="1">TableauProduit[[#This Row],[Revenue brut N1]]-TableauProduit[[#This Row],[Achat par kg N1]]-TableauProduit[[#This Row],[Conditionnement N1]]</f>
        <v>-200</v>
      </c>
      <c r="AQ65" s="622">
        <v>0</v>
      </c>
      <c r="AR65" s="517">
        <f>TableauProduit[[#This Row],[Poids (g) / unite]]*TableauProduit[[#This Row],[Objectif de vente en unite N1]]/1000</f>
        <v>0</v>
      </c>
      <c r="AS65" s="595">
        <f>TableauProduit[[#This Row],[Objectif de vente en unite N1]]*TableauProduit[[#This Row],[Packaging / unite]]</f>
        <v>0</v>
      </c>
      <c r="AT65" s="585">
        <f ca="1">TableauProduit[[#This Row],[Prix Achat de plante par kg]]*TableauProduit[[#This Row],[Total (kg) N1]]</f>
        <v>0</v>
      </c>
      <c r="AU65" s="596">
        <f>TableauProduit[[#This Row],[Prix de vente/kg]]*TableauProduit[[#This Row],[Total (kg) N1]]</f>
        <v>0</v>
      </c>
      <c r="AV65" s="597">
        <f ca="1">TableauProduit[[#This Row],[Revenue brut N1]]-TableauProduit[[#This Row],[Achat par kg N1]]-TableauProduit[[#This Row],[Conditionnement N1]]</f>
        <v>-200</v>
      </c>
      <c r="AW65" s="617">
        <v>0</v>
      </c>
      <c r="AX65" s="518">
        <f>TableauProduit[[#This Row],[Poids (g) / unite]]*TableauProduit[[#This Row],[Objectif de vente en unite N1]]/1000</f>
        <v>0</v>
      </c>
      <c r="AY65" s="580">
        <f>TableauProduit[[#This Row],[Objectif de vente en unite N1]]*TableauProduit[[#This Row],[Packaging / unite]]</f>
        <v>0</v>
      </c>
      <c r="AZ65" s="579">
        <f ca="1">TableauProduit[[#This Row],[Prix Achat de plante par kg]]*TableauProduit[[#This Row],[Total (kg) N1]]</f>
        <v>0</v>
      </c>
      <c r="BA65" s="581">
        <f>TableauProduit[[#This Row],[Prix de vente/kg]]*TableauProduit[[#This Row],[Total (kg) N1]]</f>
        <v>0</v>
      </c>
      <c r="BB65" s="586">
        <f ca="1">TableauProduit[[#This Row],[Revenue brut N1]]-TableauProduit[[#This Row],[Achat par kg N1]]-TableauProduit[[#This Row],[Conditionnement N1]]</f>
        <v>-200</v>
      </c>
      <c r="BC65" s="569">
        <v>0</v>
      </c>
      <c r="BD65" s="519">
        <f>TableauProduit[[#This Row],[Poids (g) / unite]]*TableauProduit[[#This Row],[Objectif de vente en unite N1]]/1000</f>
        <v>0</v>
      </c>
      <c r="BE65" s="598">
        <f>TableauProduit[[#This Row],[Objectif de vente en unite N1]]*TableauProduit[[#This Row],[Packaging / unite]]</f>
        <v>0</v>
      </c>
      <c r="BF65" s="587">
        <f ca="1">TableauProduit[[#This Row],[Prix Achat de plante par kg]]*TableauProduit[[#This Row],[Total (kg) N1]]</f>
        <v>0</v>
      </c>
      <c r="BG65" s="599">
        <f>TableauProduit[[#This Row],[Prix de vente/kg]]*TableauProduit[[#This Row],[Total (kg) N1]]</f>
        <v>0</v>
      </c>
      <c r="BH65" s="600">
        <f ca="1">TableauProduit[[#This Row],[Revenue brut N1]]-TableauProduit[[#This Row],[Achat par kg N1]]-TableauProduit[[#This Row],[Conditionnement N1]]</f>
        <v>-200</v>
      </c>
      <c r="BI65" s="624">
        <v>0</v>
      </c>
      <c r="BJ65" s="520">
        <f>TableauProduit[[#This Row],[Poids (g) / unite]]*TableauProduit[[#This Row],[Objectif de vente en unite N1]]/1000</f>
        <v>0</v>
      </c>
      <c r="BK65" s="601">
        <f>TableauProduit[[#This Row],[Objectif de vente en unite N1]]*TableauProduit[[#This Row],[Packaging / unite]]</f>
        <v>0</v>
      </c>
      <c r="BL65" s="589">
        <f ca="1">TableauProduit[[#This Row],[Prix Achat de plante par kg]]*TableauProduit[[#This Row],[Total (kg) N1]]</f>
        <v>0</v>
      </c>
      <c r="BM65" s="602">
        <f>TableauProduit[[#This Row],[Prix de vente/kg]]*TableauProduit[[#This Row],[Total (kg) N1]]</f>
        <v>0</v>
      </c>
      <c r="BN65" s="467">
        <f ca="1">TableauProduit[[#This Row],[Revenue brut N1]]-TableauProduit[[#This Row],[Achat par kg N1]]-TableauProduit[[#This Row],[Conditionnement N1]]</f>
        <v>-200</v>
      </c>
    </row>
    <row r="66" spans="1:66">
      <c r="A66" s="626" t="s">
        <v>108</v>
      </c>
      <c r="B66" s="54" t="str">
        <f>TableauProduit[[#This Row],[Recette]]&amp;TableauProduit[[#This Row],[Conditionnement]]</f>
        <v>AdviehEpice 100ml</v>
      </c>
      <c r="C66" s="11">
        <v>1</v>
      </c>
      <c r="D66" s="11">
        <v>45</v>
      </c>
      <c r="E66" s="6" t="s">
        <v>55</v>
      </c>
      <c r="F66" s="7">
        <f>IFERROR(VLOOKUP(TableauProduit[[#This Row],[Conditionnement]],TableauConditionnement[[Nom]:[Contenance]],4,TRUE),"")</f>
        <v>0.64</v>
      </c>
      <c r="G66" s="637">
        <f ca="1">SUMIFS(TableauRecette[Prix d''achat / kg],TableauRecette[Recette],TableauProduit[[#This Row],[Recette]],TableauRecette[Conditionnement],TableauProduit[[#This Row],[Conditionnement]])</f>
        <v>30.23233333333333</v>
      </c>
      <c r="H66" s="633">
        <v>7.2</v>
      </c>
      <c r="I66" s="629">
        <f>1000*TableauProduit[[#This Row],[Prix de vente/U]]/TableauProduit[[#This Row],[Poids (g) / unite]]</f>
        <v>160</v>
      </c>
      <c r="J66" s="630">
        <f>SUMIFS(TableauConcurence[PRIX_KG],TableauConcurence[PRODUIT],TableauProduit[[#This Row],[Recette]],TableauConcurence[DISTRIBUTION],"magasin NON BIO")</f>
        <v>69.900000000000006</v>
      </c>
      <c r="K66" s="638">
        <f>SUMIFS(TableauConcurence[PRIX_KG],TableauConcurence[PRODUIT],TableauProduit[[#This Row],[Recette]],TableauConcurence[DISTRIBUTION],"magasin BIO")</f>
        <v>100</v>
      </c>
      <c r="L66" s="639">
        <f>SUMIFS(TableauConcurence[PRIX_KG],TableauConcurence[PRODUIT],TableauProduit[[#This Row],[Recette]],TableauConcurence[DISTRIBUTION],"artisanale BIO")</f>
        <v>75</v>
      </c>
      <c r="M66" s="617">
        <v>0</v>
      </c>
      <c r="N66" s="617">
        <f>TableauProduit[[#This Row],[Poids (g) / unite]]*TableauProduit[[#This Row],[Objectif de vente en unite N1]]/1000</f>
        <v>0</v>
      </c>
      <c r="O66" s="580">
        <f>TableauProduit[[#This Row],[Objectif de vente en unite N1]]*TableauProduit[[#This Row],[Packaging / unite]]</f>
        <v>0</v>
      </c>
      <c r="P66" s="579">
        <f t="shared" ca="1" si="2"/>
        <v>0</v>
      </c>
      <c r="Q66" s="579">
        <f ca="1">TableauProduit[[#This Row],[Prix de vente/kg]]*TableauProduit[[#This Row],[Total (kg) N1]]-TableauProduit[[#This Row],[Achat par kg N1]]</f>
        <v>-120</v>
      </c>
      <c r="R66" s="586">
        <f>TableauProduit[[#This Row],[Total (kg) N1]]*TableauProduit[[#This Row],[Prix de vente/U]]</f>
        <v>0</v>
      </c>
      <c r="S66" s="618">
        <v>0</v>
      </c>
      <c r="T66" s="513">
        <f>TableauProduit[[#This Row],[Poids (g) / unite]]*TableauProduit[[#This Row],[Objectif de vente en unite N1]]/1000</f>
        <v>0</v>
      </c>
      <c r="U66" s="572">
        <f>TableauProduit[[#This Row],[Objectif de vente en unite N1]]*TableauProduit[[#This Row],[Packaging / unite]]</f>
        <v>0</v>
      </c>
      <c r="V66" s="571">
        <f ca="1">TableauProduit[[#This Row],[Prix Achat de plante par kg]]*TableauProduit[[#This Row],[Total (kg) N1]]</f>
        <v>0</v>
      </c>
      <c r="W66" s="573">
        <f>TableauProduit[[#This Row],[Prix de vente/kg]]*TableauProduit[[#This Row],[Total (kg) N1]]</f>
        <v>0</v>
      </c>
      <c r="X66" s="618">
        <f ca="1">TableauProduit[[#This Row],[Revenue brut N1]]-TableauProduit[[#This Row],[Achat par kg N1]]-TableauProduit[[#This Row],[Conditionnement N1]]</f>
        <v>-240</v>
      </c>
      <c r="Y66" s="619">
        <v>0</v>
      </c>
      <c r="Z66" s="514">
        <f>TableauProduit[[#This Row],[Poids (g) / unite]]*TableauProduit[[#This Row],[Objectif de vente en unite N1]]/1000</f>
        <v>0</v>
      </c>
      <c r="AA66" s="575">
        <f>TableauProduit[[#This Row],[Objectif de vente en unite N1]]*TableauProduit[[#This Row],[Packaging / unite]]</f>
        <v>0</v>
      </c>
      <c r="AB66" s="574">
        <f ca="1">TableauProduit[[#This Row],[Prix Achat de plante par kg]]*TableauProduit[[#This Row],[Total (kg) N1]]</f>
        <v>0</v>
      </c>
      <c r="AC66" s="576">
        <f>TableauProduit[[#This Row],[Prix de vente/kg]]*TableauProduit[[#This Row],[Total (kg) N1]]</f>
        <v>0</v>
      </c>
      <c r="AD66" s="619">
        <f ca="1">TableauProduit[[#This Row],[Revenue brut N1]]-TableauProduit[[#This Row],[Achat par kg N1]]-TableauProduit[[#This Row],[Conditionnement N1]]</f>
        <v>-240</v>
      </c>
      <c r="AE66" s="620">
        <v>0</v>
      </c>
      <c r="AF66" s="515">
        <f>TableauProduit[[#This Row],[Poids (g) / unite]]*TableauProduit[[#This Row],[Objectif de vente en unite N1]]/1000</f>
        <v>0</v>
      </c>
      <c r="AG66" s="578">
        <f>TableauProduit[[#This Row],[Objectif de vente en unite N1]]*TableauProduit[[#This Row],[Packaging / unite]]</f>
        <v>0</v>
      </c>
      <c r="AH66" s="577">
        <f ca="1">TableauProduit[[#This Row],[Prix Achat de plante par kg]]*TableauProduit[[#This Row],[Total (kg) N1]]</f>
        <v>0</v>
      </c>
      <c r="AI66" s="590">
        <f>TableauProduit[[#This Row],[Prix de vente/kg]]*TableauProduit[[#This Row],[Total (kg) N1]]</f>
        <v>0</v>
      </c>
      <c r="AJ66" s="591">
        <f ca="1">TableauProduit[[#This Row],[Revenue brut N1]]-TableauProduit[[#This Row],[Achat par kg N1]]-TableauProduit[[#This Row],[Conditionnement N1]]</f>
        <v>-240</v>
      </c>
      <c r="AK66" s="621">
        <v>0</v>
      </c>
      <c r="AL66" s="516">
        <f>TableauProduit[[#This Row],[Poids (g) / unite]]*TableauProduit[[#This Row],[Objectif de vente en unite N1]]/1000</f>
        <v>0</v>
      </c>
      <c r="AM66" s="592">
        <f>TableauProduit[[#This Row],[Objectif de vente en unite N1]]*TableauProduit[[#This Row],[Packaging / unite]]</f>
        <v>0</v>
      </c>
      <c r="AN66" s="584">
        <f ca="1">TableauProduit[[#This Row],[Prix Achat de plante par kg]]*TableauProduit[[#This Row],[Total (kg) N1]]</f>
        <v>0</v>
      </c>
      <c r="AO66" s="593">
        <f>TableauProduit[[#This Row],[Prix de vente/kg]]*TableauProduit[[#This Row],[Total (kg) N1]]</f>
        <v>0</v>
      </c>
      <c r="AP66" s="594">
        <f ca="1">TableauProduit[[#This Row],[Revenue brut N1]]-TableauProduit[[#This Row],[Achat par kg N1]]-TableauProduit[[#This Row],[Conditionnement N1]]</f>
        <v>-240</v>
      </c>
      <c r="AQ66" s="622">
        <v>0</v>
      </c>
      <c r="AR66" s="517">
        <f>TableauProduit[[#This Row],[Poids (g) / unite]]*TableauProduit[[#This Row],[Objectif de vente en unite N1]]/1000</f>
        <v>0</v>
      </c>
      <c r="AS66" s="595">
        <f>TableauProduit[[#This Row],[Objectif de vente en unite N1]]*TableauProduit[[#This Row],[Packaging / unite]]</f>
        <v>0</v>
      </c>
      <c r="AT66" s="585">
        <f ca="1">TableauProduit[[#This Row],[Prix Achat de plante par kg]]*TableauProduit[[#This Row],[Total (kg) N1]]</f>
        <v>0</v>
      </c>
      <c r="AU66" s="596">
        <f>TableauProduit[[#This Row],[Prix de vente/kg]]*TableauProduit[[#This Row],[Total (kg) N1]]</f>
        <v>0</v>
      </c>
      <c r="AV66" s="597">
        <f ca="1">TableauProduit[[#This Row],[Revenue brut N1]]-TableauProduit[[#This Row],[Achat par kg N1]]-TableauProduit[[#This Row],[Conditionnement N1]]</f>
        <v>-240</v>
      </c>
      <c r="AW66" s="617">
        <v>0</v>
      </c>
      <c r="AX66" s="518">
        <f>TableauProduit[[#This Row],[Poids (g) / unite]]*TableauProduit[[#This Row],[Objectif de vente en unite N1]]/1000</f>
        <v>0</v>
      </c>
      <c r="AY66" s="580">
        <f>TableauProduit[[#This Row],[Objectif de vente en unite N1]]*TableauProduit[[#This Row],[Packaging / unite]]</f>
        <v>0</v>
      </c>
      <c r="AZ66" s="579">
        <f ca="1">TableauProduit[[#This Row],[Prix Achat de plante par kg]]*TableauProduit[[#This Row],[Total (kg) N1]]</f>
        <v>0</v>
      </c>
      <c r="BA66" s="581">
        <f>TableauProduit[[#This Row],[Prix de vente/kg]]*TableauProduit[[#This Row],[Total (kg) N1]]</f>
        <v>0</v>
      </c>
      <c r="BB66" s="616">
        <f ca="1">TableauProduit[[#This Row],[Revenue brut N1]]-TableauProduit[[#This Row],[Achat par kg N1]]-TableauProduit[[#This Row],[Conditionnement N1]]</f>
        <v>-240</v>
      </c>
      <c r="BC66" s="623">
        <v>0</v>
      </c>
      <c r="BD66" s="519">
        <f>TableauProduit[[#This Row],[Poids (g) / unite]]*TableauProduit[[#This Row],[Objectif de vente en unite N1]]/1000</f>
        <v>0</v>
      </c>
      <c r="BE66" s="598">
        <f>TableauProduit[[#This Row],[Objectif de vente en unite N1]]*TableauProduit[[#This Row],[Packaging / unite]]</f>
        <v>0</v>
      </c>
      <c r="BF66" s="587">
        <f ca="1">TableauProduit[[#This Row],[Prix Achat de plante par kg]]*TableauProduit[[#This Row],[Total (kg) N1]]</f>
        <v>0</v>
      </c>
      <c r="BG66" s="599">
        <f>TableauProduit[[#This Row],[Prix de vente/kg]]*TableauProduit[[#This Row],[Total (kg) N1]]</f>
        <v>0</v>
      </c>
      <c r="BH66" s="600">
        <f ca="1">TableauProduit[[#This Row],[Revenue brut N1]]-TableauProduit[[#This Row],[Achat par kg N1]]-TableauProduit[[#This Row],[Conditionnement N1]]</f>
        <v>-240</v>
      </c>
      <c r="BI66" s="624">
        <v>0</v>
      </c>
      <c r="BJ66" s="520">
        <f>TableauProduit[[#This Row],[Poids (g) / unite]]*TableauProduit[[#This Row],[Objectif de vente en unite N1]]/1000</f>
        <v>0</v>
      </c>
      <c r="BK66" s="601">
        <f>TableauProduit[[#This Row],[Objectif de vente en unite N1]]*TableauProduit[[#This Row],[Packaging / unite]]</f>
        <v>0</v>
      </c>
      <c r="BL66" s="589">
        <f ca="1">TableauProduit[[#This Row],[Prix Achat de plante par kg]]*TableauProduit[[#This Row],[Total (kg) N1]]</f>
        <v>0</v>
      </c>
      <c r="BM66" s="602">
        <f>TableauProduit[[#This Row],[Prix de vente/kg]]*TableauProduit[[#This Row],[Total (kg) N1]]</f>
        <v>0</v>
      </c>
      <c r="BN66" s="467">
        <f ca="1">TableauProduit[[#This Row],[Revenue brut N1]]-TableauProduit[[#This Row],[Achat par kg N1]]-TableauProduit[[#This Row],[Conditionnement N1]]</f>
        <v>-240</v>
      </c>
    </row>
    <row r="67" spans="1:66">
      <c r="A67" s="625" t="s">
        <v>109</v>
      </c>
      <c r="B67" s="54" t="str">
        <f>TableauProduit[[#This Row],[Recette]]&amp;TableauProduit[[#This Row],[Conditionnement]]</f>
        <v>Garam masla birmanEpice 100ml</v>
      </c>
      <c r="C67" s="11">
        <v>1</v>
      </c>
      <c r="D67" s="11">
        <f>VLOOKUP(TableauProduit[[#This Row],[Recette]],Old[],3)</f>
        <v>50</v>
      </c>
      <c r="E67" s="6" t="s">
        <v>55</v>
      </c>
      <c r="F67" s="7">
        <f>IFERROR(VLOOKUP(TableauProduit[[#This Row],[Conditionnement]],TableauConditionnement[[Nom]:[Contenance]],4,TRUE),"")</f>
        <v>0.64</v>
      </c>
      <c r="G67" s="637" t="e">
        <f ca="1">SUMIFS(TableauRecette[Prix d''achat / kg],TableauRecette[Recette],TableauProduit[[#This Row],[Recette]],TableauRecette[Conditionnement],TableauProduit[[#This Row],[Conditionnement]])</f>
        <v>#VALUE!</v>
      </c>
      <c r="H67" s="633">
        <v>5</v>
      </c>
      <c r="I67" s="629">
        <f>1000*TableauProduit[[#This Row],[Prix de vente/U]]/TableauProduit[[#This Row],[Poids (g) / unite]]</f>
        <v>100</v>
      </c>
      <c r="J67" s="630">
        <f>SUMIFS(TableauConcurence[PRIX_KG],TableauConcurence[PRODUIT],TableauProduit[[#This Row],[Recette]],TableauConcurence[DISTRIBUTION],"magasin NON BIO")</f>
        <v>0</v>
      </c>
      <c r="K67" s="638">
        <f>SUMIFS(TableauConcurence[PRIX_KG],TableauConcurence[PRODUIT],TableauProduit[[#This Row],[Recette]],TableauConcurence[DISTRIBUTION],"magasin BIO")</f>
        <v>0</v>
      </c>
      <c r="L67" s="639">
        <f>SUMIFS(TableauConcurence[PRIX_KG],TableauConcurence[PRODUIT],TableauProduit[[#This Row],[Recette]],TableauConcurence[DISTRIBUTION],"artisanale BIO")</f>
        <v>0</v>
      </c>
      <c r="M67" s="617">
        <v>0</v>
      </c>
      <c r="N67" s="617">
        <f>TableauProduit[[#This Row],[Poids (g) / unite]]*TableauProduit[[#This Row],[Objectif de vente en unite N1]]/1000</f>
        <v>0</v>
      </c>
      <c r="O67" s="580">
        <f>TableauProduit[[#This Row],[Objectif de vente en unite N1]]*TableauProduit[[#This Row],[Packaging / unite]]</f>
        <v>0</v>
      </c>
      <c r="P67" s="579" t="e">
        <f t="shared" ca="1" si="2"/>
        <v>#VALUE!</v>
      </c>
      <c r="Q67" s="581" t="e">
        <f ca="1">TableauProduit[[#This Row],[Prix de vente/kg]]*TableauProduit[[#This Row],[Total (kg) N1]]-TableauProduit[[#This Row],[Achat par kg N1]]</f>
        <v>#VALUE!</v>
      </c>
      <c r="R67" s="586">
        <f>TableauProduit[[#This Row],[Total (kg) N1]]*TableauProduit[[#This Row],[Prix de vente/U]]</f>
        <v>0</v>
      </c>
      <c r="S67" s="618">
        <v>0</v>
      </c>
      <c r="T67" s="513">
        <f>TableauProduit[[#This Row],[Poids (g) / unite]]*TableauProduit[[#This Row],[Objectif de vente en unite N1]]/1000</f>
        <v>0</v>
      </c>
      <c r="U67" s="572">
        <f>TableauProduit[[#This Row],[Objectif de vente en unite N1]]*TableauProduit[[#This Row],[Packaging / unite]]</f>
        <v>0</v>
      </c>
      <c r="V67" s="571" t="e">
        <f ca="1">TableauProduit[[#This Row],[Prix Achat de plante par kg]]*TableauProduit[[#This Row],[Total (kg) N1]]</f>
        <v>#VALUE!</v>
      </c>
      <c r="W67" s="573">
        <f>TableauProduit[[#This Row],[Prix de vente/kg]]*TableauProduit[[#This Row],[Total (kg) N1]]</f>
        <v>0</v>
      </c>
      <c r="X67" s="618" t="e">
        <f ca="1">TableauProduit[[#This Row],[Revenue brut N1]]-TableauProduit[[#This Row],[Achat par kg N1]]-TableauProduit[[#This Row],[Conditionnement N1]]</f>
        <v>#VALUE!</v>
      </c>
      <c r="Y67" s="619">
        <v>0</v>
      </c>
      <c r="Z67" s="514">
        <f>TableauProduit[[#This Row],[Poids (g) / unite]]*TableauProduit[[#This Row],[Objectif de vente en unite N1]]/1000</f>
        <v>0</v>
      </c>
      <c r="AA67" s="575">
        <f>TableauProduit[[#This Row],[Objectif de vente en unite N1]]*TableauProduit[[#This Row],[Packaging / unite]]</f>
        <v>0</v>
      </c>
      <c r="AB67" s="574" t="e">
        <f ca="1">TableauProduit[[#This Row],[Prix Achat de plante par kg]]*TableauProduit[[#This Row],[Total (kg) N1]]</f>
        <v>#VALUE!</v>
      </c>
      <c r="AC67" s="576">
        <f>TableauProduit[[#This Row],[Prix de vente/kg]]*TableauProduit[[#This Row],[Total (kg) N1]]</f>
        <v>0</v>
      </c>
      <c r="AD67" s="619" t="e">
        <f ca="1">TableauProduit[[#This Row],[Revenue brut N1]]-TableauProduit[[#This Row],[Achat par kg N1]]-TableauProduit[[#This Row],[Conditionnement N1]]</f>
        <v>#VALUE!</v>
      </c>
      <c r="AE67" s="620">
        <v>0</v>
      </c>
      <c r="AF67" s="515">
        <f>TableauProduit[[#This Row],[Poids (g) / unite]]*TableauProduit[[#This Row],[Objectif de vente en unite N1]]/1000</f>
        <v>0</v>
      </c>
      <c r="AG67" s="578">
        <f>TableauProduit[[#This Row],[Objectif de vente en unite N1]]*TableauProduit[[#This Row],[Packaging / unite]]</f>
        <v>0</v>
      </c>
      <c r="AH67" s="577" t="e">
        <f ca="1">TableauProduit[[#This Row],[Prix Achat de plante par kg]]*TableauProduit[[#This Row],[Total (kg) N1]]</f>
        <v>#VALUE!</v>
      </c>
      <c r="AI67" s="590">
        <f>TableauProduit[[#This Row],[Prix de vente/kg]]*TableauProduit[[#This Row],[Total (kg) N1]]</f>
        <v>0</v>
      </c>
      <c r="AJ67" s="591" t="e">
        <f ca="1">TableauProduit[[#This Row],[Revenue brut N1]]-TableauProduit[[#This Row],[Achat par kg N1]]-TableauProduit[[#This Row],[Conditionnement N1]]</f>
        <v>#VALUE!</v>
      </c>
      <c r="AK67" s="621">
        <v>0</v>
      </c>
      <c r="AL67" s="516">
        <f>TableauProduit[[#This Row],[Poids (g) / unite]]*TableauProduit[[#This Row],[Objectif de vente en unite N1]]/1000</f>
        <v>0</v>
      </c>
      <c r="AM67" s="592">
        <f>TableauProduit[[#This Row],[Objectif de vente en unite N1]]*TableauProduit[[#This Row],[Packaging / unite]]</f>
        <v>0</v>
      </c>
      <c r="AN67" s="584" t="e">
        <f ca="1">TableauProduit[[#This Row],[Prix Achat de plante par kg]]*TableauProduit[[#This Row],[Total (kg) N1]]</f>
        <v>#VALUE!</v>
      </c>
      <c r="AO67" s="593">
        <f>TableauProduit[[#This Row],[Prix de vente/kg]]*TableauProduit[[#This Row],[Total (kg) N1]]</f>
        <v>0</v>
      </c>
      <c r="AP67" s="594" t="e">
        <f ca="1">TableauProduit[[#This Row],[Revenue brut N1]]-TableauProduit[[#This Row],[Achat par kg N1]]-TableauProduit[[#This Row],[Conditionnement N1]]</f>
        <v>#VALUE!</v>
      </c>
      <c r="AQ67" s="622">
        <v>0</v>
      </c>
      <c r="AR67" s="517">
        <f>TableauProduit[[#This Row],[Poids (g) / unite]]*TableauProduit[[#This Row],[Objectif de vente en unite N1]]/1000</f>
        <v>0</v>
      </c>
      <c r="AS67" s="595">
        <f>TableauProduit[[#This Row],[Objectif de vente en unite N1]]*TableauProduit[[#This Row],[Packaging / unite]]</f>
        <v>0</v>
      </c>
      <c r="AT67" s="585" t="e">
        <f ca="1">TableauProduit[[#This Row],[Prix Achat de plante par kg]]*TableauProduit[[#This Row],[Total (kg) N1]]</f>
        <v>#VALUE!</v>
      </c>
      <c r="AU67" s="596">
        <f>TableauProduit[[#This Row],[Prix de vente/kg]]*TableauProduit[[#This Row],[Total (kg) N1]]</f>
        <v>0</v>
      </c>
      <c r="AV67" s="597" t="e">
        <f ca="1">TableauProduit[[#This Row],[Revenue brut N1]]-TableauProduit[[#This Row],[Achat par kg N1]]-TableauProduit[[#This Row],[Conditionnement N1]]</f>
        <v>#VALUE!</v>
      </c>
      <c r="AW67" s="617">
        <v>0</v>
      </c>
      <c r="AX67" s="518">
        <f>TableauProduit[[#This Row],[Poids (g) / unite]]*TableauProduit[[#This Row],[Objectif de vente en unite N1]]/1000</f>
        <v>0</v>
      </c>
      <c r="AY67" s="580">
        <f>TableauProduit[[#This Row],[Objectif de vente en unite N1]]*TableauProduit[[#This Row],[Packaging / unite]]</f>
        <v>0</v>
      </c>
      <c r="AZ67" s="579" t="e">
        <f ca="1">TableauProduit[[#This Row],[Prix Achat de plante par kg]]*TableauProduit[[#This Row],[Total (kg) N1]]</f>
        <v>#VALUE!</v>
      </c>
      <c r="BA67" s="581">
        <f>TableauProduit[[#This Row],[Prix de vente/kg]]*TableauProduit[[#This Row],[Total (kg) N1]]</f>
        <v>0</v>
      </c>
      <c r="BB67" s="616" t="e">
        <f ca="1">TableauProduit[[#This Row],[Revenue brut N1]]-TableauProduit[[#This Row],[Achat par kg N1]]-TableauProduit[[#This Row],[Conditionnement N1]]</f>
        <v>#VALUE!</v>
      </c>
      <c r="BC67" s="623">
        <v>0</v>
      </c>
      <c r="BD67" s="519">
        <f>TableauProduit[[#This Row],[Poids (g) / unite]]*TableauProduit[[#This Row],[Objectif de vente en unite N1]]/1000</f>
        <v>0</v>
      </c>
      <c r="BE67" s="598">
        <f>TableauProduit[[#This Row],[Objectif de vente en unite N1]]*TableauProduit[[#This Row],[Packaging / unite]]</f>
        <v>0</v>
      </c>
      <c r="BF67" s="587" t="e">
        <f ca="1">TableauProduit[[#This Row],[Prix Achat de plante par kg]]*TableauProduit[[#This Row],[Total (kg) N1]]</f>
        <v>#VALUE!</v>
      </c>
      <c r="BG67" s="599">
        <f>TableauProduit[[#This Row],[Prix de vente/kg]]*TableauProduit[[#This Row],[Total (kg) N1]]</f>
        <v>0</v>
      </c>
      <c r="BH67" s="600" t="e">
        <f ca="1">TableauProduit[[#This Row],[Revenue brut N1]]-TableauProduit[[#This Row],[Achat par kg N1]]-TableauProduit[[#This Row],[Conditionnement N1]]</f>
        <v>#VALUE!</v>
      </c>
      <c r="BI67" s="624">
        <v>0</v>
      </c>
      <c r="BJ67" s="520">
        <f>TableauProduit[[#This Row],[Poids (g) / unite]]*TableauProduit[[#This Row],[Objectif de vente en unite N1]]/1000</f>
        <v>0</v>
      </c>
      <c r="BK67" s="601">
        <f>TableauProduit[[#This Row],[Objectif de vente en unite N1]]*TableauProduit[[#This Row],[Packaging / unite]]</f>
        <v>0</v>
      </c>
      <c r="BL67" s="589" t="e">
        <f ca="1">TableauProduit[[#This Row],[Prix Achat de plante par kg]]*TableauProduit[[#This Row],[Total (kg) N1]]</f>
        <v>#VALUE!</v>
      </c>
      <c r="BM67" s="602">
        <f>TableauProduit[[#This Row],[Prix de vente/kg]]*TableauProduit[[#This Row],[Total (kg) N1]]</f>
        <v>0</v>
      </c>
      <c r="BN67" s="467" t="e">
        <f ca="1">TableauProduit[[#This Row],[Revenue brut N1]]-TableauProduit[[#This Row],[Achat par kg N1]]-TableauProduit[[#This Row],[Conditionnement N1]]</f>
        <v>#VALUE!</v>
      </c>
    </row>
    <row r="68" spans="1:66">
      <c r="A68" s="625" t="s">
        <v>700</v>
      </c>
      <c r="B68" s="54" t="str">
        <f>TableauProduit[[#This Row],[Recette]]&amp;TableauProduit[[#This Row],[Conditionnement]]</f>
        <v>Quatre epicesEpice 100ml</v>
      </c>
      <c r="C68" s="11">
        <v>1</v>
      </c>
      <c r="D68" s="11">
        <f>VLOOKUP(TableauProduit[[#This Row],[Recette]],Old[],3)</f>
        <v>50</v>
      </c>
      <c r="E68" s="6" t="s">
        <v>55</v>
      </c>
      <c r="F68" s="7">
        <f>IFERROR(VLOOKUP(TableauProduit[[#This Row],[Conditionnement]],TableauConditionnement[[Nom]:[Contenance]],4,TRUE),"")</f>
        <v>0.64</v>
      </c>
      <c r="G68" s="637" t="e">
        <f ca="1">SUMIFS(TableauRecette[Prix d''achat / kg],TableauRecette[Recette],TableauProduit[[#This Row],[Recette]],TableauRecette[Conditionnement],TableauProduit[[#This Row],[Conditionnement]])</f>
        <v>#VALUE!</v>
      </c>
      <c r="H68" s="633">
        <v>5</v>
      </c>
      <c r="I68" s="629">
        <f>1000*TableauProduit[[#This Row],[Prix de vente/U]]/TableauProduit[[#This Row],[Poids (g) / unite]]</f>
        <v>100</v>
      </c>
      <c r="J68" s="630">
        <f>SUMIFS(TableauConcurence[PRIX_KG],TableauConcurence[PRODUIT],TableauProduit[[#This Row],[Recette]],TableauConcurence[DISTRIBUTION],"magasin NON BIO")</f>
        <v>0</v>
      </c>
      <c r="K68" s="638">
        <f>SUMIFS(TableauConcurence[PRIX_KG],TableauConcurence[PRODUIT],TableauProduit[[#This Row],[Recette]],TableauConcurence[DISTRIBUTION],"magasin BIO")</f>
        <v>0</v>
      </c>
      <c r="L68" s="639">
        <f>SUMIFS(TableauConcurence[PRIX_KG],TableauConcurence[PRODUIT],TableauProduit[[#This Row],[Recette]],TableauConcurence[DISTRIBUTION],"artisanale BIO")</f>
        <v>0</v>
      </c>
      <c r="M68" s="617">
        <v>0</v>
      </c>
      <c r="N68" s="617">
        <f>TableauProduit[[#This Row],[Poids (g) / unite]]*TableauProduit[[#This Row],[Objectif de vente en unite N1]]/1000</f>
        <v>0</v>
      </c>
      <c r="O68" s="580">
        <f>TableauProduit[[#This Row],[Objectif de vente en unite N1]]*TableauProduit[[#This Row],[Packaging / unite]]</f>
        <v>0</v>
      </c>
      <c r="P68" s="579" t="e">
        <f t="shared" ca="1" si="2"/>
        <v>#VALUE!</v>
      </c>
      <c r="Q68" s="581" t="e">
        <f ca="1">TableauProduit[[#This Row],[Prix de vente/kg]]*TableauProduit[[#This Row],[Total (kg) N1]]-TableauProduit[[#This Row],[Achat par kg N1]]</f>
        <v>#VALUE!</v>
      </c>
      <c r="R68" s="586">
        <f>TableauProduit[[#This Row],[Total (kg) N1]]*TableauProduit[[#This Row],[Prix de vente/U]]</f>
        <v>0</v>
      </c>
      <c r="S68" s="618">
        <v>0</v>
      </c>
      <c r="T68" s="513">
        <f>TableauProduit[[#This Row],[Poids (g) / unite]]*TableauProduit[[#This Row],[Objectif de vente en unite N1]]/1000</f>
        <v>0</v>
      </c>
      <c r="U68" s="572">
        <f>TableauProduit[[#This Row],[Objectif de vente en unite N1]]*TableauProduit[[#This Row],[Packaging / unite]]</f>
        <v>0</v>
      </c>
      <c r="V68" s="571" t="e">
        <f ca="1">TableauProduit[[#This Row],[Prix Achat de plante par kg]]*TableauProduit[[#This Row],[Total (kg) N1]]</f>
        <v>#VALUE!</v>
      </c>
      <c r="W68" s="573">
        <f>TableauProduit[[#This Row],[Prix de vente/kg]]*TableauProduit[[#This Row],[Total (kg) N1]]</f>
        <v>0</v>
      </c>
      <c r="X68" s="618" t="e">
        <f ca="1">TableauProduit[[#This Row],[Revenue brut N1]]-TableauProduit[[#This Row],[Achat par kg N1]]-TableauProduit[[#This Row],[Conditionnement N1]]</f>
        <v>#VALUE!</v>
      </c>
      <c r="Y68" s="619">
        <v>0</v>
      </c>
      <c r="Z68" s="514">
        <f>TableauProduit[[#This Row],[Poids (g) / unite]]*TableauProduit[[#This Row],[Objectif de vente en unite N1]]/1000</f>
        <v>0</v>
      </c>
      <c r="AA68" s="575">
        <f>TableauProduit[[#This Row],[Objectif de vente en unite N1]]*TableauProduit[[#This Row],[Packaging / unite]]</f>
        <v>0</v>
      </c>
      <c r="AB68" s="574" t="e">
        <f ca="1">TableauProduit[[#This Row],[Prix Achat de plante par kg]]*TableauProduit[[#This Row],[Total (kg) N1]]</f>
        <v>#VALUE!</v>
      </c>
      <c r="AC68" s="576">
        <f>TableauProduit[[#This Row],[Prix de vente/kg]]*TableauProduit[[#This Row],[Total (kg) N1]]</f>
        <v>0</v>
      </c>
      <c r="AD68" s="619" t="e">
        <f ca="1">TableauProduit[[#This Row],[Revenue brut N1]]-TableauProduit[[#This Row],[Achat par kg N1]]-TableauProduit[[#This Row],[Conditionnement N1]]</f>
        <v>#VALUE!</v>
      </c>
      <c r="AE68" s="620">
        <v>0</v>
      </c>
      <c r="AF68" s="515">
        <f>TableauProduit[[#This Row],[Poids (g) / unite]]*TableauProduit[[#This Row],[Objectif de vente en unite N1]]/1000</f>
        <v>0</v>
      </c>
      <c r="AG68" s="578">
        <f>TableauProduit[[#This Row],[Objectif de vente en unite N1]]*TableauProduit[[#This Row],[Packaging / unite]]</f>
        <v>0</v>
      </c>
      <c r="AH68" s="577" t="e">
        <f ca="1">TableauProduit[[#This Row],[Prix Achat de plante par kg]]*TableauProduit[[#This Row],[Total (kg) N1]]</f>
        <v>#VALUE!</v>
      </c>
      <c r="AI68" s="590">
        <f>TableauProduit[[#This Row],[Prix de vente/kg]]*TableauProduit[[#This Row],[Total (kg) N1]]</f>
        <v>0</v>
      </c>
      <c r="AJ68" s="591" t="e">
        <f ca="1">TableauProduit[[#This Row],[Revenue brut N1]]-TableauProduit[[#This Row],[Achat par kg N1]]-TableauProduit[[#This Row],[Conditionnement N1]]</f>
        <v>#VALUE!</v>
      </c>
      <c r="AK68" s="621">
        <v>0</v>
      </c>
      <c r="AL68" s="516">
        <f>TableauProduit[[#This Row],[Poids (g) / unite]]*TableauProduit[[#This Row],[Objectif de vente en unite N1]]/1000</f>
        <v>0</v>
      </c>
      <c r="AM68" s="592">
        <f>TableauProduit[[#This Row],[Objectif de vente en unite N1]]*TableauProduit[[#This Row],[Packaging / unite]]</f>
        <v>0</v>
      </c>
      <c r="AN68" s="584" t="e">
        <f ca="1">TableauProduit[[#This Row],[Prix Achat de plante par kg]]*TableauProduit[[#This Row],[Total (kg) N1]]</f>
        <v>#VALUE!</v>
      </c>
      <c r="AO68" s="593">
        <f>TableauProduit[[#This Row],[Prix de vente/kg]]*TableauProduit[[#This Row],[Total (kg) N1]]</f>
        <v>0</v>
      </c>
      <c r="AP68" s="594" t="e">
        <f ca="1">TableauProduit[[#This Row],[Revenue brut N1]]-TableauProduit[[#This Row],[Achat par kg N1]]-TableauProduit[[#This Row],[Conditionnement N1]]</f>
        <v>#VALUE!</v>
      </c>
      <c r="AQ68" s="622">
        <v>0</v>
      </c>
      <c r="AR68" s="517">
        <f>TableauProduit[[#This Row],[Poids (g) / unite]]*TableauProduit[[#This Row],[Objectif de vente en unite N1]]/1000</f>
        <v>0</v>
      </c>
      <c r="AS68" s="595">
        <f>TableauProduit[[#This Row],[Objectif de vente en unite N1]]*TableauProduit[[#This Row],[Packaging / unite]]</f>
        <v>0</v>
      </c>
      <c r="AT68" s="585" t="e">
        <f ca="1">TableauProduit[[#This Row],[Prix Achat de plante par kg]]*TableauProduit[[#This Row],[Total (kg) N1]]</f>
        <v>#VALUE!</v>
      </c>
      <c r="AU68" s="596">
        <f>TableauProduit[[#This Row],[Prix de vente/kg]]*TableauProduit[[#This Row],[Total (kg) N1]]</f>
        <v>0</v>
      </c>
      <c r="AV68" s="597" t="e">
        <f ca="1">TableauProduit[[#This Row],[Revenue brut N1]]-TableauProduit[[#This Row],[Achat par kg N1]]-TableauProduit[[#This Row],[Conditionnement N1]]</f>
        <v>#VALUE!</v>
      </c>
      <c r="AW68" s="617">
        <v>0</v>
      </c>
      <c r="AX68" s="518">
        <f>TableauProduit[[#This Row],[Poids (g) / unite]]*TableauProduit[[#This Row],[Objectif de vente en unite N1]]/1000</f>
        <v>0</v>
      </c>
      <c r="AY68" s="580">
        <f>TableauProduit[[#This Row],[Objectif de vente en unite N1]]*TableauProduit[[#This Row],[Packaging / unite]]</f>
        <v>0</v>
      </c>
      <c r="AZ68" s="579" t="e">
        <f ca="1">TableauProduit[[#This Row],[Prix Achat de plante par kg]]*TableauProduit[[#This Row],[Total (kg) N1]]</f>
        <v>#VALUE!</v>
      </c>
      <c r="BA68" s="581">
        <f>TableauProduit[[#This Row],[Prix de vente/kg]]*TableauProduit[[#This Row],[Total (kg) N1]]</f>
        <v>0</v>
      </c>
      <c r="BB68" s="616" t="e">
        <f ca="1">TableauProduit[[#This Row],[Revenue brut N1]]-TableauProduit[[#This Row],[Achat par kg N1]]-TableauProduit[[#This Row],[Conditionnement N1]]</f>
        <v>#VALUE!</v>
      </c>
      <c r="BC68" s="623">
        <v>0</v>
      </c>
      <c r="BD68" s="519">
        <f>TableauProduit[[#This Row],[Poids (g) / unite]]*TableauProduit[[#This Row],[Objectif de vente en unite N1]]/1000</f>
        <v>0</v>
      </c>
      <c r="BE68" s="598">
        <f>TableauProduit[[#This Row],[Objectif de vente en unite N1]]*TableauProduit[[#This Row],[Packaging / unite]]</f>
        <v>0</v>
      </c>
      <c r="BF68" s="587" t="e">
        <f ca="1">TableauProduit[[#This Row],[Prix Achat de plante par kg]]*TableauProduit[[#This Row],[Total (kg) N1]]</f>
        <v>#VALUE!</v>
      </c>
      <c r="BG68" s="599">
        <f>TableauProduit[[#This Row],[Prix de vente/kg]]*TableauProduit[[#This Row],[Total (kg) N1]]</f>
        <v>0</v>
      </c>
      <c r="BH68" s="600" t="e">
        <f ca="1">TableauProduit[[#This Row],[Revenue brut N1]]-TableauProduit[[#This Row],[Achat par kg N1]]-TableauProduit[[#This Row],[Conditionnement N1]]</f>
        <v>#VALUE!</v>
      </c>
      <c r="BI68" s="624">
        <v>0</v>
      </c>
      <c r="BJ68" s="520">
        <f>TableauProduit[[#This Row],[Poids (g) / unite]]*TableauProduit[[#This Row],[Objectif de vente en unite N1]]/1000</f>
        <v>0</v>
      </c>
      <c r="BK68" s="601">
        <f>TableauProduit[[#This Row],[Objectif de vente en unite N1]]*TableauProduit[[#This Row],[Packaging / unite]]</f>
        <v>0</v>
      </c>
      <c r="BL68" s="589" t="e">
        <f ca="1">TableauProduit[[#This Row],[Prix Achat de plante par kg]]*TableauProduit[[#This Row],[Total (kg) N1]]</f>
        <v>#VALUE!</v>
      </c>
      <c r="BM68" s="602">
        <f>TableauProduit[[#This Row],[Prix de vente/kg]]*TableauProduit[[#This Row],[Total (kg) N1]]</f>
        <v>0</v>
      </c>
      <c r="BN68" s="467" t="e">
        <f ca="1">TableauProduit[[#This Row],[Revenue brut N1]]-TableauProduit[[#This Row],[Achat par kg N1]]-TableauProduit[[#This Row],[Conditionnement N1]]</f>
        <v>#VALUE!</v>
      </c>
    </row>
    <row r="69" spans="1:66">
      <c r="A69" s="13" t="s">
        <v>110</v>
      </c>
      <c r="B69" s="54" t="str">
        <f>TableauProduit[[#This Row],[Recette]]&amp;TableauProduit[[#This Row],[Conditionnement]]</f>
        <v>Garam masalaEpice 100ml</v>
      </c>
      <c r="C69" s="11">
        <v>1</v>
      </c>
      <c r="D69" s="11">
        <f>VLOOKUP(TableauProduit[[#This Row],[Recette]],Old[],3)</f>
        <v>50</v>
      </c>
      <c r="E69" s="6" t="s">
        <v>55</v>
      </c>
      <c r="F69" s="673">
        <f>IFERROR(VLOOKUP(TableauProduit[[#This Row],[Conditionnement]],TableauConditionnement[[Nom]:[Contenance]],4,TRUE),"")</f>
        <v>0.64</v>
      </c>
      <c r="G69" s="637" t="e">
        <f ca="1">SUMIFS(TableauRecette[Prix d''achat / kg],TableauRecette[Recette],TableauProduit[[#This Row],[Recette]],TableauRecette[Conditionnement],TableauProduit[[#This Row],[Conditionnement]])</f>
        <v>#VALUE!</v>
      </c>
      <c r="H69" s="633">
        <v>5</v>
      </c>
      <c r="I69" s="629">
        <f>1000*TableauProduit[[#This Row],[Prix de vente/U]]/TableauProduit[[#This Row],[Poids (g) / unite]]</f>
        <v>100</v>
      </c>
      <c r="J69" s="630">
        <f>SUMIFS(TableauConcurence[PRIX_KG],TableauConcurence[PRODUIT],TableauProduit[[#This Row],[Recette]],TableauConcurence[DISTRIBUTION],"magasin NON BIO")</f>
        <v>0</v>
      </c>
      <c r="K69" s="638">
        <f>SUMIFS(TableauConcurence[PRIX_KG],TableauConcurence[PRODUIT],TableauProduit[[#This Row],[Recette]],TableauConcurence[DISTRIBUTION],"magasin BIO")</f>
        <v>0</v>
      </c>
      <c r="L69" s="639">
        <f>SUMIFS(TableauConcurence[PRIX_KG],TableauConcurence[PRODUIT],TableauProduit[[#This Row],[Recette]],TableauConcurence[DISTRIBUTION],"artisanale BIO")</f>
        <v>0</v>
      </c>
      <c r="M69" s="617">
        <v>0</v>
      </c>
      <c r="N69" s="617">
        <f>TableauProduit[[#This Row],[Poids (g) / unite]]*TableauProduit[[#This Row],[Objectif de vente en unite N1]]/1000</f>
        <v>0</v>
      </c>
      <c r="O69" s="580">
        <f>TableauProduit[[#This Row],[Objectif de vente en unite N1]]*TableauProduit[[#This Row],[Packaging / unite]]</f>
        <v>0</v>
      </c>
      <c r="P69" s="579" t="e">
        <f t="shared" ca="1" si="2"/>
        <v>#VALUE!</v>
      </c>
      <c r="Q69" s="581" t="e">
        <f ca="1">TableauProduit[[#This Row],[Prix de vente/kg]]*TableauProduit[[#This Row],[Total (kg) N1]]-TableauProduit[[#This Row],[Achat par kg N1]]</f>
        <v>#VALUE!</v>
      </c>
      <c r="R69" s="586">
        <f>TableauProduit[[#This Row],[Total (kg) N1]]*TableauProduit[[#This Row],[Prix de vente/U]]</f>
        <v>0</v>
      </c>
      <c r="S69" s="618">
        <v>0</v>
      </c>
      <c r="T69" s="513">
        <f>TableauProduit[[#This Row],[Poids (g) / unite]]*TableauProduit[[#This Row],[Objectif de vente en unite N1]]/1000</f>
        <v>0</v>
      </c>
      <c r="U69" s="572">
        <f>TableauProduit[[#This Row],[Objectif de vente en unite N1]]*TableauProduit[[#This Row],[Packaging / unite]]</f>
        <v>0</v>
      </c>
      <c r="V69" s="571" t="e">
        <f ca="1">TableauProduit[[#This Row],[Prix Achat de plante par kg]]*TableauProduit[[#This Row],[Total (kg) N1]]</f>
        <v>#VALUE!</v>
      </c>
      <c r="W69" s="573">
        <f>TableauProduit[[#This Row],[Prix de vente/kg]]*TableauProduit[[#This Row],[Total (kg) N1]]</f>
        <v>0</v>
      </c>
      <c r="X69" s="618" t="e">
        <f ca="1">TableauProduit[[#This Row],[Revenue brut N1]]-TableauProduit[[#This Row],[Achat par kg N1]]-TableauProduit[[#This Row],[Conditionnement N1]]</f>
        <v>#VALUE!</v>
      </c>
      <c r="Y69" s="619">
        <v>0</v>
      </c>
      <c r="Z69" s="514">
        <f>TableauProduit[[#This Row],[Poids (g) / unite]]*TableauProduit[[#This Row],[Objectif de vente en unite N1]]/1000</f>
        <v>0</v>
      </c>
      <c r="AA69" s="575">
        <f>TableauProduit[[#This Row],[Objectif de vente en unite N1]]*TableauProduit[[#This Row],[Packaging / unite]]</f>
        <v>0</v>
      </c>
      <c r="AB69" s="574" t="e">
        <f ca="1">TableauProduit[[#This Row],[Prix Achat de plante par kg]]*TableauProduit[[#This Row],[Total (kg) N1]]</f>
        <v>#VALUE!</v>
      </c>
      <c r="AC69" s="576">
        <f>TableauProduit[[#This Row],[Prix de vente/kg]]*TableauProduit[[#This Row],[Total (kg) N1]]</f>
        <v>0</v>
      </c>
      <c r="AD69" s="619" t="e">
        <f ca="1">TableauProduit[[#This Row],[Revenue brut N1]]-TableauProduit[[#This Row],[Achat par kg N1]]-TableauProduit[[#This Row],[Conditionnement N1]]</f>
        <v>#VALUE!</v>
      </c>
      <c r="AE69" s="620">
        <v>0</v>
      </c>
      <c r="AF69" s="515">
        <f>TableauProduit[[#This Row],[Poids (g) / unite]]*TableauProduit[[#This Row],[Objectif de vente en unite N1]]/1000</f>
        <v>0</v>
      </c>
      <c r="AG69" s="578">
        <f>TableauProduit[[#This Row],[Objectif de vente en unite N1]]*TableauProduit[[#This Row],[Packaging / unite]]</f>
        <v>0</v>
      </c>
      <c r="AH69" s="577" t="e">
        <f ca="1">TableauProduit[[#This Row],[Prix Achat de plante par kg]]*TableauProduit[[#This Row],[Total (kg) N1]]</f>
        <v>#VALUE!</v>
      </c>
      <c r="AI69" s="590">
        <f>TableauProduit[[#This Row],[Prix de vente/kg]]*TableauProduit[[#This Row],[Total (kg) N1]]</f>
        <v>0</v>
      </c>
      <c r="AJ69" s="591" t="e">
        <f ca="1">TableauProduit[[#This Row],[Revenue brut N1]]-TableauProduit[[#This Row],[Achat par kg N1]]-TableauProduit[[#This Row],[Conditionnement N1]]</f>
        <v>#VALUE!</v>
      </c>
      <c r="AK69" s="621">
        <v>0</v>
      </c>
      <c r="AL69" s="516">
        <f>TableauProduit[[#This Row],[Poids (g) / unite]]*TableauProduit[[#This Row],[Objectif de vente en unite N1]]/1000</f>
        <v>0</v>
      </c>
      <c r="AM69" s="592">
        <f>TableauProduit[[#This Row],[Objectif de vente en unite N1]]*TableauProduit[[#This Row],[Packaging / unite]]</f>
        <v>0</v>
      </c>
      <c r="AN69" s="584" t="e">
        <f ca="1">TableauProduit[[#This Row],[Prix Achat de plante par kg]]*TableauProduit[[#This Row],[Total (kg) N1]]</f>
        <v>#VALUE!</v>
      </c>
      <c r="AO69" s="593">
        <f>TableauProduit[[#This Row],[Prix de vente/kg]]*TableauProduit[[#This Row],[Total (kg) N1]]</f>
        <v>0</v>
      </c>
      <c r="AP69" s="594" t="e">
        <f ca="1">TableauProduit[[#This Row],[Revenue brut N1]]-TableauProduit[[#This Row],[Achat par kg N1]]-TableauProduit[[#This Row],[Conditionnement N1]]</f>
        <v>#VALUE!</v>
      </c>
      <c r="AQ69" s="622">
        <v>0</v>
      </c>
      <c r="AR69" s="517">
        <f>TableauProduit[[#This Row],[Poids (g) / unite]]*TableauProduit[[#This Row],[Objectif de vente en unite N1]]/1000</f>
        <v>0</v>
      </c>
      <c r="AS69" s="595">
        <f>TableauProduit[[#This Row],[Objectif de vente en unite N1]]*TableauProduit[[#This Row],[Packaging / unite]]</f>
        <v>0</v>
      </c>
      <c r="AT69" s="585" t="e">
        <f ca="1">TableauProduit[[#This Row],[Prix Achat de plante par kg]]*TableauProduit[[#This Row],[Total (kg) N1]]</f>
        <v>#VALUE!</v>
      </c>
      <c r="AU69" s="596">
        <f>TableauProduit[[#This Row],[Prix de vente/kg]]*TableauProduit[[#This Row],[Total (kg) N1]]</f>
        <v>0</v>
      </c>
      <c r="AV69" s="597" t="e">
        <f ca="1">TableauProduit[[#This Row],[Revenue brut N1]]-TableauProduit[[#This Row],[Achat par kg N1]]-TableauProduit[[#This Row],[Conditionnement N1]]</f>
        <v>#VALUE!</v>
      </c>
      <c r="AW69" s="617">
        <v>0</v>
      </c>
      <c r="AX69" s="518">
        <f>TableauProduit[[#This Row],[Poids (g) / unite]]*TableauProduit[[#This Row],[Objectif de vente en unite N1]]/1000</f>
        <v>0</v>
      </c>
      <c r="AY69" s="580">
        <f>TableauProduit[[#This Row],[Objectif de vente en unite N1]]*TableauProduit[[#This Row],[Packaging / unite]]</f>
        <v>0</v>
      </c>
      <c r="AZ69" s="579" t="e">
        <f ca="1">TableauProduit[[#This Row],[Prix Achat de plante par kg]]*TableauProduit[[#This Row],[Total (kg) N1]]</f>
        <v>#VALUE!</v>
      </c>
      <c r="BA69" s="581">
        <f>TableauProduit[[#This Row],[Prix de vente/kg]]*TableauProduit[[#This Row],[Total (kg) N1]]</f>
        <v>0</v>
      </c>
      <c r="BB69" s="616" t="e">
        <f ca="1">TableauProduit[[#This Row],[Revenue brut N1]]-TableauProduit[[#This Row],[Achat par kg N1]]-TableauProduit[[#This Row],[Conditionnement N1]]</f>
        <v>#VALUE!</v>
      </c>
      <c r="BC69" s="623">
        <v>0</v>
      </c>
      <c r="BD69" s="519">
        <f>TableauProduit[[#This Row],[Poids (g) / unite]]*TableauProduit[[#This Row],[Objectif de vente en unite N1]]/1000</f>
        <v>0</v>
      </c>
      <c r="BE69" s="598">
        <f>TableauProduit[[#This Row],[Objectif de vente en unite N1]]*TableauProduit[[#This Row],[Packaging / unite]]</f>
        <v>0</v>
      </c>
      <c r="BF69" s="587" t="e">
        <f ca="1">TableauProduit[[#This Row],[Prix Achat de plante par kg]]*TableauProduit[[#This Row],[Total (kg) N1]]</f>
        <v>#VALUE!</v>
      </c>
      <c r="BG69" s="599">
        <f>TableauProduit[[#This Row],[Prix de vente/kg]]*TableauProduit[[#This Row],[Total (kg) N1]]</f>
        <v>0</v>
      </c>
      <c r="BH69" s="600" t="e">
        <f ca="1">TableauProduit[[#This Row],[Revenue brut N1]]-TableauProduit[[#This Row],[Achat par kg N1]]-TableauProduit[[#This Row],[Conditionnement N1]]</f>
        <v>#VALUE!</v>
      </c>
      <c r="BI69" s="624">
        <v>0</v>
      </c>
      <c r="BJ69" s="520">
        <f>TableauProduit[[#This Row],[Poids (g) / unite]]*TableauProduit[[#This Row],[Objectif de vente en unite N1]]/1000</f>
        <v>0</v>
      </c>
      <c r="BK69" s="601">
        <f>TableauProduit[[#This Row],[Objectif de vente en unite N1]]*TableauProduit[[#This Row],[Packaging / unite]]</f>
        <v>0</v>
      </c>
      <c r="BL69" s="589" t="e">
        <f ca="1">TableauProduit[[#This Row],[Prix Achat de plante par kg]]*TableauProduit[[#This Row],[Total (kg) N1]]</f>
        <v>#VALUE!</v>
      </c>
      <c r="BM69" s="602">
        <f>TableauProduit[[#This Row],[Prix de vente/kg]]*TableauProduit[[#This Row],[Total (kg) N1]]</f>
        <v>0</v>
      </c>
      <c r="BN69" s="467" t="e">
        <f ca="1">TableauProduit[[#This Row],[Revenue brut N1]]-TableauProduit[[#This Row],[Achat par kg N1]]-TableauProduit[[#This Row],[Conditionnement N1]]</f>
        <v>#VALUE!</v>
      </c>
    </row>
    <row r="70" spans="1:66">
      <c r="A70" s="13" t="s">
        <v>111</v>
      </c>
      <c r="B70" s="54" t="str">
        <f>TableauProduit[[#This Row],[Recette]]&amp;TableauProduit[[#This Row],[Conditionnement]]</f>
        <v>Garam maslaEpice 100ml</v>
      </c>
      <c r="C70" s="11">
        <v>1</v>
      </c>
      <c r="D70" s="11">
        <f>VLOOKUP(TableauProduit[[#This Row],[Recette]],Old[],3)</f>
        <v>50</v>
      </c>
      <c r="E70" s="6" t="s">
        <v>55</v>
      </c>
      <c r="F70" s="673">
        <f>IFERROR(VLOOKUP(TableauProduit[[#This Row],[Conditionnement]],TableauConditionnement[[Nom]:[Contenance]],4,TRUE),"")</f>
        <v>0.64</v>
      </c>
      <c r="G70" s="637" t="e">
        <f ca="1">SUMIFS(TableauRecette[Prix d''achat / kg],TableauRecette[Recette],TableauProduit[[#This Row],[Recette]],TableauRecette[Conditionnement],TableauProduit[[#This Row],[Conditionnement]])</f>
        <v>#VALUE!</v>
      </c>
      <c r="H70" s="633">
        <v>5</v>
      </c>
      <c r="I70" s="629">
        <f>1000*TableauProduit[[#This Row],[Prix de vente/U]]/TableauProduit[[#This Row],[Poids (g) / unite]]</f>
        <v>100</v>
      </c>
      <c r="J70" s="630">
        <f>SUMIFS(TableauConcurence[PRIX_KG],TableauConcurence[PRODUIT],TableauProduit[[#This Row],[Recette]],TableauConcurence[DISTRIBUTION],"magasin NON BIO")</f>
        <v>0</v>
      </c>
      <c r="K70" s="638">
        <f>SUMIFS(TableauConcurence[PRIX_KG],TableauConcurence[PRODUIT],TableauProduit[[#This Row],[Recette]],TableauConcurence[DISTRIBUTION],"magasin BIO")</f>
        <v>0</v>
      </c>
      <c r="L70" s="639">
        <f>SUMIFS(TableauConcurence[PRIX_KG],TableauConcurence[PRODUIT],TableauProduit[[#This Row],[Recette]],TableauConcurence[DISTRIBUTION],"artisanale BIO")</f>
        <v>0</v>
      </c>
      <c r="M70" s="617">
        <v>0</v>
      </c>
      <c r="N70" s="617">
        <f>TableauProduit[[#This Row],[Poids (g) / unite]]*TableauProduit[[#This Row],[Objectif de vente en unite N1]]/1000</f>
        <v>0</v>
      </c>
      <c r="O70" s="580">
        <f>TableauProduit[[#This Row],[Objectif de vente en unite N1]]*TableauProduit[[#This Row],[Packaging / unite]]</f>
        <v>0</v>
      </c>
      <c r="P70" s="579" t="e">
        <f t="shared" ca="1" si="2"/>
        <v>#VALUE!</v>
      </c>
      <c r="Q70" s="581" t="e">
        <f ca="1">TableauProduit[[#This Row],[Prix de vente/kg]]*TableauProduit[[#This Row],[Total (kg) N1]]-TableauProduit[[#This Row],[Achat par kg N1]]</f>
        <v>#VALUE!</v>
      </c>
      <c r="R70" s="586" t="e">
        <f ca="1">TableauProduit[[#This Row],[Revenue brut N1]]-TableauProduit[[#This Row],[Conditionnement N1]]</f>
        <v>#VALUE!</v>
      </c>
      <c r="S70" s="618">
        <v>0</v>
      </c>
      <c r="T70" s="513">
        <f>TableauProduit[[#This Row],[Poids (g) / unite]]*TableauProduit[[#This Row],[Objectif de vente en unite N1]]/1000</f>
        <v>0</v>
      </c>
      <c r="U70" s="572">
        <f>TableauProduit[[#This Row],[Objectif de vente en unite N1]]*TableauProduit[[#This Row],[Packaging / unite]]</f>
        <v>0</v>
      </c>
      <c r="V70" s="571" t="e">
        <f ca="1">TableauProduit[[#This Row],[Prix Achat de plante par kg]]*TableauProduit[[#This Row],[Total (kg) N1]]</f>
        <v>#VALUE!</v>
      </c>
      <c r="W70" s="573">
        <f>TableauProduit[[#This Row],[Prix de vente/kg]]*TableauProduit[[#This Row],[Total (kg) N1]]</f>
        <v>0</v>
      </c>
      <c r="X70" s="618" t="e">
        <f ca="1">TableauProduit[[#This Row],[Revenue brut N1]]-TableauProduit[[#This Row],[Achat par kg N1]]-TableauProduit[[#This Row],[Conditionnement N1]]</f>
        <v>#VALUE!</v>
      </c>
      <c r="Y70" s="619">
        <v>0</v>
      </c>
      <c r="Z70" s="514">
        <f>TableauProduit[[#This Row],[Poids (g) / unite]]*TableauProduit[[#This Row],[Objectif de vente en unite N1]]/1000</f>
        <v>0</v>
      </c>
      <c r="AA70" s="575">
        <f>TableauProduit[[#This Row],[Objectif de vente en unite N1]]*TableauProduit[[#This Row],[Packaging / unite]]</f>
        <v>0</v>
      </c>
      <c r="AB70" s="574" t="e">
        <f ca="1">TableauProduit[[#This Row],[Prix Achat de plante par kg]]*TableauProduit[[#This Row],[Total (kg) N1]]</f>
        <v>#VALUE!</v>
      </c>
      <c r="AC70" s="576">
        <f>TableauProduit[[#This Row],[Prix de vente/kg]]*TableauProduit[[#This Row],[Total (kg) N1]]</f>
        <v>0</v>
      </c>
      <c r="AD70" s="619" t="e">
        <f ca="1">TableauProduit[[#This Row],[Revenue brut N1]]-TableauProduit[[#This Row],[Achat par kg N1]]-TableauProduit[[#This Row],[Conditionnement N1]]</f>
        <v>#VALUE!</v>
      </c>
      <c r="AE70" s="620">
        <v>0</v>
      </c>
      <c r="AF70" s="515">
        <f>TableauProduit[[#This Row],[Poids (g) / unite]]*TableauProduit[[#This Row],[Objectif de vente en unite N1]]/1000</f>
        <v>0</v>
      </c>
      <c r="AG70" s="578">
        <f>TableauProduit[[#This Row],[Objectif de vente en unite N1]]*TableauProduit[[#This Row],[Packaging / unite]]</f>
        <v>0</v>
      </c>
      <c r="AH70" s="577" t="e">
        <f ca="1">TableauProduit[[#This Row],[Prix Achat de plante par kg]]*TableauProduit[[#This Row],[Total (kg) N1]]</f>
        <v>#VALUE!</v>
      </c>
      <c r="AI70" s="590">
        <f>TableauProduit[[#This Row],[Prix de vente/kg]]*TableauProduit[[#This Row],[Total (kg) N1]]</f>
        <v>0</v>
      </c>
      <c r="AJ70" s="591" t="e">
        <f ca="1">TableauProduit[[#This Row],[Revenue brut N1]]-TableauProduit[[#This Row],[Achat par kg N1]]-TableauProduit[[#This Row],[Conditionnement N1]]</f>
        <v>#VALUE!</v>
      </c>
      <c r="AK70" s="621">
        <v>0</v>
      </c>
      <c r="AL70" s="516">
        <f>TableauProduit[[#This Row],[Poids (g) / unite]]*TableauProduit[[#This Row],[Objectif de vente en unite N1]]/1000</f>
        <v>0</v>
      </c>
      <c r="AM70" s="592">
        <f>TableauProduit[[#This Row],[Objectif de vente en unite N1]]*TableauProduit[[#This Row],[Packaging / unite]]</f>
        <v>0</v>
      </c>
      <c r="AN70" s="584" t="e">
        <f ca="1">TableauProduit[[#This Row],[Prix Achat de plante par kg]]*TableauProduit[[#This Row],[Total (kg) N1]]</f>
        <v>#VALUE!</v>
      </c>
      <c r="AO70" s="593">
        <f>TableauProduit[[#This Row],[Prix de vente/kg]]*TableauProduit[[#This Row],[Total (kg) N1]]</f>
        <v>0</v>
      </c>
      <c r="AP70" s="594" t="e">
        <f ca="1">TableauProduit[[#This Row],[Revenue brut N1]]-TableauProduit[[#This Row],[Achat par kg N1]]-TableauProduit[[#This Row],[Conditionnement N1]]</f>
        <v>#VALUE!</v>
      </c>
      <c r="AQ70" s="622">
        <v>0</v>
      </c>
      <c r="AR70" s="517">
        <f>TableauProduit[[#This Row],[Poids (g) / unite]]*TableauProduit[[#This Row],[Objectif de vente en unite N1]]/1000</f>
        <v>0</v>
      </c>
      <c r="AS70" s="595">
        <f>TableauProduit[[#This Row],[Objectif de vente en unite N1]]*TableauProduit[[#This Row],[Packaging / unite]]</f>
        <v>0</v>
      </c>
      <c r="AT70" s="585" t="e">
        <f ca="1">TableauProduit[[#This Row],[Prix Achat de plante par kg]]*TableauProduit[[#This Row],[Total (kg) N1]]</f>
        <v>#VALUE!</v>
      </c>
      <c r="AU70" s="596">
        <f>TableauProduit[[#This Row],[Prix de vente/kg]]*TableauProduit[[#This Row],[Total (kg) N1]]</f>
        <v>0</v>
      </c>
      <c r="AV70" s="597" t="e">
        <f ca="1">TableauProduit[[#This Row],[Revenue brut N1]]-TableauProduit[[#This Row],[Achat par kg N1]]-TableauProduit[[#This Row],[Conditionnement N1]]</f>
        <v>#VALUE!</v>
      </c>
      <c r="AW70" s="617">
        <v>0</v>
      </c>
      <c r="AX70" s="518">
        <f>TableauProduit[[#This Row],[Poids (g) / unite]]*TableauProduit[[#This Row],[Objectif de vente en unite N1]]/1000</f>
        <v>0</v>
      </c>
      <c r="AY70" s="580">
        <f>TableauProduit[[#This Row],[Objectif de vente en unite N1]]*TableauProduit[[#This Row],[Packaging / unite]]</f>
        <v>0</v>
      </c>
      <c r="AZ70" s="579" t="e">
        <f ca="1">TableauProduit[[#This Row],[Prix Achat de plante par kg]]*TableauProduit[[#This Row],[Total (kg) N1]]</f>
        <v>#VALUE!</v>
      </c>
      <c r="BA70" s="581">
        <f>TableauProduit[[#This Row],[Prix de vente/kg]]*TableauProduit[[#This Row],[Total (kg) N1]]</f>
        <v>0</v>
      </c>
      <c r="BB70" s="616" t="e">
        <f ca="1">TableauProduit[[#This Row],[Revenue brut N1]]-TableauProduit[[#This Row],[Achat par kg N1]]-TableauProduit[[#This Row],[Conditionnement N1]]</f>
        <v>#VALUE!</v>
      </c>
      <c r="BC70" s="623">
        <v>0</v>
      </c>
      <c r="BD70" s="519">
        <f>TableauProduit[[#This Row],[Poids (g) / unite]]*TableauProduit[[#This Row],[Objectif de vente en unite N1]]/1000</f>
        <v>0</v>
      </c>
      <c r="BE70" s="598">
        <f>TableauProduit[[#This Row],[Objectif de vente en unite N1]]*TableauProduit[[#This Row],[Packaging / unite]]</f>
        <v>0</v>
      </c>
      <c r="BF70" s="587" t="e">
        <f ca="1">TableauProduit[[#This Row],[Prix Achat de plante par kg]]*TableauProduit[[#This Row],[Total (kg) N1]]</f>
        <v>#VALUE!</v>
      </c>
      <c r="BG70" s="599">
        <f>TableauProduit[[#This Row],[Prix de vente/kg]]*TableauProduit[[#This Row],[Total (kg) N1]]</f>
        <v>0</v>
      </c>
      <c r="BH70" s="600" t="e">
        <f ca="1">TableauProduit[[#This Row],[Revenue brut N1]]-TableauProduit[[#This Row],[Achat par kg N1]]-TableauProduit[[#This Row],[Conditionnement N1]]</f>
        <v>#VALUE!</v>
      </c>
      <c r="BI70" s="624">
        <v>0</v>
      </c>
      <c r="BJ70" s="520">
        <f>TableauProduit[[#This Row],[Poids (g) / unite]]*TableauProduit[[#This Row],[Objectif de vente en unite N1]]/1000</f>
        <v>0</v>
      </c>
      <c r="BK70" s="601">
        <f>TableauProduit[[#This Row],[Objectif de vente en unite N1]]*TableauProduit[[#This Row],[Packaging / unite]]</f>
        <v>0</v>
      </c>
      <c r="BL70" s="589" t="e">
        <f ca="1">TableauProduit[[#This Row],[Prix Achat de plante par kg]]*TableauProduit[[#This Row],[Total (kg) N1]]</f>
        <v>#VALUE!</v>
      </c>
      <c r="BM70" s="602">
        <f>TableauProduit[[#This Row],[Prix de vente/kg]]*TableauProduit[[#This Row],[Total (kg) N1]]</f>
        <v>0</v>
      </c>
      <c r="BN70" s="467" t="e">
        <f ca="1">TableauProduit[[#This Row],[Revenue brut N1]]-TableauProduit[[#This Row],[Achat par kg N1]]-TableauProduit[[#This Row],[Conditionnement N1]]</f>
        <v>#VALUE!</v>
      </c>
    </row>
    <row r="71" spans="1:66">
      <c r="A71" s="625" t="s">
        <v>102</v>
      </c>
      <c r="B71" s="54" t="str">
        <f>TableauProduit[[#This Row],[Recette]]&amp;TableauProduit[[#This Row],[Conditionnement]]</f>
        <v>Chaat masalaEpice 100ml</v>
      </c>
      <c r="C71" s="11">
        <v>1</v>
      </c>
      <c r="D71" s="11">
        <f>VLOOKUP(TableauProduit[[#This Row],[Recette]],Temporaire!A$1:B$25,2)</f>
        <v>25</v>
      </c>
      <c r="E71" s="6" t="s">
        <v>55</v>
      </c>
      <c r="F71" s="7">
        <f>IFERROR(VLOOKUP(TableauProduit[[#This Row],[Conditionnement]],TableauConditionnement[[Nom]:[Contenance]],4,TRUE),"")</f>
        <v>0.64</v>
      </c>
      <c r="G71" s="637">
        <f ca="1">SUMIFS(TableauRecette[Prix d''achat / kg],TableauRecette[Recette],TableauProduit[[#This Row],[Recette]],TableauRecette[Conditionnement],TableauProduit[[#This Row],[Conditionnement]])</f>
        <v>0</v>
      </c>
      <c r="H71" s="633">
        <v>4</v>
      </c>
      <c r="I71" s="629">
        <f>1000*TableauProduit[[#This Row],[Prix de vente/U]]/TableauProduit[[#This Row],[Poids (g) / unite]]</f>
        <v>160</v>
      </c>
      <c r="J71" s="630">
        <f>SUMIFS(TableauConcurence[PRIX_KG],TableauConcurence[PRODUIT],TableauProduit[[#This Row],[Recette]],TableauConcurence[DISTRIBUTION],"magasin NON BIO")</f>
        <v>0</v>
      </c>
      <c r="K71" s="638">
        <f>SUMIFS(TableauConcurence[PRIX_KG],TableauConcurence[PRODUIT],TableauProduit[[#This Row],[Recette]],TableauConcurence[DISTRIBUTION],"magasin BIO")</f>
        <v>0</v>
      </c>
      <c r="L71" s="639">
        <f>SUMIFS(TableauConcurence[PRIX_KG],TableauConcurence[PRODUIT],TableauProduit[[#This Row],[Recette]],TableauConcurence[DISTRIBUTION],"artisanale BIO")</f>
        <v>0</v>
      </c>
      <c r="M71" s="617"/>
      <c r="N71" s="617">
        <f>TableauProduit[[#This Row],[Poids (g) / unite]]*TableauProduit[[#This Row],[Objectif de vente en unite N1]]/1000</f>
        <v>0</v>
      </c>
      <c r="O71" s="580">
        <f>TableauProduit[[#This Row],[Objectif de vente en unite N1]]*TableauProduit[[#This Row],[Packaging / unite]]</f>
        <v>0</v>
      </c>
      <c r="P71" s="579">
        <f t="shared" ca="1" si="2"/>
        <v>0</v>
      </c>
      <c r="Q71" s="579">
        <f ca="1">TableauProduit[[#This Row],[Prix de vente/kg]]*TableauProduit[[#This Row],[Total (kg) N1]]-TableauProduit[[#This Row],[Achat par kg N1]]</f>
        <v>0</v>
      </c>
      <c r="R71" s="586">
        <f>TableauProduit[[#This Row],[Total (kg) N1]]*TableauProduit[[#This Row],[Prix de vente/U]]</f>
        <v>0</v>
      </c>
      <c r="S71" s="618"/>
      <c r="T71" s="513">
        <f>TableauProduit[[#This Row],[Poids (g) / unite]]*TableauProduit[[#This Row],[Objectif de vente en unite N1]]/1000</f>
        <v>0</v>
      </c>
      <c r="U71" s="572">
        <f>TableauProduit[[#This Row],[Objectif de vente en unite N1]]*TableauProduit[[#This Row],[Packaging / unite]]</f>
        <v>0</v>
      </c>
      <c r="V71" s="571">
        <f ca="1">TableauProduit[[#This Row],[Prix Achat de plante par kg]]*TableauProduit[[#This Row],[Total (kg) N1]]</f>
        <v>0</v>
      </c>
      <c r="W71" s="573">
        <f>TableauProduit[[#This Row],[Prix de vente/kg]]*TableauProduit[[#This Row],[Total (kg) N1]]</f>
        <v>0</v>
      </c>
      <c r="X71" s="618">
        <f ca="1">TableauProduit[[#This Row],[Revenue brut N1]]-TableauProduit[[#This Row],[Achat par kg N1]]-TableauProduit[[#This Row],[Conditionnement N1]]</f>
        <v>0</v>
      </c>
      <c r="Y71" s="619"/>
      <c r="Z71" s="514">
        <f>TableauProduit[[#This Row],[Poids (g) / unite]]*TableauProduit[[#This Row],[Objectif de vente en unite N1]]/1000</f>
        <v>0</v>
      </c>
      <c r="AA71" s="575">
        <f>TableauProduit[[#This Row],[Objectif de vente en unite N1]]*TableauProduit[[#This Row],[Packaging / unite]]</f>
        <v>0</v>
      </c>
      <c r="AB71" s="574">
        <f ca="1">TableauProduit[[#This Row],[Prix Achat de plante par kg]]*TableauProduit[[#This Row],[Total (kg) N1]]</f>
        <v>0</v>
      </c>
      <c r="AC71" s="576">
        <f>TableauProduit[[#This Row],[Prix de vente/kg]]*TableauProduit[[#This Row],[Total (kg) N1]]</f>
        <v>0</v>
      </c>
      <c r="AD71" s="619">
        <f ca="1">TableauProduit[[#This Row],[Revenue brut N1]]-TableauProduit[[#This Row],[Achat par kg N1]]-TableauProduit[[#This Row],[Conditionnement N1]]</f>
        <v>0</v>
      </c>
      <c r="AE71" s="620"/>
      <c r="AF71" s="515">
        <f>TableauProduit[[#This Row],[Poids (g) / unite]]*TableauProduit[[#This Row],[Objectif de vente en unite N1]]/1000</f>
        <v>0</v>
      </c>
      <c r="AG71" s="578">
        <f>TableauProduit[[#This Row],[Objectif de vente en unite N1]]*TableauProduit[[#This Row],[Packaging / unite]]</f>
        <v>0</v>
      </c>
      <c r="AH71" s="577">
        <f ca="1">TableauProduit[[#This Row],[Prix Achat de plante par kg]]*TableauProduit[[#This Row],[Total (kg) N1]]</f>
        <v>0</v>
      </c>
      <c r="AI71" s="590">
        <f>TableauProduit[[#This Row],[Prix de vente/kg]]*TableauProduit[[#This Row],[Total (kg) N1]]</f>
        <v>0</v>
      </c>
      <c r="AJ71" s="591">
        <f ca="1">TableauProduit[[#This Row],[Revenue brut N1]]-TableauProduit[[#This Row],[Achat par kg N1]]-TableauProduit[[#This Row],[Conditionnement N1]]</f>
        <v>0</v>
      </c>
      <c r="AK71" s="621"/>
      <c r="AL71" s="516">
        <f>TableauProduit[[#This Row],[Poids (g) / unite]]*TableauProduit[[#This Row],[Objectif de vente en unite N1]]/1000</f>
        <v>0</v>
      </c>
      <c r="AM71" s="592">
        <f>TableauProduit[[#This Row],[Objectif de vente en unite N1]]*TableauProduit[[#This Row],[Packaging / unite]]</f>
        <v>0</v>
      </c>
      <c r="AN71" s="584">
        <f ca="1">TableauProduit[[#This Row],[Prix Achat de plante par kg]]*TableauProduit[[#This Row],[Total (kg) N1]]</f>
        <v>0</v>
      </c>
      <c r="AO71" s="593">
        <f>TableauProduit[[#This Row],[Prix de vente/kg]]*TableauProduit[[#This Row],[Total (kg) N1]]</f>
        <v>0</v>
      </c>
      <c r="AP71" s="594">
        <f ca="1">TableauProduit[[#This Row],[Revenue brut N1]]-TableauProduit[[#This Row],[Achat par kg N1]]-TableauProduit[[#This Row],[Conditionnement N1]]</f>
        <v>0</v>
      </c>
      <c r="AQ71" s="622"/>
      <c r="AR71" s="517">
        <f>TableauProduit[[#This Row],[Poids (g) / unite]]*TableauProduit[[#This Row],[Objectif de vente en unite N1]]/1000</f>
        <v>0</v>
      </c>
      <c r="AS71" s="595">
        <f>TableauProduit[[#This Row],[Objectif de vente en unite N1]]*TableauProduit[[#This Row],[Packaging / unite]]</f>
        <v>0</v>
      </c>
      <c r="AT71" s="585">
        <f ca="1">TableauProduit[[#This Row],[Prix Achat de plante par kg]]*TableauProduit[[#This Row],[Total (kg) N1]]</f>
        <v>0</v>
      </c>
      <c r="AU71" s="596">
        <f>TableauProduit[[#This Row],[Prix de vente/kg]]*TableauProduit[[#This Row],[Total (kg) N1]]</f>
        <v>0</v>
      </c>
      <c r="AV71" s="597">
        <f ca="1">TableauProduit[[#This Row],[Revenue brut N1]]-TableauProduit[[#This Row],[Achat par kg N1]]-TableauProduit[[#This Row],[Conditionnement N1]]</f>
        <v>0</v>
      </c>
      <c r="AW71" s="617"/>
      <c r="AX71" s="518">
        <f>TableauProduit[[#This Row],[Poids (g) / unite]]*TableauProduit[[#This Row],[Objectif de vente en unite N1]]/1000</f>
        <v>0</v>
      </c>
      <c r="AY71" s="580">
        <f>TableauProduit[[#This Row],[Objectif de vente en unite N1]]*TableauProduit[[#This Row],[Packaging / unite]]</f>
        <v>0</v>
      </c>
      <c r="AZ71" s="579">
        <f ca="1">TableauProduit[[#This Row],[Prix Achat de plante par kg]]*TableauProduit[[#This Row],[Total (kg) N1]]</f>
        <v>0</v>
      </c>
      <c r="BA71" s="581">
        <f>TableauProduit[[#This Row],[Prix de vente/kg]]*TableauProduit[[#This Row],[Total (kg) N1]]</f>
        <v>0</v>
      </c>
      <c r="BB71" s="616">
        <f ca="1">TableauProduit[[#This Row],[Revenue brut N1]]-TableauProduit[[#This Row],[Achat par kg N1]]-TableauProduit[[#This Row],[Conditionnement N1]]</f>
        <v>0</v>
      </c>
      <c r="BC71" s="623"/>
      <c r="BD71" s="519">
        <f>TableauProduit[[#This Row],[Poids (g) / unite]]*TableauProduit[[#This Row],[Objectif de vente en unite N1]]/1000</f>
        <v>0</v>
      </c>
      <c r="BE71" s="598">
        <f>TableauProduit[[#This Row],[Objectif de vente en unite N1]]*TableauProduit[[#This Row],[Packaging / unite]]</f>
        <v>0</v>
      </c>
      <c r="BF71" s="587">
        <f ca="1">TableauProduit[[#This Row],[Prix Achat de plante par kg]]*TableauProduit[[#This Row],[Total (kg) N1]]</f>
        <v>0</v>
      </c>
      <c r="BG71" s="599">
        <f>TableauProduit[[#This Row],[Prix de vente/kg]]*TableauProduit[[#This Row],[Total (kg) N1]]</f>
        <v>0</v>
      </c>
      <c r="BH71" s="600">
        <f ca="1">TableauProduit[[#This Row],[Revenue brut N1]]-TableauProduit[[#This Row],[Achat par kg N1]]-TableauProduit[[#This Row],[Conditionnement N1]]</f>
        <v>0</v>
      </c>
      <c r="BI71" s="624"/>
      <c r="BJ71" s="520">
        <f>TableauProduit[[#This Row],[Poids (g) / unite]]*TableauProduit[[#This Row],[Objectif de vente en unite N1]]/1000</f>
        <v>0</v>
      </c>
      <c r="BK71" s="601">
        <f>TableauProduit[[#This Row],[Objectif de vente en unite N1]]*TableauProduit[[#This Row],[Packaging / unite]]</f>
        <v>0</v>
      </c>
      <c r="BL71" s="589">
        <f ca="1">TableauProduit[[#This Row],[Prix Achat de plante par kg]]*TableauProduit[[#This Row],[Total (kg) N1]]</f>
        <v>0</v>
      </c>
      <c r="BM71" s="602">
        <f>TableauProduit[[#This Row],[Prix de vente/kg]]*TableauProduit[[#This Row],[Total (kg) N1]]</f>
        <v>0</v>
      </c>
      <c r="BN71" s="467">
        <f ca="1">TableauProduit[[#This Row],[Revenue brut N1]]-TableauProduit[[#This Row],[Achat par kg N1]]-TableauProduit[[#This Row],[Conditionnement N1]]</f>
        <v>0</v>
      </c>
    </row>
  </sheetData>
  <phoneticPr fontId="3" type="noConversion"/>
  <conditionalFormatting sqref="G1:G104857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I71">
    <cfRule type="expression" dxfId="9" priority="2">
      <formula>I2 &gt;L2</formula>
    </cfRule>
    <cfRule type="expression" dxfId="8" priority="3">
      <formula>I2 &lt; L2</formula>
    </cfRule>
    <cfRule type="expression" dxfId="7" priority="4">
      <formula>I2 &lt; K2</formula>
    </cfRule>
    <cfRule type="expression" dxfId="6" priority="5">
      <formula>I2 &gt; K2</formula>
    </cfRule>
  </conditionalFormatting>
  <conditionalFormatting sqref="J2:L71">
    <cfRule type="cellIs" dxfId="5" priority="1" operator="equal">
      <formula>0</formula>
    </cfRule>
  </conditionalFormatting>
  <pageMargins left="0.7" right="0.7" top="0.75" bottom="0.75" header="0.3" footer="0.3"/>
  <pageSetup paperSize="9" orientation="portrait" horizontalDpi="0" verticalDpi="0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" id="{BC01E421-3648-D647-9C78-7F9533B2DFC1}">
            <x14:iconSet iconSet="3Symbols" custom="1">
              <x14:cfvo type="percent">
                <xm:f>0</xm:f>
              </x14:cfvo>
              <x14:cfvo type="num" gte="0">
                <xm:f>1E-3</xm:f>
              </x14:cfvo>
              <x14:cfvo type="num">
                <xm:f>20</xm:f>
              </x14:cfvo>
              <x14:cfIcon iconSet="3Symbols" iconId="2"/>
              <x14:cfIcon iconSet="NoIcons" iconId="0"/>
              <x14:cfIcon iconSet="3Symbols" iconId="0"/>
            </x14:iconSet>
          </x14:cfRule>
          <xm:sqref>G1:G1048576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15FE874-EB24-E446-9473-C5BD1940FAC6}">
          <x14:formula1>
            <xm:f>Conditionnement!$A$2:$A$25</xm:f>
          </x14:formula1>
          <xm:sqref>E2:E71</xm:sqref>
        </x14:dataValidation>
        <x14:dataValidation type="list" allowBlank="1" showInputMessage="1" showErrorMessage="1" xr:uid="{B40C0020-0C86-EF4C-8312-168745650734}">
          <x14:formula1>
            <xm:f>'Recette Epice'!$A$2:$A$1048576</xm:f>
          </x14:formula1>
          <xm:sqref>A2:A71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1EE5E-15CD-1447-84D2-A4F48B073535}">
  <sheetPr codeName="Feuil3"/>
  <dimension ref="A1:G166"/>
  <sheetViews>
    <sheetView workbookViewId="0">
      <pane ySplit="1" topLeftCell="A107" activePane="bottomLeft" state="frozen"/>
      <selection pane="bottomLeft" sqref="A1:G166"/>
    </sheetView>
  </sheetViews>
  <sheetFormatPr baseColWidth="10" defaultColWidth="11" defaultRowHeight="16"/>
  <cols>
    <col min="1" max="1" width="30.1640625" customWidth="1"/>
    <col min="2" max="2" width="8.83203125" style="538" customWidth="1"/>
    <col min="3" max="3" width="7.33203125" customWidth="1"/>
    <col min="4" max="4" width="18.33203125" customWidth="1"/>
    <col min="5" max="5" width="8.33203125" customWidth="1"/>
    <col min="7" max="7" width="14.6640625" style="3" customWidth="1"/>
  </cols>
  <sheetData>
    <row r="1" spans="1:7" ht="83">
      <c r="A1" s="14" t="s">
        <v>112</v>
      </c>
      <c r="B1" s="537" t="s">
        <v>113</v>
      </c>
      <c r="C1" s="15" t="s">
        <v>114</v>
      </c>
      <c r="D1" s="15" t="s">
        <v>115</v>
      </c>
      <c r="E1" s="15" t="s">
        <v>116</v>
      </c>
      <c r="F1" s="14" t="s">
        <v>117</v>
      </c>
      <c r="G1" s="14" t="s">
        <v>118</v>
      </c>
    </row>
    <row r="2" spans="1:7">
      <c r="A2" t="str">
        <f ca="1">PROPER(TableauIngredients[[#This Row],[Ingredients]])</f>
        <v>Ail</v>
      </c>
      <c r="B2" s="538">
        <f>IF(IFERROR((100-TableauIngredients[[#This Row],[% eau]])/100, 1) &lt; 0.2,0.2,IFERROR((100-TableauIngredients[[#This Row],[% eau]])/100, 1))</f>
        <v>1</v>
      </c>
      <c r="C2">
        <v>0</v>
      </c>
      <c r="D2" t="s">
        <v>119</v>
      </c>
      <c r="E2">
        <v>14</v>
      </c>
      <c r="F2" s="641"/>
      <c r="G2"/>
    </row>
    <row r="3" spans="1:7">
      <c r="A3" t="str">
        <f ca="1">PROPER(TableauIngredients[[#This Row],[Ingredients]])</f>
        <v>Ail Sec</v>
      </c>
      <c r="B3" s="538">
        <f>IF(IFERROR((100-TableauIngredients[[#This Row],[% eau]])/100, 1) &lt; 0.2,0.2,IFERROR((100-TableauIngredients[[#This Row],[% eau]])/100, 1))</f>
        <v>0.4</v>
      </c>
      <c r="C3">
        <v>60</v>
      </c>
      <c r="D3" t="s">
        <v>119</v>
      </c>
      <c r="F3" s="641"/>
      <c r="G3"/>
    </row>
    <row r="4" spans="1:7">
      <c r="A4" t="str">
        <f ca="1">PROPER(TableauIngredients[[#This Row],[Ingredients]])</f>
        <v>Amande Douce</v>
      </c>
      <c r="B4" s="538">
        <f>IF(IFERROR((100-TableauIngredients[[#This Row],[% eau]])/100, 1) &lt; 0.2,0.2,IFERROR((100-TableauIngredients[[#This Row],[% eau]])/100, 1))</f>
        <v>0.8</v>
      </c>
      <c r="C4">
        <v>20</v>
      </c>
      <c r="D4" t="s">
        <v>120</v>
      </c>
      <c r="F4" s="641">
        <v>22.16</v>
      </c>
      <c r="G4" s="2" t="s">
        <v>121</v>
      </c>
    </row>
    <row r="5" spans="1:7">
      <c r="A5" t="str">
        <f ca="1">PROPER(TableauIngredients[[#This Row],[Ingredients]])</f>
        <v>Amchur</v>
      </c>
      <c r="B5" s="538">
        <f>IF(IFERROR((100-TableauIngredients[[#This Row],[% eau]])/100, 1) &lt; 0.2,0.2,IFERROR((100-TableauIngredients[[#This Row],[% eau]])/100, 1))</f>
        <v>0.2</v>
      </c>
      <c r="C5">
        <v>97</v>
      </c>
      <c r="D5" t="s">
        <v>122</v>
      </c>
      <c r="F5" s="641">
        <v>5.26</v>
      </c>
      <c r="G5" s="2" t="s">
        <v>123</v>
      </c>
    </row>
    <row r="6" spans="1:7">
      <c r="A6" t="str">
        <f ca="1">PROPER(TableauIngredients[[#This Row],[Ingredients]])</f>
        <v>Aneth Sec</v>
      </c>
      <c r="B6" s="538">
        <f>IF(IFERROR((100-TableauIngredients[[#This Row],[% eau]])/100, 1) &lt; 0.2,0.2,IFERROR((100-TableauIngredients[[#This Row],[% eau]])/100, 1))</f>
        <v>0.2</v>
      </c>
      <c r="C6">
        <v>90</v>
      </c>
      <c r="D6" t="s">
        <v>124</v>
      </c>
      <c r="F6" s="641"/>
    </row>
    <row r="7" spans="1:7">
      <c r="A7" t="str">
        <f ca="1">PROPER(TableauIngredients[[#This Row],[Ingredients]])</f>
        <v>Anis Étoilé</v>
      </c>
      <c r="B7" s="538">
        <f>IF(IFERROR((100-TableauIngredients[[#This Row],[% eau]])/100, 1) &lt; 0.2,0.2,IFERROR((100-TableauIngredients[[#This Row],[% eau]])/100, 1))</f>
        <v>0.9</v>
      </c>
      <c r="C7">
        <v>10</v>
      </c>
      <c r="D7" t="s">
        <v>701</v>
      </c>
      <c r="F7" s="641">
        <v>32</v>
      </c>
      <c r="G7" s="2" t="s">
        <v>702</v>
      </c>
    </row>
    <row r="8" spans="1:7">
      <c r="A8" t="str">
        <f ca="1">PROPER(TableauIngredients[[#This Row],[Ingredients]])</f>
        <v>Asafoetida</v>
      </c>
      <c r="B8" s="538">
        <f>IF(IFERROR((100-TableauIngredients[[#This Row],[% eau]])/100, 1) &lt; 0.2,0.2,IFERROR((100-TableauIngredients[[#This Row],[% eau]])/100, 1))</f>
        <v>0.2</v>
      </c>
      <c r="C8">
        <v>97</v>
      </c>
      <c r="D8" t="s">
        <v>126</v>
      </c>
      <c r="F8" s="641">
        <v>100</v>
      </c>
      <c r="G8" s="1"/>
    </row>
    <row r="9" spans="1:7">
      <c r="A9" t="str">
        <f ca="1">PROPER(TableauIngredients[[#This Row],[Ingredients]])</f>
        <v>Basilic</v>
      </c>
      <c r="B9" s="538">
        <f>IF(IFERROR((100-TableauIngredients[[#This Row],[% eau]])/100, 1) &lt; 0.2,0.2,IFERROR((100-TableauIngredients[[#This Row],[% eau]])/100, 1))</f>
        <v>1</v>
      </c>
      <c r="C9">
        <v>0</v>
      </c>
      <c r="D9" t="s">
        <v>127</v>
      </c>
      <c r="E9">
        <v>12</v>
      </c>
      <c r="F9" s="641"/>
      <c r="G9"/>
    </row>
    <row r="10" spans="1:7">
      <c r="A10" t="str">
        <f ca="1">PROPER(TableauIngredients[[#This Row],[Ingredients]])</f>
        <v>Basilic Sec</v>
      </c>
      <c r="B10" s="538">
        <f>IF(IFERROR((100-TableauIngredients[[#This Row],[% eau]])/100, 1) &lt; 0.2,0.2,IFERROR((100-TableauIngredients[[#This Row],[% eau]])/100, 1))</f>
        <v>0.2</v>
      </c>
      <c r="C10">
        <v>92</v>
      </c>
      <c r="D10" t="s">
        <v>127</v>
      </c>
      <c r="E10">
        <v>12</v>
      </c>
      <c r="F10" s="641"/>
      <c r="G10" s="1"/>
    </row>
    <row r="11" spans="1:7">
      <c r="A11" t="str">
        <f ca="1">PROPER(TableauIngredients[[#This Row],[Ingredients]])</f>
        <v>Basilic Thaï</v>
      </c>
      <c r="B11" s="538">
        <f>IF(IFERROR((100-TableauIngredients[[#This Row],[% eau]])/100, 1) &lt; 0.2,0.2,IFERROR((100-TableauIngredients[[#This Row],[% eau]])/100, 1))</f>
        <v>1</v>
      </c>
      <c r="C11">
        <v>0</v>
      </c>
      <c r="D11" t="s">
        <v>128</v>
      </c>
      <c r="E11">
        <v>12</v>
      </c>
      <c r="F11" s="641"/>
      <c r="G11"/>
    </row>
    <row r="12" spans="1:7">
      <c r="A12" t="str">
        <f ca="1">PROPER(TableauIngredients[[#This Row],[Ingredients]])</f>
        <v>Basilic Thaï Sec</v>
      </c>
      <c r="B12" s="538">
        <f>IF(IFERROR((100-TableauIngredients[[#This Row],[% eau]])/100, 1) &lt; 0.2,0.2,IFERROR((100-TableauIngredients[[#This Row],[% eau]])/100, 1))</f>
        <v>0.2</v>
      </c>
      <c r="C12">
        <v>97</v>
      </c>
      <c r="D12" t="s">
        <v>128</v>
      </c>
      <c r="E12">
        <v>12</v>
      </c>
      <c r="F12" s="641"/>
      <c r="G12"/>
    </row>
    <row r="13" spans="1:7">
      <c r="A13" t="str">
        <f ca="1">PROPER(TableauIngredients[[#This Row],[Ingredients]])</f>
        <v>Bâton De Cannelle</v>
      </c>
      <c r="B13" s="538">
        <f>IF(IFERROR((100-TableauIngredients[[#This Row],[% eau]])/100, 1) &lt; 0.2,0.2,IFERROR((100-TableauIngredients[[#This Row],[% eau]])/100, 1))</f>
        <v>0.2</v>
      </c>
      <c r="C13">
        <v>97</v>
      </c>
      <c r="D13" t="s">
        <v>129</v>
      </c>
      <c r="F13" s="641">
        <v>22</v>
      </c>
      <c r="G13" s="1"/>
    </row>
    <row r="14" spans="1:7">
      <c r="A14" t="str">
        <f ca="1">PROPER(TableauIngredients[[#This Row],[Ingredients]])</f>
        <v>Bleuet</v>
      </c>
      <c r="B14" s="538">
        <f>IF(IFERROR((100-TableauIngredients[[#This Row],[% eau]])/100, 1) &lt; 0.2,0.2,IFERROR((100-TableauIngredients[[#This Row],[% eau]])/100, 1))</f>
        <v>1</v>
      </c>
      <c r="C14">
        <v>0</v>
      </c>
      <c r="D14" t="s">
        <v>130</v>
      </c>
      <c r="F14" s="641"/>
    </row>
    <row r="15" spans="1:7">
      <c r="A15" t="str">
        <f ca="1">PROPER(TableauIngredients[[#This Row],[Ingredients]])</f>
        <v>Bleuet Sec</v>
      </c>
      <c r="B15" s="538">
        <f>IF(IFERROR((100-TableauIngredients[[#This Row],[% eau]])/100, 1) &lt; 0.2,0.2,IFERROR((100-TableauIngredients[[#This Row],[% eau]])/100, 1))</f>
        <v>0.2</v>
      </c>
      <c r="C15">
        <v>97</v>
      </c>
      <c r="D15" t="s">
        <v>130</v>
      </c>
      <c r="F15" s="641"/>
    </row>
    <row r="16" spans="1:7">
      <c r="A16" t="str">
        <f ca="1">PROPER(TableauIngredients[[#This Row],[Ingredients]])</f>
        <v>Bouillon Poulet</v>
      </c>
      <c r="B16" s="538">
        <f>IF(IFERROR((100-TableauIngredients[[#This Row],[% eau]])/100, 1) &lt; 0.2,0.2,IFERROR((100-TableauIngredients[[#This Row],[% eau]])/100, 1))</f>
        <v>1</v>
      </c>
      <c r="F16" s="641">
        <v>28</v>
      </c>
      <c r="G16" s="3" t="s">
        <v>131</v>
      </c>
    </row>
    <row r="17" spans="1:7">
      <c r="A17" t="str">
        <f ca="1">PROPER(TableauIngredients[[#This Row],[Ingredients]])</f>
        <v>Cacahuètes Grillées</v>
      </c>
      <c r="B17" s="538">
        <f>IF(IFERROR((100-TableauIngredients[[#This Row],[% eau]])/100, 1) &lt; 0.2,0.2,IFERROR((100-TableauIngredients[[#This Row],[% eau]])/100, 1))</f>
        <v>1</v>
      </c>
      <c r="D17" t="s">
        <v>703</v>
      </c>
      <c r="F17" s="641">
        <v>7.9</v>
      </c>
      <c r="G17" s="16" t="s">
        <v>133</v>
      </c>
    </row>
    <row r="18" spans="1:7">
      <c r="A18" t="str">
        <f ca="1">PROPER(TableauIngredients[[#This Row],[Ingredients]])</f>
        <v>Camomille Romaine</v>
      </c>
      <c r="B18" s="538">
        <f>IF(IFERROR((100-TableauIngredients[[#This Row],[% eau]])/100, 1) &lt; 0.2,0.2,IFERROR((100-TableauIngredients[[#This Row],[% eau]])/100, 1))</f>
        <v>1</v>
      </c>
      <c r="C18">
        <v>0</v>
      </c>
      <c r="D18" t="s">
        <v>134</v>
      </c>
      <c r="F18" s="641"/>
    </row>
    <row r="19" spans="1:7">
      <c r="A19" t="str">
        <f ca="1">PROPER(TableauIngredients[[#This Row],[Ingredients]])</f>
        <v>Camomille Romaine Sec</v>
      </c>
      <c r="B19" s="538">
        <f>IF(IFERROR((100-TableauIngredients[[#This Row],[% eau]])/100, 1) &lt; 0.2,0.2,IFERROR((100-TableauIngredients[[#This Row],[% eau]])/100, 1))</f>
        <v>0.2</v>
      </c>
      <c r="C19">
        <v>97</v>
      </c>
      <c r="D19" t="s">
        <v>134</v>
      </c>
      <c r="F19" s="641"/>
    </row>
    <row r="20" spans="1:7">
      <c r="A20" t="str">
        <f ca="1">PROPER(TableauIngredients[[#This Row],[Ingredients]])</f>
        <v>Cannelle</v>
      </c>
      <c r="B20" s="538">
        <f>IF(IFERROR((100-TableauIngredients[[#This Row],[% eau]])/100, 1) &lt; 0.2,0.2,IFERROR((100-TableauIngredients[[#This Row],[% eau]])/100, 1))</f>
        <v>0.2</v>
      </c>
      <c r="C20">
        <v>97</v>
      </c>
      <c r="D20" t="s">
        <v>129</v>
      </c>
      <c r="F20" s="641">
        <v>22</v>
      </c>
      <c r="G20" s="2" t="s">
        <v>135</v>
      </c>
    </row>
    <row r="21" spans="1:7">
      <c r="A21" t="str">
        <f ca="1">PROPER(TableauIngredients[[#This Row],[Ingredients]])</f>
        <v>Cannelle Moulue</v>
      </c>
      <c r="B21" s="538">
        <f>IF(IFERROR((100-TableauIngredients[[#This Row],[% eau]])/100, 1) &lt; 0.2,0.2,IFERROR((100-TableauIngredients[[#This Row],[% eau]])/100, 1))</f>
        <v>0.2</v>
      </c>
      <c r="C21">
        <v>97</v>
      </c>
      <c r="D21" t="s">
        <v>129</v>
      </c>
      <c r="F21" s="641">
        <v>22</v>
      </c>
      <c r="G21"/>
    </row>
    <row r="22" spans="1:7">
      <c r="A22" t="str">
        <f ca="1">PROPER(TableauIngredients[[#This Row],[Ingredients]])</f>
        <v>Carvi Moule</v>
      </c>
      <c r="B22" s="538">
        <f>IF(IFERROR((100-TableauIngredients[[#This Row],[% eau]])/100, 1) &lt; 0.2,0.2,IFERROR((100-TableauIngredients[[#This Row],[% eau]])/100, 1))</f>
        <v>0.9</v>
      </c>
      <c r="C22">
        <v>10</v>
      </c>
      <c r="D22" t="s">
        <v>136</v>
      </c>
      <c r="F22" s="641">
        <v>20.75</v>
      </c>
      <c r="G22" s="2" t="s">
        <v>137</v>
      </c>
    </row>
    <row r="23" spans="1:7">
      <c r="A23" t="str">
        <f ca="1">PROPER(TableauIngredients[[#This Row],[Ingredients]])</f>
        <v>Casse Concassée</v>
      </c>
      <c r="B23" s="538">
        <f>IF(IFERROR((100-TableauIngredients[[#This Row],[% eau]])/100, 1) &lt; 0.2,0.2,IFERROR((100-TableauIngredients[[#This Row],[% eau]])/100, 1))</f>
        <v>0.2</v>
      </c>
      <c r="C23">
        <v>97</v>
      </c>
      <c r="D23" t="s">
        <v>138</v>
      </c>
      <c r="F23" s="641">
        <v>59</v>
      </c>
      <c r="G23" s="1"/>
    </row>
    <row r="24" spans="1:7">
      <c r="A24" t="str">
        <f ca="1">PROPER(TableauIngredients[[#This Row],[Ingredients]])</f>
        <v>Cassonade</v>
      </c>
      <c r="B24" s="538">
        <f>IF(IFERROR((100-TableauIngredients[[#This Row],[% eau]])/100, 1) &lt; 0.2,0.2,IFERROR((100-TableauIngredients[[#This Row],[% eau]])/100, 1))</f>
        <v>1</v>
      </c>
      <c r="D24" s="1" t="s">
        <v>139</v>
      </c>
      <c r="E24" s="1"/>
      <c r="F24" s="641"/>
    </row>
    <row r="25" spans="1:7">
      <c r="A25" t="str">
        <f ca="1">PROPER(TableauIngredients[[#This Row],[Ingredients]])</f>
        <v>Céleri</v>
      </c>
      <c r="B25" s="538">
        <f>IF(IFERROR((100-TableauIngredients[[#This Row],[% eau]])/100, 1) &lt; 0.2,0.2,IFERROR((100-TableauIngredients[[#This Row],[% eau]])/100, 1))</f>
        <v>0.2</v>
      </c>
      <c r="C25">
        <v>97</v>
      </c>
      <c r="D25" s="1" t="s">
        <v>704</v>
      </c>
      <c r="E25" s="1"/>
      <c r="F25" s="641"/>
    </row>
    <row r="26" spans="1:7">
      <c r="A26" t="str">
        <f ca="1">PROPER(TableauIngredients[[#This Row],[Ingredients]])</f>
        <v>Céleri En Poudre</v>
      </c>
      <c r="B26" s="538">
        <f>IF(IFERROR((100-TableauIngredients[[#This Row],[% eau]])/100, 1) &lt; 0.2,0.2,IFERROR((100-TableauIngredients[[#This Row],[% eau]])/100, 1))</f>
        <v>0.3</v>
      </c>
      <c r="C26">
        <v>70</v>
      </c>
      <c r="D26" s="1" t="s">
        <v>705</v>
      </c>
      <c r="E26" s="1"/>
      <c r="F26" s="641"/>
    </row>
    <row r="27" spans="1:7">
      <c r="A27" t="str">
        <f ca="1">PROPER(TableauIngredients[[#This Row],[Ingredients]])</f>
        <v>Chenpi (Peau De Mandarine Séchée)</v>
      </c>
      <c r="B27" s="538">
        <f>IF(IFERROR((100-TableauIngredients[[#This Row],[% eau]])/100, 1) &lt; 0.2,0.2,IFERROR((100-TableauIngredients[[#This Row],[% eau]])/100, 1))</f>
        <v>1</v>
      </c>
      <c r="D27" t="s">
        <v>706</v>
      </c>
      <c r="F27" s="641">
        <v>76.73</v>
      </c>
      <c r="G27" s="2" t="s">
        <v>140</v>
      </c>
    </row>
    <row r="28" spans="1:7">
      <c r="A28" t="str">
        <f ca="1">PROPER(TableauIngredients[[#This Row],[Ingredients]])</f>
        <v>Citron Jaune</v>
      </c>
      <c r="B28" s="538">
        <f>IF(IFERROR((100-TableauIngredients[[#This Row],[% eau]])/100, 1) &lt; 0.2,0.2,IFERROR((100-TableauIngredients[[#This Row],[% eau]])/100, 1))</f>
        <v>0.2</v>
      </c>
      <c r="C28">
        <v>90</v>
      </c>
      <c r="D28" t="s">
        <v>141</v>
      </c>
      <c r="F28" s="641">
        <v>12</v>
      </c>
      <c r="G28" s="2" t="s">
        <v>142</v>
      </c>
    </row>
    <row r="29" spans="1:7">
      <c r="A29" t="str">
        <f ca="1">PROPER(TableauIngredients[[#This Row],[Ingredients]])</f>
        <v>Citron Vert</v>
      </c>
      <c r="B29" s="538">
        <f>IF(IFERROR((100-TableauIngredients[[#This Row],[% eau]])/100, 1) &lt; 0.2,0.2,IFERROR((100-TableauIngredients[[#This Row],[% eau]])/100, 1))</f>
        <v>0.2</v>
      </c>
      <c r="C29">
        <v>90</v>
      </c>
      <c r="D29" t="s">
        <v>143</v>
      </c>
      <c r="F29" s="641">
        <v>7</v>
      </c>
      <c r="G29" s="2" t="s">
        <v>144</v>
      </c>
    </row>
    <row r="30" spans="1:7">
      <c r="A30" t="str">
        <f ca="1">PROPER(TableauIngredients[[#This Row],[Ingredients]])</f>
        <v>Clous De Girofle</v>
      </c>
      <c r="B30" s="538">
        <f>IF(IFERROR((100-TableauIngredients[[#This Row],[% eau]])/100, 1) &lt; 0.2,0.2,IFERROR((100-TableauIngredients[[#This Row],[% eau]])/100, 1))</f>
        <v>0.2</v>
      </c>
      <c r="C30">
        <v>97</v>
      </c>
      <c r="D30" t="s">
        <v>145</v>
      </c>
      <c r="F30" s="641">
        <v>36</v>
      </c>
      <c r="G30" s="2" t="s">
        <v>146</v>
      </c>
    </row>
    <row r="31" spans="1:7">
      <c r="A31" t="str">
        <f ca="1">PROPER(TableauIngredients[[#This Row],[Ingredients]])</f>
        <v>Concentré De Tomate</v>
      </c>
      <c r="B31" s="538">
        <f>IF(IFERROR((100-TableauIngredients[[#This Row],[% eau]])/100, 1) &lt; 0.2,0.2,IFERROR((100-TableauIngredients[[#This Row],[% eau]])/100, 1))</f>
        <v>0.2</v>
      </c>
      <c r="C31">
        <v>90</v>
      </c>
      <c r="D31" t="s">
        <v>147</v>
      </c>
      <c r="E31">
        <v>5</v>
      </c>
      <c r="F31" s="641"/>
      <c r="G31"/>
    </row>
    <row r="32" spans="1:7">
      <c r="A32" t="str">
        <f ca="1">PROPER(TableauIngredients[[#This Row],[Ingredients]])</f>
        <v>Coriandre Feuille</v>
      </c>
      <c r="B32" s="538">
        <f>IF(IFERROR((100-TableauIngredients[[#This Row],[% eau]])/100, 1) &lt; 0.2,0.2,IFERROR((100-TableauIngredients[[#This Row],[% eau]])/100, 1))</f>
        <v>1</v>
      </c>
      <c r="C32">
        <v>0</v>
      </c>
      <c r="D32" t="s">
        <v>148</v>
      </c>
      <c r="F32" s="641"/>
      <c r="G32"/>
    </row>
    <row r="33" spans="1:7">
      <c r="A33" t="str">
        <f ca="1">PROPER(TableauIngredients[[#This Row],[Ingredients]])</f>
        <v>Coriandre Feuille Sec</v>
      </c>
      <c r="B33" s="538">
        <f>IF(IFERROR((100-TableauIngredients[[#This Row],[% eau]])/100, 1) &lt; 0.2,0.2,IFERROR((100-TableauIngredients[[#This Row],[% eau]])/100, 1))</f>
        <v>0.2</v>
      </c>
      <c r="C33">
        <v>92</v>
      </c>
      <c r="D33" t="s">
        <v>148</v>
      </c>
      <c r="E33">
        <v>12</v>
      </c>
      <c r="F33" s="641"/>
      <c r="G33" s="1"/>
    </row>
    <row r="34" spans="1:7">
      <c r="A34" t="str">
        <f ca="1">PROPER(TableauIngredients[[#This Row],[Ingredients]])</f>
        <v>Coriandre Graine</v>
      </c>
      <c r="B34" s="538">
        <f>IF(IFERROR((100-TableauIngredients[[#This Row],[% eau]])/100, 1) &lt; 0.2,0.2,IFERROR((100-TableauIngredients[[#This Row],[% eau]])/100, 1))</f>
        <v>0.7</v>
      </c>
      <c r="C34">
        <v>30</v>
      </c>
      <c r="D34" t="s">
        <v>149</v>
      </c>
      <c r="E34">
        <f>12.05*1.055</f>
        <v>12.71275</v>
      </c>
      <c r="F34" s="641"/>
      <c r="G34" s="2" t="s">
        <v>150</v>
      </c>
    </row>
    <row r="35" spans="1:7">
      <c r="A35" t="str">
        <f ca="1">PROPER(TableauIngredients[[#This Row],[Ingredients]])</f>
        <v>Coriandre Moulue</v>
      </c>
      <c r="B35" s="538">
        <f>IF(IFERROR((100-TableauIngredients[[#This Row],[% eau]])/100, 1) &lt; 0.2,0.2,IFERROR((100-TableauIngredients[[#This Row],[% eau]])/100, 1))</f>
        <v>1</v>
      </c>
      <c r="D35" t="s">
        <v>149</v>
      </c>
      <c r="E35">
        <f>12.05*1.055</f>
        <v>12.71275</v>
      </c>
      <c r="F35" s="641"/>
    </row>
    <row r="36" spans="1:7">
      <c r="A36" t="str">
        <f ca="1">PROPER(TableauIngredients[[#This Row],[Ingredients]])</f>
        <v>Cumin Moulu</v>
      </c>
      <c r="B36" s="538">
        <f>IF(IFERROR((100-TableauIngredients[[#This Row],[% eau]])/100, 1) &lt; 0.2,0.2,IFERROR((100-TableauIngredients[[#This Row],[% eau]])/100, 1))</f>
        <v>0.7</v>
      </c>
      <c r="C36">
        <v>30</v>
      </c>
      <c r="D36" t="s">
        <v>151</v>
      </c>
      <c r="E36">
        <f>42.9*1.055</f>
        <v>45.259499999999996</v>
      </c>
      <c r="F36" s="641"/>
      <c r="G36" s="2" t="s">
        <v>152</v>
      </c>
    </row>
    <row r="37" spans="1:7">
      <c r="A37" t="str">
        <f ca="1">PROPER(TableauIngredients[[#This Row],[Ingredients]])</f>
        <v>Cumin Noir</v>
      </c>
      <c r="B37" s="538">
        <f>IF(IFERROR((100-TableauIngredients[[#This Row],[% eau]])/100, 1) &lt; 0.2,0.2,IFERROR((100-TableauIngredients[[#This Row],[% eau]])/100, 1))</f>
        <v>0.9</v>
      </c>
      <c r="C37">
        <v>10</v>
      </c>
      <c r="D37" t="s">
        <v>153</v>
      </c>
      <c r="E37">
        <v>21.95</v>
      </c>
      <c r="F37" s="641"/>
      <c r="G37" s="2" t="s">
        <v>154</v>
      </c>
    </row>
    <row r="38" spans="1:7">
      <c r="A38" t="str">
        <f ca="1">PROPER(TableauIngredients[[#This Row],[Ingredients]])</f>
        <v>Curcuma Moulu</v>
      </c>
      <c r="B38" s="538">
        <f>IF(IFERROR((100-TableauIngredients[[#This Row],[% eau]])/100, 1) &lt; 0.2,0.2,IFERROR((100-TableauIngredients[[#This Row],[% eau]])/100, 1))</f>
        <v>0.85</v>
      </c>
      <c r="C38">
        <v>15</v>
      </c>
      <c r="D38" t="s">
        <v>155</v>
      </c>
      <c r="F38" s="641"/>
      <c r="G38" s="2" t="s">
        <v>156</v>
      </c>
    </row>
    <row r="39" spans="1:7">
      <c r="A39" t="str">
        <f ca="1">PROPER(TableauIngredients[[#This Row],[Ingredients]])</f>
        <v>Eau</v>
      </c>
      <c r="B39" s="538">
        <v>1</v>
      </c>
      <c r="C39">
        <v>100</v>
      </c>
      <c r="D39" t="s">
        <v>157</v>
      </c>
      <c r="E39">
        <v>1E-3</v>
      </c>
      <c r="F39" s="641"/>
      <c r="G39" s="2"/>
    </row>
    <row r="40" spans="1:7">
      <c r="A40" t="str">
        <f ca="1">PROPER(TableauIngredients[[#This Row],[Ingredients]])</f>
        <v>Fenugrec</v>
      </c>
      <c r="B40" s="538">
        <f>IF(IFERROR((100-TableauIngredients[[#This Row],[% eau]])/100, 1) &lt; 0.2,0.2,IFERROR((100-TableauIngredients[[#This Row],[% eau]])/100, 1))</f>
        <v>0.9</v>
      </c>
      <c r="C40">
        <v>10</v>
      </c>
      <c r="D40" t="s">
        <v>158</v>
      </c>
      <c r="E40">
        <v>12.55</v>
      </c>
      <c r="F40" s="641"/>
      <c r="G40" s="2" t="s">
        <v>159</v>
      </c>
    </row>
    <row r="41" spans="1:7">
      <c r="A41" t="str">
        <f ca="1">PROPER(TableauIngredients[[#This Row],[Ingredients]])</f>
        <v>Feuille De 4 Épices</v>
      </c>
      <c r="B41" s="538">
        <f>IF(IFERROR((100-TableauIngredients[[#This Row],[% eau]])/100, 1) &lt; 0.2,0.2,IFERROR((100-TableauIngredients[[#This Row],[% eau]])/100, 1))</f>
        <v>0.2</v>
      </c>
      <c r="C41">
        <v>97</v>
      </c>
      <c r="D41" t="s">
        <v>707</v>
      </c>
      <c r="F41" s="641">
        <v>19.170000000000002</v>
      </c>
      <c r="G41" s="2" t="s">
        <v>160</v>
      </c>
    </row>
    <row r="42" spans="1:7">
      <c r="A42" t="str">
        <f ca="1">PROPER(TableauIngredients[[#This Row],[Ingredients]])</f>
        <v>Feuilles De Cannelier</v>
      </c>
      <c r="B42" s="538">
        <f>IF(IFERROR((100-TableauIngredients[[#This Row],[% eau]])/100, 1) &lt; 0.2,0.2,IFERROR((100-TableauIngredients[[#This Row],[% eau]])/100, 1))</f>
        <v>0.2</v>
      </c>
      <c r="C42">
        <v>97</v>
      </c>
      <c r="D42" s="1" t="s">
        <v>161</v>
      </c>
      <c r="E42" s="1"/>
      <c r="F42" s="641"/>
    </row>
    <row r="43" spans="1:7">
      <c r="A43" t="str">
        <f ca="1">PROPER(TableauIngredients[[#This Row],[Ingredients]])</f>
        <v>Feuilles De Curry</v>
      </c>
      <c r="B43" s="538">
        <f>IF(IFERROR((100-TableauIngredients[[#This Row],[% eau]])/100, 1) &lt; 0.2,0.2,IFERROR((100-TableauIngredients[[#This Row],[% eau]])/100, 1))</f>
        <v>0.2</v>
      </c>
      <c r="C43">
        <v>97</v>
      </c>
      <c r="D43" s="1" t="s">
        <v>162</v>
      </c>
      <c r="E43" s="1"/>
      <c r="F43" s="641"/>
    </row>
    <row r="44" spans="1:7">
      <c r="A44" t="str">
        <f ca="1">PROPER(TableauIngredients[[#This Row],[Ingredients]])</f>
        <v>Feuilles De Laurier</v>
      </c>
      <c r="B44" s="538">
        <f>IF(IFERROR((100-TableauIngredients[[#This Row],[% eau]])/100, 1) &lt; 0.2,0.2,IFERROR((100-TableauIngredients[[#This Row],[% eau]])/100, 1))</f>
        <v>1</v>
      </c>
      <c r="C44">
        <v>0</v>
      </c>
      <c r="D44" t="s">
        <v>163</v>
      </c>
      <c r="E44" s="1"/>
      <c r="F44" s="641"/>
    </row>
    <row r="45" spans="1:7">
      <c r="A45" t="str">
        <f ca="1">PROPER(TableauIngredients[[#This Row],[Ingredients]])</f>
        <v>Feuilles De Laurier Sec</v>
      </c>
      <c r="B45" s="538">
        <f>IF(IFERROR((100-TableauIngredients[[#This Row],[% eau]])/100, 1) &lt; 0.2,0.2,IFERROR((100-TableauIngredients[[#This Row],[% eau]])/100, 1))</f>
        <v>0.35</v>
      </c>
      <c r="C45">
        <v>65</v>
      </c>
      <c r="D45" t="s">
        <v>163</v>
      </c>
      <c r="E45">
        <f>47.4*1.055</f>
        <v>50.006999999999998</v>
      </c>
      <c r="F45" s="641"/>
      <c r="G45" s="2" t="s">
        <v>164</v>
      </c>
    </row>
    <row r="46" spans="1:7">
      <c r="A46" t="str">
        <f ca="1">PROPER(TableauIngredients[[#This Row],[Ingredients]])</f>
        <v>Figue</v>
      </c>
      <c r="B46" s="538">
        <f>IF(IFERROR((100-TableauIngredients[[#This Row],[% eau]])/100, 1) &lt; 0.2,0.2,IFERROR((100-TableauIngredients[[#This Row],[% eau]])/100, 1))</f>
        <v>1</v>
      </c>
      <c r="C46">
        <v>0</v>
      </c>
      <c r="D46" t="s">
        <v>165</v>
      </c>
      <c r="F46" s="641"/>
      <c r="G46" s="2"/>
    </row>
    <row r="47" spans="1:7">
      <c r="A47" t="str">
        <f ca="1">PROPER(TableauIngredients[[#This Row],[Ingredients]])</f>
        <v>Figue Sec</v>
      </c>
      <c r="B47" s="538">
        <f>IF(IFERROR((100-TableauIngredients[[#This Row],[% eau]])/100, 1) &lt; 0.2,0.2,IFERROR((100-TableauIngredients[[#This Row],[% eau]])/100, 1))</f>
        <v>0.2</v>
      </c>
      <c r="C47">
        <v>80</v>
      </c>
      <c r="D47" t="s">
        <v>165</v>
      </c>
      <c r="F47" s="641"/>
      <c r="G47"/>
    </row>
    <row r="48" spans="1:7">
      <c r="A48" t="str">
        <f ca="1">PROPER(TableauIngredients[[#This Row],[Ingredients]])</f>
        <v>Fleure Helichrysum</v>
      </c>
      <c r="B48" s="538">
        <f>IF(IFERROR((100-TableauIngredients[[#This Row],[% eau]])/100, 1) &lt; 0.2,0.2,IFERROR((100-TableauIngredients[[#This Row],[% eau]])/100, 1))</f>
        <v>1</v>
      </c>
      <c r="C48">
        <v>0</v>
      </c>
      <c r="D48" t="s">
        <v>166</v>
      </c>
      <c r="F48" s="641"/>
    </row>
    <row r="49" spans="1:7">
      <c r="A49" t="str">
        <f ca="1">PROPER(TableauIngredients[[#This Row],[Ingredients]])</f>
        <v>Fleure Helichrysum Sec</v>
      </c>
      <c r="B49" s="538">
        <f>IF(IFERROR((100-TableauIngredients[[#This Row],[% eau]])/100, 1) &lt; 0.2,0.2,IFERROR((100-TableauIngredients[[#This Row],[% eau]])/100, 1))</f>
        <v>0.2</v>
      </c>
      <c r="C49">
        <v>90</v>
      </c>
      <c r="D49" t="s">
        <v>166</v>
      </c>
      <c r="F49" s="641"/>
    </row>
    <row r="50" spans="1:7">
      <c r="A50" t="str">
        <f ca="1">PROPER(TableauIngredients[[#This Row],[Ingredients]])</f>
        <v>Gaultheria Procumbens</v>
      </c>
      <c r="B50" s="538">
        <f>IF(IFERROR((100-TableauIngredients[[#This Row],[% eau]])/100, 1) &lt; 0.2,0.2,IFERROR((100-TableauIngredients[[#This Row],[% eau]])/100, 1))</f>
        <v>0.2</v>
      </c>
      <c r="C50">
        <v>99</v>
      </c>
      <c r="D50" t="s">
        <v>167</v>
      </c>
      <c r="F50" s="641"/>
      <c r="G50"/>
    </row>
    <row r="51" spans="1:7">
      <c r="A51" t="str">
        <f ca="1">PROPER(TableauIngredients[[#This Row],[Ingredients]])</f>
        <v>Gingembre</v>
      </c>
      <c r="B51" s="538">
        <f>IF(IFERROR((100-TableauIngredients[[#This Row],[% eau]])/100, 1) &lt; 0.2,0.2,IFERROR((100-TableauIngredients[[#This Row],[% eau]])/100, 1))</f>
        <v>1</v>
      </c>
      <c r="C51">
        <v>0</v>
      </c>
      <c r="D51" t="s">
        <v>168</v>
      </c>
      <c r="F51" s="641"/>
      <c r="G51"/>
    </row>
    <row r="52" spans="1:7">
      <c r="A52" t="str">
        <f ca="1">PROPER(TableauIngredients[[#This Row],[Ingredients]])</f>
        <v>Gingembre Sec</v>
      </c>
      <c r="B52" s="538">
        <f>IF(IFERROR((100-TableauIngredients[[#This Row],[% eau]])/100, 1) &lt; 0.2,0.2,IFERROR((100-TableauIngredients[[#This Row],[% eau]])/100, 1))</f>
        <v>0.85</v>
      </c>
      <c r="C52">
        <v>15</v>
      </c>
      <c r="D52" t="s">
        <v>168</v>
      </c>
      <c r="E52">
        <v>27.6</v>
      </c>
      <c r="F52" s="641"/>
      <c r="G52" s="2" t="s">
        <v>169</v>
      </c>
    </row>
    <row r="53" spans="1:7">
      <c r="A53" t="str">
        <f ca="1">PROPER(TableauIngredients[[#This Row],[Ingredients]])</f>
        <v>Gousse D'Ail</v>
      </c>
      <c r="B53" s="538">
        <f>IF(IFERROR((100-TableauIngredients[[#This Row],[% eau]])/100, 1) &lt; 0.2,0.2,IFERROR((100-TableauIngredients[[#This Row],[% eau]])/100, 1))</f>
        <v>1</v>
      </c>
      <c r="C53">
        <v>0</v>
      </c>
      <c r="D53" t="s">
        <v>119</v>
      </c>
      <c r="F53" s="641"/>
      <c r="G53"/>
    </row>
    <row r="54" spans="1:7">
      <c r="A54" t="str">
        <f ca="1">PROPER(TableauIngredients[[#This Row],[Ingredients]])</f>
        <v>Graine D'Aneth</v>
      </c>
      <c r="B54" s="538">
        <f>IF(IFERROR((100-TableauIngredients[[#This Row],[% eau]])/100, 1) &lt; 0.2,0.2,IFERROR((100-TableauIngredients[[#This Row],[% eau]])/100, 1))</f>
        <v>0.2</v>
      </c>
      <c r="C54">
        <v>80</v>
      </c>
      <c r="D54" t="s">
        <v>124</v>
      </c>
      <c r="F54" s="641"/>
    </row>
    <row r="55" spans="1:7">
      <c r="A55" t="str">
        <f ca="1">PROPER(TableauIngredients[[#This Row],[Ingredients]])</f>
        <v>Graine De Cardamone</v>
      </c>
      <c r="B55" s="538">
        <f>IF(IFERROR((100-TableauIngredients[[#This Row],[% eau]])/100, 1) &lt; 0.2,0.2,IFERROR((100-TableauIngredients[[#This Row],[% eau]])/100, 1))</f>
        <v>0.2</v>
      </c>
      <c r="C55">
        <v>97</v>
      </c>
      <c r="D55" t="s">
        <v>170</v>
      </c>
      <c r="F55" s="641">
        <f>108.1*1.055</f>
        <v>114.04549999999999</v>
      </c>
      <c r="G55" s="2" t="s">
        <v>171</v>
      </c>
    </row>
    <row r="56" spans="1:7">
      <c r="A56" t="str">
        <f ca="1">PROPER(TableauIngredients[[#This Row],[Ingredients]])</f>
        <v>Graine De Carvi</v>
      </c>
      <c r="B56" s="538">
        <f>IF(IFERROR((100-TableauIngredients[[#This Row],[% eau]])/100, 1) &lt; 0.2,0.2,IFERROR((100-TableauIngredients[[#This Row],[% eau]])/100, 1))</f>
        <v>0.7</v>
      </c>
      <c r="C56">
        <v>30</v>
      </c>
      <c r="D56" t="s">
        <v>136</v>
      </c>
      <c r="E56">
        <f>20.75*1.055</f>
        <v>21.891249999999999</v>
      </c>
      <c r="F56" s="641"/>
      <c r="G56" s="2" t="s">
        <v>172</v>
      </c>
    </row>
    <row r="57" spans="1:7">
      <c r="A57" t="str">
        <f ca="1">PROPER(TableauIngredients[[#This Row],[Ingredients]])</f>
        <v>Graine De Cumin</v>
      </c>
      <c r="B57" s="538">
        <f>IF(IFERROR((100-TableauIngredients[[#This Row],[% eau]])/100, 1) &lt; 0.2,0.2,IFERROR((100-TableauIngredients[[#This Row],[% eau]])/100, 1))</f>
        <v>0.7</v>
      </c>
      <c r="C57">
        <v>30</v>
      </c>
      <c r="D57" t="s">
        <v>151</v>
      </c>
      <c r="E57">
        <f>42.9*1.055</f>
        <v>45.259499999999996</v>
      </c>
      <c r="F57" s="641"/>
      <c r="G57" s="2" t="s">
        <v>152</v>
      </c>
    </row>
    <row r="58" spans="1:7">
      <c r="A58" t="str">
        <f ca="1">PROPER(TableauIngredients[[#This Row],[Ingredients]])</f>
        <v>Graine De Fenouil</v>
      </c>
      <c r="B58" s="538">
        <f>IF(IFERROR((100-TableauIngredients[[#This Row],[% eau]])/100, 1) &lt; 0.2,0.2,IFERROR((100-TableauIngredients[[#This Row],[% eau]])/100, 1))</f>
        <v>0.7</v>
      </c>
      <c r="C58">
        <v>30</v>
      </c>
      <c r="D58" t="s">
        <v>173</v>
      </c>
      <c r="E58">
        <v>17.5</v>
      </c>
      <c r="F58" s="641"/>
      <c r="G58" s="2" t="s">
        <v>174</v>
      </c>
    </row>
    <row r="59" spans="1:7">
      <c r="A59" t="str">
        <f ca="1">PROPER(TableauIngredients[[#This Row],[Ingredients]])</f>
        <v>Graine De Fenugrec</v>
      </c>
      <c r="B59" s="538">
        <f>IF(IFERROR((100-TableauIngredients[[#This Row],[% eau]])/100, 1) &lt; 0.2,0.2,IFERROR((100-TableauIngredients[[#This Row],[% eau]])/100, 1))</f>
        <v>0.7</v>
      </c>
      <c r="C59">
        <v>30</v>
      </c>
      <c r="D59" t="s">
        <v>158</v>
      </c>
      <c r="E59">
        <v>12.55</v>
      </c>
      <c r="F59" s="641"/>
      <c r="G59" s="2" t="s">
        <v>175</v>
      </c>
    </row>
    <row r="60" spans="1:7">
      <c r="A60" t="str">
        <f ca="1">PROPER(TableauIngredients[[#This Row],[Ingredients]])</f>
        <v>Graine De Moutarde</v>
      </c>
      <c r="B60" s="538">
        <f>IF(IFERROR((100-TableauIngredients[[#This Row],[% eau]])/100, 1) &lt; 0.2,0.2,IFERROR((100-TableauIngredients[[#This Row],[% eau]])/100, 1))</f>
        <v>0.7</v>
      </c>
      <c r="C60">
        <v>30</v>
      </c>
      <c r="D60" t="s">
        <v>176</v>
      </c>
      <c r="E60">
        <v>10.85</v>
      </c>
      <c r="F60" s="641"/>
      <c r="G60" s="2" t="s">
        <v>177</v>
      </c>
    </row>
    <row r="61" spans="1:7">
      <c r="A61" t="str">
        <f ca="1">PROPER(TableauIngredients[[#This Row],[Ingredients]])</f>
        <v>Graine De Moutarde Noire</v>
      </c>
      <c r="B61" s="538">
        <f>IF(IFERROR((100-TableauIngredients[[#This Row],[% eau]])/100, 1) &lt; 0.2,0.2,IFERROR((100-TableauIngredients[[#This Row],[% eau]])/100, 1))</f>
        <v>0.7</v>
      </c>
      <c r="C61">
        <v>30</v>
      </c>
      <c r="D61" t="s">
        <v>178</v>
      </c>
      <c r="E61">
        <v>12.9</v>
      </c>
      <c r="F61" s="641"/>
      <c r="G61" s="2" t="s">
        <v>179</v>
      </c>
    </row>
    <row r="62" spans="1:7">
      <c r="A62" t="str">
        <f ca="1">PROPER(TableauIngredients[[#This Row],[Ingredients]])</f>
        <v>Graine De Nigelle</v>
      </c>
      <c r="B62" s="538">
        <f>IF(IFERROR((100-TableauIngredients[[#This Row],[% eau]])/100, 1) &lt; 0.2,0.2,IFERROR((100-TableauIngredients[[#This Row],[% eau]])/100, 1))</f>
        <v>0.7</v>
      </c>
      <c r="C62">
        <v>30</v>
      </c>
      <c r="D62" t="s">
        <v>180</v>
      </c>
      <c r="E62">
        <v>21.95</v>
      </c>
      <c r="F62" s="641"/>
      <c r="G62" s="2" t="s">
        <v>181</v>
      </c>
    </row>
    <row r="63" spans="1:7">
      <c r="A63" t="str">
        <f ca="1">PROPER(TableauIngredients[[#This Row],[Ingredients]])</f>
        <v>Graines De Pavot</v>
      </c>
      <c r="B63" s="538">
        <f>IF(IFERROR((100-TableauIngredients[[#This Row],[% eau]])/100, 1) &lt; 0.2,0.2,IFERROR((100-TableauIngredients[[#This Row],[% eau]])/100, 1))</f>
        <v>0.6</v>
      </c>
      <c r="C63">
        <v>40</v>
      </c>
      <c r="D63" s="1" t="s">
        <v>182</v>
      </c>
      <c r="E63" s="1"/>
      <c r="F63" s="641"/>
    </row>
    <row r="64" spans="1:7">
      <c r="A64" t="str">
        <f ca="1">PROPER(TableauIngredients[[#This Row],[Ingredients]])</f>
        <v>Graines De Sésame</v>
      </c>
      <c r="B64" s="538">
        <f>IF(IFERROR((100-TableauIngredients[[#This Row],[% eau]])/100, 1) &lt; 0.2,0.2,IFERROR((100-TableauIngredients[[#This Row],[% eau]])/100, 1))</f>
        <v>0.7</v>
      </c>
      <c r="C64">
        <v>30</v>
      </c>
      <c r="D64" t="s">
        <v>708</v>
      </c>
      <c r="F64" s="641"/>
      <c r="G64"/>
    </row>
    <row r="65" spans="1:7">
      <c r="A65" t="str">
        <f ca="1">PROPER(TableauIngredients[[#This Row],[Ingredients]])</f>
        <v>Grande Ortie</v>
      </c>
      <c r="B65" s="538">
        <f>IF(IFERROR((100-TableauIngredients[[#This Row],[% eau]])/100, 1) &lt; 0.2,0.2,IFERROR((100-TableauIngredients[[#This Row],[% eau]])/100, 1))</f>
        <v>0.2</v>
      </c>
      <c r="C65">
        <v>95</v>
      </c>
      <c r="D65" t="s">
        <v>183</v>
      </c>
      <c r="E65">
        <v>28.55</v>
      </c>
      <c r="F65" s="641"/>
      <c r="G65" s="2" t="s">
        <v>184</v>
      </c>
    </row>
    <row r="66" spans="1:7">
      <c r="A66" t="str">
        <f ca="1">PROPER(TableauIngredients[[#This Row],[Ingredients]])</f>
        <v>Guimauve Feuille</v>
      </c>
      <c r="B66" s="538">
        <f>IF(IFERROR((100-TableauIngredients[[#This Row],[% eau]])/100, 1) &lt; 0.2,0.2,IFERROR((100-TableauIngredients[[#This Row],[% eau]])/100, 1))</f>
        <v>1</v>
      </c>
      <c r="C66">
        <v>0</v>
      </c>
      <c r="D66" s="1" t="s">
        <v>185</v>
      </c>
      <c r="F66" s="641"/>
    </row>
    <row r="67" spans="1:7">
      <c r="A67" t="str">
        <f ca="1">PROPER(TableauIngredients[[#This Row],[Ingredients]])</f>
        <v>Guimauve Feuille Sec</v>
      </c>
      <c r="B67" s="538">
        <f>IF(IFERROR((100-TableauIngredients[[#This Row],[% eau]])/100, 1) &lt; 0.2,0.2,IFERROR((100-TableauIngredients[[#This Row],[% eau]])/100, 1))</f>
        <v>0.2</v>
      </c>
      <c r="C67">
        <v>95</v>
      </c>
      <c r="D67" s="1" t="s">
        <v>185</v>
      </c>
      <c r="F67" s="641"/>
    </row>
    <row r="68" spans="1:7">
      <c r="A68" t="str">
        <f ca="1">PROPER(TableauIngredients[[#This Row],[Ingredients]])</f>
        <v>Guimauve Fleure</v>
      </c>
      <c r="B68" s="538">
        <f>IF(IFERROR((100-TableauIngredients[[#This Row],[% eau]])/100, 1) &lt; 0.2,0.2,IFERROR((100-TableauIngredients[[#This Row],[% eau]])/100, 1))</f>
        <v>1</v>
      </c>
      <c r="C68">
        <v>0</v>
      </c>
      <c r="D68" s="1" t="s">
        <v>186</v>
      </c>
      <c r="F68" s="641"/>
    </row>
    <row r="69" spans="1:7">
      <c r="A69" t="str">
        <f ca="1">PROPER(TableauIngredients[[#This Row],[Ingredients]])</f>
        <v>Guimauve Fleure Sec</v>
      </c>
      <c r="B69" s="538">
        <f>IF(IFERROR((100-TableauIngredients[[#This Row],[% eau]])/100, 1) &lt; 0.2,0.2,IFERROR((100-TableauIngredients[[#This Row],[% eau]])/100, 1))</f>
        <v>0.2</v>
      </c>
      <c r="C69">
        <v>97</v>
      </c>
      <c r="D69" s="1" t="s">
        <v>186</v>
      </c>
      <c r="F69" s="641"/>
    </row>
    <row r="70" spans="1:7">
      <c r="A70" t="str">
        <f ca="1">PROPER(TableauIngredients[[#This Row],[Ingredients]])</f>
        <v>Guimauve Racine</v>
      </c>
      <c r="B70" s="538">
        <f>IF(IFERROR((100-TableauIngredients[[#This Row],[% eau]])/100, 1) &lt; 0.2,0.2,IFERROR((100-TableauIngredients[[#This Row],[% eau]])/100, 1))</f>
        <v>1</v>
      </c>
      <c r="C70">
        <v>0</v>
      </c>
      <c r="D70" s="1" t="s">
        <v>187</v>
      </c>
      <c r="F70" s="641"/>
    </row>
    <row r="71" spans="1:7">
      <c r="A71" t="str">
        <f ca="1">PROPER(TableauIngredients[[#This Row],[Ingredients]])</f>
        <v>Guimauve Racine Sec</v>
      </c>
      <c r="B71" s="538">
        <f>IF(IFERROR((100-TableauIngredients[[#This Row],[% eau]])/100, 1) &lt; 0.2,0.2,IFERROR((100-TableauIngredients[[#This Row],[% eau]])/100, 1))</f>
        <v>0.35</v>
      </c>
      <c r="C71">
        <v>65</v>
      </c>
      <c r="D71" s="1" t="s">
        <v>187</v>
      </c>
      <c r="F71" s="641"/>
    </row>
    <row r="72" spans="1:7">
      <c r="A72" t="str">
        <f ca="1">PROPER(TableauIngredients[[#This Row],[Ingredients]])</f>
        <v>Harpagophytum Procumbens</v>
      </c>
      <c r="B72" s="538">
        <f>IF(IFERROR((100-TableauIngredients[[#This Row],[% eau]])/100, 1) &lt; 0.2,0.2,IFERROR((100-TableauIngredients[[#This Row],[% eau]])/100, 1))</f>
        <v>0.2</v>
      </c>
      <c r="C72">
        <v>97</v>
      </c>
      <c r="D72" t="s">
        <v>188</v>
      </c>
      <c r="F72" s="641">
        <v>37.15</v>
      </c>
      <c r="G72" s="2" t="s">
        <v>189</v>
      </c>
    </row>
    <row r="73" spans="1:7">
      <c r="A73" t="str">
        <f ca="1">PROPER(TableauIngredients[[#This Row],[Ingredients]])</f>
        <v>Hélichryse</v>
      </c>
      <c r="B73" s="538">
        <f>IF(IFERROR((100-TableauIngredients[[#This Row],[% eau]])/100, 1) &lt; 0.2,0.2,IFERROR((100-TableauIngredients[[#This Row],[% eau]])/100, 1))</f>
        <v>0.2</v>
      </c>
      <c r="C73">
        <v>98</v>
      </c>
      <c r="D73" t="s">
        <v>709</v>
      </c>
      <c r="E73">
        <f>214.5/4.9</f>
        <v>43.775510204081627</v>
      </c>
      <c r="F73" s="641"/>
      <c r="G73" s="2" t="s">
        <v>190</v>
      </c>
    </row>
    <row r="74" spans="1:7">
      <c r="A74" t="str">
        <f ca="1">PROPER(TableauIngredients[[#This Row],[Ingredients]])</f>
        <v>Hémérocalle</v>
      </c>
      <c r="B74" s="538">
        <f>IF(IFERROR((100-TableauIngredients[[#This Row],[% eau]])/100, 1) &lt; 0.2,0.2,IFERROR((100-TableauIngredients[[#This Row],[% eau]])/100, 1))</f>
        <v>1</v>
      </c>
      <c r="C74">
        <v>0</v>
      </c>
      <c r="D74" t="s">
        <v>710</v>
      </c>
      <c r="F74" s="641"/>
    </row>
    <row r="75" spans="1:7">
      <c r="A75" t="str">
        <f ca="1">PROPER(TableauIngredients[[#This Row],[Ingredients]])</f>
        <v>Hémérocalle Sec</v>
      </c>
      <c r="B75" s="538">
        <f>IF(IFERROR((100-TableauIngredients[[#This Row],[% eau]])/100, 1) &lt; 0.2,0.2,IFERROR((100-TableauIngredients[[#This Row],[% eau]])/100, 1))</f>
        <v>0.2</v>
      </c>
      <c r="C75">
        <v>95</v>
      </c>
      <c r="D75" t="s">
        <v>710</v>
      </c>
      <c r="F75" s="641"/>
    </row>
    <row r="76" spans="1:7">
      <c r="A76" t="str">
        <f ca="1">PROPER(TableauIngredients[[#This Row],[Ingredients]])</f>
        <v>Hibiscus</v>
      </c>
      <c r="B76" s="538">
        <f>IF(IFERROR((100-TableauIngredients[[#This Row],[% eau]])/100, 1) &lt; 0.2,0.2,IFERROR((100-TableauIngredients[[#This Row],[% eau]])/100, 1))</f>
        <v>1</v>
      </c>
      <c r="C76">
        <v>0</v>
      </c>
      <c r="D76" t="s">
        <v>191</v>
      </c>
      <c r="F76" s="641"/>
    </row>
    <row r="77" spans="1:7">
      <c r="A77" t="str">
        <f ca="1">PROPER(TableauIngredients[[#This Row],[Ingredients]])</f>
        <v>Hibiscus Sec</v>
      </c>
      <c r="B77" s="538">
        <f>IF(IFERROR((100-TableauIngredients[[#This Row],[% eau]])/100, 1) &lt; 0.2,0.2,IFERROR((100-TableauIngredients[[#This Row],[% eau]])/100, 1))</f>
        <v>0.2</v>
      </c>
      <c r="C77">
        <v>95</v>
      </c>
      <c r="D77" t="s">
        <v>191</v>
      </c>
      <c r="F77" s="641"/>
    </row>
    <row r="78" spans="1:7">
      <c r="A78" t="str">
        <f ca="1">PROPER(TableauIngredients[[#This Row],[Ingredients]])</f>
        <v>Huile D'Olive</v>
      </c>
      <c r="B78" s="538">
        <f>IF(IFERROR((100-TableauIngredients[[#This Row],[% eau]])/100, 1) &lt; 0.2,0.2,IFERROR((100-TableauIngredients[[#This Row],[% eau]])/100, 1))</f>
        <v>0.2</v>
      </c>
      <c r="C78">
        <v>97</v>
      </c>
      <c r="D78" s="1" t="s">
        <v>192</v>
      </c>
      <c r="E78" s="1"/>
      <c r="F78" s="641">
        <v>8</v>
      </c>
      <c r="G78"/>
    </row>
    <row r="79" spans="1:7">
      <c r="A79" t="str">
        <f ca="1">PROPER(TableauIngredients[[#This Row],[Ingredients]])</f>
        <v>Huile De Sesame Grillé</v>
      </c>
      <c r="B79" s="538">
        <f>IF(IFERROR((100-TableauIngredients[[#This Row],[% eau]])/100, 1) &lt; 0.2,0.2,IFERROR((100-TableauIngredients[[#This Row],[% eau]])/100, 1))</f>
        <v>1</v>
      </c>
      <c r="C79">
        <v>0</v>
      </c>
      <c r="D79" t="s">
        <v>711</v>
      </c>
      <c r="F79" s="641">
        <v>16</v>
      </c>
      <c r="G79"/>
    </row>
    <row r="80" spans="1:7">
      <c r="A80" t="str">
        <f ca="1">PROPER(TableauIngredients[[#This Row],[Ingredients]])</f>
        <v>Huile De Tournesol</v>
      </c>
      <c r="B80" s="538">
        <f>IF(IFERROR((100-TableauIngredients[[#This Row],[% eau]])/100, 1) &lt; 0.2,0.2,IFERROR((100-TableauIngredients[[#This Row],[% eau]])/100, 1))</f>
        <v>1</v>
      </c>
      <c r="C80">
        <v>0</v>
      </c>
      <c r="D80" t="s">
        <v>194</v>
      </c>
      <c r="F80" s="641">
        <v>1.5</v>
      </c>
      <c r="G80"/>
    </row>
    <row r="81" spans="1:7">
      <c r="A81" t="str">
        <f ca="1">PROPER(TableauIngredients[[#This Row],[Ingredients]])</f>
        <v>Jaggery</v>
      </c>
      <c r="B81" s="538">
        <f>IF(IFERROR((100-TableauIngredients[[#This Row],[% eau]])/100, 1) &lt; 0.2,0.2,IFERROR((100-TableauIngredients[[#This Row],[% eau]])/100, 1))</f>
        <v>0.7</v>
      </c>
      <c r="C81">
        <v>30</v>
      </c>
      <c r="D81" t="s">
        <v>195</v>
      </c>
      <c r="F81" s="641"/>
      <c r="G81"/>
    </row>
    <row r="82" spans="1:7">
      <c r="A82" t="str">
        <f ca="1">PROPER(TableauIngredients[[#This Row],[Ingredients]])</f>
        <v>Jus De Citron Jaune</v>
      </c>
      <c r="B82" s="538">
        <f>IF(IFERROR((100-TableauIngredients[[#This Row],[% eau]])/100, 1) &lt; 0.2,0.2,IFERROR((100-TableauIngredients[[#This Row],[% eau]])/100, 1))</f>
        <v>0.35</v>
      </c>
      <c r="C82">
        <v>65</v>
      </c>
      <c r="D82" t="s">
        <v>141</v>
      </c>
      <c r="F82" s="641">
        <v>12</v>
      </c>
      <c r="G82" s="2" t="s">
        <v>142</v>
      </c>
    </row>
    <row r="83" spans="1:7">
      <c r="A83" t="str">
        <f ca="1">PROPER(TableauIngredients[[#This Row],[Ingredients]])</f>
        <v>Kala Namak</v>
      </c>
      <c r="B83" s="538">
        <f>IF(IFERROR((100-TableauIngredients[[#This Row],[% eau]])/100, 1) &lt; 0.2,0.2,IFERROR((100-TableauIngredients[[#This Row],[% eau]])/100, 1))</f>
        <v>0.8</v>
      </c>
      <c r="C83">
        <v>20</v>
      </c>
      <c r="D83" t="s">
        <v>196</v>
      </c>
      <c r="F83" s="641">
        <v>97</v>
      </c>
      <c r="G83" t="s">
        <v>197</v>
      </c>
    </row>
    <row r="84" spans="1:7">
      <c r="A84" t="str">
        <f ca="1">PROPER(TableauIngredients[[#This Row],[Ingredients]])</f>
        <v>L'Agastache</v>
      </c>
      <c r="B84" s="538">
        <f>IF(IFERROR((100-TableauIngredients[[#This Row],[% eau]])/100, 1) &lt; 0.2,0.2,IFERROR((100-TableauIngredients[[#This Row],[% eau]])/100, 1))</f>
        <v>1</v>
      </c>
      <c r="C84">
        <v>0</v>
      </c>
      <c r="D84" t="s">
        <v>198</v>
      </c>
      <c r="F84" s="641"/>
    </row>
    <row r="85" spans="1:7">
      <c r="A85" t="str">
        <f ca="1">PROPER(TableauIngredients[[#This Row],[Ingredients]])</f>
        <v>L'Agastache Sec</v>
      </c>
      <c r="B85" s="538">
        <f>IF(IFERROR((100-TableauIngredients[[#This Row],[% eau]])/100, 1) &lt; 0.2,0.2,IFERROR((100-TableauIngredients[[#This Row],[% eau]])/100, 1))</f>
        <v>0.2</v>
      </c>
      <c r="C85">
        <v>95</v>
      </c>
      <c r="D85" t="s">
        <v>198</v>
      </c>
      <c r="F85" s="641"/>
    </row>
    <row r="86" spans="1:7">
      <c r="A86" t="str">
        <f ca="1">PROPER(TableauIngredients[[#This Row],[Ingredients]])</f>
        <v>La Pensée</v>
      </c>
      <c r="B86" s="538">
        <f>IF(IFERROR((100-TableauIngredients[[#This Row],[% eau]])/100, 1) &lt; 0.2,0.2,IFERROR((100-TableauIngredients[[#This Row],[% eau]])/100, 1))</f>
        <v>1</v>
      </c>
      <c r="C86">
        <v>0</v>
      </c>
      <c r="D86" t="s">
        <v>712</v>
      </c>
      <c r="F86" s="641"/>
    </row>
    <row r="87" spans="1:7">
      <c r="A87" t="str">
        <f ca="1">PROPER(TableauIngredients[[#This Row],[Ingredients]])</f>
        <v>La Pensée Sec</v>
      </c>
      <c r="B87" s="538">
        <f>IF(IFERROR((100-TableauIngredients[[#This Row],[% eau]])/100, 1) &lt; 0.2,0.2,IFERROR((100-TableauIngredients[[#This Row],[% eau]])/100, 1))</f>
        <v>0.2</v>
      </c>
      <c r="C87">
        <v>97</v>
      </c>
      <c r="D87" t="s">
        <v>712</v>
      </c>
      <c r="F87" s="641"/>
    </row>
    <row r="88" spans="1:7">
      <c r="A88" t="str">
        <f ca="1">PROPER(TableauIngredients[[#This Row],[Ingredients]])</f>
        <v>Lavande</v>
      </c>
      <c r="B88" s="538">
        <f>IF(IFERROR((100-TableauIngredients[[#This Row],[% eau]])/100, 1) &lt; 0.2,0.2,IFERROR((100-TableauIngredients[[#This Row],[% eau]])/100, 1))</f>
        <v>0.2</v>
      </c>
      <c r="C88">
        <v>92</v>
      </c>
      <c r="D88" t="s">
        <v>199</v>
      </c>
      <c r="E88">
        <v>33.450000000000003</v>
      </c>
      <c r="F88" s="641"/>
      <c r="G88" s="2" t="s">
        <v>200</v>
      </c>
    </row>
    <row r="89" spans="1:7">
      <c r="A89" t="str">
        <f ca="1">PROPER(TableauIngredients[[#This Row],[Ingredients]])</f>
        <v>Lavande</v>
      </c>
      <c r="B89" s="538">
        <f>IF(IFERROR((100-TableauIngredients[[#This Row],[% eau]])/100, 1) &lt; 0.2,0.2,IFERROR((100-TableauIngredients[[#This Row],[% eau]])/100, 1))</f>
        <v>1</v>
      </c>
      <c r="C89">
        <v>0</v>
      </c>
      <c r="D89" t="s">
        <v>199</v>
      </c>
      <c r="F89" s="641"/>
    </row>
    <row r="90" spans="1:7">
      <c r="A90" t="str">
        <f ca="1">PROPER(TableauIngredients[[#This Row],[Ingredients]])</f>
        <v>Lavande Sec</v>
      </c>
      <c r="B90" s="538">
        <f>IF(IFERROR((100-TableauIngredients[[#This Row],[% eau]])/100, 1) &lt; 0.2,0.2,IFERROR((100-TableauIngredients[[#This Row],[% eau]])/100, 1))</f>
        <v>0.2</v>
      </c>
      <c r="C90">
        <v>92</v>
      </c>
      <c r="D90" t="s">
        <v>199</v>
      </c>
      <c r="F90" s="641"/>
    </row>
    <row r="91" spans="1:7">
      <c r="A91" t="str">
        <f ca="1">PROPER(TableauIngredients[[#This Row],[Ingredients]])</f>
        <v>Lilas</v>
      </c>
      <c r="B91" s="538">
        <f>IF(IFERROR((100-TableauIngredients[[#This Row],[% eau]])/100, 1) &lt; 0.2,0.2,IFERROR((100-TableauIngredients[[#This Row],[% eau]])/100, 1))</f>
        <v>1</v>
      </c>
      <c r="C91">
        <v>0</v>
      </c>
      <c r="D91" t="s">
        <v>201</v>
      </c>
      <c r="F91" s="641"/>
    </row>
    <row r="92" spans="1:7">
      <c r="A92" t="str">
        <f ca="1">PROPER(TableauIngredients[[#This Row],[Ingredients]])</f>
        <v>Lilas Sec</v>
      </c>
      <c r="B92" s="538">
        <f>IF(IFERROR((100-TableauIngredients[[#This Row],[% eau]])/100, 1) &lt; 0.2,0.2,IFERROR((100-TableauIngredients[[#This Row],[% eau]])/100, 1))</f>
        <v>0.2</v>
      </c>
      <c r="C92">
        <v>92</v>
      </c>
      <c r="D92" t="s">
        <v>201</v>
      </c>
      <c r="F92" s="641"/>
    </row>
    <row r="93" spans="1:7">
      <c r="A93" t="str">
        <f ca="1">PROPER(TableauIngredients[[#This Row],[Ingredients]])</f>
        <v>Macie</v>
      </c>
      <c r="B93" s="538">
        <f>IF(IFERROR((100-TableauIngredients[[#This Row],[% eau]])/100, 1) &lt; 0.2,0.2,IFERROR((100-TableauIngredients[[#This Row],[% eau]])/100, 1))</f>
        <v>0.2</v>
      </c>
      <c r="C93">
        <v>90</v>
      </c>
      <c r="D93" t="s">
        <v>202</v>
      </c>
      <c r="F93" s="641">
        <v>500</v>
      </c>
      <c r="G93"/>
    </row>
    <row r="94" spans="1:7">
      <c r="A94" t="str">
        <f ca="1">PROPER(TableauIngredients[[#This Row],[Ingredients]])</f>
        <v>Marjolaine</v>
      </c>
      <c r="B94" s="538">
        <f>IF(IFERROR((100-TableauIngredients[[#This Row],[% eau]])/100, 1) &lt; 0.2,0.2,IFERROR((100-TableauIngredients[[#This Row],[% eau]])/100, 1))</f>
        <v>0.2</v>
      </c>
      <c r="C94">
        <v>90</v>
      </c>
      <c r="D94" t="s">
        <v>203</v>
      </c>
      <c r="F94" s="641"/>
    </row>
    <row r="95" spans="1:7">
      <c r="A95" t="str">
        <f ca="1">PROPER(TableauIngredients[[#This Row],[Ingredients]])</f>
        <v>Masera De Piment</v>
      </c>
      <c r="B95" s="538">
        <f>IF(IFERROR((100-TableauIngredients[[#This Row],[% eau]])/100, 1) &lt; 0.2,0.2,IFERROR((100-TableauIngredients[[#This Row],[% eau]])/100, 1))</f>
        <v>0.2</v>
      </c>
      <c r="C95">
        <v>97</v>
      </c>
      <c r="D95" t="s">
        <v>204</v>
      </c>
      <c r="F95" s="641">
        <f>9000/60</f>
        <v>150</v>
      </c>
    </row>
    <row r="96" spans="1:7">
      <c r="A96" t="str">
        <f ca="1">PROPER(TableauIngredients[[#This Row],[Ingredients]])</f>
        <v>Mauve</v>
      </c>
      <c r="B96" s="538">
        <f>IF(IFERROR((100-TableauIngredients[[#This Row],[% eau]])/100, 1) &lt; 0.2,0.2,IFERROR((100-TableauIngredients[[#This Row],[% eau]])/100, 1))</f>
        <v>1</v>
      </c>
      <c r="C96">
        <v>0</v>
      </c>
      <c r="D96" t="s">
        <v>205</v>
      </c>
      <c r="F96" s="641"/>
    </row>
    <row r="97" spans="1:7">
      <c r="A97" t="str">
        <f ca="1">PROPER(TableauIngredients[[#This Row],[Ingredients]])</f>
        <v>Mauve Sec</v>
      </c>
      <c r="B97" s="538">
        <f>IF(IFERROR((100-TableauIngredients[[#This Row],[% eau]])/100, 1) &lt; 0.2,0.2,IFERROR((100-TableauIngredients[[#This Row],[% eau]])/100, 1))</f>
        <v>0.2</v>
      </c>
      <c r="C97">
        <v>97</v>
      </c>
      <c r="D97" t="s">
        <v>205</v>
      </c>
      <c r="F97" s="641"/>
    </row>
    <row r="98" spans="1:7">
      <c r="A98" t="str">
        <f ca="1">PROPER(TableauIngredients[[#This Row],[Ingredients]])</f>
        <v>Mélilot</v>
      </c>
      <c r="B98" s="538">
        <f>IF(IFERROR((100-TableauIngredients[[#This Row],[% eau]])/100, 1) &lt; 0.2,0.2,IFERROR((100-TableauIngredients[[#This Row],[% eau]])/100, 1))</f>
        <v>1</v>
      </c>
      <c r="C98">
        <v>0</v>
      </c>
      <c r="D98" t="s">
        <v>713</v>
      </c>
      <c r="F98" s="641"/>
    </row>
    <row r="99" spans="1:7">
      <c r="A99" t="str">
        <f ca="1">PROPER(TableauIngredients[[#This Row],[Ingredients]])</f>
        <v>Mélilot Sec</v>
      </c>
      <c r="B99" s="538">
        <f>IF(IFERROR((100-TableauIngredients[[#This Row],[% eau]])/100, 1) &lt; 0.2,0.2,IFERROR((100-TableauIngredients[[#This Row],[% eau]])/100, 1))</f>
        <v>0.2</v>
      </c>
      <c r="C99">
        <v>92</v>
      </c>
      <c r="D99" t="s">
        <v>713</v>
      </c>
      <c r="F99" s="641"/>
    </row>
    <row r="100" spans="1:7">
      <c r="A100" s="542" t="s">
        <v>206</v>
      </c>
      <c r="B100" s="538">
        <f>IF(IFERROR((100-TableauIngredients[[#This Row],[% eau]])/100, 1) &lt; 20,0.2)</f>
        <v>0.2</v>
      </c>
      <c r="C100">
        <v>0</v>
      </c>
      <c r="D100" t="s">
        <v>207</v>
      </c>
      <c r="F100" s="641"/>
    </row>
    <row r="101" spans="1:7">
      <c r="A101" t="str">
        <f ca="1">PROPER(TableauIngredients[[#This Row],[Ingredients]])</f>
        <v>Menthe Verte Séchée</v>
      </c>
      <c r="B101" s="538">
        <f>IF(IFERROR((100-TableauIngredients[[#This Row],[% eau]])/100, 1) &lt; 0.2,0.2,IFERROR((100-TableauIngredients[[#This Row],[% eau]])/100, 1))</f>
        <v>0.2</v>
      </c>
      <c r="C101">
        <v>95</v>
      </c>
      <c r="D101" t="s">
        <v>207</v>
      </c>
      <c r="F101" s="641"/>
      <c r="G101"/>
    </row>
    <row r="102" spans="1:7">
      <c r="A102" t="str">
        <f ca="1">PROPER(TableauIngredients[[#This Row],[Ingredients]])</f>
        <v>Miel</v>
      </c>
      <c r="B102" s="538">
        <f>IF(IFERROR((100-TableauIngredients[[#This Row],[% eau]])/100, 1) &lt; 0.2,0.2,IFERROR((100-TableauIngredients[[#This Row],[% eau]])/100, 1))</f>
        <v>1</v>
      </c>
      <c r="C102">
        <v>0</v>
      </c>
      <c r="D102" t="s">
        <v>208</v>
      </c>
      <c r="F102" s="641">
        <v>20</v>
      </c>
      <c r="G102" t="s">
        <v>209</v>
      </c>
    </row>
    <row r="103" spans="1:7">
      <c r="A103" t="str">
        <f ca="1">PROPER(TableauIngredients[[#This Row],[Ingredients]])</f>
        <v>Monarde</v>
      </c>
      <c r="B103" s="538">
        <f>IF(IFERROR((100-TableauIngredients[[#This Row],[% eau]])/100, 1) &lt; 0.2,0.2,IFERROR((100-TableauIngredients[[#This Row],[% eau]])/100, 1))</f>
        <v>1</v>
      </c>
      <c r="C103">
        <v>0</v>
      </c>
      <c r="D103" t="s">
        <v>210</v>
      </c>
      <c r="F103" s="641"/>
    </row>
    <row r="104" spans="1:7">
      <c r="A104" t="str">
        <f ca="1">PROPER(TableauIngredients[[#This Row],[Ingredients]])</f>
        <v>Monarde Sec</v>
      </c>
      <c r="B104" s="538">
        <f>IF(IFERROR((100-TableauIngredients[[#This Row],[% eau]])/100, 1) &lt; 0.2,0.2,IFERROR((100-TableauIngredients[[#This Row],[% eau]])/100, 1))</f>
        <v>0.2</v>
      </c>
      <c r="C104">
        <v>97</v>
      </c>
      <c r="D104" t="s">
        <v>210</v>
      </c>
      <c r="F104" s="641"/>
    </row>
    <row r="105" spans="1:7">
      <c r="A105" t="str">
        <f ca="1">PROPER(TableauIngredients[[#This Row],[Ingredients]])</f>
        <v>Muscade</v>
      </c>
      <c r="B105" s="538">
        <f>IF(IFERROR((100-TableauIngredients[[#This Row],[% eau]])/100, 1) &lt; 0.2,0.2,IFERROR((100-TableauIngredients[[#This Row],[% eau]])/100, 1))</f>
        <v>0.85</v>
      </c>
      <c r="C105">
        <v>15</v>
      </c>
      <c r="D105" t="s">
        <v>211</v>
      </c>
      <c r="F105" s="641">
        <v>60</v>
      </c>
      <c r="G105" t="s">
        <v>212</v>
      </c>
    </row>
    <row r="106" spans="1:7">
      <c r="A106" t="str">
        <f ca="1">PROPER(TableauIngredients[[#This Row],[Ingredients]])</f>
        <v>Muscade Moulue</v>
      </c>
      <c r="B106" s="538">
        <f>IF(IFERROR((100-TableauIngredients[[#This Row],[% eau]])/100, 1) &lt; 0.2,0.2,IFERROR((100-TableauIngredients[[#This Row],[% eau]])/100, 1))</f>
        <v>0.85</v>
      </c>
      <c r="C106">
        <v>15</v>
      </c>
      <c r="D106" t="s">
        <v>211</v>
      </c>
      <c r="F106" s="641">
        <v>60</v>
      </c>
      <c r="G106" t="s">
        <v>212</v>
      </c>
    </row>
    <row r="107" spans="1:7">
      <c r="A107" t="str">
        <f ca="1">PROPER(TableauIngredients[[#This Row],[Ingredients]])</f>
        <v>Noisette Entière</v>
      </c>
      <c r="B107" s="538">
        <f>IF(IFERROR((100-TableauIngredients[[#This Row],[% eau]])/100, 1) &lt; 0.2,0.2,IFERROR((100-TableauIngredients[[#This Row],[% eau]])/100, 1))</f>
        <v>0.85</v>
      </c>
      <c r="C107">
        <v>15</v>
      </c>
      <c r="D107" t="s">
        <v>213</v>
      </c>
      <c r="F107" s="641">
        <v>7</v>
      </c>
      <c r="G107" t="s">
        <v>214</v>
      </c>
    </row>
    <row r="108" spans="1:7">
      <c r="A108" t="str">
        <f ca="1">PROPER(TableauIngredients[[#This Row],[Ingredients]])</f>
        <v>Nuoc-Mâm</v>
      </c>
      <c r="B108" s="538">
        <f>IF(IFERROR((100-TableauIngredients[[#This Row],[% eau]])/100, 1) &lt; 0.2,0.2,IFERROR((100-TableauIngredients[[#This Row],[% eau]])/100, 1))</f>
        <v>0.2</v>
      </c>
      <c r="C108">
        <v>97</v>
      </c>
      <c r="D108" s="1" t="s">
        <v>215</v>
      </c>
      <c r="E108" s="1"/>
      <c r="F108" s="641">
        <v>20</v>
      </c>
      <c r="G108" s="2" t="s">
        <v>216</v>
      </c>
    </row>
    <row r="109" spans="1:7">
      <c r="A109" t="str">
        <f ca="1">PROPER(TableauIngredients[[#This Row],[Ingredients]])</f>
        <v>Oeillet D’Inde</v>
      </c>
      <c r="B109" s="538">
        <f>IF(IFERROR((100-TableauIngredients[[#This Row],[% eau]])/100, 1) &lt; 0.2,0.2,IFERROR((100-TableauIngredients[[#This Row],[% eau]])/100, 1))</f>
        <v>1</v>
      </c>
      <c r="C109">
        <v>0</v>
      </c>
      <c r="D109" t="s">
        <v>217</v>
      </c>
      <c r="F109" s="641"/>
    </row>
    <row r="110" spans="1:7">
      <c r="A110" t="str">
        <f ca="1">PROPER(TableauIngredients[[#This Row],[Ingredients]])</f>
        <v>Oeillet D’Inde Sec</v>
      </c>
      <c r="B110" s="538">
        <f>IF(IFERROR((100-TableauIngredients[[#This Row],[% eau]])/100, 1) &lt; 0.2,0.2,IFERROR((100-TableauIngredients[[#This Row],[% eau]])/100, 1))</f>
        <v>0.2</v>
      </c>
      <c r="C110">
        <v>95</v>
      </c>
      <c r="D110" t="s">
        <v>217</v>
      </c>
      <c r="F110" s="641"/>
    </row>
    <row r="111" spans="1:7">
      <c r="A111" t="str">
        <f ca="1">PROPER(TableauIngredients[[#This Row],[Ingredients]])</f>
        <v>Oignon</v>
      </c>
      <c r="B111" s="538">
        <f>IF(IFERROR((100-TableauIngredients[[#This Row],[% eau]])/100, 1) &lt; 0.2,0.2,IFERROR((100-TableauIngredients[[#This Row],[% eau]])/100, 1))</f>
        <v>1</v>
      </c>
      <c r="C111">
        <v>0</v>
      </c>
      <c r="D111" t="s">
        <v>218</v>
      </c>
      <c r="E111">
        <v>3.5</v>
      </c>
      <c r="F111" s="641"/>
      <c r="G111"/>
    </row>
    <row r="112" spans="1:7">
      <c r="A112" t="str">
        <f ca="1">PROPER(TableauIngredients[[#This Row],[Ingredients]])</f>
        <v>Oignon Séché</v>
      </c>
      <c r="B112" s="538">
        <f>IF(IFERROR((100-TableauIngredients[[#This Row],[% eau]])/100, 1) &lt; 0.2,0.2,IFERROR((100-TableauIngredients[[#This Row],[% eau]])/100, 1))</f>
        <v>0.2</v>
      </c>
      <c r="C112">
        <v>95</v>
      </c>
      <c r="D112" t="s">
        <v>218</v>
      </c>
      <c r="E112">
        <v>25</v>
      </c>
      <c r="F112" s="641"/>
      <c r="G112"/>
    </row>
    <row r="113" spans="1:7">
      <c r="A113" t="str">
        <f ca="1">PROPER(TableauIngredients[[#This Row],[Ingredients]])</f>
        <v>Origan</v>
      </c>
      <c r="B113" s="538">
        <f>IF(IFERROR((100-TableauIngredients[[#This Row],[% eau]])/100, 1) &lt; 0.2,0.2,IFERROR((100-TableauIngredients[[#This Row],[% eau]])/100, 1))</f>
        <v>0.2</v>
      </c>
      <c r="C113">
        <v>95</v>
      </c>
      <c r="D113" t="s">
        <v>219</v>
      </c>
      <c r="E113">
        <v>30.2</v>
      </c>
      <c r="F113" s="641"/>
      <c r="G113" s="2" t="s">
        <v>220</v>
      </c>
    </row>
    <row r="114" spans="1:7">
      <c r="A114" t="str">
        <f ca="1">PROPER(TableauIngredients[[#This Row],[Ingredients]])</f>
        <v>Paprika</v>
      </c>
      <c r="B114" s="538">
        <f>IF(IFERROR((100-TableauIngredients[[#This Row],[% eau]])/100, 1) &lt; 0.2,0.2,IFERROR((100-TableauIngredients[[#This Row],[% eau]])/100, 1))</f>
        <v>0.2</v>
      </c>
      <c r="C114">
        <v>92</v>
      </c>
      <c r="D114" t="s">
        <v>221</v>
      </c>
      <c r="F114" s="641"/>
    </row>
    <row r="115" spans="1:7">
      <c r="A115" t="str">
        <f ca="1">PROPER(TableauIngredients[[#This Row],[Ingredients]])</f>
        <v>Paprika Fummer</v>
      </c>
      <c r="B115" s="538">
        <f>IF(IFERROR((100-TableauIngredients[[#This Row],[% eau]])/100, 1) &lt; 0.2,0.2,IFERROR((100-TableauIngredients[[#This Row],[% eau]])/100, 1))</f>
        <v>0.2</v>
      </c>
      <c r="C115">
        <v>92</v>
      </c>
      <c r="D115" t="s">
        <v>221</v>
      </c>
      <c r="F115" s="641"/>
      <c r="G115"/>
    </row>
    <row r="116" spans="1:7">
      <c r="A116" t="str">
        <f ca="1">PROPER(TableauIngredients[[#This Row],[Ingredients]])</f>
        <v>Pelargonium (Géranium)</v>
      </c>
      <c r="B116" s="538">
        <f>IF(IFERROR((100-TableauIngredients[[#This Row],[% eau]])/100, 1) &lt; 0.2,0.2,IFERROR((100-TableauIngredients[[#This Row],[% eau]])/100, 1))</f>
        <v>1</v>
      </c>
      <c r="C116">
        <v>0</v>
      </c>
      <c r="D116" t="s">
        <v>714</v>
      </c>
      <c r="F116" s="641"/>
    </row>
    <row r="117" spans="1:7">
      <c r="A117" t="str">
        <f ca="1">PROPER(TableauIngredients[[#This Row],[Ingredients]])</f>
        <v>Pelargonium Sec (Géranium)</v>
      </c>
      <c r="B117" s="538">
        <f>IF(IFERROR((100-TableauIngredients[[#This Row],[% eau]])/100, 1) &lt; 0.2,0.2,IFERROR((100-TableauIngredients[[#This Row],[% eau]])/100, 1))</f>
        <v>0.2</v>
      </c>
      <c r="C117">
        <v>95</v>
      </c>
      <c r="D117" t="s">
        <v>714</v>
      </c>
      <c r="F117" s="641"/>
    </row>
    <row r="118" spans="1:7">
      <c r="A118" t="str">
        <f ca="1">PROPER(TableauIngredients[[#This Row],[Ingredients]])</f>
        <v>Persil</v>
      </c>
      <c r="B118" s="538">
        <f>IF(IFERROR((100-TableauIngredients[[#This Row],[% eau]])/100, 1) &lt; 0.2,0.2,IFERROR((100-TableauIngredients[[#This Row],[% eau]])/100, 1))</f>
        <v>0.2</v>
      </c>
      <c r="C118">
        <v>92</v>
      </c>
      <c r="D118" t="s">
        <v>222</v>
      </c>
      <c r="F118" s="641"/>
      <c r="G118"/>
    </row>
    <row r="119" spans="1:7">
      <c r="A119" t="str">
        <f ca="1">PROPER(TableauIngredients[[#This Row],[Ingredients]])</f>
        <v>Pétale De Rose</v>
      </c>
      <c r="B119" s="538">
        <f>IF(IFERROR((100-TableauIngredients[[#This Row],[% eau]])/100, 1) &lt; 0.2,0.2,IFERROR((100-TableauIngredients[[#This Row],[% eau]])/100, 1))</f>
        <v>0.2</v>
      </c>
      <c r="C119">
        <v>90</v>
      </c>
      <c r="D119" t="s">
        <v>715</v>
      </c>
      <c r="F119" s="641"/>
      <c r="G119"/>
    </row>
    <row r="120" spans="1:7">
      <c r="A120" t="str">
        <f ca="1">PROPER(TableauIngredients[[#This Row],[Ingredients]])</f>
        <v>Piment Ancho</v>
      </c>
      <c r="B120" s="538">
        <f>IF(IFERROR((100-TableauIngredients[[#This Row],[% eau]])/100, 1) &lt; 0.2,0.2,IFERROR((100-TableauIngredients[[#This Row],[% eau]])/100, 1))</f>
        <v>0.2</v>
      </c>
      <c r="C120">
        <v>90</v>
      </c>
      <c r="D120" s="1" t="s">
        <v>224</v>
      </c>
      <c r="F120" s="641"/>
      <c r="G120" s="2" t="s">
        <v>225</v>
      </c>
    </row>
    <row r="121" spans="1:7">
      <c r="A121" t="str">
        <f ca="1">PROPER(TableauIngredients[[#This Row],[Ingredients]])</f>
        <v>Piment De Cayenne Jaune</v>
      </c>
      <c r="B121" s="538">
        <f>IF(IFERROR((100-TableauIngredients[[#This Row],[% eau]])/100, 1) &lt; 0.2,0.2,IFERROR((100-TableauIngredients[[#This Row],[% eau]])/100, 1))</f>
        <v>1</v>
      </c>
      <c r="C121">
        <v>0</v>
      </c>
      <c r="D121" t="s">
        <v>226</v>
      </c>
      <c r="F121" s="641"/>
      <c r="G121"/>
    </row>
    <row r="122" spans="1:7">
      <c r="A122" t="str">
        <f ca="1">PROPER(TableauIngredients[[#This Row],[Ingredients]])</f>
        <v>Piment De Cayenne Jaune Sec</v>
      </c>
      <c r="B122" s="538">
        <f>IF(IFERROR((100-TableauIngredients[[#This Row],[% eau]])/100, 1) &lt; 0.2,0.2,IFERROR((100-TableauIngredients[[#This Row],[% eau]])/100, 1))</f>
        <v>0.2</v>
      </c>
      <c r="C122">
        <v>90</v>
      </c>
      <c r="D122" t="s">
        <v>226</v>
      </c>
      <c r="F122" s="641"/>
    </row>
    <row r="123" spans="1:7">
      <c r="A123" t="str">
        <f ca="1">PROPER(TableauIngredients[[#This Row],[Ingredients]])</f>
        <v>Piment De Cayenne Rouge Sec</v>
      </c>
      <c r="B123" s="538">
        <f>IF(IFERROR((100-TableauIngredients[[#This Row],[% eau]])/100, 1) &lt; 0.2,0.2,IFERROR((100-TableauIngredients[[#This Row],[% eau]])/100, 1))</f>
        <v>0.2</v>
      </c>
      <c r="C123">
        <v>90</v>
      </c>
      <c r="D123" t="s">
        <v>227</v>
      </c>
      <c r="F123" s="641"/>
      <c r="G123"/>
    </row>
    <row r="124" spans="1:7">
      <c r="A124" t="str">
        <f ca="1">PROPER(TableauIngredients[[#This Row],[Ingredients]])</f>
        <v>Piment Doux Rouge En Poudre</v>
      </c>
      <c r="B124" s="538">
        <f>IF(IFERROR((100-TableauIngredients[[#This Row],[% eau]])/100, 1) &lt; 0.2,0.2,IFERROR((100-TableauIngredients[[#This Row],[% eau]])/100, 1))</f>
        <v>0.2</v>
      </c>
      <c r="C124">
        <v>92</v>
      </c>
      <c r="D124" t="s">
        <v>221</v>
      </c>
      <c r="F124" s="641"/>
      <c r="G124" s="2" t="s">
        <v>228</v>
      </c>
    </row>
    <row r="125" spans="1:7">
      <c r="A125" t="str">
        <f ca="1">PROPER(TableauIngredients[[#This Row],[Ingredients]])</f>
        <v>Piment Habanero Violet</v>
      </c>
      <c r="B125" s="538">
        <f>IF(IFERROR((100-TableauIngredients[[#This Row],[% eau]])/100, 1) &lt; 0.2,0.2,IFERROR((100-TableauIngredients[[#This Row],[% eau]])/100, 1))</f>
        <v>1</v>
      </c>
      <c r="C125">
        <v>0</v>
      </c>
      <c r="D125" t="s">
        <v>229</v>
      </c>
      <c r="F125" s="641"/>
      <c r="G125" s="2" t="s">
        <v>230</v>
      </c>
    </row>
    <row r="126" spans="1:7">
      <c r="A126" t="str">
        <f ca="1">PROPER(TableauIngredients[[#This Row],[Ingredients]])</f>
        <v>Piment Jalapeno Vert</v>
      </c>
      <c r="B126" s="538">
        <f>IF(IFERROR((100-TableauIngredients[[#This Row],[% eau]])/100, 1) &lt; 0.2,0.2,IFERROR((100-TableauIngredients[[#This Row],[% eau]])/100, 1))</f>
        <v>1</v>
      </c>
      <c r="C126">
        <v>0</v>
      </c>
      <c r="D126" t="s">
        <v>231</v>
      </c>
      <c r="F126" s="641"/>
      <c r="G126" s="2" t="s">
        <v>232</v>
      </c>
    </row>
    <row r="127" spans="1:7">
      <c r="A127" t="str">
        <f ca="1">PROPER(TableauIngredients[[#This Row],[Ingredients]])</f>
        <v>Piment Œil D'Oiseau</v>
      </c>
      <c r="B127" s="538">
        <f>IF(IFERROR((100-TableauIngredients[[#This Row],[% eau]])/100, 1) &lt; 0.2,0.2,IFERROR((100-TableauIngredients[[#This Row],[% eau]])/100, 1))</f>
        <v>1</v>
      </c>
      <c r="C127">
        <v>0</v>
      </c>
      <c r="D127" t="s">
        <v>233</v>
      </c>
      <c r="F127" s="641"/>
      <c r="G127"/>
    </row>
    <row r="128" spans="1:7">
      <c r="A128" t="str">
        <f ca="1">PROPER(TableauIngredients[[#This Row],[Ingredients]])</f>
        <v>Piment Violet Fort - Purple Delight</v>
      </c>
      <c r="B128" s="538">
        <f>IF(IFERROR((100-TableauIngredients[[#This Row],[% eau]])/100, 1) &lt; 0.2,0.2,IFERROR((100-TableauIngredients[[#This Row],[% eau]])/100, 1))</f>
        <v>1</v>
      </c>
      <c r="C128">
        <v>0</v>
      </c>
      <c r="D128" t="s">
        <v>234</v>
      </c>
      <c r="F128" s="641"/>
      <c r="G128"/>
    </row>
    <row r="129" spans="1:7">
      <c r="A129" t="str">
        <f ca="1">PROPER(TableauIngredients[[#This Row],[Ingredients]])</f>
        <v>Piments Kashmiri Séchés Entier</v>
      </c>
      <c r="B129" s="538">
        <f>IF(IFERROR((100-TableauIngredients[[#This Row],[% eau]])/100, 1) &lt; 0.2,0.2,IFERROR((100-TableauIngredients[[#This Row],[% eau]])/100, 1))</f>
        <v>0.2</v>
      </c>
      <c r="C129">
        <v>90</v>
      </c>
      <c r="D129" t="s">
        <v>235</v>
      </c>
      <c r="F129" s="641"/>
      <c r="G129"/>
    </row>
    <row r="130" spans="1:7">
      <c r="A130" t="str">
        <f ca="1">PROPER(TableauIngredients[[#This Row],[Ingredients]])</f>
        <v>Piments Rouge</v>
      </c>
      <c r="B130" s="538">
        <f>IF(IFERROR((100-TableauIngredients[[#This Row],[% eau]])/100, 1) &lt; 0.2,0.2,IFERROR((100-TableauIngredients[[#This Row],[% eau]])/100, 1))</f>
        <v>1</v>
      </c>
      <c r="C130">
        <v>0</v>
      </c>
      <c r="D130" t="s">
        <v>204</v>
      </c>
      <c r="F130" s="641"/>
      <c r="G130"/>
    </row>
    <row r="131" spans="1:7">
      <c r="A131" t="str">
        <f ca="1">PROPER(TableauIngredients[[#This Row],[Ingredients]])</f>
        <v>Piments Rouge Séchés</v>
      </c>
      <c r="B131" s="538">
        <f>IF(IFERROR((100-TableauIngredients[[#This Row],[% eau]])/100, 1) &lt; 0.2,0.2,IFERROR((100-TableauIngredients[[#This Row],[% eau]])/100, 1))</f>
        <v>0.2</v>
      </c>
      <c r="C131">
        <v>90</v>
      </c>
      <c r="D131" t="s">
        <v>204</v>
      </c>
      <c r="F131" s="641"/>
      <c r="G131"/>
    </row>
    <row r="132" spans="1:7">
      <c r="A132" t="str">
        <f ca="1">PROPER(TableauIngredients[[#This Row],[Ingredients]])</f>
        <v>Piments Verts</v>
      </c>
      <c r="B132" s="538">
        <f>IF(IFERROR((100-TableauIngredients[[#This Row],[% eau]])/100, 1) &lt; 0.2,0.2,IFERROR((100-TableauIngredients[[#This Row],[% eau]])/100, 1))</f>
        <v>0.2</v>
      </c>
      <c r="C132">
        <v>97</v>
      </c>
      <c r="D132" t="s">
        <v>236</v>
      </c>
      <c r="F132" s="641"/>
      <c r="G132"/>
    </row>
    <row r="133" spans="1:7">
      <c r="A133" t="str">
        <f ca="1">PROPER(TableauIngredients[[#This Row],[Ingredients]])</f>
        <v>Poivre Blanc</v>
      </c>
      <c r="B133" s="538">
        <f>IF(IFERROR((100-TableauIngredients[[#This Row],[% eau]])/100, 1) &lt; 0.2,0.2,IFERROR((100-TableauIngredients[[#This Row],[% eau]])/100, 1))</f>
        <v>0.2</v>
      </c>
      <c r="C133">
        <v>97</v>
      </c>
      <c r="D133" s="1" t="s">
        <v>237</v>
      </c>
      <c r="E133" s="1"/>
      <c r="F133" s="641"/>
    </row>
    <row r="134" spans="1:7">
      <c r="A134" t="str">
        <f ca="1">PROPER(TableauIngredients[[#This Row],[Ingredients]])</f>
        <v>Poivre De Jamaïque</v>
      </c>
      <c r="B134" s="538">
        <f>IF(IFERROR((100-TableauIngredients[[#This Row],[% eau]])/100, 1) &lt; 0.2,0.2,IFERROR((100-TableauIngredients[[#This Row],[% eau]])/100, 1))</f>
        <v>1</v>
      </c>
      <c r="D134" s="1" t="s">
        <v>238</v>
      </c>
      <c r="E134" s="1"/>
      <c r="F134" s="641"/>
    </row>
    <row r="135" spans="1:7">
      <c r="A135" t="str">
        <f ca="1">PROPER(TableauIngredients[[#This Row],[Ingredients]])</f>
        <v>Poivre De Sichuan</v>
      </c>
      <c r="B135" s="538">
        <f>IF(IFERROR((100-TableauIngredients[[#This Row],[% eau]])/100, 1) &lt; 0.2,0.2,IFERROR((100-TableauIngredients[[#This Row],[% eau]])/100, 1))</f>
        <v>0.5</v>
      </c>
      <c r="C135">
        <v>50</v>
      </c>
      <c r="D135" t="s">
        <v>239</v>
      </c>
      <c r="F135" s="641"/>
      <c r="G135"/>
    </row>
    <row r="136" spans="1:7">
      <c r="A136" t="str">
        <f ca="1">PROPER(TableauIngredients[[#This Row],[Ingredients]])</f>
        <v>Poivre De Timut</v>
      </c>
      <c r="B136" s="538">
        <f>IF(IFERROR((100-TableauIngredients[[#This Row],[% eau]])/100, 1) &lt; 0.2,0.2,IFERROR((100-TableauIngredients[[#This Row],[% eau]])/100, 1))</f>
        <v>0.8</v>
      </c>
      <c r="C136">
        <v>20</v>
      </c>
      <c r="D136" t="s">
        <v>240</v>
      </c>
      <c r="F136" s="641"/>
      <c r="G136"/>
    </row>
    <row r="137" spans="1:7">
      <c r="A137" t="str">
        <f ca="1">PROPER(TableauIngredients[[#This Row],[Ingredients]])</f>
        <v>Poivre Des Moines</v>
      </c>
      <c r="B137" s="538">
        <f>IF(IFERROR((100-TableauIngredients[[#This Row],[% eau]])/100, 1) &lt; 0.2,0.2,IFERROR((100-TableauIngredients[[#This Row],[% eau]])/100, 1))</f>
        <v>0.8</v>
      </c>
      <c r="C137">
        <v>20</v>
      </c>
      <c r="D137" t="s">
        <v>241</v>
      </c>
      <c r="F137" s="641"/>
      <c r="G137"/>
    </row>
    <row r="138" spans="1:7">
      <c r="A138" t="str">
        <f ca="1">PROPER(TableauIngredients[[#This Row],[Ingredients]])</f>
        <v>Poivre Noir</v>
      </c>
      <c r="B138" s="538">
        <f>IF(IFERROR((100-TableauIngredients[[#This Row],[% eau]])/100, 1) &lt; 0.2,0.2,IFERROR((100-TableauIngredients[[#This Row],[% eau]])/100, 1))</f>
        <v>0.2</v>
      </c>
      <c r="C138">
        <v>97</v>
      </c>
      <c r="D138" t="s">
        <v>242</v>
      </c>
      <c r="F138" s="641">
        <v>36.85</v>
      </c>
      <c r="G138" t="s">
        <v>243</v>
      </c>
    </row>
    <row r="139" spans="1:7">
      <c r="A139" t="str">
        <f ca="1">PROPER(TableauIngredients[[#This Row],[Ingredients]])</f>
        <v>Quatre Épices</v>
      </c>
      <c r="B139" s="538">
        <f>IF(IFERROR((100-TableauIngredients[[#This Row],[% eau]])/100, 1) &lt; 0.2,0.2,IFERROR((100-TableauIngredients[[#This Row],[% eau]])/100, 1))</f>
        <v>0.2</v>
      </c>
      <c r="C139">
        <v>97</v>
      </c>
      <c r="D139" s="1" t="s">
        <v>716</v>
      </c>
      <c r="E139" s="1"/>
      <c r="F139" s="641"/>
      <c r="G139"/>
    </row>
    <row r="140" spans="1:7">
      <c r="A140" t="str">
        <f ca="1">PROPER(TableauIngredients[[#This Row],[Ingredients]])</f>
        <v>Romarin</v>
      </c>
      <c r="B140" s="538">
        <f>IF(IFERROR((100-TableauIngredients[[#This Row],[% eau]])/100, 1) &lt; 0.2,0.2,IFERROR((100-TableauIngredients[[#This Row],[% eau]])/100, 1))</f>
        <v>0.2</v>
      </c>
      <c r="C140">
        <v>85</v>
      </c>
      <c r="D140" t="s">
        <v>244</v>
      </c>
      <c r="F140" s="641"/>
      <c r="G140"/>
    </row>
    <row r="141" spans="1:7">
      <c r="A141" t="str">
        <f ca="1">PROPER(TableauIngredients[[#This Row],[Ingredients]])</f>
        <v>Rose</v>
      </c>
      <c r="B141" s="538">
        <f>IF(IFERROR((100-TableauIngredients[[#This Row],[% eau]])/100, 1) &lt; 0.2,0.2,IFERROR((100-TableauIngredients[[#This Row],[% eau]])/100, 1))</f>
        <v>1</v>
      </c>
      <c r="C141">
        <v>0</v>
      </c>
      <c r="D141" t="s">
        <v>245</v>
      </c>
      <c r="F141" s="641"/>
    </row>
    <row r="142" spans="1:7">
      <c r="A142" t="str">
        <f ca="1">PROPER(TableauIngredients[[#This Row],[Ingredients]])</f>
        <v>Rose Sec</v>
      </c>
      <c r="B142" s="538">
        <f>IF(IFERROR((100-TableauIngredients[[#This Row],[% eau]])/100, 1) &lt; 0.2,0.2,IFERROR((100-TableauIngredients[[#This Row],[% eau]])/100, 1))</f>
        <v>0.2</v>
      </c>
      <c r="C142">
        <v>95</v>
      </c>
      <c r="D142" t="s">
        <v>245</v>
      </c>
      <c r="F142" s="641"/>
    </row>
    <row r="143" spans="1:7">
      <c r="A143" t="str">
        <f ca="1">PROPER(TableauIngredients[[#This Row],[Ingredients]])</f>
        <v>Safran</v>
      </c>
      <c r="B143" s="538">
        <f>IF(IFERROR((100-TableauIngredients[[#This Row],[% eau]])/100, 1) &lt; 0.2,0.2,IFERROR((100-TableauIngredients[[#This Row],[% eau]])/100, 1))</f>
        <v>0.2</v>
      </c>
      <c r="C143">
        <v>97</v>
      </c>
      <c r="D143" s="1" t="s">
        <v>246</v>
      </c>
      <c r="E143" s="1"/>
      <c r="F143" s="641"/>
    </row>
    <row r="144" spans="1:7">
      <c r="A144" t="str">
        <f ca="1">PROPER(TableauIngredients[[#This Row],[Ingredients]])</f>
        <v>Sarriette</v>
      </c>
      <c r="B144" s="538">
        <f>IF(IFERROR((100-TableauIngredients[[#This Row],[% eau]])/100, 1) &lt; 0.2,0.2,IFERROR((100-TableauIngredients[[#This Row],[% eau]])/100, 1))</f>
        <v>0.35</v>
      </c>
      <c r="C144">
        <v>65</v>
      </c>
      <c r="D144" t="s">
        <v>247</v>
      </c>
      <c r="F144" s="641"/>
      <c r="G144"/>
    </row>
    <row r="145" spans="1:7">
      <c r="A145" t="str">
        <f ca="1">PROPER(TableauIngredients[[#This Row],[Ingredients]])</f>
        <v>Sauce Soja</v>
      </c>
      <c r="B145" s="538">
        <f>IF(IFERROR((100-TableauIngredients[[#This Row],[% eau]])/100, 1) &lt; 0.2,0.2,IFERROR((100-TableauIngredients[[#This Row],[% eau]])/100, 1))</f>
        <v>1</v>
      </c>
      <c r="C145">
        <v>0</v>
      </c>
      <c r="D145" t="s">
        <v>248</v>
      </c>
      <c r="F145" s="641">
        <v>56.45</v>
      </c>
      <c r="G145" s="2" t="s">
        <v>249</v>
      </c>
    </row>
    <row r="146" spans="1:7">
      <c r="A146" t="str">
        <f ca="1">PROPER(TableauIngredients[[#This Row],[Ingredients]])</f>
        <v>Sauge</v>
      </c>
      <c r="B146" s="538">
        <f>IF(IFERROR((100-TableauIngredients[[#This Row],[% eau]])/100, 1) &lt; 0.2,0.2,IFERROR((100-TableauIngredients[[#This Row],[% eau]])/100, 1))</f>
        <v>1</v>
      </c>
      <c r="D146" t="s">
        <v>250</v>
      </c>
      <c r="F146" s="641"/>
    </row>
    <row r="147" spans="1:7">
      <c r="A147" t="str">
        <f ca="1">PROPER(TableauIngredients[[#This Row],[Ingredients]])</f>
        <v>Sel</v>
      </c>
      <c r="B147" s="538">
        <f>IF(IFERROR((100-TableauIngredients[[#This Row],[% eau]])/100, 1) &lt; 0.2,0.2,IFERROR((100-TableauIngredients[[#This Row],[% eau]])/100, 1))</f>
        <v>1</v>
      </c>
      <c r="C147" t="s">
        <v>251</v>
      </c>
      <c r="D147" s="1" t="s">
        <v>252</v>
      </c>
      <c r="E147" s="1"/>
      <c r="F147" s="641">
        <v>1.4</v>
      </c>
      <c r="G147" t="s">
        <v>253</v>
      </c>
    </row>
    <row r="148" spans="1:7">
      <c r="A148" t="str">
        <f ca="1">PROPER(TableauIngredients[[#This Row],[Ingredients]])</f>
        <v>Sésame</v>
      </c>
      <c r="B148" s="538">
        <f>IF(IFERROR((100-TableauIngredients[[#This Row],[% eau]])/100, 1) &lt; 0.2,0.2,IFERROR((100-TableauIngredients[[#This Row],[% eau]])/100, 1))</f>
        <v>0.9</v>
      </c>
      <c r="C148">
        <v>10</v>
      </c>
      <c r="D148" t="s">
        <v>717</v>
      </c>
      <c r="F148" s="641"/>
      <c r="G148"/>
    </row>
    <row r="149" spans="1:7">
      <c r="A149" t="str">
        <f ca="1">PROPER(TableauIngredients[[#This Row],[Ingredients]])</f>
        <v>Souci (Calendula Officinalis)</v>
      </c>
      <c r="B149" s="538">
        <f>IF(IFERROR((100-TableauIngredients[[#This Row],[% eau]])/100, 1) &lt; 0.2,0.2,IFERROR((100-TableauIngredients[[#This Row],[% eau]])/100, 1))</f>
        <v>1</v>
      </c>
      <c r="C149">
        <v>0</v>
      </c>
      <c r="D149" t="s">
        <v>255</v>
      </c>
      <c r="F149" s="641"/>
    </row>
    <row r="150" spans="1:7">
      <c r="A150" t="str">
        <f ca="1">PROPER(TableauIngredients[[#This Row],[Ingredients]])</f>
        <v>Souci Sec (Calendula Officinalis)</v>
      </c>
      <c r="B150" s="538">
        <f>IF(IFERROR((100-TableauIngredients[[#This Row],[% eau]])/100, 1) &lt; 0.2,0.2,IFERROR((100-TableauIngredients[[#This Row],[% eau]])/100, 1))</f>
        <v>0.2</v>
      </c>
      <c r="C150">
        <v>97</v>
      </c>
      <c r="D150" t="s">
        <v>255</v>
      </c>
      <c r="F150" s="641"/>
    </row>
    <row r="151" spans="1:7">
      <c r="A151" t="str">
        <f ca="1">PROPER(TableauIngredients[[#This Row],[Ingredients]])</f>
        <v xml:space="preserve">Sucre Blanc </v>
      </c>
      <c r="B151" s="538">
        <f>IF(IFERROR((100-TableauIngredients[[#This Row],[% eau]])/100, 1) &lt; 0.2,0.2,IFERROR((100-TableauIngredients[[#This Row],[% eau]])/100, 1))</f>
        <v>1</v>
      </c>
      <c r="C151" t="s">
        <v>251</v>
      </c>
      <c r="F151" s="554">
        <f>44/25</f>
        <v>1.76</v>
      </c>
      <c r="G151" s="3" t="s">
        <v>256</v>
      </c>
    </row>
    <row r="152" spans="1:7">
      <c r="A152" t="str">
        <f ca="1">PROPER(TableauIngredients[[#This Row],[Ingredients]])</f>
        <v>Sucre De Palme</v>
      </c>
      <c r="B152" s="538">
        <f>IF(IFERROR((100-TableauIngredients[[#This Row],[% eau]])/100, 1) &lt; 0.2,0.2,IFERROR((100-TableauIngredients[[#This Row],[% eau]])/100, 1))</f>
        <v>0.5</v>
      </c>
      <c r="C152">
        <v>50</v>
      </c>
      <c r="D152" s="1" t="s">
        <v>257</v>
      </c>
      <c r="E152" s="1"/>
      <c r="F152" s="641">
        <v>2.8</v>
      </c>
      <c r="G152" s="2" t="s">
        <v>258</v>
      </c>
    </row>
    <row r="153" spans="1:7">
      <c r="A153" t="str">
        <f ca="1">PROPER(TableauIngredients[[#This Row],[Ingredients]])</f>
        <v>Sumac</v>
      </c>
      <c r="B153" s="538">
        <f>IF(IFERROR((100-TableauIngredients[[#This Row],[% eau]])/100, 1) &lt; 0.2,0.2,IFERROR((100-TableauIngredients[[#This Row],[% eau]])/100, 1))</f>
        <v>0.9</v>
      </c>
      <c r="C153">
        <v>10</v>
      </c>
      <c r="D153" t="s">
        <v>259</v>
      </c>
      <c r="F153" s="641"/>
      <c r="G153"/>
    </row>
    <row r="154" spans="1:7">
      <c r="A154" t="str">
        <f ca="1">PROPER(TableauIngredients[[#This Row],[Ingredients]])</f>
        <v>Sureau</v>
      </c>
      <c r="B154" s="538">
        <f>IF(IFERROR((100-TableauIngredients[[#This Row],[% eau]])/100, 1) &lt; 0.2,0.2,IFERROR((100-TableauIngredients[[#This Row],[% eau]])/100, 1))</f>
        <v>1</v>
      </c>
      <c r="C154">
        <v>0</v>
      </c>
      <c r="D154" t="s">
        <v>260</v>
      </c>
      <c r="F154" s="641"/>
    </row>
    <row r="155" spans="1:7">
      <c r="A155" t="str">
        <f ca="1">PROPER(TableauIngredients[[#This Row],[Ingredients]])</f>
        <v>Sureau Sec</v>
      </c>
      <c r="B155" s="538">
        <f>IF(IFERROR((100-TableauIngredients[[#This Row],[% eau]])/100, 1) &lt; 0.2,0.2,IFERROR((100-TableauIngredients[[#This Row],[% eau]])/100, 1))</f>
        <v>0.2</v>
      </c>
      <c r="C155">
        <v>97</v>
      </c>
      <c r="D155" t="s">
        <v>260</v>
      </c>
      <c r="F155" s="641"/>
    </row>
    <row r="156" spans="1:7">
      <c r="A156" t="str">
        <f ca="1">PROPER(TableauIngredients[[#This Row],[Ingredients]])</f>
        <v>Thym</v>
      </c>
      <c r="B156" s="538">
        <f>IF(IFERROR((100-TableauIngredients[[#This Row],[% eau]])/100, 1) &lt; 0.2,0.2,IFERROR((100-TableauIngredients[[#This Row],[% eau]])/100, 1))</f>
        <v>0.35</v>
      </c>
      <c r="C156">
        <v>65</v>
      </c>
      <c r="D156" t="s">
        <v>261</v>
      </c>
      <c r="F156" s="641"/>
      <c r="G156"/>
    </row>
    <row r="157" spans="1:7">
      <c r="A157" t="str">
        <f ca="1">PROPER(TableauIngredients[[#This Row],[Ingredients]])</f>
        <v>Timut</v>
      </c>
      <c r="B157" s="538">
        <f>IF(IFERROR((100-TableauIngredients[[#This Row],[% eau]])/100, 1) &lt; 0.2,0.2,IFERROR((100-TableauIngredients[[#This Row],[% eau]])/100, 1))</f>
        <v>0.5</v>
      </c>
      <c r="C157">
        <v>50</v>
      </c>
      <c r="D157" t="s">
        <v>262</v>
      </c>
      <c r="F157" s="641"/>
      <c r="G157"/>
    </row>
    <row r="158" spans="1:7">
      <c r="A158" t="str">
        <f ca="1">PROPER(TableauIngredients[[#This Row],[Ingredients]])</f>
        <v>Tomate Rouge</v>
      </c>
      <c r="B158" s="538">
        <f>IF(IFERROR((100-TableauIngredients[[#This Row],[% eau]])/100, 1) &lt; 0.2,0.2,IFERROR((100-TableauIngredients[[#This Row],[% eau]])/100, 1))</f>
        <v>1</v>
      </c>
      <c r="C158">
        <v>0</v>
      </c>
      <c r="D158" t="s">
        <v>147</v>
      </c>
      <c r="F158" s="641"/>
      <c r="G158"/>
    </row>
    <row r="159" spans="1:7">
      <c r="A159" t="str">
        <f ca="1">PROPER(TableauIngredients[[#This Row],[Ingredients]])</f>
        <v>Vinaigre De Cidre</v>
      </c>
      <c r="B159" s="538">
        <f>IF(IFERROR((100-TableauIngredients[[#This Row],[% eau]])/100, 1) &lt; 0.2,0.2,IFERROR((100-TableauIngredients[[#This Row],[% eau]])/100, 1))</f>
        <v>1</v>
      </c>
      <c r="C159">
        <v>0</v>
      </c>
      <c r="D159" s="1" t="s">
        <v>263</v>
      </c>
      <c r="E159" s="1"/>
      <c r="F159" s="641">
        <f>19.21/5</f>
        <v>3.8420000000000001</v>
      </c>
      <c r="G159" t="s">
        <v>264</v>
      </c>
    </row>
    <row r="160" spans="1:7">
      <c r="A160" t="str">
        <f ca="1">PROPER(TableauIngredients[[#This Row],[Ingredients]])</f>
        <v>Zeste D’Orange Séché</v>
      </c>
      <c r="B160" s="538">
        <f>IF(IFERROR((100-TableauIngredients[[#This Row],[% eau]])/100, 1) &lt; 0.2,0.2,IFERROR((100-TableauIngredients[[#This Row],[% eau]])/100, 1))</f>
        <v>0.5</v>
      </c>
      <c r="C160">
        <v>50</v>
      </c>
      <c r="D160" s="1" t="s">
        <v>718</v>
      </c>
      <c r="E160" s="1"/>
      <c r="F160" s="641"/>
    </row>
    <row r="161" spans="1:6">
      <c r="A161" s="1" t="s">
        <v>266</v>
      </c>
      <c r="B161" s="538">
        <v>1</v>
      </c>
      <c r="C161">
        <v>0</v>
      </c>
      <c r="D161" t="s">
        <v>267</v>
      </c>
      <c r="F161" s="641"/>
    </row>
    <row r="162" spans="1:6">
      <c r="A162" s="1" t="s">
        <v>268</v>
      </c>
      <c r="B162" s="538">
        <f>IF(IFERROR((100-TableauIngredients[[#This Row],[% eau]])/100, 1) &lt; 20,0.2)</f>
        <v>0.2</v>
      </c>
      <c r="C162">
        <v>90</v>
      </c>
      <c r="D162" t="s">
        <v>267</v>
      </c>
      <c r="F162" s="641"/>
    </row>
    <row r="163" spans="1:6">
      <c r="A163" s="1" t="s">
        <v>269</v>
      </c>
      <c r="B163" s="538">
        <v>1</v>
      </c>
      <c r="C163">
        <v>0</v>
      </c>
      <c r="D163" t="s">
        <v>270</v>
      </c>
      <c r="F163" s="641"/>
    </row>
    <row r="164" spans="1:6">
      <c r="A164" s="1" t="s">
        <v>271</v>
      </c>
      <c r="B164" s="538">
        <v>1</v>
      </c>
      <c r="C164">
        <v>0</v>
      </c>
      <c r="D164" t="s">
        <v>270</v>
      </c>
      <c r="F164" s="641"/>
    </row>
    <row r="165" spans="1:6">
      <c r="A165" s="1" t="s">
        <v>272</v>
      </c>
      <c r="B165" s="538">
        <f>IF(IFERROR((100-TableauIngredients[[#This Row],[% eau]])/100, 1) &lt; 20,0.2)</f>
        <v>0.2</v>
      </c>
      <c r="D165" t="s">
        <v>273</v>
      </c>
      <c r="F165" s="641"/>
    </row>
    <row r="166" spans="1:6">
      <c r="A166" s="1" t="s">
        <v>774</v>
      </c>
      <c r="B166" s="538">
        <v>1</v>
      </c>
      <c r="C166">
        <v>0</v>
      </c>
      <c r="D166" t="s">
        <v>773</v>
      </c>
      <c r="F166" s="641"/>
    </row>
  </sheetData>
  <phoneticPr fontId="3" type="noConversion"/>
  <hyperlinks>
    <hyperlink ref="G4" r:id="rId1" xr:uid="{A9333FD3-512B-3244-AD39-FF016D9FCC3F}"/>
    <hyperlink ref="G5" r:id="rId2" xr:uid="{2C63F9EC-514C-BC45-8EFF-75B6847E68CF}"/>
    <hyperlink ref="G7" r:id="rId3" display="https://vracbio.com/products/badiane-anis-etoile-bio-en-vrac?variant=31584511361139&amp;currency=EUR&amp;utm_medium=product_sync&amp;utm_source=google&amp;utm_content=sag_organic&amp;utm_campaign=sag_organic&amp;utm_campaign=gs-2020-05-12&amp;utm_source=google&amp;utm_medium=smart_campaign&amp;gad_source=1&amp;gclid=Cj0KCQjwwMqvBhCtARIsAIXsZpbzhzDINtZH-k_NigcEf1sWrPuGZLuWxNXCpnF2Jb13CK9238FySTMaAgwfEALw_wcB" xr:uid="{E277CF01-EFE9-E84F-AE23-A8B514FDA5AB}"/>
    <hyperlink ref="G20" r:id="rId4" display="https://www.googleadservices.com/pagead/aclk?sa=L&amp;ai=DChcSEwichuSekfSEAxVyQUECHat2BNwYABAMGgJ3cw&amp;ase=2&amp;gclid=Cj0KCQjwwMqvBhCtARIsAIXsZpZmpmc8fHRm_JGzy1Gmr0JI0grkfyuAV2XraPO2cYJ_I7mDJZoaepwaAlFBEALw_wcB&amp;ohost=www.google.com&amp;cid=CAESV-D2fcXVl2hyBhRmKKHyR9Mar6Ywa7Gxq7dChedDWqueLOlHIrSO08ZTbW6I8tjACgEP8JedobbYSxK8ul5eMEPhhJEPba-FfAwg293CrvZFTOWQMeyZvg&amp;sig=AOD64_00twfFYjSyymtiLPJAcag4fPwi1w&amp;ctype=5&amp;q=&amp;nis=4&amp;ved=2ahUKEwjQud6ekfSEAxVXU6QEHZs-CdUQ9aACKAB6BAgEEBM&amp;adurl=" xr:uid="{33A3156A-94EE-6145-982A-EF7B03892F6F}"/>
    <hyperlink ref="G17" r:id="rId5" display="https://www.googleadservices.com/pagead/aclk?sa=L&amp;ai=DChcSEwi8_L7IkfSEAxWWtWgJHdrGBpYYABAFGgJ3Zg&amp;ase=2&amp;gclid=Cj0KCQjwwMqvBhCtARIsAIXsZpYLT1VmI5Kq1BaXTkjkzxCxD3tRu3FW4QihyZ5AVHNacB5EEIP-EacaAtVBEALw_wcB&amp;ohost=www.google.com&amp;cid=CAESV-D25s4w_xgCt61JSCPtz_-6MB53MwZOqMSR3C53fMpAlGsUxYYNIVZyeD-U7TQmjoP8BSO5N0eb6P53Wc_pyXFm3Td7A7f5dhB2yVtf84Fpc8W6xGvNkg&amp;sig=AOD64_1j_v1y63lx74Qe3EwzAJMUknrPPQ&amp;ctype=5&amp;q=&amp;nis=4&amp;ved=2ahUKEwii3bjIkfSEAxUTUKQEHfKUBKUQ9aACKAB6BAgBECM&amp;adurl=" xr:uid="{2727FAB3-A99B-E64A-B3AC-05C05211E9F5}"/>
    <hyperlink ref="G82" r:id="rId6" display="https://www.googleadservices.com/pagead/aclk?sa=L&amp;ai=DChcSEwjImt71kvSEAxX4qGgJHfm2DMsYABAOGgJ3Zg&amp;ase=2&amp;gclid=Cj0KCQjwwMqvBhCtARIsAIXsZpZzuxlLYPk3jEbz2sSJyN4bocZn-7fGZ1l02xJ2SChDI7pgp8LAST8aAnq9EALw_wcB&amp;ohost=www.google.com&amp;cid=CAESV-D2Uxx-XLqYE_XjwL-kVovH9HTLCB4KlP7kJAwkGppGskGIF94N5JykIfKxIhGF_WNbbGhZMrxjSTAQ4FwvjJubk8RCtjodMYrRsrubTeHFyJdngqwO-Q&amp;sig=AOD64_24hJKAn2HpOv8TAFHuCr4695zSpw&amp;ctype=5&amp;q=&amp;nis=4&amp;ved=2ahUKEwjbttj1kvSEAxXWSKQEHcVUBosQ9aACKAB6BAgBEBM&amp;adurl=" xr:uid="{9E7757CD-0085-5442-8AAD-BFE067DD53F7}"/>
    <hyperlink ref="G108" r:id="rId7" xr:uid="{0D3F399D-9768-8942-B4AA-85BD4A57AC49}"/>
    <hyperlink ref="G145" r:id="rId8" xr:uid="{CA87654A-F3A7-7A48-B00D-00AF912D1334}"/>
    <hyperlink ref="G152" r:id="rId9" display="https://www.apiculture.net/sirop/7606-palette-sucre-de-canne-biologique-1080kg-alimentaire-54x20kg.html?kk=a4c626f-18e411b23ef-a3fee&amp;kgclid=CjwKCAjw48-vBhBbEiwAzqrZVI_0Pn7Eoe7X5_JvZvbTWxkK5E4ji2yIrkTdaQkY6n_lq79bD6I5HBoCb08QAvD_BwE&amp;utm_source=kelkoofr&amp;utm_medium=cpc&amp;utm_campaign=kelkooclick&amp;utm_term=Apiculture.net+-+Mat%C3%A9riel+apicole+fran%C3%A7a" xr:uid="{62A28A8E-8B2B-0344-8A3B-3A29BEE939E4}"/>
    <hyperlink ref="G72" r:id="rId10" xr:uid="{D16E688E-DDF2-404E-AE3E-2AB2A5CF4A79}"/>
    <hyperlink ref="G30" r:id="rId11" display="https://thesdirect.com/products/girofle-clou-entier-bio?variant=42278504759535&amp;utm_medium=paidsearch&amp;utm_source=google&amp;utm_campaign=FR-PMC-Global&amp;utm_term=&amp;utm_content=&amp;gad_source=1&amp;gclid=Cj0KCQjwwMqvBhCtARIsAIXsZpYMcYHxWw4LzdPFYu1RLdfNCwEEgQ89WYbpA_kBagvr-9lOLjM_5DwaAt_uEALw_wcB" xr:uid="{3F466926-175F-F040-9B49-F8B44FBEA524}"/>
    <hyperlink ref="G28" r:id="rId12" display="https://www.googleadservices.com/pagead/aclk?sa=L&amp;ai=DChcSEwjImt71kvSEAxX4qGgJHfm2DMsYABAOGgJ3Zg&amp;ase=2&amp;gclid=Cj0KCQjwwMqvBhCtARIsAIXsZpZzuxlLYPk3jEbz2sSJyN4bocZn-7fGZ1l02xJ2SChDI7pgp8LAST8aAnq9EALw_wcB&amp;ohost=www.google.com&amp;cid=CAESV-D2Uxx-XLqYE_XjwL-kVovH9HTLCB4KlP7kJAwkGppGskGIF94N5JykIfKxIhGF_WNbbGhZMrxjSTAQ4FwvjJubk8RCtjodMYrRsrubTeHFyJdngqwO-Q&amp;sig=AOD64_24hJKAn2HpOv8TAFHuCr4695zSpw&amp;ctype=5&amp;q=&amp;nis=4&amp;ved=2ahUKEwjbttj1kvSEAxXWSKQEHcVUBosQ9aACKAB6BAgBEBM&amp;adurl=" xr:uid="{D801B28B-4B45-6C4F-BDE4-6C4BAE0BD620}"/>
    <hyperlink ref="G27" r:id="rId13" display="https://www.etsy.com/fr/listing/1671728644/zeste-de-mandarine-sechee-biologique?gpla=1&amp;gao=1&amp;" xr:uid="{59460487-37C0-2542-A097-B4C156424B6B}"/>
    <hyperlink ref="G34" r:id="rId14" xr:uid="{FF50BE50-39B3-5D46-9536-6F02DF2D53DF}"/>
    <hyperlink ref="G36" r:id="rId15" xr:uid="{2067BF71-FB70-104E-A6A4-768953A47404}"/>
    <hyperlink ref="G37" r:id="rId16" xr:uid="{C564F1AF-E5A2-814E-AF92-51BBEFDB9744}"/>
    <hyperlink ref="G45" r:id="rId17" xr:uid="{FA72C4BA-6FD2-5746-8773-F6DE84AA9CC2}"/>
    <hyperlink ref="G52" r:id="rId18" xr:uid="{2E92C903-C257-DE43-ADD0-C2DFA7A72B7B}"/>
    <hyperlink ref="G55" r:id="rId19" xr:uid="{D0C8EFB7-A319-E748-9A1A-F2401E2DD6DA}"/>
    <hyperlink ref="G56" r:id="rId20" xr:uid="{B7FDF7AE-B843-5B45-BD08-B403A59F52FF}"/>
    <hyperlink ref="G57" r:id="rId21" xr:uid="{704BCBD0-9F9D-9B49-9600-1BA9C0AA6A02}"/>
    <hyperlink ref="G59" r:id="rId22" xr:uid="{8574CF7D-2107-7047-9069-6885E325CA19}"/>
    <hyperlink ref="G60" r:id="rId23" xr:uid="{C2AFDB4C-8076-7F40-99CD-69A6B2ABF4EE}"/>
    <hyperlink ref="G61" r:id="rId24" xr:uid="{771D1B40-2AB9-5640-BB66-9E067F335D67}"/>
    <hyperlink ref="G62" r:id="rId25" xr:uid="{E4CF48E1-5662-3A47-A604-9E0F2B3D71A1}"/>
    <hyperlink ref="G65" r:id="rId26" xr:uid="{51A435F2-D13A-7C41-AB06-58E20FE99623}"/>
    <hyperlink ref="G73" r:id="rId27" xr:uid="{D7CA3B82-A167-D940-9586-05447DFFC255}"/>
    <hyperlink ref="G88" r:id="rId28" xr:uid="{FC8B5DD1-0990-6C48-B713-3BE38DD32D61}"/>
    <hyperlink ref="G113" r:id="rId29" xr:uid="{51B3B5E1-3910-774C-85B0-8541753BD10E}"/>
    <hyperlink ref="G120" r:id="rId30" xr:uid="{3A689FB1-CE2F-554C-A1BB-9A831F3E7695}"/>
    <hyperlink ref="G38" r:id="rId31" display="https://www.pharma5avenue.com/blog/mode-de-production-du-curcuma-longa-n63" xr:uid="{2FC0E7E0-BFC6-D142-8CED-01BD6D833524}"/>
    <hyperlink ref="G39" r:id="rId32" display="https://www.pharma5avenue.com/blog/mode-de-production-du-curcuma-longa-n63" xr:uid="{D77F0488-1E53-0648-BF52-A4287BC5435A}"/>
    <hyperlink ref="G40" r:id="rId33" display="https://www.pharma5avenue.com/blog/mode-de-production-du-curcuma-longa-n63" xr:uid="{7E5AE045-C34C-1042-89C2-490F283BF632}"/>
    <hyperlink ref="G41" r:id="rId34" display="https://www.pharma5avenue.com/blog/mode-de-production-du-curcuma-longa-n63" xr:uid="{D255B28C-5EBA-CF41-A1EA-6FDFFAE9CB78}"/>
    <hyperlink ref="G124" r:id="rId35" display="https://occitanie.chambre-agriculture.fr/fileadmin/user_upload/Occitanie/076_Inst-Occitanie/Documents/Productions_techniques/Agriculture_biologique/Espace_ressource_bio/Maraichage_bio/ITK-LR-PoivronVenteDirecte.pdf" xr:uid="{4FD009F8-145E-B548-8027-4870CB1314C8}"/>
    <hyperlink ref="G125" r:id="rId36" display="https://occitanie.chambre-agriculture.fr/fileadmin/user_upload/Occitanie/076_Inst-Occitanie/Documents/Productions_techniques/Agriculture_biologique/Espace_ressource_bio/Maraichage_bio/ITK-LR-PoivronVenteDirecte.pdf" xr:uid="{BC0AB739-D9E6-6B45-BE1C-7B1D6062CD14}"/>
    <hyperlink ref="G126" r:id="rId37" display="https://occitanie.chambre-agriculture.fr/fileadmin/user_upload/Occitanie/076_Inst-Occitanie/Documents/Productions_techniques/Agriculture_biologique/Espace_ressource_bio/Maraichage_bio/ITK-LR-PoivronVenteDirecte.pdf" xr:uid="{93A5166D-98A1-044E-9EB5-8B7D1B7193AF}"/>
  </hyperlinks>
  <pageMargins left="0.7" right="0.7" top="0.75" bottom="0.75" header="0.3" footer="0.3"/>
  <pageSetup paperSize="9" orientation="portrait" horizontalDpi="0" verticalDpi="0"/>
  <drawing r:id="rId38"/>
  <tableParts count="1">
    <tablePart r:id="rId39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2ADD93B-7434-EC48-B859-8333E2FDFF4D}">
          <x14:formula1>
            <xm:f>Production!$A$2:$A$1048576</xm:f>
          </x14:formula1>
          <xm:sqref>D56:D61 D63:D65 D113 D104 D161:D1048576 D95 D92 D89:D90 D80:D87 D78 D115:D137 D67:D75 D141:D157 D2:D52 D97:D101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F46A0-2FE8-3E45-B5F8-2128C728B907}">
  <sheetPr codeName="Feuil1"/>
  <dimension ref="A1:Y916"/>
  <sheetViews>
    <sheetView zoomScale="138" workbookViewId="0">
      <pane ySplit="1" topLeftCell="A2" activePane="bottomLeft" state="frozen"/>
      <selection pane="bottomLeft" activeCell="H424" sqref="H424"/>
    </sheetView>
  </sheetViews>
  <sheetFormatPr baseColWidth="10" defaultColWidth="11" defaultRowHeight="16"/>
  <cols>
    <col min="1" max="2" width="20.33203125" style="26" customWidth="1"/>
    <col min="3" max="3" width="29.83203125" style="26" customWidth="1"/>
    <col min="4" max="4" width="9.33203125" style="27" customWidth="1"/>
    <col min="5" max="5" width="13.5" style="26" customWidth="1"/>
    <col min="6" max="6" width="12.5" style="26" customWidth="1"/>
    <col min="7" max="7" width="7.33203125" style="26" customWidth="1"/>
    <col min="8" max="8" width="8.6640625" style="26" customWidth="1"/>
    <col min="9" max="9" width="9.1640625" style="26" customWidth="1"/>
    <col min="10" max="10" width="5.33203125" style="27" customWidth="1"/>
    <col min="11" max="11" width="11" style="442" customWidth="1"/>
    <col min="12" max="12" width="5" style="443" customWidth="1"/>
    <col min="13" max="20" width="5" customWidth="1"/>
  </cols>
  <sheetData>
    <row r="1" spans="1:20" ht="127" customHeight="1">
      <c r="A1" s="675" t="s">
        <v>0</v>
      </c>
      <c r="B1" s="675" t="s">
        <v>1</v>
      </c>
      <c r="C1" s="675" t="s">
        <v>112</v>
      </c>
      <c r="D1" s="676" t="s">
        <v>274</v>
      </c>
      <c r="E1" s="677" t="s">
        <v>3</v>
      </c>
      <c r="F1" s="675" t="s">
        <v>719</v>
      </c>
      <c r="G1" s="678" t="s">
        <v>275</v>
      </c>
      <c r="H1" s="676" t="s">
        <v>276</v>
      </c>
      <c r="I1" s="676" t="s">
        <v>277</v>
      </c>
      <c r="J1" s="675" t="s">
        <v>278</v>
      </c>
      <c r="K1" s="679" t="s">
        <v>279</v>
      </c>
      <c r="L1" s="680" t="s">
        <v>720</v>
      </c>
      <c r="M1" s="675" t="s">
        <v>721</v>
      </c>
      <c r="N1" s="675" t="s">
        <v>722</v>
      </c>
      <c r="O1" s="675" t="s">
        <v>723</v>
      </c>
      <c r="P1" s="675" t="s">
        <v>724</v>
      </c>
      <c r="Q1" s="675" t="s">
        <v>725</v>
      </c>
      <c r="R1" s="675" t="s">
        <v>726</v>
      </c>
      <c r="S1" s="675" t="s">
        <v>727</v>
      </c>
      <c r="T1" s="675" t="s">
        <v>728</v>
      </c>
    </row>
    <row r="2" spans="1:20">
      <c r="A2" s="55" t="s">
        <v>108</v>
      </c>
      <c r="B2" s="55" t="str">
        <f>TableauRecette[[#This Row],[Recette]]&amp;TableauRecette[[#This Row],[Conditionnement]]</f>
        <v>AdviehEpice 100ml</v>
      </c>
      <c r="C2" s="55" t="s">
        <v>280</v>
      </c>
      <c r="D2" s="179">
        <v>2</v>
      </c>
      <c r="E2" s="55" t="s">
        <v>55</v>
      </c>
      <c r="F2" s="179">
        <f>D2/SUMIFS(TableauRecette[Proportion],TableauRecette[Recette],TableauRecette[[#This Row],[Recette]],TableauRecette[Conditionnement],TableauRecette[[#This Row],[Conditionnement]])</f>
        <v>0.22222222222222221</v>
      </c>
      <c r="G2" s="179">
        <f ca="1">_xlfn.XLOOKUP(TableauRecette[[#This Row],[Ingredients]],TableauIngredients[Ingredients],TableauIngredients[Prix d''achat (kg)],0)*TableauRecette[[#This Row],[poids / unite]]</f>
        <v>0</v>
      </c>
      <c r="H2" s="179">
        <f>SUMIFS(TableauRecette[Proportion],TableauRecette[Recette],TableauRecette[[#This Row],[Recette]],TableauRecette[Conditionnement],TableauRecette[[#This Row],[Conditionnement]])</f>
        <v>9</v>
      </c>
      <c r="I2" s="179">
        <f ca="1">TableauRecette[[#This Row],[Proportion]]*TableauRecette[[#This Row],[Prix d''achat / kg]]/TableauRecette[[#This Row],[Total Proportion]]</f>
        <v>0</v>
      </c>
      <c r="J2" s="179" t="s">
        <v>281</v>
      </c>
      <c r="K2" s="681" t="s">
        <v>282</v>
      </c>
      <c r="L2" s="682">
        <f>_xlfn.XLOOKUP(TableauRecette[[#This Row],[ID]],TableauProduit[ID],TableauProduit[Total (kg) N1],0,0,1)*TableauRecette[[#This Row],[poids / unite]]</f>
        <v>0</v>
      </c>
      <c r="M2" s="683">
        <f>_xlfn.XLOOKUP(TableauRecette[[#This Row],[ID]],TableauProduit[ID],TableauProduit[Total (kg) N2],0,0,1)*TableauRecette[[#This Row],[poids / unite]]</f>
        <v>0</v>
      </c>
      <c r="N2" s="683">
        <f>_xlfn.XLOOKUP(TableauRecette[[#This Row],[ID]],TableauProduit[ID],TableauProduit[Total (kg) N3],0,0,1)*TableauRecette[[#This Row],[poids / unite]]</f>
        <v>0</v>
      </c>
      <c r="O2" s="683">
        <f>_xlfn.XLOOKUP(TableauRecette[[#This Row],[ID]],TableauProduit[ID],TableauProduit[Total (kg) N4],0,0,1)*TableauRecette[[#This Row],[poids / unite]]</f>
        <v>0</v>
      </c>
      <c r="P2" s="683">
        <f>_xlfn.XLOOKUP(TableauRecette[[#This Row],[ID]],TableauProduit[ID],TableauProduit[Total (kg) N5],0,0,1)*TableauRecette[[#This Row],[poids / unite]]</f>
        <v>0</v>
      </c>
      <c r="Q2" s="683">
        <f>_xlfn.XLOOKUP(TableauRecette[[#This Row],[ID]],TableauProduit[ID],TableauProduit[Total (kg) N6],0,0,1)*TableauRecette[[#This Row],[poids / unite]]</f>
        <v>0</v>
      </c>
      <c r="R2" s="683">
        <f>_xlfn.XLOOKUP(TableauRecette[[#This Row],[ID]],TableauProduit[ID],TableauProduit[Total (kg) N7],0,0,1)*TableauRecette[[#This Row],[poids / unite]]</f>
        <v>0</v>
      </c>
      <c r="S2" s="683">
        <f>_xlfn.XLOOKUP(TableauRecette[[#This Row],[ID]],TableauProduit[ID],TableauProduit[Total (kg) N8],0,0,1)*TableauRecette[[#This Row],[poids / unite]]</f>
        <v>0</v>
      </c>
      <c r="T2" s="683">
        <f>_xlfn.XLOOKUP(TableauRecette[[#This Row],[ID]],TableauProduit[ID],TableauProduit[Total (kg) N9],0,0,1)*TableauRecette[[#This Row],[poids / unite]]</f>
        <v>0</v>
      </c>
    </row>
    <row r="3" spans="1:20">
      <c r="A3" s="55" t="s">
        <v>108</v>
      </c>
      <c r="B3" s="55" t="str">
        <f>TableauRecette[[#This Row],[Recette]]&amp;TableauRecette[[#This Row],[Conditionnement]]</f>
        <v>AdviehEpice 100ml</v>
      </c>
      <c r="C3" s="55" t="s">
        <v>283</v>
      </c>
      <c r="D3" s="179">
        <v>2</v>
      </c>
      <c r="E3" s="55" t="s">
        <v>55</v>
      </c>
      <c r="F3" s="179">
        <f>D3/SUMIFS(TableauRecette[Proportion],TableauRecette[Recette],TableauRecette[[#This Row],[Recette]],TableauRecette[Conditionnement],TableauRecette[[#This Row],[Conditionnement]])</f>
        <v>0.22222222222222221</v>
      </c>
      <c r="G3" s="179">
        <f ca="1">_xlfn.XLOOKUP(TableauRecette[[#This Row],[Ingredients]],TableauIngredients[Ingredients],TableauIngredients[Prix d''achat (kg)],0)*TableauRecette[[#This Row],[poids / unite]]</f>
        <v>25.34344444444444</v>
      </c>
      <c r="H3" s="179">
        <f>SUMIFS(TableauRecette[Proportion],TableauRecette[Recette],TableauRecette[[#This Row],[Recette]],TableauRecette[Conditionnement],TableauRecette[[#This Row],[Conditionnement]])</f>
        <v>9</v>
      </c>
      <c r="I3" s="179">
        <f ca="1">TableauRecette[[#This Row],[Proportion]]*TableauRecette[[#This Row],[Prix d''achat / kg]]/TableauRecette[[#This Row],[Total Proportion]]</f>
        <v>0</v>
      </c>
      <c r="J3" s="179" t="s">
        <v>281</v>
      </c>
      <c r="K3" s="681" t="s">
        <v>282</v>
      </c>
      <c r="L3" s="682">
        <f>_xlfn.XLOOKUP(TableauRecette[[#This Row],[ID]],TableauProduit[ID],TableauProduit[Total (kg) N1],0,0,1)*TableauRecette[[#This Row],[poids / unite]]</f>
        <v>0</v>
      </c>
      <c r="M3" s="683">
        <f>_xlfn.XLOOKUP(TableauRecette[[#This Row],[ID]],TableauProduit[ID],TableauProduit[Total (kg) N2],0,0,1)*TableauRecette[[#This Row],[poids / unite]]</f>
        <v>0</v>
      </c>
      <c r="N3" s="683">
        <f>_xlfn.XLOOKUP(TableauRecette[[#This Row],[ID]],TableauProduit[ID],TableauProduit[Total (kg) N3],0,0,1)*TableauRecette[[#This Row],[poids / unite]]</f>
        <v>0</v>
      </c>
      <c r="O3" s="683">
        <f>_xlfn.XLOOKUP(TableauRecette[[#This Row],[ID]],TableauProduit[ID],TableauProduit[Total (kg) N4],0,0,1)*TableauRecette[[#This Row],[poids / unite]]</f>
        <v>0</v>
      </c>
      <c r="P3" s="683">
        <f>_xlfn.XLOOKUP(TableauRecette[[#This Row],[ID]],TableauProduit[ID],TableauProduit[Total (kg) N5],0,0,1)*TableauRecette[[#This Row],[poids / unite]]</f>
        <v>0</v>
      </c>
      <c r="Q3" s="683">
        <f>_xlfn.XLOOKUP(TableauRecette[[#This Row],[ID]],TableauProduit[ID],TableauProduit[Total (kg) N6],0,0,1)*TableauRecette[[#This Row],[poids / unite]]</f>
        <v>0</v>
      </c>
      <c r="R3" s="683">
        <f>_xlfn.XLOOKUP(TableauRecette[[#This Row],[ID]],TableauProduit[ID],TableauProduit[Total (kg) N7],0,0,1)*TableauRecette[[#This Row],[poids / unite]]</f>
        <v>0</v>
      </c>
      <c r="S3" s="683">
        <f>_xlfn.XLOOKUP(TableauRecette[[#This Row],[ID]],TableauProduit[ID],TableauProduit[Total (kg) N8],0,0,1)*TableauRecette[[#This Row],[poids / unite]]</f>
        <v>0</v>
      </c>
      <c r="T3" s="683">
        <f>_xlfn.XLOOKUP(TableauRecette[[#This Row],[ID]],TableauProduit[ID],TableauProduit[Total (kg) N9],0,0,1)*TableauRecette[[#This Row],[poids / unite]]</f>
        <v>0</v>
      </c>
    </row>
    <row r="4" spans="1:20">
      <c r="A4" s="55" t="s">
        <v>108</v>
      </c>
      <c r="B4" s="55" t="str">
        <f>TableauRecette[[#This Row],[Recette]]&amp;TableauRecette[[#This Row],[Conditionnement]]</f>
        <v>AdviehEpice 100ml</v>
      </c>
      <c r="C4" s="55" t="s">
        <v>284</v>
      </c>
      <c r="D4" s="179">
        <v>1</v>
      </c>
      <c r="E4" s="55" t="s">
        <v>55</v>
      </c>
      <c r="F4" s="179">
        <f>D4/SUMIFS(TableauRecette[Proportion],TableauRecette[Recette],TableauRecette[[#This Row],[Recette]],TableauRecette[Conditionnement],TableauRecette[[#This Row],[Conditionnement]])</f>
        <v>0.1111111111111111</v>
      </c>
      <c r="G4" s="179">
        <f ca="1">_xlfn.XLOOKUP(TableauRecette[[#This Row],[Ingredients]],TableauIngredients[Ingredients],TableauIngredients[Prix d''achat (kg)],0)*TableauRecette[[#This Row],[poids / unite]]</f>
        <v>0</v>
      </c>
      <c r="H4" s="179">
        <f>SUMIFS(TableauRecette[Proportion],TableauRecette[Recette],TableauRecette[[#This Row],[Recette]],TableauRecette[Conditionnement],TableauRecette[[#This Row],[Conditionnement]])</f>
        <v>9</v>
      </c>
      <c r="I4" s="179">
        <f ca="1">TableauRecette[[#This Row],[Proportion]]*TableauRecette[[#This Row],[Prix d''achat / kg]]/TableauRecette[[#This Row],[Total Proportion]]</f>
        <v>0</v>
      </c>
      <c r="J4" s="179" t="s">
        <v>281</v>
      </c>
      <c r="K4" s="681" t="s">
        <v>282</v>
      </c>
      <c r="L4" s="682">
        <f>_xlfn.XLOOKUP(TableauRecette[[#This Row],[ID]],TableauProduit[ID],TableauProduit[Total (kg) N1],0,0,1)*TableauRecette[[#This Row],[poids / unite]]</f>
        <v>0</v>
      </c>
      <c r="M4" s="683">
        <f>_xlfn.XLOOKUP(TableauRecette[[#This Row],[ID]],TableauProduit[ID],TableauProduit[Total (kg) N2],0,0,1)*TableauRecette[[#This Row],[poids / unite]]</f>
        <v>0</v>
      </c>
      <c r="N4" s="683">
        <f>_xlfn.XLOOKUP(TableauRecette[[#This Row],[ID]],TableauProduit[ID],TableauProduit[Total (kg) N3],0,0,1)*TableauRecette[[#This Row],[poids / unite]]</f>
        <v>0</v>
      </c>
      <c r="O4" s="683">
        <f>_xlfn.XLOOKUP(TableauRecette[[#This Row],[ID]],TableauProduit[ID],TableauProduit[Total (kg) N4],0,0,1)*TableauRecette[[#This Row],[poids / unite]]</f>
        <v>0</v>
      </c>
      <c r="P4" s="683">
        <f>_xlfn.XLOOKUP(TableauRecette[[#This Row],[ID]],TableauProduit[ID],TableauProduit[Total (kg) N5],0,0,1)*TableauRecette[[#This Row],[poids / unite]]</f>
        <v>0</v>
      </c>
      <c r="Q4" s="683">
        <f>_xlfn.XLOOKUP(TableauRecette[[#This Row],[ID]],TableauProduit[ID],TableauProduit[Total (kg) N6],0,0,1)*TableauRecette[[#This Row],[poids / unite]]</f>
        <v>0</v>
      </c>
      <c r="R4" s="683">
        <f>_xlfn.XLOOKUP(TableauRecette[[#This Row],[ID]],TableauProduit[ID],TableauProduit[Total (kg) N7],0,0,1)*TableauRecette[[#This Row],[poids / unite]]</f>
        <v>0</v>
      </c>
      <c r="S4" s="683">
        <f>_xlfn.XLOOKUP(TableauRecette[[#This Row],[ID]],TableauProduit[ID],TableauProduit[Total (kg) N8],0,0,1)*TableauRecette[[#This Row],[poids / unite]]</f>
        <v>0</v>
      </c>
      <c r="T4" s="683">
        <f>_xlfn.XLOOKUP(TableauRecette[[#This Row],[ID]],TableauProduit[ID],TableauProduit[Total (kg) N9],0,0,1)*TableauRecette[[#This Row],[poids / unite]]</f>
        <v>0</v>
      </c>
    </row>
    <row r="5" spans="1:20">
      <c r="A5" s="55" t="s">
        <v>108</v>
      </c>
      <c r="B5" s="55" t="str">
        <f>TableauRecette[[#This Row],[Recette]]&amp;TableauRecette[[#This Row],[Conditionnement]]</f>
        <v>AdviehEpice 100ml</v>
      </c>
      <c r="C5" s="55" t="s">
        <v>285</v>
      </c>
      <c r="D5" s="179">
        <v>2</v>
      </c>
      <c r="E5" s="55" t="s">
        <v>55</v>
      </c>
      <c r="F5" s="179">
        <f>D5/SUMIFS(TableauRecette[Proportion],TableauRecette[Recette],TableauRecette[[#This Row],[Recette]],TableauRecette[Conditionnement],TableauRecette[[#This Row],[Conditionnement]])</f>
        <v>0.22222222222222221</v>
      </c>
      <c r="G5" s="179">
        <f ca="1">_xlfn.XLOOKUP(TableauRecette[[#This Row],[Ingredients]],TableauIngredients[Ingredients],TableauIngredients[Prix d''achat (kg)],0)*TableauRecette[[#This Row],[poids / unite]]</f>
        <v>4.8888888888888884</v>
      </c>
      <c r="H5" s="179">
        <f>SUMIFS(TableauRecette[Proportion],TableauRecette[Recette],TableauRecette[[#This Row],[Recette]],TableauRecette[Conditionnement],TableauRecette[[#This Row],[Conditionnement]])</f>
        <v>9</v>
      </c>
      <c r="I5" s="179">
        <f ca="1">TableauRecette[[#This Row],[Proportion]]*TableauRecette[[#This Row],[Prix d''achat / kg]]/TableauRecette[[#This Row],[Total Proportion]]</f>
        <v>0</v>
      </c>
      <c r="J5" s="179" t="s">
        <v>281</v>
      </c>
      <c r="K5" s="681" t="s">
        <v>282</v>
      </c>
      <c r="L5" s="682">
        <f>_xlfn.XLOOKUP(TableauRecette[[#This Row],[ID]],TableauProduit[ID],TableauProduit[Total (kg) N1],0,0,1)*TableauRecette[[#This Row],[poids / unite]]</f>
        <v>0</v>
      </c>
      <c r="M5" s="683">
        <f>_xlfn.XLOOKUP(TableauRecette[[#This Row],[ID]],TableauProduit[ID],TableauProduit[Total (kg) N2],0,0,1)*TableauRecette[[#This Row],[poids / unite]]</f>
        <v>0</v>
      </c>
      <c r="N5" s="683">
        <f>_xlfn.XLOOKUP(TableauRecette[[#This Row],[ID]],TableauProduit[ID],TableauProduit[Total (kg) N3],0,0,1)*TableauRecette[[#This Row],[poids / unite]]</f>
        <v>0</v>
      </c>
      <c r="O5" s="683">
        <f>_xlfn.XLOOKUP(TableauRecette[[#This Row],[ID]],TableauProduit[ID],TableauProduit[Total (kg) N4],0,0,1)*TableauRecette[[#This Row],[poids / unite]]</f>
        <v>0</v>
      </c>
      <c r="P5" s="683">
        <f>_xlfn.XLOOKUP(TableauRecette[[#This Row],[ID]],TableauProduit[ID],TableauProduit[Total (kg) N5],0,0,1)*TableauRecette[[#This Row],[poids / unite]]</f>
        <v>0</v>
      </c>
      <c r="Q5" s="683">
        <f>_xlfn.XLOOKUP(TableauRecette[[#This Row],[ID]],TableauProduit[ID],TableauProduit[Total (kg) N6],0,0,1)*TableauRecette[[#This Row],[poids / unite]]</f>
        <v>0</v>
      </c>
      <c r="R5" s="683">
        <f>_xlfn.XLOOKUP(TableauRecette[[#This Row],[ID]],TableauProduit[ID],TableauProduit[Total (kg) N7],0,0,1)*TableauRecette[[#This Row],[poids / unite]]</f>
        <v>0</v>
      </c>
      <c r="S5" s="683">
        <f>_xlfn.XLOOKUP(TableauRecette[[#This Row],[ID]],TableauProduit[ID],TableauProduit[Total (kg) N8],0,0,1)*TableauRecette[[#This Row],[poids / unite]]</f>
        <v>0</v>
      </c>
      <c r="T5" s="683">
        <f>_xlfn.XLOOKUP(TableauRecette[[#This Row],[ID]],TableauProduit[ID],TableauProduit[Total (kg) N9],0,0,1)*TableauRecette[[#This Row],[poids / unite]]</f>
        <v>0</v>
      </c>
    </row>
    <row r="6" spans="1:20">
      <c r="A6" s="55" t="s">
        <v>108</v>
      </c>
      <c r="B6" s="55" t="str">
        <f>TableauRecette[[#This Row],[Recette]]&amp;TableauRecette[[#This Row],[Conditionnement]]</f>
        <v>AdviehEpice 100ml</v>
      </c>
      <c r="C6" s="55" t="s">
        <v>299</v>
      </c>
      <c r="D6" s="179">
        <v>2</v>
      </c>
      <c r="E6" s="55" t="s">
        <v>55</v>
      </c>
      <c r="F6" s="179">
        <f>D6/SUMIFS(TableauRecette[Proportion],TableauRecette[Recette],TableauRecette[[#This Row],[Recette]],TableauRecette[Conditionnement],TableauRecette[[#This Row],[Conditionnement]])</f>
        <v>0.22222222222222221</v>
      </c>
      <c r="G6" s="179">
        <f ca="1">_xlfn.XLOOKUP(TableauRecette[[#This Row],[Ingredients]],TableauIngredients[Ingredients],TableauIngredients[Prix d''achat (kg)],0)*TableauRecette[[#This Row],[poids / unite]]</f>
        <v>0</v>
      </c>
      <c r="H6" s="179">
        <f>SUMIFS(TableauRecette[Proportion],TableauRecette[Recette],TableauRecette[[#This Row],[Recette]],TableauRecette[Conditionnement],TableauRecette[[#This Row],[Conditionnement]])</f>
        <v>9</v>
      </c>
      <c r="I6" s="179">
        <f ca="1">TableauRecette[[#This Row],[Proportion]]*TableauRecette[[#This Row],[Prix d''achat / kg]]/TableauRecette[[#This Row],[Total Proportion]]</f>
        <v>0</v>
      </c>
      <c r="J6" s="179" t="s">
        <v>281</v>
      </c>
      <c r="K6" s="681" t="s">
        <v>282</v>
      </c>
      <c r="L6" s="682">
        <f>_xlfn.XLOOKUP(TableauRecette[[#This Row],[ID]],TableauProduit[ID],TableauProduit[Total (kg) N1],0,0,1)*TableauRecette[[#This Row],[poids / unite]]</f>
        <v>0</v>
      </c>
      <c r="M6" s="683">
        <f>_xlfn.XLOOKUP(TableauRecette[[#This Row],[ID]],TableauProduit[ID],TableauProduit[Total (kg) N2],0,0,1)*TableauRecette[[#This Row],[poids / unite]]</f>
        <v>0</v>
      </c>
      <c r="N6" s="683">
        <f>_xlfn.XLOOKUP(TableauRecette[[#This Row],[ID]],TableauProduit[ID],TableauProduit[Total (kg) N3],0,0,1)*TableauRecette[[#This Row],[poids / unite]]</f>
        <v>0</v>
      </c>
      <c r="O6" s="683">
        <f>_xlfn.XLOOKUP(TableauRecette[[#This Row],[ID]],TableauProduit[ID],TableauProduit[Total (kg) N4],0,0,1)*TableauRecette[[#This Row],[poids / unite]]</f>
        <v>0</v>
      </c>
      <c r="P6" s="683">
        <f>_xlfn.XLOOKUP(TableauRecette[[#This Row],[ID]],TableauProduit[ID],TableauProduit[Total (kg) N5],0,0,1)*TableauRecette[[#This Row],[poids / unite]]</f>
        <v>0</v>
      </c>
      <c r="Q6" s="683">
        <f>_xlfn.XLOOKUP(TableauRecette[[#This Row],[ID]],TableauProduit[ID],TableauProduit[Total (kg) N6],0,0,1)*TableauRecette[[#This Row],[poids / unite]]</f>
        <v>0</v>
      </c>
      <c r="R6" s="683">
        <f>_xlfn.XLOOKUP(TableauRecette[[#This Row],[ID]],TableauProduit[ID],TableauProduit[Total (kg) N7],0,0,1)*TableauRecette[[#This Row],[poids / unite]]</f>
        <v>0</v>
      </c>
      <c r="S6" s="683">
        <f>_xlfn.XLOOKUP(TableauRecette[[#This Row],[ID]],TableauProduit[ID],TableauProduit[Total (kg) N8],0,0,1)*TableauRecette[[#This Row],[poids / unite]]</f>
        <v>0</v>
      </c>
      <c r="T6" s="683">
        <f>_xlfn.XLOOKUP(TableauRecette[[#This Row],[ID]],TableauProduit[ID],TableauProduit[Total (kg) N9],0,0,1)*TableauRecette[[#This Row],[poids / unite]]</f>
        <v>0</v>
      </c>
    </row>
    <row r="7" spans="1:20">
      <c r="A7" s="606" t="s">
        <v>64</v>
      </c>
      <c r="B7" s="606" t="str">
        <f>TableauRecette[[#This Row],[Recette]]&amp;TableauRecette[[#This Row],[Conditionnement]]</f>
        <v>Ail semouleEpice 100ml</v>
      </c>
      <c r="C7" s="606" t="s">
        <v>777</v>
      </c>
      <c r="D7" s="607">
        <v>1</v>
      </c>
      <c r="E7" s="606" t="s">
        <v>55</v>
      </c>
      <c r="F7" s="607">
        <f>D7/SUMIFS(TableauRecette[Proportion],TableauRecette[Recette],TableauRecette[[#This Row],[Recette]],TableauRecette[Conditionnement],TableauRecette[[#This Row],[Conditionnement]])</f>
        <v>1</v>
      </c>
      <c r="G7" s="607">
        <f ca="1">_xlfn.XLOOKUP(TableauRecette[[#This Row],[Ingredients]],TableauIngredients[Ingredients],TableauIngredients[Prix d''achat (kg)],0)*TableauRecette[[#This Row],[poids / unite]]</f>
        <v>0</v>
      </c>
      <c r="H7" s="607">
        <f>SUMIFS(TableauRecette[Proportion],TableauRecette[Recette],TableauRecette[[#This Row],[Recette]],TableauRecette[Conditionnement],TableauRecette[[#This Row],[Conditionnement]])</f>
        <v>1</v>
      </c>
      <c r="I7" s="607">
        <f ca="1">TableauRecette[[#This Row],[Proportion]]*TableauRecette[[#This Row],[Prix d''achat / kg]]/TableauRecette[[#This Row],[Total Proportion]]</f>
        <v>0</v>
      </c>
      <c r="J7" s="607" t="s">
        <v>286</v>
      </c>
      <c r="K7" s="684" t="s">
        <v>282</v>
      </c>
      <c r="L7" s="685">
        <f>_xlfn.XLOOKUP(TableauRecette[[#This Row],[ID]],TableauProduit[ID],TableauProduit[Total (kg) N1],0,0,1)*TableauRecette[[#This Row],[poids / unite]]</f>
        <v>9</v>
      </c>
      <c r="M7" s="686">
        <f>_xlfn.XLOOKUP(TableauRecette[[#This Row],[ID]],TableauProduit[ID],TableauProduit[Total (kg) N2],0,0,1)*TableauRecette[[#This Row],[poids / unite]]</f>
        <v>9</v>
      </c>
      <c r="N7" s="686">
        <f>_xlfn.XLOOKUP(TableauRecette[[#This Row],[ID]],TableauProduit[ID],TableauProduit[Total (kg) N3],0,0,1)*TableauRecette[[#This Row],[poids / unite]]</f>
        <v>9</v>
      </c>
      <c r="O7" s="686">
        <f>_xlfn.XLOOKUP(TableauRecette[[#This Row],[ID]],TableauProduit[ID],TableauProduit[Total (kg) N4],0,0,1)*TableauRecette[[#This Row],[poids / unite]]</f>
        <v>9</v>
      </c>
      <c r="P7" s="686">
        <f>_xlfn.XLOOKUP(TableauRecette[[#This Row],[ID]],TableauProduit[ID],TableauProduit[Total (kg) N5],0,0,1)*TableauRecette[[#This Row],[poids / unite]]</f>
        <v>9</v>
      </c>
      <c r="Q7" s="686">
        <f>_xlfn.XLOOKUP(TableauRecette[[#This Row],[ID]],TableauProduit[ID],TableauProduit[Total (kg) N6],0,0,1)*TableauRecette[[#This Row],[poids / unite]]</f>
        <v>9</v>
      </c>
      <c r="R7" s="686">
        <f>_xlfn.XLOOKUP(TableauRecette[[#This Row],[ID]],TableauProduit[ID],TableauProduit[Total (kg) N7],0,0,1)*TableauRecette[[#This Row],[poids / unite]]</f>
        <v>9</v>
      </c>
      <c r="S7" s="686">
        <f>_xlfn.XLOOKUP(TableauRecette[[#This Row],[ID]],TableauProduit[ID],TableauProduit[Total (kg) N8],0,0,1)*TableauRecette[[#This Row],[poids / unite]]</f>
        <v>9</v>
      </c>
      <c r="T7" s="686">
        <f>_xlfn.XLOOKUP(TableauRecette[[#This Row],[ID]],TableauProduit[ID],TableauProduit[Total (kg) N9],0,0,1)*TableauRecette[[#This Row],[poids / unite]]</f>
        <v>9</v>
      </c>
    </row>
    <row r="8" spans="1:20">
      <c r="A8" s="56" t="s">
        <v>105</v>
      </c>
      <c r="B8" s="56" t="str">
        <f>TableauRecette[[#This Row],[Recette]]&amp;TableauRecette[[#This Row],[Conditionnement]]</f>
        <v>Baharat arabeEpice 100ml</v>
      </c>
      <c r="C8" s="56" t="s">
        <v>287</v>
      </c>
      <c r="D8" s="180">
        <v>3</v>
      </c>
      <c r="E8" s="56" t="s">
        <v>55</v>
      </c>
      <c r="F8" s="180">
        <f>D8/SUMIFS(TableauRecette[Proportion],TableauRecette[Recette],TableauRecette[[#This Row],[Recette]],TableauRecette[Conditionnement],TableauRecette[[#This Row],[Conditionnement]])</f>
        <v>0.23076923076923078</v>
      </c>
      <c r="G8" s="180">
        <f ca="1">_xlfn.XLOOKUP(TableauRecette[[#This Row],[Ingredients]],TableauIngredients[Ingredients],TableauIngredients[Prix d''achat (kg)],0)*TableauRecette[[#This Row],[poids / unite]]</f>
        <v>8.5038461538461547</v>
      </c>
      <c r="H8" s="180">
        <f>SUMIFS(TableauRecette[Proportion],TableauRecette[Recette],TableauRecette[[#This Row],[Recette]],TableauRecette[Conditionnement],TableauRecette[[#This Row],[Conditionnement]])</f>
        <v>13</v>
      </c>
      <c r="I8" s="180">
        <f ca="1">TableauRecette[[#This Row],[Proportion]]*TableauRecette[[#This Row],[Prix d''achat / kg]]/TableauRecette[[#This Row],[Total Proportion]]</f>
        <v>0</v>
      </c>
      <c r="J8" s="180" t="s">
        <v>286</v>
      </c>
      <c r="K8" s="687" t="s">
        <v>282</v>
      </c>
      <c r="L8" s="688">
        <f>_xlfn.XLOOKUP(TableauRecette[[#This Row],[ID]],TableauProduit[ID],TableauProduit[Total (kg) N1],0,0,1)*TableauRecette[[#This Row],[poids / unite]]</f>
        <v>0</v>
      </c>
      <c r="M8" s="689">
        <f>_xlfn.XLOOKUP(TableauRecette[[#This Row],[ID]],TableauProduit[ID],TableauProduit[Total (kg) N2],0,0,1)*TableauRecette[[#This Row],[poids / unite]]</f>
        <v>0</v>
      </c>
      <c r="N8" s="689">
        <f>_xlfn.XLOOKUP(TableauRecette[[#This Row],[ID]],TableauProduit[ID],TableauProduit[Total (kg) N3],0,0,1)*TableauRecette[[#This Row],[poids / unite]]</f>
        <v>0</v>
      </c>
      <c r="O8" s="689">
        <f>_xlfn.XLOOKUP(TableauRecette[[#This Row],[ID]],TableauProduit[ID],TableauProduit[Total (kg) N4],0,0,1)*TableauRecette[[#This Row],[poids / unite]]</f>
        <v>0</v>
      </c>
      <c r="P8" s="689">
        <f>_xlfn.XLOOKUP(TableauRecette[[#This Row],[ID]],TableauProduit[ID],TableauProduit[Total (kg) N5],0,0,1)*TableauRecette[[#This Row],[poids / unite]]</f>
        <v>0</v>
      </c>
      <c r="Q8" s="689">
        <f>_xlfn.XLOOKUP(TableauRecette[[#This Row],[ID]],TableauProduit[ID],TableauProduit[Total (kg) N6],0,0,1)*TableauRecette[[#This Row],[poids / unite]]</f>
        <v>0</v>
      </c>
      <c r="R8" s="689">
        <f>_xlfn.XLOOKUP(TableauRecette[[#This Row],[ID]],TableauProduit[ID],TableauProduit[Total (kg) N7],0,0,1)*TableauRecette[[#This Row],[poids / unite]]</f>
        <v>0</v>
      </c>
      <c r="S8" s="689">
        <f>_xlfn.XLOOKUP(TableauRecette[[#This Row],[ID]],TableauProduit[ID],TableauProduit[Total (kg) N8],0,0,1)*TableauRecette[[#This Row],[poids / unite]]</f>
        <v>0</v>
      </c>
      <c r="T8" s="689">
        <f>_xlfn.XLOOKUP(TableauRecette[[#This Row],[ID]],TableauProduit[ID],TableauProduit[Total (kg) N9],0,0,1)*TableauRecette[[#This Row],[poids / unite]]</f>
        <v>0</v>
      </c>
    </row>
    <row r="9" spans="1:20">
      <c r="A9" s="56" t="s">
        <v>105</v>
      </c>
      <c r="B9" s="56" t="str">
        <f>TableauRecette[[#This Row],[Recette]]&amp;TableauRecette[[#This Row],[Conditionnement]]</f>
        <v>Baharat arabeEpice 100ml</v>
      </c>
      <c r="C9" s="56" t="s">
        <v>778</v>
      </c>
      <c r="D9" s="180">
        <v>3</v>
      </c>
      <c r="E9" s="56" t="s">
        <v>55</v>
      </c>
      <c r="F9" s="180">
        <f>D9/SUMIFS(TableauRecette[Proportion],TableauRecette[Recette],TableauRecette[[#This Row],[Recette]],TableauRecette[Conditionnement],TableauRecette[[#This Row],[Conditionnement]])</f>
        <v>0.23076923076923078</v>
      </c>
      <c r="G9" s="180">
        <f ca="1">_xlfn.XLOOKUP(TableauRecette[[#This Row],[Ingredients]],TableauIngredients[Ingredients],TableauIngredients[Prix d''achat (kg)],0)*TableauRecette[[#This Row],[poids / unite]]</f>
        <v>0</v>
      </c>
      <c r="H9" s="180">
        <f>SUMIFS(TableauRecette[Proportion],TableauRecette[Recette],TableauRecette[[#This Row],[Recette]],TableauRecette[Conditionnement],TableauRecette[[#This Row],[Conditionnement]])</f>
        <v>13</v>
      </c>
      <c r="I9" s="180">
        <f ca="1">TableauRecette[[#This Row],[Proportion]]*TableauRecette[[#This Row],[Prix d''achat / kg]]/TableauRecette[[#This Row],[Total Proportion]]</f>
        <v>0</v>
      </c>
      <c r="J9" s="180" t="s">
        <v>286</v>
      </c>
      <c r="K9" s="687" t="s">
        <v>282</v>
      </c>
      <c r="L9" s="688">
        <f>_xlfn.XLOOKUP(TableauRecette[[#This Row],[ID]],TableauProduit[ID],TableauProduit[Total (kg) N1],0,0,1)*TableauRecette[[#This Row],[poids / unite]]</f>
        <v>0</v>
      </c>
      <c r="M9" s="689">
        <f>_xlfn.XLOOKUP(TableauRecette[[#This Row],[ID]],TableauProduit[ID],TableauProduit[Total (kg) N2],0,0,1)*TableauRecette[[#This Row],[poids / unite]]</f>
        <v>0</v>
      </c>
      <c r="N9" s="689">
        <f>_xlfn.XLOOKUP(TableauRecette[[#This Row],[ID]],TableauProduit[ID],TableauProduit[Total (kg) N3],0,0,1)*TableauRecette[[#This Row],[poids / unite]]</f>
        <v>0</v>
      </c>
      <c r="O9" s="689">
        <f>_xlfn.XLOOKUP(TableauRecette[[#This Row],[ID]],TableauProduit[ID],TableauProduit[Total (kg) N4],0,0,1)*TableauRecette[[#This Row],[poids / unite]]</f>
        <v>0</v>
      </c>
      <c r="P9" s="689">
        <f>_xlfn.XLOOKUP(TableauRecette[[#This Row],[ID]],TableauProduit[ID],TableauProduit[Total (kg) N5],0,0,1)*TableauRecette[[#This Row],[poids / unite]]</f>
        <v>0</v>
      </c>
      <c r="Q9" s="689">
        <f>_xlfn.XLOOKUP(TableauRecette[[#This Row],[ID]],TableauProduit[ID],TableauProduit[Total (kg) N6],0,0,1)*TableauRecette[[#This Row],[poids / unite]]</f>
        <v>0</v>
      </c>
      <c r="R9" s="689">
        <f>_xlfn.XLOOKUP(TableauRecette[[#This Row],[ID]],TableauProduit[ID],TableauProduit[Total (kg) N7],0,0,1)*TableauRecette[[#This Row],[poids / unite]]</f>
        <v>0</v>
      </c>
      <c r="S9" s="689">
        <f>_xlfn.XLOOKUP(TableauRecette[[#This Row],[ID]],TableauProduit[ID],TableauProduit[Total (kg) N8],0,0,1)*TableauRecette[[#This Row],[poids / unite]]</f>
        <v>0</v>
      </c>
      <c r="T9" s="689">
        <f>_xlfn.XLOOKUP(TableauRecette[[#This Row],[ID]],TableauProduit[ID],TableauProduit[Total (kg) N9],0,0,1)*TableauRecette[[#This Row],[poids / unite]]</f>
        <v>0</v>
      </c>
    </row>
    <row r="10" spans="1:20">
      <c r="A10" s="56" t="s">
        <v>105</v>
      </c>
      <c r="B10" s="56" t="str">
        <f>TableauRecette[[#This Row],[Recette]]&amp;TableauRecette[[#This Row],[Conditionnement]]</f>
        <v>Baharat arabeEpice 100ml</v>
      </c>
      <c r="C10" s="56" t="s">
        <v>288</v>
      </c>
      <c r="D10" s="180">
        <v>1</v>
      </c>
      <c r="E10" s="56" t="s">
        <v>55</v>
      </c>
      <c r="F10" s="180">
        <f>D10/SUMIFS(TableauRecette[Proportion],TableauRecette[Recette],TableauRecette[[#This Row],[Recette]],TableauRecette[Conditionnement],TableauRecette[[#This Row],[Conditionnement]])</f>
        <v>7.6923076923076927E-2</v>
      </c>
      <c r="G10" s="180">
        <f ca="1">_xlfn.XLOOKUP(TableauRecette[[#This Row],[Ingredients]],TableauIngredients[Ingredients],TableauIngredients[Prix d''achat (kg)],0)*TableauRecette[[#This Row],[poids / unite]]</f>
        <v>2.7692307692307692</v>
      </c>
      <c r="H10" s="180">
        <f>SUMIFS(TableauRecette[Proportion],TableauRecette[Recette],TableauRecette[[#This Row],[Recette]],TableauRecette[Conditionnement],TableauRecette[[#This Row],[Conditionnement]])</f>
        <v>13</v>
      </c>
      <c r="I10" s="180">
        <f ca="1">TableauRecette[[#This Row],[Proportion]]*TableauRecette[[#This Row],[Prix d''achat / kg]]/TableauRecette[[#This Row],[Total Proportion]]</f>
        <v>0</v>
      </c>
      <c r="J10" s="180" t="s">
        <v>286</v>
      </c>
      <c r="K10" s="687" t="s">
        <v>282</v>
      </c>
      <c r="L10" s="688">
        <f>_xlfn.XLOOKUP(TableauRecette[[#This Row],[ID]],TableauProduit[ID],TableauProduit[Total (kg) N1],0,0,1)*TableauRecette[[#This Row],[poids / unite]]</f>
        <v>0</v>
      </c>
      <c r="M10" s="689">
        <f>_xlfn.XLOOKUP(TableauRecette[[#This Row],[ID]],TableauProduit[ID],TableauProduit[Total (kg) N2],0,0,1)*TableauRecette[[#This Row],[poids / unite]]</f>
        <v>0</v>
      </c>
      <c r="N10" s="689">
        <f>_xlfn.XLOOKUP(TableauRecette[[#This Row],[ID]],TableauProduit[ID],TableauProduit[Total (kg) N3],0,0,1)*TableauRecette[[#This Row],[poids / unite]]</f>
        <v>0</v>
      </c>
      <c r="O10" s="689">
        <f>_xlfn.XLOOKUP(TableauRecette[[#This Row],[ID]],TableauProduit[ID],TableauProduit[Total (kg) N4],0,0,1)*TableauRecette[[#This Row],[poids / unite]]</f>
        <v>0</v>
      </c>
      <c r="P10" s="689">
        <f>_xlfn.XLOOKUP(TableauRecette[[#This Row],[ID]],TableauProduit[ID],TableauProduit[Total (kg) N5],0,0,1)*TableauRecette[[#This Row],[poids / unite]]</f>
        <v>0</v>
      </c>
      <c r="Q10" s="689">
        <f>_xlfn.XLOOKUP(TableauRecette[[#This Row],[ID]],TableauProduit[ID],TableauProduit[Total (kg) N6],0,0,1)*TableauRecette[[#This Row],[poids / unite]]</f>
        <v>0</v>
      </c>
      <c r="R10" s="689">
        <f>_xlfn.XLOOKUP(TableauRecette[[#This Row],[ID]],TableauProduit[ID],TableauProduit[Total (kg) N7],0,0,1)*TableauRecette[[#This Row],[poids / unite]]</f>
        <v>0</v>
      </c>
      <c r="S10" s="689">
        <f>_xlfn.XLOOKUP(TableauRecette[[#This Row],[ID]],TableauProduit[ID],TableauProduit[Total (kg) N8],0,0,1)*TableauRecette[[#This Row],[poids / unite]]</f>
        <v>0</v>
      </c>
      <c r="T10" s="689">
        <f>_xlfn.XLOOKUP(TableauRecette[[#This Row],[ID]],TableauProduit[ID],TableauProduit[Total (kg) N9],0,0,1)*TableauRecette[[#This Row],[poids / unite]]</f>
        <v>0</v>
      </c>
    </row>
    <row r="11" spans="1:20">
      <c r="A11" s="56" t="s">
        <v>105</v>
      </c>
      <c r="B11" s="56" t="str">
        <f>TableauRecette[[#This Row],[Recette]]&amp;TableauRecette[[#This Row],[Conditionnement]]</f>
        <v>Baharat arabeEpice 100ml</v>
      </c>
      <c r="C11" s="56" t="s">
        <v>289</v>
      </c>
      <c r="D11" s="180">
        <v>1</v>
      </c>
      <c r="E11" s="56" t="s">
        <v>55</v>
      </c>
      <c r="F11" s="180">
        <f>D11/SUMIFS(TableauRecette[Proportion],TableauRecette[Recette],TableauRecette[[#This Row],[Recette]],TableauRecette[Conditionnement],TableauRecette[[#This Row],[Conditionnement]])</f>
        <v>7.6923076923076927E-2</v>
      </c>
      <c r="G11" s="180">
        <f ca="1">_xlfn.XLOOKUP(TableauRecette[[#This Row],[Ingredients]],TableauIngredients[Ingredients],TableauIngredients[Prix d''achat (kg)],0)*TableauRecette[[#This Row],[poids / unite]]</f>
        <v>0</v>
      </c>
      <c r="H11" s="180">
        <f>SUMIFS(TableauRecette[Proportion],TableauRecette[Recette],TableauRecette[[#This Row],[Recette]],TableauRecette[Conditionnement],TableauRecette[[#This Row],[Conditionnement]])</f>
        <v>13</v>
      </c>
      <c r="I11" s="180">
        <f ca="1">TableauRecette[[#This Row],[Proportion]]*TableauRecette[[#This Row],[Prix d''achat / kg]]/TableauRecette[[#This Row],[Total Proportion]]</f>
        <v>0</v>
      </c>
      <c r="J11" s="180" t="s">
        <v>286</v>
      </c>
      <c r="K11" s="687" t="s">
        <v>282</v>
      </c>
      <c r="L11" s="688">
        <f>_xlfn.XLOOKUP(TableauRecette[[#This Row],[ID]],TableauProduit[ID],TableauProduit[Total (kg) N1],0,0,1)*TableauRecette[[#This Row],[poids / unite]]</f>
        <v>0</v>
      </c>
      <c r="M11" s="689">
        <f>_xlfn.XLOOKUP(TableauRecette[[#This Row],[ID]],TableauProduit[ID],TableauProduit[Total (kg) N2],0,0,1)*TableauRecette[[#This Row],[poids / unite]]</f>
        <v>0</v>
      </c>
      <c r="N11" s="689">
        <f>_xlfn.XLOOKUP(TableauRecette[[#This Row],[ID]],TableauProduit[ID],TableauProduit[Total (kg) N3],0,0,1)*TableauRecette[[#This Row],[poids / unite]]</f>
        <v>0</v>
      </c>
      <c r="O11" s="689">
        <f>_xlfn.XLOOKUP(TableauRecette[[#This Row],[ID]],TableauProduit[ID],TableauProduit[Total (kg) N4],0,0,1)*TableauRecette[[#This Row],[poids / unite]]</f>
        <v>0</v>
      </c>
      <c r="P11" s="689">
        <f>_xlfn.XLOOKUP(TableauRecette[[#This Row],[ID]],TableauProduit[ID],TableauProduit[Total (kg) N5],0,0,1)*TableauRecette[[#This Row],[poids / unite]]</f>
        <v>0</v>
      </c>
      <c r="Q11" s="689">
        <f>_xlfn.XLOOKUP(TableauRecette[[#This Row],[ID]],TableauProduit[ID],TableauProduit[Total (kg) N6],0,0,1)*TableauRecette[[#This Row],[poids / unite]]</f>
        <v>0</v>
      </c>
      <c r="R11" s="689">
        <f>_xlfn.XLOOKUP(TableauRecette[[#This Row],[ID]],TableauProduit[ID],TableauProduit[Total (kg) N7],0,0,1)*TableauRecette[[#This Row],[poids / unite]]</f>
        <v>0</v>
      </c>
      <c r="S11" s="689">
        <f>_xlfn.XLOOKUP(TableauRecette[[#This Row],[ID]],TableauProduit[ID],TableauProduit[Total (kg) N8],0,0,1)*TableauRecette[[#This Row],[poids / unite]]</f>
        <v>0</v>
      </c>
      <c r="T11" s="689">
        <f>_xlfn.XLOOKUP(TableauRecette[[#This Row],[ID]],TableauProduit[ID],TableauProduit[Total (kg) N9],0,0,1)*TableauRecette[[#This Row],[poids / unite]]</f>
        <v>0</v>
      </c>
    </row>
    <row r="12" spans="1:20">
      <c r="A12" s="56" t="s">
        <v>105</v>
      </c>
      <c r="B12" s="56" t="str">
        <f>TableauRecette[[#This Row],[Recette]]&amp;TableauRecette[[#This Row],[Conditionnement]]</f>
        <v>Baharat arabeEpice 100ml</v>
      </c>
      <c r="C12" s="56" t="s">
        <v>290</v>
      </c>
      <c r="D12" s="180">
        <v>1</v>
      </c>
      <c r="E12" s="56" t="s">
        <v>55</v>
      </c>
      <c r="F12" s="180">
        <f>D12/SUMIFS(TableauRecette[Proportion],TableauRecette[Recette],TableauRecette[[#This Row],[Recette]],TableauRecette[Conditionnement],TableauRecette[[#This Row],[Conditionnement]])</f>
        <v>7.6923076923076927E-2</v>
      </c>
      <c r="G12" s="180">
        <f ca="1">_xlfn.XLOOKUP(TableauRecette[[#This Row],[Ingredients]],TableauIngredients[Ingredients],TableauIngredients[Prix d''achat (kg)],0)*TableauRecette[[#This Row],[poids / unite]]</f>
        <v>0</v>
      </c>
      <c r="H12" s="180">
        <f>SUMIFS(TableauRecette[Proportion],TableauRecette[Recette],TableauRecette[[#This Row],[Recette]],TableauRecette[Conditionnement],TableauRecette[[#This Row],[Conditionnement]])</f>
        <v>13</v>
      </c>
      <c r="I12" s="180">
        <f ca="1">TableauRecette[[#This Row],[Proportion]]*TableauRecette[[#This Row],[Prix d''achat / kg]]/TableauRecette[[#This Row],[Total Proportion]]</f>
        <v>0</v>
      </c>
      <c r="J12" s="180" t="s">
        <v>286</v>
      </c>
      <c r="K12" s="687" t="s">
        <v>282</v>
      </c>
      <c r="L12" s="688">
        <f>_xlfn.XLOOKUP(TableauRecette[[#This Row],[ID]],TableauProduit[ID],TableauProduit[Total (kg) N1],0,0,1)*TableauRecette[[#This Row],[poids / unite]]</f>
        <v>0</v>
      </c>
      <c r="M12" s="689">
        <f>_xlfn.XLOOKUP(TableauRecette[[#This Row],[ID]],TableauProduit[ID],TableauProduit[Total (kg) N2],0,0,1)*TableauRecette[[#This Row],[poids / unite]]</f>
        <v>0</v>
      </c>
      <c r="N12" s="689">
        <f>_xlfn.XLOOKUP(TableauRecette[[#This Row],[ID]],TableauProduit[ID],TableauProduit[Total (kg) N3],0,0,1)*TableauRecette[[#This Row],[poids / unite]]</f>
        <v>0</v>
      </c>
      <c r="O12" s="689">
        <f>_xlfn.XLOOKUP(TableauRecette[[#This Row],[ID]],TableauProduit[ID],TableauProduit[Total (kg) N4],0,0,1)*TableauRecette[[#This Row],[poids / unite]]</f>
        <v>0</v>
      </c>
      <c r="P12" s="689">
        <f>_xlfn.XLOOKUP(TableauRecette[[#This Row],[ID]],TableauProduit[ID],TableauProduit[Total (kg) N5],0,0,1)*TableauRecette[[#This Row],[poids / unite]]</f>
        <v>0</v>
      </c>
      <c r="Q12" s="689">
        <f>_xlfn.XLOOKUP(TableauRecette[[#This Row],[ID]],TableauProduit[ID],TableauProduit[Total (kg) N6],0,0,1)*TableauRecette[[#This Row],[poids / unite]]</f>
        <v>0</v>
      </c>
      <c r="R12" s="689">
        <f>_xlfn.XLOOKUP(TableauRecette[[#This Row],[ID]],TableauProduit[ID],TableauProduit[Total (kg) N7],0,0,1)*TableauRecette[[#This Row],[poids / unite]]</f>
        <v>0</v>
      </c>
      <c r="S12" s="689">
        <f>_xlfn.XLOOKUP(TableauRecette[[#This Row],[ID]],TableauProduit[ID],TableauProduit[Total (kg) N8],0,0,1)*TableauRecette[[#This Row],[poids / unite]]</f>
        <v>0</v>
      </c>
      <c r="T12" s="689">
        <f>_xlfn.XLOOKUP(TableauRecette[[#This Row],[ID]],TableauProduit[ID],TableauProduit[Total (kg) N9],0,0,1)*TableauRecette[[#This Row],[poids / unite]]</f>
        <v>0</v>
      </c>
    </row>
    <row r="13" spans="1:20">
      <c r="A13" s="56" t="s">
        <v>105</v>
      </c>
      <c r="B13" s="56" t="str">
        <f>TableauRecette[[#This Row],[Recette]]&amp;TableauRecette[[#This Row],[Conditionnement]]</f>
        <v>Baharat arabeEpice 100ml</v>
      </c>
      <c r="C13" s="56" t="s">
        <v>285</v>
      </c>
      <c r="D13" s="180">
        <v>3</v>
      </c>
      <c r="E13" s="56" t="s">
        <v>55</v>
      </c>
      <c r="F13" s="180">
        <f>D13/SUMIFS(TableauRecette[Proportion],TableauRecette[Recette],TableauRecette[[#This Row],[Recette]],TableauRecette[Conditionnement],TableauRecette[[#This Row],[Conditionnement]])</f>
        <v>0.23076923076923078</v>
      </c>
      <c r="G13" s="180">
        <f ca="1">_xlfn.XLOOKUP(TableauRecette[[#This Row],[Ingredients]],TableauIngredients[Ingredients],TableauIngredients[Prix d''achat (kg)],0)*TableauRecette[[#This Row],[poids / unite]]</f>
        <v>5.0769230769230775</v>
      </c>
      <c r="H13" s="180">
        <f>SUMIFS(TableauRecette[Proportion],TableauRecette[Recette],TableauRecette[[#This Row],[Recette]],TableauRecette[Conditionnement],TableauRecette[[#This Row],[Conditionnement]])</f>
        <v>13</v>
      </c>
      <c r="I13" s="180">
        <f ca="1">TableauRecette[[#This Row],[Proportion]]*TableauRecette[[#This Row],[Prix d''achat / kg]]/TableauRecette[[#This Row],[Total Proportion]]</f>
        <v>0</v>
      </c>
      <c r="J13" s="180" t="s">
        <v>286</v>
      </c>
      <c r="K13" s="687" t="s">
        <v>282</v>
      </c>
      <c r="L13" s="688">
        <f>_xlfn.XLOOKUP(TableauRecette[[#This Row],[ID]],TableauProduit[ID],TableauProduit[Total (kg) N1],0,0,1)*TableauRecette[[#This Row],[poids / unite]]</f>
        <v>0</v>
      </c>
      <c r="M13" s="689">
        <f>_xlfn.XLOOKUP(TableauRecette[[#This Row],[ID]],TableauProduit[ID],TableauProduit[Total (kg) N2],0,0,1)*TableauRecette[[#This Row],[poids / unite]]</f>
        <v>0</v>
      </c>
      <c r="N13" s="689">
        <f>_xlfn.XLOOKUP(TableauRecette[[#This Row],[ID]],TableauProduit[ID],TableauProduit[Total (kg) N3],0,0,1)*TableauRecette[[#This Row],[poids / unite]]</f>
        <v>0</v>
      </c>
      <c r="O13" s="689">
        <f>_xlfn.XLOOKUP(TableauRecette[[#This Row],[ID]],TableauProduit[ID],TableauProduit[Total (kg) N4],0,0,1)*TableauRecette[[#This Row],[poids / unite]]</f>
        <v>0</v>
      </c>
      <c r="P13" s="689">
        <f>_xlfn.XLOOKUP(TableauRecette[[#This Row],[ID]],TableauProduit[ID],TableauProduit[Total (kg) N5],0,0,1)*TableauRecette[[#This Row],[poids / unite]]</f>
        <v>0</v>
      </c>
      <c r="Q13" s="689">
        <f>_xlfn.XLOOKUP(TableauRecette[[#This Row],[ID]],TableauProduit[ID],TableauProduit[Total (kg) N6],0,0,1)*TableauRecette[[#This Row],[poids / unite]]</f>
        <v>0</v>
      </c>
      <c r="R13" s="689">
        <f>_xlfn.XLOOKUP(TableauRecette[[#This Row],[ID]],TableauProduit[ID],TableauProduit[Total (kg) N7],0,0,1)*TableauRecette[[#This Row],[poids / unite]]</f>
        <v>0</v>
      </c>
      <c r="S13" s="689">
        <f>_xlfn.XLOOKUP(TableauRecette[[#This Row],[ID]],TableauProduit[ID],TableauProduit[Total (kg) N8],0,0,1)*TableauRecette[[#This Row],[poids / unite]]</f>
        <v>0</v>
      </c>
      <c r="T13" s="689">
        <f>_xlfn.XLOOKUP(TableauRecette[[#This Row],[ID]],TableauProduit[ID],TableauProduit[Total (kg) N9],0,0,1)*TableauRecette[[#This Row],[poids / unite]]</f>
        <v>0</v>
      </c>
    </row>
    <row r="14" spans="1:20">
      <c r="A14" s="56" t="s">
        <v>105</v>
      </c>
      <c r="B14" s="56" t="str">
        <f>TableauRecette[[#This Row],[Recette]]&amp;TableauRecette[[#This Row],[Conditionnement]]</f>
        <v>Baharat arabeEpice 100ml</v>
      </c>
      <c r="C14" s="56" t="s">
        <v>291</v>
      </c>
      <c r="D14" s="180">
        <v>1</v>
      </c>
      <c r="E14" s="56" t="s">
        <v>55</v>
      </c>
      <c r="F14" s="180">
        <f>D14/SUMIFS(TableauRecette[Proportion],TableauRecette[Recette],TableauRecette[[#This Row],[Recette]],TableauRecette[Conditionnement],TableauRecette[[#This Row],[Conditionnement]])</f>
        <v>7.6923076923076927E-2</v>
      </c>
      <c r="G14" s="180">
        <f ca="1">_xlfn.XLOOKUP(TableauRecette[[#This Row],[Ingredients]],TableauIngredients[Ingredients],TableauIngredients[Prix d''achat (kg)],0)*TableauRecette[[#This Row],[poids / unite]]</f>
        <v>4.6153846153846159</v>
      </c>
      <c r="H14" s="180">
        <f>SUMIFS(TableauRecette[Proportion],TableauRecette[Recette],TableauRecette[[#This Row],[Recette]],TableauRecette[Conditionnement],TableauRecette[[#This Row],[Conditionnement]])</f>
        <v>13</v>
      </c>
      <c r="I14" s="180">
        <f ca="1">TableauRecette[[#This Row],[Proportion]]*TableauRecette[[#This Row],[Prix d''achat / kg]]/TableauRecette[[#This Row],[Total Proportion]]</f>
        <v>0</v>
      </c>
      <c r="J14" s="180" t="s">
        <v>286</v>
      </c>
      <c r="K14" s="687" t="s">
        <v>282</v>
      </c>
      <c r="L14" s="688">
        <f>_xlfn.XLOOKUP(TableauRecette[[#This Row],[ID]],TableauProduit[ID],TableauProduit[Total (kg) N1],0,0,1)*TableauRecette[[#This Row],[poids / unite]]</f>
        <v>0</v>
      </c>
      <c r="M14" s="689">
        <f>_xlfn.XLOOKUP(TableauRecette[[#This Row],[ID]],TableauProduit[ID],TableauProduit[Total (kg) N2],0,0,1)*TableauRecette[[#This Row],[poids / unite]]</f>
        <v>0</v>
      </c>
      <c r="N14" s="689">
        <f>_xlfn.XLOOKUP(TableauRecette[[#This Row],[ID]],TableauProduit[ID],TableauProduit[Total (kg) N3],0,0,1)*TableauRecette[[#This Row],[poids / unite]]</f>
        <v>0</v>
      </c>
      <c r="O14" s="689">
        <f>_xlfn.XLOOKUP(TableauRecette[[#This Row],[ID]],TableauProduit[ID],TableauProduit[Total (kg) N4],0,0,1)*TableauRecette[[#This Row],[poids / unite]]</f>
        <v>0</v>
      </c>
      <c r="P14" s="689">
        <f>_xlfn.XLOOKUP(TableauRecette[[#This Row],[ID]],TableauProduit[ID],TableauProduit[Total (kg) N5],0,0,1)*TableauRecette[[#This Row],[poids / unite]]</f>
        <v>0</v>
      </c>
      <c r="Q14" s="689">
        <f>_xlfn.XLOOKUP(TableauRecette[[#This Row],[ID]],TableauProduit[ID],TableauProduit[Total (kg) N6],0,0,1)*TableauRecette[[#This Row],[poids / unite]]</f>
        <v>0</v>
      </c>
      <c r="R14" s="689">
        <f>_xlfn.XLOOKUP(TableauRecette[[#This Row],[ID]],TableauProduit[ID],TableauProduit[Total (kg) N7],0,0,1)*TableauRecette[[#This Row],[poids / unite]]</f>
        <v>0</v>
      </c>
      <c r="S14" s="689">
        <f>_xlfn.XLOOKUP(TableauRecette[[#This Row],[ID]],TableauProduit[ID],TableauProduit[Total (kg) N8],0,0,1)*TableauRecette[[#This Row],[poids / unite]]</f>
        <v>0</v>
      </c>
      <c r="T14" s="689">
        <f>_xlfn.XLOOKUP(TableauRecette[[#This Row],[ID]],TableauProduit[ID],TableauProduit[Total (kg) N9],0,0,1)*TableauRecette[[#This Row],[poids / unite]]</f>
        <v>0</v>
      </c>
    </row>
    <row r="15" spans="1:20">
      <c r="A15" s="57" t="s">
        <v>107</v>
      </c>
      <c r="B15" s="57" t="str">
        <f>TableauRecette[[#This Row],[Recette]]&amp;TableauRecette[[#This Row],[Conditionnement]]</f>
        <v>Baharat turcEpice 100ml</v>
      </c>
      <c r="C15" s="57" t="s">
        <v>287</v>
      </c>
      <c r="D15" s="181">
        <v>2</v>
      </c>
      <c r="E15" s="57" t="s">
        <v>55</v>
      </c>
      <c r="F15" s="181">
        <f>D15/SUMIFS(TableauRecette[Proportion],TableauRecette[Recette],TableauRecette[[#This Row],[Recette]],TableauRecette[Conditionnement],TableauRecette[[#This Row],[Conditionnement]])</f>
        <v>0.19047619047619047</v>
      </c>
      <c r="G15" s="181">
        <f ca="1">_xlfn.XLOOKUP(TableauRecette[[#This Row],[Ingredients]],TableauIngredients[Ingredients],TableauIngredients[Prix d''achat (kg)],0)*TableauRecette[[#This Row],[poids / unite]]</f>
        <v>7.019047619047619</v>
      </c>
      <c r="H15" s="181">
        <f>SUMIFS(TableauRecette[Proportion],TableauRecette[Recette],TableauRecette[[#This Row],[Recette]],TableauRecette[Conditionnement],TableauRecette[[#This Row],[Conditionnement]])</f>
        <v>10.5</v>
      </c>
      <c r="I15" s="181">
        <f ca="1">TableauRecette[[#This Row],[Proportion]]*TableauRecette[[#This Row],[Prix d''achat / kg]]/TableauRecette[[#This Row],[Total Proportion]]</f>
        <v>0</v>
      </c>
      <c r="J15" s="181" t="s">
        <v>292</v>
      </c>
      <c r="K15" s="690" t="s">
        <v>293</v>
      </c>
      <c r="L15" s="691">
        <f>_xlfn.XLOOKUP(TableauRecette[[#This Row],[ID]],TableauProduit[ID],TableauProduit[Total (kg) N1],0,0,1)*TableauRecette[[#This Row],[poids / unite]]</f>
        <v>0</v>
      </c>
      <c r="M15" s="692">
        <f>_xlfn.XLOOKUP(TableauRecette[[#This Row],[ID]],TableauProduit[ID],TableauProduit[Total (kg) N2],0,0,1)*TableauRecette[[#This Row],[poids / unite]]</f>
        <v>0</v>
      </c>
      <c r="N15" s="692">
        <f>_xlfn.XLOOKUP(TableauRecette[[#This Row],[ID]],TableauProduit[ID],TableauProduit[Total (kg) N3],0,0,1)*TableauRecette[[#This Row],[poids / unite]]</f>
        <v>0</v>
      </c>
      <c r="O15" s="692">
        <f>_xlfn.XLOOKUP(TableauRecette[[#This Row],[ID]],TableauProduit[ID],TableauProduit[Total (kg) N4],0,0,1)*TableauRecette[[#This Row],[poids / unite]]</f>
        <v>0</v>
      </c>
      <c r="P15" s="692">
        <f>_xlfn.XLOOKUP(TableauRecette[[#This Row],[ID]],TableauProduit[ID],TableauProduit[Total (kg) N5],0,0,1)*TableauRecette[[#This Row],[poids / unite]]</f>
        <v>0</v>
      </c>
      <c r="Q15" s="692">
        <f>_xlfn.XLOOKUP(TableauRecette[[#This Row],[ID]],TableauProduit[ID],TableauProduit[Total (kg) N6],0,0,1)*TableauRecette[[#This Row],[poids / unite]]</f>
        <v>0</v>
      </c>
      <c r="R15" s="692">
        <f>_xlfn.XLOOKUP(TableauRecette[[#This Row],[ID]],TableauProduit[ID],TableauProduit[Total (kg) N7],0,0,1)*TableauRecette[[#This Row],[poids / unite]]</f>
        <v>0</v>
      </c>
      <c r="S15" s="692">
        <f>_xlfn.XLOOKUP(TableauRecette[[#This Row],[ID]],TableauProduit[ID],TableauProduit[Total (kg) N8],0,0,1)*TableauRecette[[#This Row],[poids / unite]]</f>
        <v>0</v>
      </c>
      <c r="T15" s="692">
        <f>_xlfn.XLOOKUP(TableauRecette[[#This Row],[ID]],TableauProduit[ID],TableauProduit[Total (kg) N9],0,0,1)*TableauRecette[[#This Row],[poids / unite]]</f>
        <v>0</v>
      </c>
    </row>
    <row r="16" spans="1:20">
      <c r="A16" s="57" t="s">
        <v>107</v>
      </c>
      <c r="B16" s="57" t="str">
        <f>TableauRecette[[#This Row],[Recette]]&amp;TableauRecette[[#This Row],[Conditionnement]]</f>
        <v>Baharat turcEpice 100ml</v>
      </c>
      <c r="C16" s="57" t="s">
        <v>290</v>
      </c>
      <c r="D16" s="181">
        <v>2</v>
      </c>
      <c r="E16" s="57" t="s">
        <v>55</v>
      </c>
      <c r="F16" s="181">
        <f>D16/SUMIFS(TableauRecette[Proportion],TableauRecette[Recette],TableauRecette[[#This Row],[Recette]],TableauRecette[Conditionnement],TableauRecette[[#This Row],[Conditionnement]])</f>
        <v>0.19047619047619047</v>
      </c>
      <c r="G16" s="181">
        <f ca="1">_xlfn.XLOOKUP(TableauRecette[[#This Row],[Ingredients]],TableauIngredients[Ingredients],TableauIngredients[Prix d''achat (kg)],0)*TableauRecette[[#This Row],[poids / unite]]</f>
        <v>0</v>
      </c>
      <c r="H16" s="181">
        <f>SUMIFS(TableauRecette[Proportion],TableauRecette[Recette],TableauRecette[[#This Row],[Recette]],TableauRecette[Conditionnement],TableauRecette[[#This Row],[Conditionnement]])</f>
        <v>10.5</v>
      </c>
      <c r="I16" s="181">
        <f ca="1">TableauRecette[[#This Row],[Proportion]]*TableauRecette[[#This Row],[Prix d''achat / kg]]/TableauRecette[[#This Row],[Total Proportion]]</f>
        <v>0</v>
      </c>
      <c r="J16" s="181" t="s">
        <v>292</v>
      </c>
      <c r="K16" s="690" t="s">
        <v>293</v>
      </c>
      <c r="L16" s="691">
        <f>_xlfn.XLOOKUP(TableauRecette[[#This Row],[ID]],TableauProduit[ID],TableauProduit[Total (kg) N1],0,0,1)*TableauRecette[[#This Row],[poids / unite]]</f>
        <v>0</v>
      </c>
      <c r="M16" s="692">
        <f>_xlfn.XLOOKUP(TableauRecette[[#This Row],[ID]],TableauProduit[ID],TableauProduit[Total (kg) N2],0,0,1)*TableauRecette[[#This Row],[poids / unite]]</f>
        <v>0</v>
      </c>
      <c r="N16" s="692">
        <f>_xlfn.XLOOKUP(TableauRecette[[#This Row],[ID]],TableauProduit[ID],TableauProduit[Total (kg) N3],0,0,1)*TableauRecette[[#This Row],[poids / unite]]</f>
        <v>0</v>
      </c>
      <c r="O16" s="692">
        <f>_xlfn.XLOOKUP(TableauRecette[[#This Row],[ID]],TableauProduit[ID],TableauProduit[Total (kg) N4],0,0,1)*TableauRecette[[#This Row],[poids / unite]]</f>
        <v>0</v>
      </c>
      <c r="P16" s="692">
        <f>_xlfn.XLOOKUP(TableauRecette[[#This Row],[ID]],TableauProduit[ID],TableauProduit[Total (kg) N5],0,0,1)*TableauRecette[[#This Row],[poids / unite]]</f>
        <v>0</v>
      </c>
      <c r="Q16" s="692">
        <f>_xlfn.XLOOKUP(TableauRecette[[#This Row],[ID]],TableauProduit[ID],TableauProduit[Total (kg) N6],0,0,1)*TableauRecette[[#This Row],[poids / unite]]</f>
        <v>0</v>
      </c>
      <c r="R16" s="692">
        <f>_xlfn.XLOOKUP(TableauRecette[[#This Row],[ID]],TableauProduit[ID],TableauProduit[Total (kg) N7],0,0,1)*TableauRecette[[#This Row],[poids / unite]]</f>
        <v>0</v>
      </c>
      <c r="S16" s="692">
        <f>_xlfn.XLOOKUP(TableauRecette[[#This Row],[ID]],TableauProduit[ID],TableauProduit[Total (kg) N8],0,0,1)*TableauRecette[[#This Row],[poids / unite]]</f>
        <v>0</v>
      </c>
      <c r="T16" s="692">
        <f>_xlfn.XLOOKUP(TableauRecette[[#This Row],[ID]],TableauProduit[ID],TableauProduit[Total (kg) N9],0,0,1)*TableauRecette[[#This Row],[poids / unite]]</f>
        <v>0</v>
      </c>
    </row>
    <row r="17" spans="1:20">
      <c r="A17" s="57" t="s">
        <v>107</v>
      </c>
      <c r="B17" s="57" t="str">
        <f>TableauRecette[[#This Row],[Recette]]&amp;TableauRecette[[#This Row],[Conditionnement]]</f>
        <v>Baharat turcEpice 100ml</v>
      </c>
      <c r="C17" s="57" t="s">
        <v>289</v>
      </c>
      <c r="D17" s="181">
        <v>2</v>
      </c>
      <c r="E17" s="57" t="s">
        <v>55</v>
      </c>
      <c r="F17" s="181">
        <f>D17/SUMIFS(TableauRecette[Proportion],TableauRecette[Recette],TableauRecette[[#This Row],[Recette]],TableauRecette[Conditionnement],TableauRecette[[#This Row],[Conditionnement]])</f>
        <v>0.19047619047619047</v>
      </c>
      <c r="G17" s="181">
        <f ca="1">_xlfn.XLOOKUP(TableauRecette[[#This Row],[Ingredients]],TableauIngredients[Ingredients],TableauIngredients[Prix d''achat (kg)],0)*TableauRecette[[#This Row],[poids / unite]]</f>
        <v>0</v>
      </c>
      <c r="H17" s="181">
        <f>SUMIFS(TableauRecette[Proportion],TableauRecette[Recette],TableauRecette[[#This Row],[Recette]],TableauRecette[Conditionnement],TableauRecette[[#This Row],[Conditionnement]])</f>
        <v>10.5</v>
      </c>
      <c r="I17" s="181">
        <f ca="1">TableauRecette[[#This Row],[Proportion]]*TableauRecette[[#This Row],[Prix d''achat / kg]]/TableauRecette[[#This Row],[Total Proportion]]</f>
        <v>0</v>
      </c>
      <c r="J17" s="181" t="s">
        <v>292</v>
      </c>
      <c r="K17" s="690" t="s">
        <v>293</v>
      </c>
      <c r="L17" s="691">
        <f>_xlfn.XLOOKUP(TableauRecette[[#This Row],[ID]],TableauProduit[ID],TableauProduit[Total (kg) N1],0,0,1)*TableauRecette[[#This Row],[poids / unite]]</f>
        <v>0</v>
      </c>
      <c r="M17" s="692">
        <f>_xlfn.XLOOKUP(TableauRecette[[#This Row],[ID]],TableauProduit[ID],TableauProduit[Total (kg) N2],0,0,1)*TableauRecette[[#This Row],[poids / unite]]</f>
        <v>0</v>
      </c>
      <c r="N17" s="692">
        <f>_xlfn.XLOOKUP(TableauRecette[[#This Row],[ID]],TableauProduit[ID],TableauProduit[Total (kg) N3],0,0,1)*TableauRecette[[#This Row],[poids / unite]]</f>
        <v>0</v>
      </c>
      <c r="O17" s="692">
        <f>_xlfn.XLOOKUP(TableauRecette[[#This Row],[ID]],TableauProduit[ID],TableauProduit[Total (kg) N4],0,0,1)*TableauRecette[[#This Row],[poids / unite]]</f>
        <v>0</v>
      </c>
      <c r="P17" s="692">
        <f>_xlfn.XLOOKUP(TableauRecette[[#This Row],[ID]],TableauProduit[ID],TableauProduit[Total (kg) N5],0,0,1)*TableauRecette[[#This Row],[poids / unite]]</f>
        <v>0</v>
      </c>
      <c r="Q17" s="692">
        <f>_xlfn.XLOOKUP(TableauRecette[[#This Row],[ID]],TableauProduit[ID],TableauProduit[Total (kg) N6],0,0,1)*TableauRecette[[#This Row],[poids / unite]]</f>
        <v>0</v>
      </c>
      <c r="R17" s="692">
        <f>_xlfn.XLOOKUP(TableauRecette[[#This Row],[ID]],TableauProduit[ID],TableauProduit[Total (kg) N7],0,0,1)*TableauRecette[[#This Row],[poids / unite]]</f>
        <v>0</v>
      </c>
      <c r="S17" s="692">
        <f>_xlfn.XLOOKUP(TableauRecette[[#This Row],[ID]],TableauProduit[ID],TableauProduit[Total (kg) N8],0,0,1)*TableauRecette[[#This Row],[poids / unite]]</f>
        <v>0</v>
      </c>
      <c r="T17" s="692">
        <f>_xlfn.XLOOKUP(TableauRecette[[#This Row],[ID]],TableauProduit[ID],TableauProduit[Total (kg) N9],0,0,1)*TableauRecette[[#This Row],[poids / unite]]</f>
        <v>0</v>
      </c>
    </row>
    <row r="18" spans="1:20">
      <c r="A18" s="57" t="s">
        <v>107</v>
      </c>
      <c r="B18" s="57" t="str">
        <f>TableauRecette[[#This Row],[Recette]]&amp;TableauRecette[[#This Row],[Conditionnement]]</f>
        <v>Baharat turcEpice 100ml</v>
      </c>
      <c r="C18" s="57" t="s">
        <v>288</v>
      </c>
      <c r="D18" s="181">
        <v>1</v>
      </c>
      <c r="E18" s="57" t="s">
        <v>55</v>
      </c>
      <c r="F18" s="181">
        <f>D18/SUMIFS(TableauRecette[Proportion],TableauRecette[Recette],TableauRecette[[#This Row],[Recette]],TableauRecette[Conditionnement],TableauRecette[[#This Row],[Conditionnement]])</f>
        <v>9.5238095238095233E-2</v>
      </c>
      <c r="G18" s="181">
        <f ca="1">_xlfn.XLOOKUP(TableauRecette[[#This Row],[Ingredients]],TableauIngredients[Ingredients],TableauIngredients[Prix d''achat (kg)],0)*TableauRecette[[#This Row],[poids / unite]]</f>
        <v>3.4285714285714284</v>
      </c>
      <c r="H18" s="181">
        <f>SUMIFS(TableauRecette[Proportion],TableauRecette[Recette],TableauRecette[[#This Row],[Recette]],TableauRecette[Conditionnement],TableauRecette[[#This Row],[Conditionnement]])</f>
        <v>10.5</v>
      </c>
      <c r="I18" s="181">
        <f ca="1">TableauRecette[[#This Row],[Proportion]]*TableauRecette[[#This Row],[Prix d''achat / kg]]/TableauRecette[[#This Row],[Total Proportion]]</f>
        <v>0</v>
      </c>
      <c r="J18" s="181" t="s">
        <v>292</v>
      </c>
      <c r="K18" s="690" t="s">
        <v>293</v>
      </c>
      <c r="L18" s="691">
        <f>_xlfn.XLOOKUP(TableauRecette[[#This Row],[ID]],TableauProduit[ID],TableauProduit[Total (kg) N1],0,0,1)*TableauRecette[[#This Row],[poids / unite]]</f>
        <v>0</v>
      </c>
      <c r="M18" s="692">
        <f>_xlfn.XLOOKUP(TableauRecette[[#This Row],[ID]],TableauProduit[ID],TableauProduit[Total (kg) N2],0,0,1)*TableauRecette[[#This Row],[poids / unite]]</f>
        <v>0</v>
      </c>
      <c r="N18" s="692">
        <f>_xlfn.XLOOKUP(TableauRecette[[#This Row],[ID]],TableauProduit[ID],TableauProduit[Total (kg) N3],0,0,1)*TableauRecette[[#This Row],[poids / unite]]</f>
        <v>0</v>
      </c>
      <c r="O18" s="692">
        <f>_xlfn.XLOOKUP(TableauRecette[[#This Row],[ID]],TableauProduit[ID],TableauProduit[Total (kg) N4],0,0,1)*TableauRecette[[#This Row],[poids / unite]]</f>
        <v>0</v>
      </c>
      <c r="P18" s="692">
        <f>_xlfn.XLOOKUP(TableauRecette[[#This Row],[ID]],TableauProduit[ID],TableauProduit[Total (kg) N5],0,0,1)*TableauRecette[[#This Row],[poids / unite]]</f>
        <v>0</v>
      </c>
      <c r="Q18" s="692">
        <f>_xlfn.XLOOKUP(TableauRecette[[#This Row],[ID]],TableauProduit[ID],TableauProduit[Total (kg) N6],0,0,1)*TableauRecette[[#This Row],[poids / unite]]</f>
        <v>0</v>
      </c>
      <c r="R18" s="692">
        <f>_xlfn.XLOOKUP(TableauRecette[[#This Row],[ID]],TableauProduit[ID],TableauProduit[Total (kg) N7],0,0,1)*TableauRecette[[#This Row],[poids / unite]]</f>
        <v>0</v>
      </c>
      <c r="S18" s="692">
        <f>_xlfn.XLOOKUP(TableauRecette[[#This Row],[ID]],TableauProduit[ID],TableauProduit[Total (kg) N8],0,0,1)*TableauRecette[[#This Row],[poids / unite]]</f>
        <v>0</v>
      </c>
      <c r="T18" s="692">
        <f>_xlfn.XLOOKUP(TableauRecette[[#This Row],[ID]],TableauProduit[ID],TableauProduit[Total (kg) N9],0,0,1)*TableauRecette[[#This Row],[poids / unite]]</f>
        <v>0</v>
      </c>
    </row>
    <row r="19" spans="1:20">
      <c r="A19" s="57" t="s">
        <v>107</v>
      </c>
      <c r="B19" s="57" t="str">
        <f>TableauRecette[[#This Row],[Recette]]&amp;TableauRecette[[#This Row],[Conditionnement]]</f>
        <v>Baharat turcEpice 100ml</v>
      </c>
      <c r="C19" s="57" t="s">
        <v>283</v>
      </c>
      <c r="D19" s="181">
        <v>0.5</v>
      </c>
      <c r="E19" s="57" t="s">
        <v>55</v>
      </c>
      <c r="F19" s="181">
        <f>D19/SUMIFS(TableauRecette[Proportion],TableauRecette[Recette],TableauRecette[[#This Row],[Recette]],TableauRecette[Conditionnement],TableauRecette[[#This Row],[Conditionnement]])</f>
        <v>4.7619047619047616E-2</v>
      </c>
      <c r="G19" s="181">
        <f ca="1">_xlfn.XLOOKUP(TableauRecette[[#This Row],[Ingredients]],TableauIngredients[Ingredients],TableauIngredients[Prix d''achat (kg)],0)*TableauRecette[[#This Row],[poids / unite]]</f>
        <v>5.4307380952380946</v>
      </c>
      <c r="H19" s="181">
        <f>SUMIFS(TableauRecette[Proportion],TableauRecette[Recette],TableauRecette[[#This Row],[Recette]],TableauRecette[Conditionnement],TableauRecette[[#This Row],[Conditionnement]])</f>
        <v>10.5</v>
      </c>
      <c r="I19" s="181">
        <f ca="1">TableauRecette[[#This Row],[Proportion]]*TableauRecette[[#This Row],[Prix d''achat / kg]]/TableauRecette[[#This Row],[Total Proportion]]</f>
        <v>0</v>
      </c>
      <c r="J19" s="181" t="s">
        <v>292</v>
      </c>
      <c r="K19" s="690" t="s">
        <v>293</v>
      </c>
      <c r="L19" s="691">
        <f>_xlfn.XLOOKUP(TableauRecette[[#This Row],[ID]],TableauProduit[ID],TableauProduit[Total (kg) N1],0,0,1)*TableauRecette[[#This Row],[poids / unite]]</f>
        <v>0</v>
      </c>
      <c r="M19" s="692">
        <f>_xlfn.XLOOKUP(TableauRecette[[#This Row],[ID]],TableauProduit[ID],TableauProduit[Total (kg) N2],0,0,1)*TableauRecette[[#This Row],[poids / unite]]</f>
        <v>0</v>
      </c>
      <c r="N19" s="692">
        <f>_xlfn.XLOOKUP(TableauRecette[[#This Row],[ID]],TableauProduit[ID],TableauProduit[Total (kg) N3],0,0,1)*TableauRecette[[#This Row],[poids / unite]]</f>
        <v>0</v>
      </c>
      <c r="O19" s="692">
        <f>_xlfn.XLOOKUP(TableauRecette[[#This Row],[ID]],TableauProduit[ID],TableauProduit[Total (kg) N4],0,0,1)*TableauRecette[[#This Row],[poids / unite]]</f>
        <v>0</v>
      </c>
      <c r="P19" s="692">
        <f>_xlfn.XLOOKUP(TableauRecette[[#This Row],[ID]],TableauProduit[ID],TableauProduit[Total (kg) N5],0,0,1)*TableauRecette[[#This Row],[poids / unite]]</f>
        <v>0</v>
      </c>
      <c r="Q19" s="692">
        <f>_xlfn.XLOOKUP(TableauRecette[[#This Row],[ID]],TableauProduit[ID],TableauProduit[Total (kg) N6],0,0,1)*TableauRecette[[#This Row],[poids / unite]]</f>
        <v>0</v>
      </c>
      <c r="R19" s="692">
        <f>_xlfn.XLOOKUP(TableauRecette[[#This Row],[ID]],TableauProduit[ID],TableauProduit[Total (kg) N7],0,0,1)*TableauRecette[[#This Row],[poids / unite]]</f>
        <v>0</v>
      </c>
      <c r="S19" s="692">
        <f>_xlfn.XLOOKUP(TableauRecette[[#This Row],[ID]],TableauProduit[ID],TableauProduit[Total (kg) N8],0,0,1)*TableauRecette[[#This Row],[poids / unite]]</f>
        <v>0</v>
      </c>
      <c r="T19" s="692">
        <f>_xlfn.XLOOKUP(TableauRecette[[#This Row],[ID]],TableauProduit[ID],TableauProduit[Total (kg) N9],0,0,1)*TableauRecette[[#This Row],[poids / unite]]</f>
        <v>0</v>
      </c>
    </row>
    <row r="20" spans="1:20">
      <c r="A20" s="57" t="s">
        <v>107</v>
      </c>
      <c r="B20" s="57" t="str">
        <f>TableauRecette[[#This Row],[Recette]]&amp;TableauRecette[[#This Row],[Conditionnement]]</f>
        <v>Baharat turcEpice 100ml</v>
      </c>
      <c r="C20" s="57" t="s">
        <v>291</v>
      </c>
      <c r="D20" s="181">
        <v>1</v>
      </c>
      <c r="E20" s="57" t="s">
        <v>55</v>
      </c>
      <c r="F20" s="181">
        <f>D20/SUMIFS(TableauRecette[Proportion],TableauRecette[Recette],TableauRecette[[#This Row],[Recette]],TableauRecette[Conditionnement],TableauRecette[[#This Row],[Conditionnement]])</f>
        <v>9.5238095238095233E-2</v>
      </c>
      <c r="G20" s="181">
        <f ca="1">_xlfn.XLOOKUP(TableauRecette[[#This Row],[Ingredients]],TableauIngredients[Ingredients],TableauIngredients[Prix d''achat (kg)],0)*TableauRecette[[#This Row],[poids / unite]]</f>
        <v>5.7142857142857135</v>
      </c>
      <c r="H20" s="181">
        <f>SUMIFS(TableauRecette[Proportion],TableauRecette[Recette],TableauRecette[[#This Row],[Recette]],TableauRecette[Conditionnement],TableauRecette[[#This Row],[Conditionnement]])</f>
        <v>10.5</v>
      </c>
      <c r="I20" s="181">
        <f ca="1">TableauRecette[[#This Row],[Proportion]]*TableauRecette[[#This Row],[Prix d''achat / kg]]/TableauRecette[[#This Row],[Total Proportion]]</f>
        <v>0</v>
      </c>
      <c r="J20" s="181" t="s">
        <v>292</v>
      </c>
      <c r="K20" s="690" t="s">
        <v>293</v>
      </c>
      <c r="L20" s="691">
        <f>_xlfn.XLOOKUP(TableauRecette[[#This Row],[ID]],TableauProduit[ID],TableauProduit[Total (kg) N1],0,0,1)*TableauRecette[[#This Row],[poids / unite]]</f>
        <v>0</v>
      </c>
      <c r="M20" s="692">
        <f>_xlfn.XLOOKUP(TableauRecette[[#This Row],[ID]],TableauProduit[ID],TableauProduit[Total (kg) N2],0,0,1)*TableauRecette[[#This Row],[poids / unite]]</f>
        <v>0</v>
      </c>
      <c r="N20" s="692">
        <f>_xlfn.XLOOKUP(TableauRecette[[#This Row],[ID]],TableauProduit[ID],TableauProduit[Total (kg) N3],0,0,1)*TableauRecette[[#This Row],[poids / unite]]</f>
        <v>0</v>
      </c>
      <c r="O20" s="692">
        <f>_xlfn.XLOOKUP(TableauRecette[[#This Row],[ID]],TableauProduit[ID],TableauProduit[Total (kg) N4],0,0,1)*TableauRecette[[#This Row],[poids / unite]]</f>
        <v>0</v>
      </c>
      <c r="P20" s="692">
        <f>_xlfn.XLOOKUP(TableauRecette[[#This Row],[ID]],TableauProduit[ID],TableauProduit[Total (kg) N5],0,0,1)*TableauRecette[[#This Row],[poids / unite]]</f>
        <v>0</v>
      </c>
      <c r="Q20" s="692">
        <f>_xlfn.XLOOKUP(TableauRecette[[#This Row],[ID]],TableauProduit[ID],TableauProduit[Total (kg) N6],0,0,1)*TableauRecette[[#This Row],[poids / unite]]</f>
        <v>0</v>
      </c>
      <c r="R20" s="692">
        <f>_xlfn.XLOOKUP(TableauRecette[[#This Row],[ID]],TableauProduit[ID],TableauProduit[Total (kg) N7],0,0,1)*TableauRecette[[#This Row],[poids / unite]]</f>
        <v>0</v>
      </c>
      <c r="S20" s="692">
        <f>_xlfn.XLOOKUP(TableauRecette[[#This Row],[ID]],TableauProduit[ID],TableauProduit[Total (kg) N8],0,0,1)*TableauRecette[[#This Row],[poids / unite]]</f>
        <v>0</v>
      </c>
      <c r="T20" s="692">
        <f>_xlfn.XLOOKUP(TableauRecette[[#This Row],[ID]],TableauProduit[ID],TableauProduit[Total (kg) N9],0,0,1)*TableauRecette[[#This Row],[poids / unite]]</f>
        <v>0</v>
      </c>
    </row>
    <row r="21" spans="1:20">
      <c r="A21" s="57" t="s">
        <v>107</v>
      </c>
      <c r="B21" s="57" t="str">
        <f>TableauRecette[[#This Row],[Recette]]&amp;TableauRecette[[#This Row],[Conditionnement]]</f>
        <v>Baharat turcEpice 100ml</v>
      </c>
      <c r="C21" s="57" t="s">
        <v>294</v>
      </c>
      <c r="D21" s="181">
        <v>1</v>
      </c>
      <c r="E21" s="57" t="s">
        <v>55</v>
      </c>
      <c r="F21" s="181">
        <f>D21/SUMIFS(TableauRecette[Proportion],TableauRecette[Recette],TableauRecette[[#This Row],[Recette]],TableauRecette[Conditionnement],TableauRecette[[#This Row],[Conditionnement]])</f>
        <v>9.5238095238095233E-2</v>
      </c>
      <c r="G21" s="181">
        <f ca="1">_xlfn.XLOOKUP(TableauRecette[[#This Row],[Ingredients]],TableauIngredients[Ingredients],TableauIngredients[Prix d''achat (kg)],0)*TableauRecette[[#This Row],[poids / unite]]</f>
        <v>2.0952380952380949</v>
      </c>
      <c r="H21" s="181">
        <f>SUMIFS(TableauRecette[Proportion],TableauRecette[Recette],TableauRecette[[#This Row],[Recette]],TableauRecette[Conditionnement],TableauRecette[[#This Row],[Conditionnement]])</f>
        <v>10.5</v>
      </c>
      <c r="I21" s="181">
        <f ca="1">TableauRecette[[#This Row],[Proportion]]*TableauRecette[[#This Row],[Prix d''achat / kg]]/TableauRecette[[#This Row],[Total Proportion]]</f>
        <v>0</v>
      </c>
      <c r="J21" s="181" t="s">
        <v>292</v>
      </c>
      <c r="K21" s="690" t="s">
        <v>293</v>
      </c>
      <c r="L21" s="691">
        <f>_xlfn.XLOOKUP(TableauRecette[[#This Row],[ID]],TableauProduit[ID],TableauProduit[Total (kg) N1],0,0,1)*TableauRecette[[#This Row],[poids / unite]]</f>
        <v>0</v>
      </c>
      <c r="M21" s="692">
        <f>_xlfn.XLOOKUP(TableauRecette[[#This Row],[ID]],TableauProduit[ID],TableauProduit[Total (kg) N2],0,0,1)*TableauRecette[[#This Row],[poids / unite]]</f>
        <v>0</v>
      </c>
      <c r="N21" s="692">
        <f>_xlfn.XLOOKUP(TableauRecette[[#This Row],[ID]],TableauProduit[ID],TableauProduit[Total (kg) N3],0,0,1)*TableauRecette[[#This Row],[poids / unite]]</f>
        <v>0</v>
      </c>
      <c r="O21" s="692">
        <f>_xlfn.XLOOKUP(TableauRecette[[#This Row],[ID]],TableauProduit[ID],TableauProduit[Total (kg) N4],0,0,1)*TableauRecette[[#This Row],[poids / unite]]</f>
        <v>0</v>
      </c>
      <c r="P21" s="692">
        <f>_xlfn.XLOOKUP(TableauRecette[[#This Row],[ID]],TableauProduit[ID],TableauProduit[Total (kg) N5],0,0,1)*TableauRecette[[#This Row],[poids / unite]]</f>
        <v>0</v>
      </c>
      <c r="Q21" s="692">
        <f>_xlfn.XLOOKUP(TableauRecette[[#This Row],[ID]],TableauProduit[ID],TableauProduit[Total (kg) N6],0,0,1)*TableauRecette[[#This Row],[poids / unite]]</f>
        <v>0</v>
      </c>
      <c r="R21" s="692">
        <f>_xlfn.XLOOKUP(TableauRecette[[#This Row],[ID]],TableauProduit[ID],TableauProduit[Total (kg) N7],0,0,1)*TableauRecette[[#This Row],[poids / unite]]</f>
        <v>0</v>
      </c>
      <c r="S21" s="692">
        <f>_xlfn.XLOOKUP(TableauRecette[[#This Row],[ID]],TableauProduit[ID],TableauProduit[Total (kg) N8],0,0,1)*TableauRecette[[#This Row],[poids / unite]]</f>
        <v>0</v>
      </c>
      <c r="T21" s="692">
        <f>_xlfn.XLOOKUP(TableauRecette[[#This Row],[ID]],TableauProduit[ID],TableauProduit[Total (kg) N9],0,0,1)*TableauRecette[[#This Row],[poids / unite]]</f>
        <v>0</v>
      </c>
    </row>
    <row r="22" spans="1:20">
      <c r="A22" s="57" t="s">
        <v>107</v>
      </c>
      <c r="B22" s="57" t="str">
        <f>TableauRecette[[#This Row],[Recette]]&amp;TableauRecette[[#This Row],[Conditionnement]]</f>
        <v>Baharat turcEpice 100ml</v>
      </c>
      <c r="C22" s="57" t="s">
        <v>295</v>
      </c>
      <c r="D22" s="181">
        <v>1</v>
      </c>
      <c r="E22" s="57" t="s">
        <v>55</v>
      </c>
      <c r="F22" s="181">
        <f>D22/SUMIFS(TableauRecette[Proportion],TableauRecette[Recette],TableauRecette[[#This Row],[Recette]],TableauRecette[Conditionnement],TableauRecette[[#This Row],[Conditionnement]])</f>
        <v>9.5238095238095233E-2</v>
      </c>
      <c r="G22" s="181">
        <f ca="1">_xlfn.XLOOKUP(TableauRecette[[#This Row],[Ingredients]],TableauIngredients[Ingredients],TableauIngredients[Prix d''achat (kg)],0)*TableauRecette[[#This Row],[poids / unite]]</f>
        <v>0</v>
      </c>
      <c r="H22" s="181">
        <f>SUMIFS(TableauRecette[Proportion],TableauRecette[Recette],TableauRecette[[#This Row],[Recette]],TableauRecette[Conditionnement],TableauRecette[[#This Row],[Conditionnement]])</f>
        <v>10.5</v>
      </c>
      <c r="I22" s="181">
        <f ca="1">TableauRecette[[#This Row],[Proportion]]*TableauRecette[[#This Row],[Prix d''achat / kg]]/TableauRecette[[#This Row],[Total Proportion]]</f>
        <v>0</v>
      </c>
      <c r="J22" s="181" t="s">
        <v>292</v>
      </c>
      <c r="K22" s="690" t="s">
        <v>293</v>
      </c>
      <c r="L22" s="691">
        <f>_xlfn.XLOOKUP(TableauRecette[[#This Row],[ID]],TableauProduit[ID],TableauProduit[Total (kg) N1],0,0,1)*TableauRecette[[#This Row],[poids / unite]]</f>
        <v>0</v>
      </c>
      <c r="M22" s="692">
        <f>_xlfn.XLOOKUP(TableauRecette[[#This Row],[ID]],TableauProduit[ID],TableauProduit[Total (kg) N2],0,0,1)*TableauRecette[[#This Row],[poids / unite]]</f>
        <v>0</v>
      </c>
      <c r="N22" s="692">
        <f>_xlfn.XLOOKUP(TableauRecette[[#This Row],[ID]],TableauProduit[ID],TableauProduit[Total (kg) N3],0,0,1)*TableauRecette[[#This Row],[poids / unite]]</f>
        <v>0</v>
      </c>
      <c r="O22" s="692">
        <f>_xlfn.XLOOKUP(TableauRecette[[#This Row],[ID]],TableauProduit[ID],TableauProduit[Total (kg) N4],0,0,1)*TableauRecette[[#This Row],[poids / unite]]</f>
        <v>0</v>
      </c>
      <c r="P22" s="692">
        <f>_xlfn.XLOOKUP(TableauRecette[[#This Row],[ID]],TableauProduit[ID],TableauProduit[Total (kg) N5],0,0,1)*TableauRecette[[#This Row],[poids / unite]]</f>
        <v>0</v>
      </c>
      <c r="Q22" s="692">
        <f>_xlfn.XLOOKUP(TableauRecette[[#This Row],[ID]],TableauProduit[ID],TableauProduit[Total (kg) N6],0,0,1)*TableauRecette[[#This Row],[poids / unite]]</f>
        <v>0</v>
      </c>
      <c r="R22" s="692">
        <f>_xlfn.XLOOKUP(TableauRecette[[#This Row],[ID]],TableauProduit[ID],TableauProduit[Total (kg) N7],0,0,1)*TableauRecette[[#This Row],[poids / unite]]</f>
        <v>0</v>
      </c>
      <c r="S22" s="692">
        <f>_xlfn.XLOOKUP(TableauRecette[[#This Row],[ID]],TableauProduit[ID],TableauProduit[Total (kg) N8],0,0,1)*TableauRecette[[#This Row],[poids / unite]]</f>
        <v>0</v>
      </c>
      <c r="T22" s="692">
        <f>_xlfn.XLOOKUP(TableauRecette[[#This Row],[ID]],TableauProduit[ID],TableauProduit[Total (kg) N9],0,0,1)*TableauRecette[[#This Row],[poids / unite]]</f>
        <v>0</v>
      </c>
    </row>
    <row r="23" spans="1:20">
      <c r="A23" s="58" t="s">
        <v>65</v>
      </c>
      <c r="B23" s="58" t="str">
        <f>TableauRecette[[#This Row],[Recette]]&amp;TableauRecette[[#This Row],[Conditionnement]]</f>
        <v>Carvi graineEpice 100ml</v>
      </c>
      <c r="C23" s="58" t="s">
        <v>296</v>
      </c>
      <c r="D23" s="182">
        <v>1</v>
      </c>
      <c r="E23" s="58" t="s">
        <v>55</v>
      </c>
      <c r="F23" s="182">
        <f>D23/SUMIFS(TableauRecette[Proportion],TableauRecette[Recette],TableauRecette[[#This Row],[Recette]],TableauRecette[Conditionnement],TableauRecette[[#This Row],[Conditionnement]])</f>
        <v>1</v>
      </c>
      <c r="G23" s="182">
        <f ca="1">_xlfn.XLOOKUP(TableauRecette[[#This Row],[Ingredients]],TableauIngredients[Ingredients],TableauIngredients[Prix d''achat (kg)],0)*TableauRecette[[#This Row],[poids / unite]]</f>
        <v>0</v>
      </c>
      <c r="H23" s="182">
        <f>SUMIFS(TableauRecette[Proportion],TableauRecette[Recette],TableauRecette[[#This Row],[Recette]],TableauRecette[Conditionnement],TableauRecette[[#This Row],[Conditionnement]])</f>
        <v>1</v>
      </c>
      <c r="I23" s="182">
        <f ca="1">TableauRecette[[#This Row],[Proportion]]*TableauRecette[[#This Row],[Prix d''achat / kg]]/TableauRecette[[#This Row],[Total Proportion]]</f>
        <v>0</v>
      </c>
      <c r="J23" s="182" t="s">
        <v>292</v>
      </c>
      <c r="K23" s="693" t="s">
        <v>293</v>
      </c>
      <c r="L23" s="694">
        <f>_xlfn.XLOOKUP(TableauRecette[[#This Row],[ID]],TableauProduit[ID],TableauProduit[Total (kg) N1],0,0,1)*TableauRecette[[#This Row],[poids / unite]]</f>
        <v>8.1</v>
      </c>
      <c r="M23" s="695">
        <f>_xlfn.XLOOKUP(TableauRecette[[#This Row],[ID]],TableauProduit[ID],TableauProduit[Total (kg) N2],0,0,1)*TableauRecette[[#This Row],[poids / unite]]</f>
        <v>8.1</v>
      </c>
      <c r="N23" s="695">
        <f>_xlfn.XLOOKUP(TableauRecette[[#This Row],[ID]],TableauProduit[ID],TableauProduit[Total (kg) N3],0,0,1)*TableauRecette[[#This Row],[poids / unite]]</f>
        <v>8.1</v>
      </c>
      <c r="O23" s="695">
        <f>_xlfn.XLOOKUP(TableauRecette[[#This Row],[ID]],TableauProduit[ID],TableauProduit[Total (kg) N4],0,0,1)*TableauRecette[[#This Row],[poids / unite]]</f>
        <v>8.1</v>
      </c>
      <c r="P23" s="695">
        <f>_xlfn.XLOOKUP(TableauRecette[[#This Row],[ID]],TableauProduit[ID],TableauProduit[Total (kg) N5],0,0,1)*TableauRecette[[#This Row],[poids / unite]]</f>
        <v>8.1</v>
      </c>
      <c r="Q23" s="695">
        <f>_xlfn.XLOOKUP(TableauRecette[[#This Row],[ID]],TableauProduit[ID],TableauProduit[Total (kg) N6],0,0,1)*TableauRecette[[#This Row],[poids / unite]]</f>
        <v>8.1</v>
      </c>
      <c r="R23" s="695">
        <f>_xlfn.XLOOKUP(TableauRecette[[#This Row],[ID]],TableauProduit[ID],TableauProduit[Total (kg) N7],0,0,1)*TableauRecette[[#This Row],[poids / unite]]</f>
        <v>8.1</v>
      </c>
      <c r="S23" s="695">
        <f>_xlfn.XLOOKUP(TableauRecette[[#This Row],[ID]],TableauProduit[ID],TableauProduit[Total (kg) N8],0,0,1)*TableauRecette[[#This Row],[poids / unite]]</f>
        <v>8.1</v>
      </c>
      <c r="T23" s="695">
        <f>_xlfn.XLOOKUP(TableauRecette[[#This Row],[ID]],TableauProduit[ID],TableauProduit[Total (kg) N9],0,0,1)*TableauRecette[[#This Row],[poids / unite]]</f>
        <v>8.1</v>
      </c>
    </row>
    <row r="24" spans="1:20">
      <c r="A24" s="59" t="s">
        <v>104</v>
      </c>
      <c r="B24" s="59" t="str">
        <f>TableauRecette[[#This Row],[Recette]]&amp;TableauRecette[[#This Row],[Conditionnement]]</f>
        <v>Carvi moulueEpice 100ml</v>
      </c>
      <c r="C24" s="59" t="s">
        <v>297</v>
      </c>
      <c r="D24" s="183">
        <v>1</v>
      </c>
      <c r="E24" s="59" t="s">
        <v>55</v>
      </c>
      <c r="F24" s="183">
        <f>D24/SUMIFS(TableauRecette[Proportion],TableauRecette[Recette],TableauRecette[[#This Row],[Recette]],TableauRecette[Conditionnement],TableauRecette[[#This Row],[Conditionnement]])</f>
        <v>1</v>
      </c>
      <c r="G24" s="183">
        <f ca="1">_xlfn.XLOOKUP(TableauRecette[[#This Row],[Ingredients]],TableauIngredients[Ingredients],TableauIngredients[Prix d''achat (kg)],0)*TableauRecette[[#This Row],[poids / unite]]</f>
        <v>20.75</v>
      </c>
      <c r="H24" s="183">
        <f>SUMIFS(TableauRecette[Proportion],TableauRecette[Recette],TableauRecette[[#This Row],[Recette]],TableauRecette[Conditionnement],TableauRecette[[#This Row],[Conditionnement]])</f>
        <v>1</v>
      </c>
      <c r="I24" s="183">
        <f ca="1">TableauRecette[[#This Row],[Proportion]]*TableauRecette[[#This Row],[Prix d''achat / kg]]/TableauRecette[[#This Row],[Total Proportion]]</f>
        <v>0</v>
      </c>
      <c r="J24" s="183"/>
      <c r="K24" s="696"/>
      <c r="L24" s="697">
        <f>_xlfn.XLOOKUP(TableauRecette[[#This Row],[ID]],TableauProduit[ID],TableauProduit[Total (kg) N1],0,0,1)*TableauRecette[[#This Row],[poids / unite]]</f>
        <v>0</v>
      </c>
      <c r="M24" s="698">
        <f>_xlfn.XLOOKUP(TableauRecette[[#This Row],[ID]],TableauProduit[ID],TableauProduit[Total (kg) N2],0,0,1)*TableauRecette[[#This Row],[poids / unite]]</f>
        <v>0</v>
      </c>
      <c r="N24" s="698">
        <f>_xlfn.XLOOKUP(TableauRecette[[#This Row],[ID]],TableauProduit[ID],TableauProduit[Total (kg) N3],0,0,1)*TableauRecette[[#This Row],[poids / unite]]</f>
        <v>0</v>
      </c>
      <c r="O24" s="698">
        <f>_xlfn.XLOOKUP(TableauRecette[[#This Row],[ID]],TableauProduit[ID],TableauProduit[Total (kg) N4],0,0,1)*TableauRecette[[#This Row],[poids / unite]]</f>
        <v>0</v>
      </c>
      <c r="P24" s="698">
        <f>_xlfn.XLOOKUP(TableauRecette[[#This Row],[ID]],TableauProduit[ID],TableauProduit[Total (kg) N5],0,0,1)*TableauRecette[[#This Row],[poids / unite]]</f>
        <v>0</v>
      </c>
      <c r="Q24" s="698">
        <f>_xlfn.XLOOKUP(TableauRecette[[#This Row],[ID]],TableauProduit[ID],TableauProduit[Total (kg) N6],0,0,1)*TableauRecette[[#This Row],[poids / unite]]</f>
        <v>0</v>
      </c>
      <c r="R24" s="698">
        <f>_xlfn.XLOOKUP(TableauRecette[[#This Row],[ID]],TableauProduit[ID],TableauProduit[Total (kg) N7],0,0,1)*TableauRecette[[#This Row],[poids / unite]]</f>
        <v>0</v>
      </c>
      <c r="S24" s="698">
        <f>_xlfn.XLOOKUP(TableauRecette[[#This Row],[ID]],TableauProduit[ID],TableauProduit[Total (kg) N8],0,0,1)*TableauRecette[[#This Row],[poids / unite]]</f>
        <v>0</v>
      </c>
      <c r="T24" s="698">
        <f>_xlfn.XLOOKUP(TableauRecette[[#This Row],[ID]],TableauProduit[ID],TableauProduit[Total (kg) N9],0,0,1)*TableauRecette[[#This Row],[poids / unite]]</f>
        <v>0</v>
      </c>
    </row>
    <row r="25" spans="1:20">
      <c r="A25" s="60" t="s">
        <v>102</v>
      </c>
      <c r="B25" s="60" t="str">
        <f>TableauRecette[[#This Row],[Recette]]&amp;TableauRecette[[#This Row],[Conditionnement]]</f>
        <v>Chaat masalaEpice 100ml</v>
      </c>
      <c r="C25" s="60" t="s">
        <v>284</v>
      </c>
      <c r="D25" s="184">
        <v>6</v>
      </c>
      <c r="E25" s="60" t="s">
        <v>55</v>
      </c>
      <c r="F25" s="184">
        <f>D25/SUMIFS(TableauRecette[Proportion],TableauRecette[Recette],TableauRecette[[#This Row],[Recette]],TableauRecette[Conditionnement],TableauRecette[[#This Row],[Conditionnement]])</f>
        <v>0.24489795918367346</v>
      </c>
      <c r="G25" s="184">
        <f ca="1">_xlfn.XLOOKUP(TableauRecette[[#This Row],[Ingredients]],TableauIngredients[Ingredients],TableauIngredients[Prix d''achat (kg)],0)*TableauRecette[[#This Row],[poids / unite]]</f>
        <v>0</v>
      </c>
      <c r="H25" s="184">
        <f>SUMIFS(TableauRecette[Proportion],TableauRecette[Recette],TableauRecette[[#This Row],[Recette]],TableauRecette[Conditionnement],TableauRecette[[#This Row],[Conditionnement]])</f>
        <v>24.5</v>
      </c>
      <c r="I25" s="184">
        <f ca="1">TableauRecette[[#This Row],[Proportion]]*TableauRecette[[#This Row],[Prix d''achat / kg]]/TableauRecette[[#This Row],[Total Proportion]]</f>
        <v>0</v>
      </c>
      <c r="J25" s="184"/>
      <c r="K25" s="699"/>
      <c r="L25" s="700">
        <f>_xlfn.XLOOKUP(TableauRecette[[#This Row],[ID]],TableauProduit[ID],TableauProduit[Total (kg) N1],0,0,1)*TableauRecette[[#This Row],[poids / unite]]</f>
        <v>0</v>
      </c>
      <c r="M25" s="701">
        <f>_xlfn.XLOOKUP(TableauRecette[[#This Row],[ID]],TableauProduit[ID],TableauProduit[Total (kg) N2],0,0,1)*TableauRecette[[#This Row],[poids / unite]]</f>
        <v>0</v>
      </c>
      <c r="N25" s="701">
        <f>_xlfn.XLOOKUP(TableauRecette[[#This Row],[ID]],TableauProduit[ID],TableauProduit[Total (kg) N3],0,0,1)*TableauRecette[[#This Row],[poids / unite]]</f>
        <v>0</v>
      </c>
      <c r="O25" s="701">
        <f>_xlfn.XLOOKUP(TableauRecette[[#This Row],[ID]],TableauProduit[ID],TableauProduit[Total (kg) N4],0,0,1)*TableauRecette[[#This Row],[poids / unite]]</f>
        <v>0</v>
      </c>
      <c r="P25" s="701">
        <f>_xlfn.XLOOKUP(TableauRecette[[#This Row],[ID]],TableauProduit[ID],TableauProduit[Total (kg) N5],0,0,1)*TableauRecette[[#This Row],[poids / unite]]</f>
        <v>0</v>
      </c>
      <c r="Q25" s="701">
        <f>_xlfn.XLOOKUP(TableauRecette[[#This Row],[ID]],TableauProduit[ID],TableauProduit[Total (kg) N6],0,0,1)*TableauRecette[[#This Row],[poids / unite]]</f>
        <v>0</v>
      </c>
      <c r="R25" s="701">
        <f>_xlfn.XLOOKUP(TableauRecette[[#This Row],[ID]],TableauProduit[ID],TableauProduit[Total (kg) N7],0,0,1)*TableauRecette[[#This Row],[poids / unite]]</f>
        <v>0</v>
      </c>
      <c r="S25" s="701">
        <f>_xlfn.XLOOKUP(TableauRecette[[#This Row],[ID]],TableauProduit[ID],TableauProduit[Total (kg) N8],0,0,1)*TableauRecette[[#This Row],[poids / unite]]</f>
        <v>0</v>
      </c>
      <c r="T25" s="701">
        <f>_xlfn.XLOOKUP(TableauRecette[[#This Row],[ID]],TableauProduit[ID],TableauProduit[Total (kg) N9],0,0,1)*TableauRecette[[#This Row],[poids / unite]]</f>
        <v>0</v>
      </c>
    </row>
    <row r="26" spans="1:20">
      <c r="A26" s="60" t="s">
        <v>102</v>
      </c>
      <c r="B26" s="60" t="str">
        <f>TableauRecette[[#This Row],[Recette]]&amp;TableauRecette[[#This Row],[Conditionnement]]</f>
        <v>Chaat masalaEpice 100ml</v>
      </c>
      <c r="C26" s="60" t="s">
        <v>289</v>
      </c>
      <c r="D26" s="184">
        <v>1</v>
      </c>
      <c r="E26" s="60" t="s">
        <v>55</v>
      </c>
      <c r="F26" s="184">
        <f>D26/SUMIFS(TableauRecette[Proportion],TableauRecette[Recette],TableauRecette[[#This Row],[Recette]],TableauRecette[Conditionnement],TableauRecette[[#This Row],[Conditionnement]])</f>
        <v>4.0816326530612242E-2</v>
      </c>
      <c r="G26" s="184">
        <f ca="1">_xlfn.XLOOKUP(TableauRecette[[#This Row],[Ingredients]],TableauIngredients[Ingredients],TableauIngredients[Prix d''achat (kg)],0)*TableauRecette[[#This Row],[poids / unite]]</f>
        <v>0</v>
      </c>
      <c r="H26" s="184">
        <f>SUMIFS(TableauRecette[Proportion],TableauRecette[Recette],TableauRecette[[#This Row],[Recette]],TableauRecette[Conditionnement],TableauRecette[[#This Row],[Conditionnement]])</f>
        <v>24.5</v>
      </c>
      <c r="I26" s="184">
        <f ca="1">TableauRecette[[#This Row],[Proportion]]*TableauRecette[[#This Row],[Prix d''achat / kg]]/TableauRecette[[#This Row],[Total Proportion]]</f>
        <v>0</v>
      </c>
      <c r="J26" s="184"/>
      <c r="K26" s="699"/>
      <c r="L26" s="700">
        <f>_xlfn.XLOOKUP(TableauRecette[[#This Row],[ID]],TableauProduit[ID],TableauProduit[Total (kg) N1],0,0,1)*TableauRecette[[#This Row],[poids / unite]]</f>
        <v>0</v>
      </c>
      <c r="M26" s="701">
        <f>_xlfn.XLOOKUP(TableauRecette[[#This Row],[ID]],TableauProduit[ID],TableauProduit[Total (kg) N2],0,0,1)*TableauRecette[[#This Row],[poids / unite]]</f>
        <v>0</v>
      </c>
      <c r="N26" s="701">
        <f>_xlfn.XLOOKUP(TableauRecette[[#This Row],[ID]],TableauProduit[ID],TableauProduit[Total (kg) N3],0,0,1)*TableauRecette[[#This Row],[poids / unite]]</f>
        <v>0</v>
      </c>
      <c r="O26" s="701">
        <f>_xlfn.XLOOKUP(TableauRecette[[#This Row],[ID]],TableauProduit[ID],TableauProduit[Total (kg) N4],0,0,1)*TableauRecette[[#This Row],[poids / unite]]</f>
        <v>0</v>
      </c>
      <c r="P26" s="701">
        <f>_xlfn.XLOOKUP(TableauRecette[[#This Row],[ID]],TableauProduit[ID],TableauProduit[Total (kg) N5],0,0,1)*TableauRecette[[#This Row],[poids / unite]]</f>
        <v>0</v>
      </c>
      <c r="Q26" s="701">
        <f>_xlfn.XLOOKUP(TableauRecette[[#This Row],[ID]],TableauProduit[ID],TableauProduit[Total (kg) N6],0,0,1)*TableauRecette[[#This Row],[poids / unite]]</f>
        <v>0</v>
      </c>
      <c r="R26" s="701">
        <f>_xlfn.XLOOKUP(TableauRecette[[#This Row],[ID]],TableauProduit[ID],TableauProduit[Total (kg) N7],0,0,1)*TableauRecette[[#This Row],[poids / unite]]</f>
        <v>0</v>
      </c>
      <c r="S26" s="701">
        <f>_xlfn.XLOOKUP(TableauRecette[[#This Row],[ID]],TableauProduit[ID],TableauProduit[Total (kg) N8],0,0,1)*TableauRecette[[#This Row],[poids / unite]]</f>
        <v>0</v>
      </c>
      <c r="T26" s="701">
        <f>_xlfn.XLOOKUP(TableauRecette[[#This Row],[ID]],TableauProduit[ID],TableauProduit[Total (kg) N9],0,0,1)*TableauRecette[[#This Row],[poids / unite]]</f>
        <v>0</v>
      </c>
    </row>
    <row r="27" spans="1:20">
      <c r="A27" s="60" t="s">
        <v>102</v>
      </c>
      <c r="B27" s="60" t="str">
        <f>TableauRecette[[#This Row],[Recette]]&amp;TableauRecette[[#This Row],[Conditionnement]]</f>
        <v>Chaat masalaEpice 100ml</v>
      </c>
      <c r="C27" s="60" t="s">
        <v>287</v>
      </c>
      <c r="D27" s="184">
        <v>3</v>
      </c>
      <c r="E27" s="60" t="s">
        <v>55</v>
      </c>
      <c r="F27" s="184">
        <f>D27/SUMIFS(TableauRecette[Proportion],TableauRecette[Recette],TableauRecette[[#This Row],[Recette]],TableauRecette[Conditionnement],TableauRecette[[#This Row],[Conditionnement]])</f>
        <v>0.12244897959183673</v>
      </c>
      <c r="G27" s="184">
        <f ca="1">_xlfn.XLOOKUP(TableauRecette[[#This Row],[Ingredients]],TableauIngredients[Ingredients],TableauIngredients[Prix d''achat (kg)],0)*TableauRecette[[#This Row],[poids / unite]]</f>
        <v>4.5122448979591834</v>
      </c>
      <c r="H27" s="184">
        <f>SUMIFS(TableauRecette[Proportion],TableauRecette[Recette],TableauRecette[[#This Row],[Recette]],TableauRecette[Conditionnement],TableauRecette[[#This Row],[Conditionnement]])</f>
        <v>24.5</v>
      </c>
      <c r="I27" s="184">
        <f ca="1">TableauRecette[[#This Row],[Proportion]]*TableauRecette[[#This Row],[Prix d''achat / kg]]/TableauRecette[[#This Row],[Total Proportion]]</f>
        <v>0</v>
      </c>
      <c r="J27" s="184"/>
      <c r="K27" s="699"/>
      <c r="L27" s="700">
        <f>_xlfn.XLOOKUP(TableauRecette[[#This Row],[ID]],TableauProduit[ID],TableauProduit[Total (kg) N1],0,0,1)*TableauRecette[[#This Row],[poids / unite]]</f>
        <v>0</v>
      </c>
      <c r="M27" s="701">
        <f>_xlfn.XLOOKUP(TableauRecette[[#This Row],[ID]],TableauProduit[ID],TableauProduit[Total (kg) N2],0,0,1)*TableauRecette[[#This Row],[poids / unite]]</f>
        <v>0</v>
      </c>
      <c r="N27" s="701">
        <f>_xlfn.XLOOKUP(TableauRecette[[#This Row],[ID]],TableauProduit[ID],TableauProduit[Total (kg) N3],0,0,1)*TableauRecette[[#This Row],[poids / unite]]</f>
        <v>0</v>
      </c>
      <c r="O27" s="701">
        <f>_xlfn.XLOOKUP(TableauRecette[[#This Row],[ID]],TableauProduit[ID],TableauProduit[Total (kg) N4],0,0,1)*TableauRecette[[#This Row],[poids / unite]]</f>
        <v>0</v>
      </c>
      <c r="P27" s="701">
        <f>_xlfn.XLOOKUP(TableauRecette[[#This Row],[ID]],TableauProduit[ID],TableauProduit[Total (kg) N5],0,0,1)*TableauRecette[[#This Row],[poids / unite]]</f>
        <v>0</v>
      </c>
      <c r="Q27" s="701">
        <f>_xlfn.XLOOKUP(TableauRecette[[#This Row],[ID]],TableauProduit[ID],TableauProduit[Total (kg) N6],0,0,1)*TableauRecette[[#This Row],[poids / unite]]</f>
        <v>0</v>
      </c>
      <c r="R27" s="701">
        <f>_xlfn.XLOOKUP(TableauRecette[[#This Row],[ID]],TableauProduit[ID],TableauProduit[Total (kg) N7],0,0,1)*TableauRecette[[#This Row],[poids / unite]]</f>
        <v>0</v>
      </c>
      <c r="S27" s="701">
        <f>_xlfn.XLOOKUP(TableauRecette[[#This Row],[ID]],TableauProduit[ID],TableauProduit[Total (kg) N8],0,0,1)*TableauRecette[[#This Row],[poids / unite]]</f>
        <v>0</v>
      </c>
      <c r="T27" s="701">
        <f>_xlfn.XLOOKUP(TableauRecette[[#This Row],[ID]],TableauProduit[ID],TableauProduit[Total (kg) N9],0,0,1)*TableauRecette[[#This Row],[poids / unite]]</f>
        <v>0</v>
      </c>
    </row>
    <row r="28" spans="1:20">
      <c r="A28" s="60" t="s">
        <v>102</v>
      </c>
      <c r="B28" s="60" t="str">
        <f>TableauRecette[[#This Row],[Recette]]&amp;TableauRecette[[#This Row],[Conditionnement]]</f>
        <v>Chaat masalaEpice 100ml</v>
      </c>
      <c r="C28" s="60" t="s">
        <v>298</v>
      </c>
      <c r="D28" s="184">
        <v>9</v>
      </c>
      <c r="E28" s="60" t="s">
        <v>55</v>
      </c>
      <c r="F28" s="184">
        <f>D28/SUMIFS(TableauRecette[Proportion],TableauRecette[Recette],TableauRecette[[#This Row],[Recette]],TableauRecette[Conditionnement],TableauRecette[[#This Row],[Conditionnement]])</f>
        <v>0.36734693877551022</v>
      </c>
      <c r="G28" s="184">
        <f ca="1">_xlfn.XLOOKUP(TableauRecette[[#This Row],[Ingredients]],TableauIngredients[Ingredients],TableauIngredients[Prix d''achat (kg)],0)*TableauRecette[[#This Row],[poids / unite]]</f>
        <v>1.9322448979591837</v>
      </c>
      <c r="H28" s="184">
        <f>SUMIFS(TableauRecette[Proportion],TableauRecette[Recette],TableauRecette[[#This Row],[Recette]],TableauRecette[Conditionnement],TableauRecette[[#This Row],[Conditionnement]])</f>
        <v>24.5</v>
      </c>
      <c r="I28" s="184">
        <f ca="1">TableauRecette[[#This Row],[Proportion]]*TableauRecette[[#This Row],[Prix d''achat / kg]]/TableauRecette[[#This Row],[Total Proportion]]</f>
        <v>0</v>
      </c>
      <c r="J28" s="184"/>
      <c r="K28" s="699"/>
      <c r="L28" s="700">
        <f>_xlfn.XLOOKUP(TableauRecette[[#This Row],[ID]],TableauProduit[ID],TableauProduit[Total (kg) N1],0,0,1)*TableauRecette[[#This Row],[poids / unite]]</f>
        <v>0</v>
      </c>
      <c r="M28" s="701">
        <f>_xlfn.XLOOKUP(TableauRecette[[#This Row],[ID]],TableauProduit[ID],TableauProduit[Total (kg) N2],0,0,1)*TableauRecette[[#This Row],[poids / unite]]</f>
        <v>0</v>
      </c>
      <c r="N28" s="701">
        <f>_xlfn.XLOOKUP(TableauRecette[[#This Row],[ID]],TableauProduit[ID],TableauProduit[Total (kg) N3],0,0,1)*TableauRecette[[#This Row],[poids / unite]]</f>
        <v>0</v>
      </c>
      <c r="O28" s="701">
        <f>_xlfn.XLOOKUP(TableauRecette[[#This Row],[ID]],TableauProduit[ID],TableauProduit[Total (kg) N4],0,0,1)*TableauRecette[[#This Row],[poids / unite]]</f>
        <v>0</v>
      </c>
      <c r="P28" s="701">
        <f>_xlfn.XLOOKUP(TableauRecette[[#This Row],[ID]],TableauProduit[ID],TableauProduit[Total (kg) N5],0,0,1)*TableauRecette[[#This Row],[poids / unite]]</f>
        <v>0</v>
      </c>
      <c r="Q28" s="701">
        <f>_xlfn.XLOOKUP(TableauRecette[[#This Row],[ID]],TableauProduit[ID],TableauProduit[Total (kg) N6],0,0,1)*TableauRecette[[#This Row],[poids / unite]]</f>
        <v>0</v>
      </c>
      <c r="R28" s="701">
        <f>_xlfn.XLOOKUP(TableauRecette[[#This Row],[ID]],TableauProduit[ID],TableauProduit[Total (kg) N7],0,0,1)*TableauRecette[[#This Row],[poids / unite]]</f>
        <v>0</v>
      </c>
      <c r="S28" s="701">
        <f>_xlfn.XLOOKUP(TableauRecette[[#This Row],[ID]],TableauProduit[ID],TableauProduit[Total (kg) N8],0,0,1)*TableauRecette[[#This Row],[poids / unite]]</f>
        <v>0</v>
      </c>
      <c r="T28" s="701">
        <f>_xlfn.XLOOKUP(TableauRecette[[#This Row],[ID]],TableauProduit[ID],TableauProduit[Total (kg) N9],0,0,1)*TableauRecette[[#This Row],[poids / unite]]</f>
        <v>0</v>
      </c>
    </row>
    <row r="29" spans="1:20">
      <c r="A29" s="60" t="s">
        <v>102</v>
      </c>
      <c r="B29" s="60" t="str">
        <f>TableauRecette[[#This Row],[Recette]]&amp;TableauRecette[[#This Row],[Conditionnement]]</f>
        <v>Chaat masalaEpice 100ml</v>
      </c>
      <c r="C29" s="60" t="s">
        <v>299</v>
      </c>
      <c r="D29" s="184">
        <v>1</v>
      </c>
      <c r="E29" s="60" t="s">
        <v>55</v>
      </c>
      <c r="F29" s="184">
        <f>D29/SUMIFS(TableauRecette[Proportion],TableauRecette[Recette],TableauRecette[[#This Row],[Recette]],TableauRecette[Conditionnement],TableauRecette[[#This Row],[Conditionnement]])</f>
        <v>4.0816326530612242E-2</v>
      </c>
      <c r="G29" s="184">
        <f ca="1">_xlfn.XLOOKUP(TableauRecette[[#This Row],[Ingredients]],TableauIngredients[Ingredients],TableauIngredients[Prix d''achat (kg)],0)*TableauRecette[[#This Row],[poids / unite]]</f>
        <v>0</v>
      </c>
      <c r="H29" s="184">
        <f>SUMIFS(TableauRecette[Proportion],TableauRecette[Recette],TableauRecette[[#This Row],[Recette]],TableauRecette[Conditionnement],TableauRecette[[#This Row],[Conditionnement]])</f>
        <v>24.5</v>
      </c>
      <c r="I29" s="184">
        <f ca="1">TableauRecette[[#This Row],[Proportion]]*TableauRecette[[#This Row],[Prix d''achat / kg]]/TableauRecette[[#This Row],[Total Proportion]]</f>
        <v>0</v>
      </c>
      <c r="J29" s="184" t="s">
        <v>300</v>
      </c>
      <c r="K29" s="699" t="s">
        <v>282</v>
      </c>
      <c r="L29" s="700">
        <f>_xlfn.XLOOKUP(TableauRecette[[#This Row],[ID]],TableauProduit[ID],TableauProduit[Total (kg) N1],0,0,1)*TableauRecette[[#This Row],[poids / unite]]</f>
        <v>0</v>
      </c>
      <c r="M29" s="701">
        <f>_xlfn.XLOOKUP(TableauRecette[[#This Row],[ID]],TableauProduit[ID],TableauProduit[Total (kg) N2],0,0,1)*TableauRecette[[#This Row],[poids / unite]]</f>
        <v>0</v>
      </c>
      <c r="N29" s="701">
        <f>_xlfn.XLOOKUP(TableauRecette[[#This Row],[ID]],TableauProduit[ID],TableauProduit[Total (kg) N3],0,0,1)*TableauRecette[[#This Row],[poids / unite]]</f>
        <v>0</v>
      </c>
      <c r="O29" s="701">
        <f>_xlfn.XLOOKUP(TableauRecette[[#This Row],[ID]],TableauProduit[ID],TableauProduit[Total (kg) N4],0,0,1)*TableauRecette[[#This Row],[poids / unite]]</f>
        <v>0</v>
      </c>
      <c r="P29" s="701">
        <f>_xlfn.XLOOKUP(TableauRecette[[#This Row],[ID]],TableauProduit[ID],TableauProduit[Total (kg) N5],0,0,1)*TableauRecette[[#This Row],[poids / unite]]</f>
        <v>0</v>
      </c>
      <c r="Q29" s="701">
        <f>_xlfn.XLOOKUP(TableauRecette[[#This Row],[ID]],TableauProduit[ID],TableauProduit[Total (kg) N6],0,0,1)*TableauRecette[[#This Row],[poids / unite]]</f>
        <v>0</v>
      </c>
      <c r="R29" s="701">
        <f>_xlfn.XLOOKUP(TableauRecette[[#This Row],[ID]],TableauProduit[ID],TableauProduit[Total (kg) N7],0,0,1)*TableauRecette[[#This Row],[poids / unite]]</f>
        <v>0</v>
      </c>
      <c r="S29" s="701">
        <f>_xlfn.XLOOKUP(TableauRecette[[#This Row],[ID]],TableauProduit[ID],TableauProduit[Total (kg) N8],0,0,1)*TableauRecette[[#This Row],[poids / unite]]</f>
        <v>0</v>
      </c>
      <c r="T29" s="701">
        <f>_xlfn.XLOOKUP(TableauRecette[[#This Row],[ID]],TableauProduit[ID],TableauProduit[Total (kg) N9],0,0,1)*TableauRecette[[#This Row],[poids / unite]]</f>
        <v>0</v>
      </c>
    </row>
    <row r="30" spans="1:20">
      <c r="A30" s="60" t="s">
        <v>102</v>
      </c>
      <c r="B30" s="60" t="str">
        <f>TableauRecette[[#This Row],[Recette]]&amp;TableauRecette[[#This Row],[Conditionnement]]</f>
        <v>Chaat masalaEpice 100ml</v>
      </c>
      <c r="C30" s="60" t="s">
        <v>301</v>
      </c>
      <c r="D30" s="184">
        <v>0.5</v>
      </c>
      <c r="E30" s="60" t="s">
        <v>55</v>
      </c>
      <c r="F30" s="184">
        <f>D30/SUMIFS(TableauRecette[Proportion],TableauRecette[Recette],TableauRecette[[#This Row],[Recette]],TableauRecette[Conditionnement],TableauRecette[[#This Row],[Conditionnement]])</f>
        <v>2.0408163265306121E-2</v>
      </c>
      <c r="G30" s="184">
        <f ca="1">_xlfn.XLOOKUP(TableauRecette[[#This Row],[Ingredients]],TableauIngredients[Ingredients],TableauIngredients[Prix d''achat (kg)],0)*TableauRecette[[#This Row],[poids / unite]]</f>
        <v>2.0408163265306123</v>
      </c>
      <c r="H30" s="184">
        <f>SUMIFS(TableauRecette[Proportion],TableauRecette[Recette],TableauRecette[[#This Row],[Recette]],TableauRecette[Conditionnement],TableauRecette[[#This Row],[Conditionnement]])</f>
        <v>24.5</v>
      </c>
      <c r="I30" s="184">
        <f ca="1">TableauRecette[[#This Row],[Proportion]]*TableauRecette[[#This Row],[Prix d''achat / kg]]/TableauRecette[[#This Row],[Total Proportion]]</f>
        <v>0</v>
      </c>
      <c r="J30" s="184" t="s">
        <v>300</v>
      </c>
      <c r="K30" s="699" t="s">
        <v>282</v>
      </c>
      <c r="L30" s="700">
        <f>_xlfn.XLOOKUP(TableauRecette[[#This Row],[ID]],TableauProduit[ID],TableauProduit[Total (kg) N1],0,0,1)*TableauRecette[[#This Row],[poids / unite]]</f>
        <v>0</v>
      </c>
      <c r="M30" s="701">
        <f>_xlfn.XLOOKUP(TableauRecette[[#This Row],[ID]],TableauProduit[ID],TableauProduit[Total (kg) N2],0,0,1)*TableauRecette[[#This Row],[poids / unite]]</f>
        <v>0</v>
      </c>
      <c r="N30" s="701">
        <f>_xlfn.XLOOKUP(TableauRecette[[#This Row],[ID]],TableauProduit[ID],TableauProduit[Total (kg) N3],0,0,1)*TableauRecette[[#This Row],[poids / unite]]</f>
        <v>0</v>
      </c>
      <c r="O30" s="701">
        <f>_xlfn.XLOOKUP(TableauRecette[[#This Row],[ID]],TableauProduit[ID],TableauProduit[Total (kg) N4],0,0,1)*TableauRecette[[#This Row],[poids / unite]]</f>
        <v>0</v>
      </c>
      <c r="P30" s="701">
        <f>_xlfn.XLOOKUP(TableauRecette[[#This Row],[ID]],TableauProduit[ID],TableauProduit[Total (kg) N5],0,0,1)*TableauRecette[[#This Row],[poids / unite]]</f>
        <v>0</v>
      </c>
      <c r="Q30" s="701">
        <f>_xlfn.XLOOKUP(TableauRecette[[#This Row],[ID]],TableauProduit[ID],TableauProduit[Total (kg) N6],0,0,1)*TableauRecette[[#This Row],[poids / unite]]</f>
        <v>0</v>
      </c>
      <c r="R30" s="701">
        <f>_xlfn.XLOOKUP(TableauRecette[[#This Row],[ID]],TableauProduit[ID],TableauProduit[Total (kg) N7],0,0,1)*TableauRecette[[#This Row],[poids / unite]]</f>
        <v>0</v>
      </c>
      <c r="S30" s="701">
        <f>_xlfn.XLOOKUP(TableauRecette[[#This Row],[ID]],TableauProduit[ID],TableauProduit[Total (kg) N8],0,0,1)*TableauRecette[[#This Row],[poids / unite]]</f>
        <v>0</v>
      </c>
      <c r="T30" s="701">
        <f>_xlfn.XLOOKUP(TableauRecette[[#This Row],[ID]],TableauProduit[ID],TableauProduit[Total (kg) N9],0,0,1)*TableauRecette[[#This Row],[poids / unite]]</f>
        <v>0</v>
      </c>
    </row>
    <row r="31" spans="1:20">
      <c r="A31" s="60" t="s">
        <v>102</v>
      </c>
      <c r="B31" s="60" t="str">
        <f>TableauRecette[[#This Row],[Recette]]&amp;TableauRecette[[#This Row],[Conditionnement]]</f>
        <v>Chaat masalaEpice 100ml</v>
      </c>
      <c r="C31" s="60" t="s">
        <v>302</v>
      </c>
      <c r="D31" s="184">
        <v>3</v>
      </c>
      <c r="E31" s="60" t="s">
        <v>55</v>
      </c>
      <c r="F31" s="184">
        <f>D31/SUMIFS(TableauRecette[Proportion],TableauRecette[Recette],TableauRecette[[#This Row],[Recette]],TableauRecette[Conditionnement],TableauRecette[[#This Row],[Conditionnement]])</f>
        <v>0.12244897959183673</v>
      </c>
      <c r="G31" s="184">
        <f ca="1">_xlfn.XLOOKUP(TableauRecette[[#This Row],[Ingredients]],TableauIngredients[Ingredients],TableauIngredients[Prix d''achat (kg)],0)*TableauRecette[[#This Row],[poids / unite]]</f>
        <v>11.877551020408163</v>
      </c>
      <c r="H31" s="184">
        <f>SUMIFS(TableauRecette[Proportion],TableauRecette[Recette],TableauRecette[[#This Row],[Recette]],TableauRecette[Conditionnement],TableauRecette[[#This Row],[Conditionnement]])</f>
        <v>24.5</v>
      </c>
      <c r="I31" s="184">
        <f ca="1">TableauRecette[[#This Row],[Proportion]]*TableauRecette[[#This Row],[Prix d''achat / kg]]/TableauRecette[[#This Row],[Total Proportion]]</f>
        <v>0</v>
      </c>
      <c r="J31" s="184" t="s">
        <v>300</v>
      </c>
      <c r="K31" s="699" t="s">
        <v>282</v>
      </c>
      <c r="L31" s="700">
        <f>_xlfn.XLOOKUP(TableauRecette[[#This Row],[ID]],TableauProduit[ID],TableauProduit[Total (kg) N1],0,0,1)*TableauRecette[[#This Row],[poids / unite]]</f>
        <v>0</v>
      </c>
      <c r="M31" s="701">
        <f>_xlfn.XLOOKUP(TableauRecette[[#This Row],[ID]],TableauProduit[ID],TableauProduit[Total (kg) N2],0,0,1)*TableauRecette[[#This Row],[poids / unite]]</f>
        <v>0</v>
      </c>
      <c r="N31" s="701">
        <f>_xlfn.XLOOKUP(TableauRecette[[#This Row],[ID]],TableauProduit[ID],TableauProduit[Total (kg) N3],0,0,1)*TableauRecette[[#This Row],[poids / unite]]</f>
        <v>0</v>
      </c>
      <c r="O31" s="701">
        <f>_xlfn.XLOOKUP(TableauRecette[[#This Row],[ID]],TableauProduit[ID],TableauProduit[Total (kg) N4],0,0,1)*TableauRecette[[#This Row],[poids / unite]]</f>
        <v>0</v>
      </c>
      <c r="P31" s="701">
        <f>_xlfn.XLOOKUP(TableauRecette[[#This Row],[ID]],TableauProduit[ID],TableauProduit[Total (kg) N5],0,0,1)*TableauRecette[[#This Row],[poids / unite]]</f>
        <v>0</v>
      </c>
      <c r="Q31" s="701">
        <f>_xlfn.XLOOKUP(TableauRecette[[#This Row],[ID]],TableauProduit[ID],TableauProduit[Total (kg) N6],0,0,1)*TableauRecette[[#This Row],[poids / unite]]</f>
        <v>0</v>
      </c>
      <c r="R31" s="701">
        <f>_xlfn.XLOOKUP(TableauRecette[[#This Row],[ID]],TableauProduit[ID],TableauProduit[Total (kg) N7],0,0,1)*TableauRecette[[#This Row],[poids / unite]]</f>
        <v>0</v>
      </c>
      <c r="S31" s="701">
        <f>_xlfn.XLOOKUP(TableauRecette[[#This Row],[ID]],TableauProduit[ID],TableauProduit[Total (kg) N8],0,0,1)*TableauRecette[[#This Row],[poids / unite]]</f>
        <v>0</v>
      </c>
      <c r="T31" s="701">
        <f>_xlfn.XLOOKUP(TableauRecette[[#This Row],[ID]],TableauProduit[ID],TableauProduit[Total (kg) N9],0,0,1)*TableauRecette[[#This Row],[poids / unite]]</f>
        <v>0</v>
      </c>
    </row>
    <row r="32" spans="1:20">
      <c r="A32" s="60" t="s">
        <v>102</v>
      </c>
      <c r="B32" s="60" t="str">
        <f>TableauRecette[[#This Row],[Recette]]&amp;TableauRecette[[#This Row],[Conditionnement]]</f>
        <v>Chaat masalaEpice 100ml</v>
      </c>
      <c r="C32" s="60" t="s">
        <v>303</v>
      </c>
      <c r="D32" s="184">
        <v>1</v>
      </c>
      <c r="E32" s="60" t="s">
        <v>55</v>
      </c>
      <c r="F32" s="184">
        <f>D32/SUMIFS(TableauRecette[Proportion],TableauRecette[Recette],TableauRecette[[#This Row],[Recette]],TableauRecette[Conditionnement],TableauRecette[[#This Row],[Conditionnement]])</f>
        <v>4.0816326530612242E-2</v>
      </c>
      <c r="G32" s="184">
        <f ca="1">_xlfn.XLOOKUP(TableauRecette[[#This Row],[Ingredients]],TableauIngredients[Ingredients],TableauIngredients[Prix d''achat (kg)],0)*TableauRecette[[#This Row],[poids / unite]]</f>
        <v>5.7142857142857134E-2</v>
      </c>
      <c r="H32" s="184">
        <f>SUMIFS(TableauRecette[Proportion],TableauRecette[Recette],TableauRecette[[#This Row],[Recette]],TableauRecette[Conditionnement],TableauRecette[[#This Row],[Conditionnement]])</f>
        <v>24.5</v>
      </c>
      <c r="I32" s="184">
        <f ca="1">TableauRecette[[#This Row],[Proportion]]*TableauRecette[[#This Row],[Prix d''achat / kg]]/TableauRecette[[#This Row],[Total Proportion]]</f>
        <v>0</v>
      </c>
      <c r="J32" s="184" t="s">
        <v>300</v>
      </c>
      <c r="K32" s="699" t="s">
        <v>282</v>
      </c>
      <c r="L32" s="700">
        <f>_xlfn.XLOOKUP(TableauRecette[[#This Row],[ID]],TableauProduit[ID],TableauProduit[Total (kg) N1],0,0,1)*TableauRecette[[#This Row],[poids / unite]]</f>
        <v>0</v>
      </c>
      <c r="M32" s="701">
        <f>_xlfn.XLOOKUP(TableauRecette[[#This Row],[ID]],TableauProduit[ID],TableauProduit[Total (kg) N2],0,0,1)*TableauRecette[[#This Row],[poids / unite]]</f>
        <v>0</v>
      </c>
      <c r="N32" s="701">
        <f>_xlfn.XLOOKUP(TableauRecette[[#This Row],[ID]],TableauProduit[ID],TableauProduit[Total (kg) N3],0,0,1)*TableauRecette[[#This Row],[poids / unite]]</f>
        <v>0</v>
      </c>
      <c r="O32" s="701">
        <f>_xlfn.XLOOKUP(TableauRecette[[#This Row],[ID]],TableauProduit[ID],TableauProduit[Total (kg) N4],0,0,1)*TableauRecette[[#This Row],[poids / unite]]</f>
        <v>0</v>
      </c>
      <c r="P32" s="701">
        <f>_xlfn.XLOOKUP(TableauRecette[[#This Row],[ID]],TableauProduit[ID],TableauProduit[Total (kg) N5],0,0,1)*TableauRecette[[#This Row],[poids / unite]]</f>
        <v>0</v>
      </c>
      <c r="Q32" s="701">
        <f>_xlfn.XLOOKUP(TableauRecette[[#This Row],[ID]],TableauProduit[ID],TableauProduit[Total (kg) N6],0,0,1)*TableauRecette[[#This Row],[poids / unite]]</f>
        <v>0</v>
      </c>
      <c r="R32" s="701">
        <f>_xlfn.XLOOKUP(TableauRecette[[#This Row],[ID]],TableauProduit[ID],TableauProduit[Total (kg) N7],0,0,1)*TableauRecette[[#This Row],[poids / unite]]</f>
        <v>0</v>
      </c>
      <c r="S32" s="701">
        <f>_xlfn.XLOOKUP(TableauRecette[[#This Row],[ID]],TableauProduit[ID],TableauProduit[Total (kg) N8],0,0,1)*TableauRecette[[#This Row],[poids / unite]]</f>
        <v>0</v>
      </c>
      <c r="T32" s="701">
        <f>_xlfn.XLOOKUP(TableauRecette[[#This Row],[ID]],TableauProduit[ID],TableauProduit[Total (kg) N9],0,0,1)*TableauRecette[[#This Row],[poids / unite]]</f>
        <v>0</v>
      </c>
    </row>
    <row r="33" spans="1:20">
      <c r="A33" s="55" t="s">
        <v>772</v>
      </c>
      <c r="B33" s="55" t="str">
        <f>TableauRecette[[#This Row],[Recette]]&amp;TableauRecette[[#This Row],[Conditionnement]]</f>
        <v>ChoucrouteSeau 2,5 l, plastique</v>
      </c>
      <c r="C33" s="55" t="s">
        <v>774</v>
      </c>
      <c r="D33" s="179">
        <v>1000</v>
      </c>
      <c r="E33" s="55" t="s">
        <v>446</v>
      </c>
      <c r="F33" s="179">
        <f>D33/SUMIFS(TableauRecette[Proportion],TableauRecette[Recette],TableauRecette[[#This Row],[Recette]],TableauRecette[Conditionnement],TableauRecette[[#This Row],[Conditionnement]])</f>
        <v>0.97465886939571145</v>
      </c>
      <c r="G33" s="179">
        <f ca="1">_xlfn.XLOOKUP(TableauRecette[[#This Row],[Ingredients]],TableauIngredients[Ingredients],TableauIngredients[Prix d''achat (kg)],0)*TableauRecette[[#This Row],[poids / unite]]</f>
        <v>0</v>
      </c>
      <c r="H33" s="179">
        <f>SUMIFS(TableauRecette[Proportion],TableauRecette[Recette],TableauRecette[[#This Row],[Recette]],TableauRecette[Conditionnement],TableauRecette[[#This Row],[Conditionnement]])</f>
        <v>1026</v>
      </c>
      <c r="I33" s="179">
        <f ca="1">TableauRecette[[#This Row],[Proportion]]*TableauRecette[[#This Row],[Prix d''achat / kg]]/TableauRecette[[#This Row],[Total Proportion]]</f>
        <v>0</v>
      </c>
      <c r="J33" s="179"/>
      <c r="K33" s="681"/>
      <c r="L33" s="682">
        <f>_xlfn.XLOOKUP(TableauRecette[[#This Row],[ID]],TableauProduit[ID],TableauProduit[Total (kg) N1],0,0,1)*TableauRecette[[#This Row],[poids / unite]]</f>
        <v>487.32943469785573</v>
      </c>
      <c r="M33" s="683">
        <f>_xlfn.XLOOKUP(TableauRecette[[#This Row],[ID]],TableauProduit[ID],TableauProduit[Total (kg) N2],0,0,1)*TableauRecette[[#This Row],[poids / unite]]</f>
        <v>487.32943469785573</v>
      </c>
      <c r="N33" s="683">
        <f>_xlfn.XLOOKUP(TableauRecette[[#This Row],[ID]],TableauProduit[ID],TableauProduit[Total (kg) N3],0,0,1)*TableauRecette[[#This Row],[poids / unite]]</f>
        <v>487.32943469785573</v>
      </c>
      <c r="O33" s="683">
        <f>_xlfn.XLOOKUP(TableauRecette[[#This Row],[ID]],TableauProduit[ID],TableauProduit[Total (kg) N4],0,0,1)*TableauRecette[[#This Row],[poids / unite]]</f>
        <v>487.32943469785573</v>
      </c>
      <c r="P33" s="683">
        <f>_xlfn.XLOOKUP(TableauRecette[[#This Row],[ID]],TableauProduit[ID],TableauProduit[Total (kg) N5],0,0,1)*TableauRecette[[#This Row],[poids / unite]]</f>
        <v>487.32943469785573</v>
      </c>
      <c r="Q33" s="683">
        <f>_xlfn.XLOOKUP(TableauRecette[[#This Row],[ID]],TableauProduit[ID],TableauProduit[Total (kg) N6],0,0,1)*TableauRecette[[#This Row],[poids / unite]]</f>
        <v>487.32943469785573</v>
      </c>
      <c r="R33" s="683">
        <f>_xlfn.XLOOKUP(TableauRecette[[#This Row],[ID]],TableauProduit[ID],TableauProduit[Total (kg) N7],0,0,1)*TableauRecette[[#This Row],[poids / unite]]</f>
        <v>487.32943469785573</v>
      </c>
      <c r="S33" s="683">
        <f>_xlfn.XLOOKUP(TableauRecette[[#This Row],[ID]],TableauProduit[ID],TableauProduit[Total (kg) N8],0,0,1)*TableauRecette[[#This Row],[poids / unite]]</f>
        <v>487.32943469785573</v>
      </c>
      <c r="T33" s="683">
        <f>_xlfn.XLOOKUP(TableauRecette[[#This Row],[ID]],TableauProduit[ID],TableauProduit[Total (kg) N9],0,0,1)*TableauRecette[[#This Row],[poids / unite]]</f>
        <v>487.32943469785573</v>
      </c>
    </row>
    <row r="34" spans="1:20">
      <c r="A34" s="55" t="s">
        <v>772</v>
      </c>
      <c r="B34" s="55" t="str">
        <f>TableauRecette[[#This Row],[Recette]]&amp;TableauRecette[[#This Row],[Conditionnement]]</f>
        <v>ChoucrouteSeau 2,5 l, plastique</v>
      </c>
      <c r="C34" s="55" t="s">
        <v>303</v>
      </c>
      <c r="D34" s="179">
        <v>20</v>
      </c>
      <c r="E34" s="55" t="s">
        <v>446</v>
      </c>
      <c r="F34" s="179">
        <f>D34/SUMIFS(TableauRecette[Proportion],TableauRecette[Recette],TableauRecette[[#This Row],[Recette]],TableauRecette[Conditionnement],TableauRecette[[#This Row],[Conditionnement]])</f>
        <v>1.9493177387914229E-2</v>
      </c>
      <c r="G34" s="179">
        <f ca="1">_xlfn.XLOOKUP(TableauRecette[[#This Row],[Ingredients]],TableauIngredients[Ingredients],TableauIngredients[Prix d''achat (kg)],0)*TableauRecette[[#This Row],[poids / unite]]</f>
        <v>0</v>
      </c>
      <c r="H34" s="179">
        <f>SUMIFS(TableauRecette[Proportion],TableauRecette[Recette],TableauRecette[[#This Row],[Recette]],TableauRecette[Conditionnement],TableauRecette[[#This Row],[Conditionnement]])</f>
        <v>1026</v>
      </c>
      <c r="I34" s="179">
        <f ca="1">TableauRecette[[#This Row],[Proportion]]*TableauRecette[[#This Row],[Prix d''achat / kg]]/TableauRecette[[#This Row],[Total Proportion]]</f>
        <v>0</v>
      </c>
      <c r="J34" s="179"/>
      <c r="K34" s="681"/>
      <c r="L34" s="682">
        <f>_xlfn.XLOOKUP(TableauRecette[[#This Row],[ID]],TableauProduit[ID],TableauProduit[Total (kg) N1],0,0,1)*TableauRecette[[#This Row],[poids / unite]]</f>
        <v>9.7465886939571149</v>
      </c>
      <c r="M34" s="683">
        <f>_xlfn.XLOOKUP(TableauRecette[[#This Row],[ID]],TableauProduit[ID],TableauProduit[Total (kg) N2],0,0,1)*TableauRecette[[#This Row],[poids / unite]]</f>
        <v>9.7465886939571149</v>
      </c>
      <c r="N34" s="683">
        <f>_xlfn.XLOOKUP(TableauRecette[[#This Row],[ID]],TableauProduit[ID],TableauProduit[Total (kg) N3],0,0,1)*TableauRecette[[#This Row],[poids / unite]]</f>
        <v>9.7465886939571149</v>
      </c>
      <c r="O34" s="683">
        <f>_xlfn.XLOOKUP(TableauRecette[[#This Row],[ID]],TableauProduit[ID],TableauProduit[Total (kg) N4],0,0,1)*TableauRecette[[#This Row],[poids / unite]]</f>
        <v>9.7465886939571149</v>
      </c>
      <c r="P34" s="683">
        <f>_xlfn.XLOOKUP(TableauRecette[[#This Row],[ID]],TableauProduit[ID],TableauProduit[Total (kg) N5],0,0,1)*TableauRecette[[#This Row],[poids / unite]]</f>
        <v>9.7465886939571149</v>
      </c>
      <c r="Q34" s="683">
        <f>_xlfn.XLOOKUP(TableauRecette[[#This Row],[ID]],TableauProduit[ID],TableauProduit[Total (kg) N6],0,0,1)*TableauRecette[[#This Row],[poids / unite]]</f>
        <v>9.7465886939571149</v>
      </c>
      <c r="R34" s="683">
        <f>_xlfn.XLOOKUP(TableauRecette[[#This Row],[ID]],TableauProduit[ID],TableauProduit[Total (kg) N7],0,0,1)*TableauRecette[[#This Row],[poids / unite]]</f>
        <v>9.7465886939571149</v>
      </c>
      <c r="S34" s="683">
        <f>_xlfn.XLOOKUP(TableauRecette[[#This Row],[ID]],TableauProduit[ID],TableauProduit[Total (kg) N8],0,0,1)*TableauRecette[[#This Row],[poids / unite]]</f>
        <v>9.7465886939571149</v>
      </c>
      <c r="T34" s="683">
        <f>_xlfn.XLOOKUP(TableauRecette[[#This Row],[ID]],TableauProduit[ID],TableauProduit[Total (kg) N9],0,0,1)*TableauRecette[[#This Row],[poids / unite]]</f>
        <v>9.7465886939571149</v>
      </c>
    </row>
    <row r="35" spans="1:20">
      <c r="A35" s="55" t="s">
        <v>772</v>
      </c>
      <c r="B35" s="55" t="str">
        <f>TableauRecette[[#This Row],[Recette]]&amp;TableauRecette[[#This Row],[Conditionnement]]</f>
        <v>ChoucrouteSeau 2,5 l, plastique</v>
      </c>
      <c r="C35" s="55" t="s">
        <v>296</v>
      </c>
      <c r="D35" s="179">
        <v>3</v>
      </c>
      <c r="E35" s="55" t="s">
        <v>446</v>
      </c>
      <c r="F35" s="179">
        <f>D35/SUMIFS(TableauRecette[Proportion],TableauRecette[Recette],TableauRecette[[#This Row],[Recette]],TableauRecette[Conditionnement],TableauRecette[[#This Row],[Conditionnement]])</f>
        <v>2.9239766081871343E-3</v>
      </c>
      <c r="G35" s="179">
        <f ca="1">_xlfn.XLOOKUP(TableauRecette[[#This Row],[Ingredients]],TableauIngredients[Ingredients],TableauIngredients[Prix d''achat (kg)],0)*TableauRecette[[#This Row],[poids / unite]]</f>
        <v>0</v>
      </c>
      <c r="H35" s="179">
        <f>SUMIFS(TableauRecette[Proportion],TableauRecette[Recette],TableauRecette[[#This Row],[Recette]],TableauRecette[Conditionnement],TableauRecette[[#This Row],[Conditionnement]])</f>
        <v>1026</v>
      </c>
      <c r="I35" s="179">
        <f ca="1">TableauRecette[[#This Row],[Proportion]]*TableauRecette[[#This Row],[Prix d''achat / kg]]/TableauRecette[[#This Row],[Total Proportion]]</f>
        <v>0</v>
      </c>
      <c r="J35" s="179"/>
      <c r="K35" s="681"/>
      <c r="L35" s="682">
        <f>_xlfn.XLOOKUP(TableauRecette[[#This Row],[ID]],TableauProduit[ID],TableauProduit[Total (kg) N1],0,0,1)*TableauRecette[[#This Row],[poids / unite]]</f>
        <v>1.4619883040935671</v>
      </c>
      <c r="M35" s="683">
        <f>_xlfn.XLOOKUP(TableauRecette[[#This Row],[ID]],TableauProduit[ID],TableauProduit[Total (kg) N2],0,0,1)*TableauRecette[[#This Row],[poids / unite]]</f>
        <v>1.4619883040935671</v>
      </c>
      <c r="N35" s="683">
        <f>_xlfn.XLOOKUP(TableauRecette[[#This Row],[ID]],TableauProduit[ID],TableauProduit[Total (kg) N3],0,0,1)*TableauRecette[[#This Row],[poids / unite]]</f>
        <v>1.4619883040935671</v>
      </c>
      <c r="O35" s="683">
        <f>_xlfn.XLOOKUP(TableauRecette[[#This Row],[ID]],TableauProduit[ID],TableauProduit[Total (kg) N4],0,0,1)*TableauRecette[[#This Row],[poids / unite]]</f>
        <v>1.4619883040935671</v>
      </c>
      <c r="P35" s="683">
        <f>_xlfn.XLOOKUP(TableauRecette[[#This Row],[ID]],TableauProduit[ID],TableauProduit[Total (kg) N5],0,0,1)*TableauRecette[[#This Row],[poids / unite]]</f>
        <v>1.4619883040935671</v>
      </c>
      <c r="Q35" s="683">
        <f>_xlfn.XLOOKUP(TableauRecette[[#This Row],[ID]],TableauProduit[ID],TableauProduit[Total (kg) N6],0,0,1)*TableauRecette[[#This Row],[poids / unite]]</f>
        <v>1.4619883040935671</v>
      </c>
      <c r="R35" s="683">
        <f>_xlfn.XLOOKUP(TableauRecette[[#This Row],[ID]],TableauProduit[ID],TableauProduit[Total (kg) N7],0,0,1)*TableauRecette[[#This Row],[poids / unite]]</f>
        <v>1.4619883040935671</v>
      </c>
      <c r="S35" s="683">
        <f>_xlfn.XLOOKUP(TableauRecette[[#This Row],[ID]],TableauProduit[ID],TableauProduit[Total (kg) N8],0,0,1)*TableauRecette[[#This Row],[poids / unite]]</f>
        <v>1.4619883040935671</v>
      </c>
      <c r="T35" s="683">
        <f>_xlfn.XLOOKUP(TableauRecette[[#This Row],[ID]],TableauProduit[ID],TableauProduit[Total (kg) N9],0,0,1)*TableauRecette[[#This Row],[poids / unite]]</f>
        <v>1.4619883040935671</v>
      </c>
    </row>
    <row r="36" spans="1:20">
      <c r="A36" s="55" t="s">
        <v>772</v>
      </c>
      <c r="B36" s="55" t="str">
        <f>TableauRecette[[#This Row],[Recette]]&amp;TableauRecette[[#This Row],[Conditionnement]]</f>
        <v>ChoucrouteSeau 2,5 l, plastique</v>
      </c>
      <c r="C36" s="55" t="s">
        <v>356</v>
      </c>
      <c r="D36" s="179">
        <v>3</v>
      </c>
      <c r="E36" s="55" t="s">
        <v>446</v>
      </c>
      <c r="F36" s="179">
        <f>D36/SUMIFS(TableauRecette[Proportion],TableauRecette[Recette],TableauRecette[[#This Row],[Recette]],TableauRecette[Conditionnement],TableauRecette[[#This Row],[Conditionnement]])</f>
        <v>2.9239766081871343E-3</v>
      </c>
      <c r="G36" s="179">
        <f ca="1">_xlfn.XLOOKUP(TableauRecette[[#This Row],[Ingredients]],TableauIngredients[Ingredients],TableauIngredients[Prix d''achat (kg)],0)*TableauRecette[[#This Row],[poids / unite]]</f>
        <v>0</v>
      </c>
      <c r="H36" s="179">
        <f>SUMIFS(TableauRecette[Proportion],TableauRecette[Recette],TableauRecette[[#This Row],[Recette]],TableauRecette[Conditionnement],TableauRecette[[#This Row],[Conditionnement]])</f>
        <v>1026</v>
      </c>
      <c r="I36" s="179">
        <f ca="1">TableauRecette[[#This Row],[Proportion]]*TableauRecette[[#This Row],[Prix d''achat / kg]]/TableauRecette[[#This Row],[Total Proportion]]</f>
        <v>0</v>
      </c>
      <c r="J36" s="179"/>
      <c r="K36" s="681"/>
      <c r="L36" s="682">
        <f>_xlfn.XLOOKUP(TableauRecette[[#This Row],[ID]],TableauProduit[ID],TableauProduit[Total (kg) N1],0,0,1)*TableauRecette[[#This Row],[poids / unite]]</f>
        <v>1.4619883040935671</v>
      </c>
      <c r="M36" s="683">
        <f>_xlfn.XLOOKUP(TableauRecette[[#This Row],[ID]],TableauProduit[ID],TableauProduit[Total (kg) N2],0,0,1)*TableauRecette[[#This Row],[poids / unite]]</f>
        <v>1.4619883040935671</v>
      </c>
      <c r="N36" s="683">
        <f>_xlfn.XLOOKUP(TableauRecette[[#This Row],[ID]],TableauProduit[ID],TableauProduit[Total (kg) N3],0,0,1)*TableauRecette[[#This Row],[poids / unite]]</f>
        <v>1.4619883040935671</v>
      </c>
      <c r="O36" s="683">
        <f>_xlfn.XLOOKUP(TableauRecette[[#This Row],[ID]],TableauProduit[ID],TableauProduit[Total (kg) N4],0,0,1)*TableauRecette[[#This Row],[poids / unite]]</f>
        <v>1.4619883040935671</v>
      </c>
      <c r="P36" s="683">
        <f>_xlfn.XLOOKUP(TableauRecette[[#This Row],[ID]],TableauProduit[ID],TableauProduit[Total (kg) N5],0,0,1)*TableauRecette[[#This Row],[poids / unite]]</f>
        <v>1.4619883040935671</v>
      </c>
      <c r="Q36" s="683">
        <f>_xlfn.XLOOKUP(TableauRecette[[#This Row],[ID]],TableauProduit[ID],TableauProduit[Total (kg) N6],0,0,1)*TableauRecette[[#This Row],[poids / unite]]</f>
        <v>1.4619883040935671</v>
      </c>
      <c r="R36" s="683">
        <f>_xlfn.XLOOKUP(TableauRecette[[#This Row],[ID]],TableauProduit[ID],TableauProduit[Total (kg) N7],0,0,1)*TableauRecette[[#This Row],[poids / unite]]</f>
        <v>1.4619883040935671</v>
      </c>
      <c r="S36" s="683">
        <f>_xlfn.XLOOKUP(TableauRecette[[#This Row],[ID]],TableauProduit[ID],TableauProduit[Total (kg) N8],0,0,1)*TableauRecette[[#This Row],[poids / unite]]</f>
        <v>1.4619883040935671</v>
      </c>
      <c r="T36" s="683">
        <f>_xlfn.XLOOKUP(TableauRecette[[#This Row],[ID]],TableauProduit[ID],TableauProduit[Total (kg) N9],0,0,1)*TableauRecette[[#This Row],[poids / unite]]</f>
        <v>1.4619883040935671</v>
      </c>
    </row>
    <row r="37" spans="1:20">
      <c r="A37" s="61" t="s">
        <v>93</v>
      </c>
      <c r="B37" s="61" t="str">
        <f>TableauRecette[[#This Row],[Recette]]&amp;TableauRecette[[#This Row],[Conditionnement]]</f>
        <v>ColomboEpice 100ml</v>
      </c>
      <c r="C37" s="61" t="s">
        <v>304</v>
      </c>
      <c r="D37" s="185">
        <v>30</v>
      </c>
      <c r="E37" s="61" t="s">
        <v>55</v>
      </c>
      <c r="F37" s="185">
        <f>D37/SUMIFS(TableauRecette[Proportion],TableauRecette[Recette],TableauRecette[[#This Row],[Recette]],TableauRecette[Conditionnement],TableauRecette[[#This Row],[Conditionnement]])</f>
        <v>0.22556390977443608</v>
      </c>
      <c r="G37" s="185">
        <f ca="1">_xlfn.XLOOKUP(TableauRecette[[#This Row],[Ingredients]],TableauIngredients[Ingredients],TableauIngredients[Prix d''achat (kg)],0)*TableauRecette[[#This Row],[poids / unite]]</f>
        <v>0</v>
      </c>
      <c r="H37" s="185">
        <f>SUMIFS(TableauRecette[Proportion],TableauRecette[Recette],TableauRecette[[#This Row],[Recette]],TableauRecette[Conditionnement],TableauRecette[[#This Row],[Conditionnement]])</f>
        <v>133</v>
      </c>
      <c r="I37" s="185">
        <f ca="1">TableauRecette[[#This Row],[Proportion]]*TableauRecette[[#This Row],[Prix d''achat / kg]]/TableauRecette[[#This Row],[Total Proportion]]</f>
        <v>0</v>
      </c>
      <c r="J37" s="185"/>
      <c r="K37" s="702"/>
      <c r="L37" s="703">
        <f>_xlfn.XLOOKUP(TableauRecette[[#This Row],[ID]],TableauProduit[ID],TableauProduit[Total (kg) N1],0,0,1)*TableauRecette[[#This Row],[poids / unite]]</f>
        <v>0</v>
      </c>
      <c r="M37" s="704">
        <f>_xlfn.XLOOKUP(TableauRecette[[#This Row],[ID]],TableauProduit[ID],TableauProduit[Total (kg) N2],0,0,1)*TableauRecette[[#This Row],[poids / unite]]</f>
        <v>0</v>
      </c>
      <c r="N37" s="704">
        <f>_xlfn.XLOOKUP(TableauRecette[[#This Row],[ID]],TableauProduit[ID],TableauProduit[Total (kg) N3],0,0,1)*TableauRecette[[#This Row],[poids / unite]]</f>
        <v>0</v>
      </c>
      <c r="O37" s="704">
        <f>_xlfn.XLOOKUP(TableauRecette[[#This Row],[ID]],TableauProduit[ID],TableauProduit[Total (kg) N4],0,0,1)*TableauRecette[[#This Row],[poids / unite]]</f>
        <v>0</v>
      </c>
      <c r="P37" s="704">
        <f>_xlfn.XLOOKUP(TableauRecette[[#This Row],[ID]],TableauProduit[ID],TableauProduit[Total (kg) N5],0,0,1)*TableauRecette[[#This Row],[poids / unite]]</f>
        <v>0</v>
      </c>
      <c r="Q37" s="704">
        <f>_xlfn.XLOOKUP(TableauRecette[[#This Row],[ID]],TableauProduit[ID],TableauProduit[Total (kg) N6],0,0,1)*TableauRecette[[#This Row],[poids / unite]]</f>
        <v>0</v>
      </c>
      <c r="R37" s="704">
        <f>_xlfn.XLOOKUP(TableauRecette[[#This Row],[ID]],TableauProduit[ID],TableauProduit[Total (kg) N7],0,0,1)*TableauRecette[[#This Row],[poids / unite]]</f>
        <v>0</v>
      </c>
      <c r="S37" s="704">
        <f>_xlfn.XLOOKUP(TableauRecette[[#This Row],[ID]],TableauProduit[ID],TableauProduit[Total (kg) N8],0,0,1)*TableauRecette[[#This Row],[poids / unite]]</f>
        <v>0</v>
      </c>
      <c r="T37" s="704">
        <f>_xlfn.XLOOKUP(TableauRecette[[#This Row],[ID]],TableauProduit[ID],TableauProduit[Total (kg) N9],0,0,1)*TableauRecette[[#This Row],[poids / unite]]</f>
        <v>0</v>
      </c>
    </row>
    <row r="38" spans="1:20">
      <c r="A38" s="61" t="s">
        <v>93</v>
      </c>
      <c r="B38" s="61" t="str">
        <f>TableauRecette[[#This Row],[Recette]]&amp;TableauRecette[[#This Row],[Conditionnement]]</f>
        <v>ColomboEpice 100ml</v>
      </c>
      <c r="C38" s="61" t="s">
        <v>289</v>
      </c>
      <c r="D38" s="185">
        <v>20</v>
      </c>
      <c r="E38" s="61" t="s">
        <v>55</v>
      </c>
      <c r="F38" s="185">
        <f>D38/SUMIFS(TableauRecette[Proportion],TableauRecette[Recette],TableauRecette[[#This Row],[Recette]],TableauRecette[Conditionnement],TableauRecette[[#This Row],[Conditionnement]])</f>
        <v>0.15037593984962405</v>
      </c>
      <c r="G38" s="185">
        <f ca="1">_xlfn.XLOOKUP(TableauRecette[[#This Row],[Ingredients]],TableauIngredients[Ingredients],TableauIngredients[Prix d''achat (kg)],0)*TableauRecette[[#This Row],[poids / unite]]</f>
        <v>0</v>
      </c>
      <c r="H38" s="185">
        <f>SUMIFS(TableauRecette[Proportion],TableauRecette[Recette],TableauRecette[[#This Row],[Recette]],TableauRecette[Conditionnement],TableauRecette[[#This Row],[Conditionnement]])</f>
        <v>133</v>
      </c>
      <c r="I38" s="185">
        <f ca="1">TableauRecette[[#This Row],[Proportion]]*TableauRecette[[#This Row],[Prix d''achat / kg]]/TableauRecette[[#This Row],[Total Proportion]]</f>
        <v>0</v>
      </c>
      <c r="J38" s="185"/>
      <c r="K38" s="702"/>
      <c r="L38" s="703">
        <f>_xlfn.XLOOKUP(TableauRecette[[#This Row],[ID]],TableauProduit[ID],TableauProduit[Total (kg) N1],0,0,1)*TableauRecette[[#This Row],[poids / unite]]</f>
        <v>0</v>
      </c>
      <c r="M38" s="704">
        <f>_xlfn.XLOOKUP(TableauRecette[[#This Row],[ID]],TableauProduit[ID],TableauProduit[Total (kg) N2],0,0,1)*TableauRecette[[#This Row],[poids / unite]]</f>
        <v>0</v>
      </c>
      <c r="N38" s="704">
        <f>_xlfn.XLOOKUP(TableauRecette[[#This Row],[ID]],TableauProduit[ID],TableauProduit[Total (kg) N3],0,0,1)*TableauRecette[[#This Row],[poids / unite]]</f>
        <v>0</v>
      </c>
      <c r="O38" s="704">
        <f>_xlfn.XLOOKUP(TableauRecette[[#This Row],[ID]],TableauProduit[ID],TableauProduit[Total (kg) N4],0,0,1)*TableauRecette[[#This Row],[poids / unite]]</f>
        <v>0</v>
      </c>
      <c r="P38" s="704">
        <f>_xlfn.XLOOKUP(TableauRecette[[#This Row],[ID]],TableauProduit[ID],TableauProduit[Total (kg) N5],0,0,1)*TableauRecette[[#This Row],[poids / unite]]</f>
        <v>0</v>
      </c>
      <c r="Q38" s="704">
        <f>_xlfn.XLOOKUP(TableauRecette[[#This Row],[ID]],TableauProduit[ID],TableauProduit[Total (kg) N6],0,0,1)*TableauRecette[[#This Row],[poids / unite]]</f>
        <v>0</v>
      </c>
      <c r="R38" s="704">
        <f>_xlfn.XLOOKUP(TableauRecette[[#This Row],[ID]],TableauProduit[ID],TableauProduit[Total (kg) N7],0,0,1)*TableauRecette[[#This Row],[poids / unite]]</f>
        <v>0</v>
      </c>
      <c r="S38" s="704">
        <f>_xlfn.XLOOKUP(TableauRecette[[#This Row],[ID]],TableauProduit[ID],TableauProduit[Total (kg) N8],0,0,1)*TableauRecette[[#This Row],[poids / unite]]</f>
        <v>0</v>
      </c>
      <c r="T38" s="704">
        <f>_xlfn.XLOOKUP(TableauRecette[[#This Row],[ID]],TableauProduit[ID],TableauProduit[Total (kg) N9],0,0,1)*TableauRecette[[#This Row],[poids / unite]]</f>
        <v>0</v>
      </c>
    </row>
    <row r="39" spans="1:20">
      <c r="A39" s="61" t="s">
        <v>93</v>
      </c>
      <c r="B39" s="61" t="str">
        <f>TableauRecette[[#This Row],[Recette]]&amp;TableauRecette[[#This Row],[Conditionnement]]</f>
        <v>ColomboEpice 100ml</v>
      </c>
      <c r="C39" s="61" t="s">
        <v>305</v>
      </c>
      <c r="D39" s="185">
        <v>20</v>
      </c>
      <c r="E39" s="61" t="s">
        <v>55</v>
      </c>
      <c r="F39" s="185">
        <f>D39/SUMIFS(TableauRecette[Proportion],TableauRecette[Recette],TableauRecette[[#This Row],[Recette]],TableauRecette[Conditionnement],TableauRecette[[#This Row],[Conditionnement]])</f>
        <v>0.15037593984962405</v>
      </c>
      <c r="G39" s="185">
        <f ca="1">_xlfn.XLOOKUP(TableauRecette[[#This Row],[Ingredients]],TableauIngredients[Ingredients],TableauIngredients[Prix d''achat (kg)],0)*TableauRecette[[#This Row],[poids / unite]]</f>
        <v>0</v>
      </c>
      <c r="H39" s="185">
        <f>SUMIFS(TableauRecette[Proportion],TableauRecette[Recette],TableauRecette[[#This Row],[Recette]],TableauRecette[Conditionnement],TableauRecette[[#This Row],[Conditionnement]])</f>
        <v>133</v>
      </c>
      <c r="I39" s="185">
        <f ca="1">TableauRecette[[#This Row],[Proportion]]*TableauRecette[[#This Row],[Prix d''achat / kg]]/TableauRecette[[#This Row],[Total Proportion]]</f>
        <v>0</v>
      </c>
      <c r="J39" s="185"/>
      <c r="K39" s="702"/>
      <c r="L39" s="703">
        <f>_xlfn.XLOOKUP(TableauRecette[[#This Row],[ID]],TableauProduit[ID],TableauProduit[Total (kg) N1],0,0,1)*TableauRecette[[#This Row],[poids / unite]]</f>
        <v>0</v>
      </c>
      <c r="M39" s="704">
        <f>_xlfn.XLOOKUP(TableauRecette[[#This Row],[ID]],TableauProduit[ID],TableauProduit[Total (kg) N2],0,0,1)*TableauRecette[[#This Row],[poids / unite]]</f>
        <v>0</v>
      </c>
      <c r="N39" s="704">
        <f>_xlfn.XLOOKUP(TableauRecette[[#This Row],[ID]],TableauProduit[ID],TableauProduit[Total (kg) N3],0,0,1)*TableauRecette[[#This Row],[poids / unite]]</f>
        <v>0</v>
      </c>
      <c r="O39" s="704">
        <f>_xlfn.XLOOKUP(TableauRecette[[#This Row],[ID]],TableauProduit[ID],TableauProduit[Total (kg) N4],0,0,1)*TableauRecette[[#This Row],[poids / unite]]</f>
        <v>0</v>
      </c>
      <c r="P39" s="704">
        <f>_xlfn.XLOOKUP(TableauRecette[[#This Row],[ID]],TableauProduit[ID],TableauProduit[Total (kg) N5],0,0,1)*TableauRecette[[#This Row],[poids / unite]]</f>
        <v>0</v>
      </c>
      <c r="Q39" s="704">
        <f>_xlfn.XLOOKUP(TableauRecette[[#This Row],[ID]],TableauProduit[ID],TableauProduit[Total (kg) N6],0,0,1)*TableauRecette[[#This Row],[poids / unite]]</f>
        <v>0</v>
      </c>
      <c r="R39" s="704">
        <f>_xlfn.XLOOKUP(TableauRecette[[#This Row],[ID]],TableauProduit[ID],TableauProduit[Total (kg) N7],0,0,1)*TableauRecette[[#This Row],[poids / unite]]</f>
        <v>0</v>
      </c>
      <c r="S39" s="704">
        <f>_xlfn.XLOOKUP(TableauRecette[[#This Row],[ID]],TableauProduit[ID],TableauProduit[Total (kg) N8],0,0,1)*TableauRecette[[#This Row],[poids / unite]]</f>
        <v>0</v>
      </c>
      <c r="T39" s="704">
        <f>_xlfn.XLOOKUP(TableauRecette[[#This Row],[ID]],TableauProduit[ID],TableauProduit[Total (kg) N9],0,0,1)*TableauRecette[[#This Row],[poids / unite]]</f>
        <v>0</v>
      </c>
    </row>
    <row r="40" spans="1:20">
      <c r="A40" s="61" t="s">
        <v>93</v>
      </c>
      <c r="B40" s="61" t="str">
        <f>TableauRecette[[#This Row],[Recette]]&amp;TableauRecette[[#This Row],[Conditionnement]]</f>
        <v>ColomboEpice 100ml</v>
      </c>
      <c r="C40" s="61" t="s">
        <v>290</v>
      </c>
      <c r="D40" s="185">
        <v>10</v>
      </c>
      <c r="E40" s="61" t="s">
        <v>55</v>
      </c>
      <c r="F40" s="185">
        <f>D40/SUMIFS(TableauRecette[Proportion],TableauRecette[Recette],TableauRecette[[#This Row],[Recette]],TableauRecette[Conditionnement],TableauRecette[[#This Row],[Conditionnement]])</f>
        <v>7.5187969924812026E-2</v>
      </c>
      <c r="G40" s="185">
        <f ca="1">_xlfn.XLOOKUP(TableauRecette[[#This Row],[Ingredients]],TableauIngredients[Ingredients],TableauIngredients[Prix d''achat (kg)],0)*TableauRecette[[#This Row],[poids / unite]]</f>
        <v>0</v>
      </c>
      <c r="H40" s="185">
        <f>SUMIFS(TableauRecette[Proportion],TableauRecette[Recette],TableauRecette[[#This Row],[Recette]],TableauRecette[Conditionnement],TableauRecette[[#This Row],[Conditionnement]])</f>
        <v>133</v>
      </c>
      <c r="I40" s="185">
        <f ca="1">TableauRecette[[#This Row],[Proportion]]*TableauRecette[[#This Row],[Prix d''achat / kg]]/TableauRecette[[#This Row],[Total Proportion]]</f>
        <v>0</v>
      </c>
      <c r="J40" s="185"/>
      <c r="K40" s="702"/>
      <c r="L40" s="703">
        <f>_xlfn.XLOOKUP(TableauRecette[[#This Row],[ID]],TableauProduit[ID],TableauProduit[Total (kg) N1],0,0,1)*TableauRecette[[#This Row],[poids / unite]]</f>
        <v>0</v>
      </c>
      <c r="M40" s="704">
        <f>_xlfn.XLOOKUP(TableauRecette[[#This Row],[ID]],TableauProduit[ID],TableauProduit[Total (kg) N2],0,0,1)*TableauRecette[[#This Row],[poids / unite]]</f>
        <v>0</v>
      </c>
      <c r="N40" s="704">
        <f>_xlfn.XLOOKUP(TableauRecette[[#This Row],[ID]],TableauProduit[ID],TableauProduit[Total (kg) N3],0,0,1)*TableauRecette[[#This Row],[poids / unite]]</f>
        <v>0</v>
      </c>
      <c r="O40" s="704">
        <f>_xlfn.XLOOKUP(TableauRecette[[#This Row],[ID]],TableauProduit[ID],TableauProduit[Total (kg) N4],0,0,1)*TableauRecette[[#This Row],[poids / unite]]</f>
        <v>0</v>
      </c>
      <c r="P40" s="704">
        <f>_xlfn.XLOOKUP(TableauRecette[[#This Row],[ID]],TableauProduit[ID],TableauProduit[Total (kg) N5],0,0,1)*TableauRecette[[#This Row],[poids / unite]]</f>
        <v>0</v>
      </c>
      <c r="Q40" s="704">
        <f>_xlfn.XLOOKUP(TableauRecette[[#This Row],[ID]],TableauProduit[ID],TableauProduit[Total (kg) N6],0,0,1)*TableauRecette[[#This Row],[poids / unite]]</f>
        <v>0</v>
      </c>
      <c r="R40" s="704">
        <f>_xlfn.XLOOKUP(TableauRecette[[#This Row],[ID]],TableauProduit[ID],TableauProduit[Total (kg) N7],0,0,1)*TableauRecette[[#This Row],[poids / unite]]</f>
        <v>0</v>
      </c>
      <c r="S40" s="704">
        <f>_xlfn.XLOOKUP(TableauRecette[[#This Row],[ID]],TableauProduit[ID],TableauProduit[Total (kg) N8],0,0,1)*TableauRecette[[#This Row],[poids / unite]]</f>
        <v>0</v>
      </c>
      <c r="T40" s="704">
        <f>_xlfn.XLOOKUP(TableauRecette[[#This Row],[ID]],TableauProduit[ID],TableauProduit[Total (kg) N9],0,0,1)*TableauRecette[[#This Row],[poids / unite]]</f>
        <v>0</v>
      </c>
    </row>
    <row r="41" spans="1:20">
      <c r="A41" s="61" t="s">
        <v>93</v>
      </c>
      <c r="B41" s="61" t="str">
        <f>TableauRecette[[#This Row],[Recette]]&amp;TableauRecette[[#This Row],[Conditionnement]]</f>
        <v>ColomboEpice 100ml</v>
      </c>
      <c r="C41" s="61" t="s">
        <v>299</v>
      </c>
      <c r="D41" s="185">
        <v>10</v>
      </c>
      <c r="E41" s="61" t="s">
        <v>55</v>
      </c>
      <c r="F41" s="185">
        <f>D41/SUMIFS(TableauRecette[Proportion],TableauRecette[Recette],TableauRecette[[#This Row],[Recette]],TableauRecette[Conditionnement],TableauRecette[[#This Row],[Conditionnement]])</f>
        <v>7.5187969924812026E-2</v>
      </c>
      <c r="G41" s="185">
        <f ca="1">_xlfn.XLOOKUP(TableauRecette[[#This Row],[Ingredients]],TableauIngredients[Ingredients],TableauIngredients[Prix d''achat (kg)],0)*TableauRecette[[#This Row],[poids / unite]]</f>
        <v>0</v>
      </c>
      <c r="H41" s="185">
        <f>SUMIFS(TableauRecette[Proportion],TableauRecette[Recette],TableauRecette[[#This Row],[Recette]],TableauRecette[Conditionnement],TableauRecette[[#This Row],[Conditionnement]])</f>
        <v>133</v>
      </c>
      <c r="I41" s="185">
        <f ca="1">TableauRecette[[#This Row],[Proportion]]*TableauRecette[[#This Row],[Prix d''achat / kg]]/TableauRecette[[#This Row],[Total Proportion]]</f>
        <v>0</v>
      </c>
      <c r="J41" s="185"/>
      <c r="K41" s="702"/>
      <c r="L41" s="703">
        <f>_xlfn.XLOOKUP(TableauRecette[[#This Row],[ID]],TableauProduit[ID],TableauProduit[Total (kg) N1],0,0,1)*TableauRecette[[#This Row],[poids / unite]]</f>
        <v>0</v>
      </c>
      <c r="M41" s="704">
        <f>_xlfn.XLOOKUP(TableauRecette[[#This Row],[ID]],TableauProduit[ID],TableauProduit[Total (kg) N2],0,0,1)*TableauRecette[[#This Row],[poids / unite]]</f>
        <v>0</v>
      </c>
      <c r="N41" s="704">
        <f>_xlfn.XLOOKUP(TableauRecette[[#This Row],[ID]],TableauProduit[ID],TableauProduit[Total (kg) N3],0,0,1)*TableauRecette[[#This Row],[poids / unite]]</f>
        <v>0</v>
      </c>
      <c r="O41" s="704">
        <f>_xlfn.XLOOKUP(TableauRecette[[#This Row],[ID]],TableauProduit[ID],TableauProduit[Total (kg) N4],0,0,1)*TableauRecette[[#This Row],[poids / unite]]</f>
        <v>0</v>
      </c>
      <c r="P41" s="704">
        <f>_xlfn.XLOOKUP(TableauRecette[[#This Row],[ID]],TableauProduit[ID],TableauProduit[Total (kg) N5],0,0,1)*TableauRecette[[#This Row],[poids / unite]]</f>
        <v>0</v>
      </c>
      <c r="Q41" s="704">
        <f>_xlfn.XLOOKUP(TableauRecette[[#This Row],[ID]],TableauProduit[ID],TableauProduit[Total (kg) N6],0,0,1)*TableauRecette[[#This Row],[poids / unite]]</f>
        <v>0</v>
      </c>
      <c r="R41" s="704">
        <f>_xlfn.XLOOKUP(TableauRecette[[#This Row],[ID]],TableauProduit[ID],TableauProduit[Total (kg) N7],0,0,1)*TableauRecette[[#This Row],[poids / unite]]</f>
        <v>0</v>
      </c>
      <c r="S41" s="704">
        <f>_xlfn.XLOOKUP(TableauRecette[[#This Row],[ID]],TableauProduit[ID],TableauProduit[Total (kg) N8],0,0,1)*TableauRecette[[#This Row],[poids / unite]]</f>
        <v>0</v>
      </c>
      <c r="T41" s="704">
        <f>_xlfn.XLOOKUP(TableauRecette[[#This Row],[ID]],TableauProduit[ID],TableauProduit[Total (kg) N9],0,0,1)*TableauRecette[[#This Row],[poids / unite]]</f>
        <v>0</v>
      </c>
    </row>
    <row r="42" spans="1:20">
      <c r="A42" s="61" t="s">
        <v>93</v>
      </c>
      <c r="B42" s="61" t="str">
        <f>TableauRecette[[#This Row],[Recette]]&amp;TableauRecette[[#This Row],[Conditionnement]]</f>
        <v>ColomboEpice 100ml</v>
      </c>
      <c r="C42" s="61" t="s">
        <v>287</v>
      </c>
      <c r="D42" s="185">
        <v>10</v>
      </c>
      <c r="E42" s="61" t="s">
        <v>55</v>
      </c>
      <c r="F42" s="185">
        <f>D42/SUMIFS(TableauRecette[Proportion],TableauRecette[Recette],TableauRecette[[#This Row],[Recette]],TableauRecette[Conditionnement],TableauRecette[[#This Row],[Conditionnement]])</f>
        <v>7.5187969924812026E-2</v>
      </c>
      <c r="G42" s="185">
        <f ca="1">_xlfn.XLOOKUP(TableauRecette[[#This Row],[Ingredients]],TableauIngredients[Ingredients],TableauIngredients[Prix d''achat (kg)],0)*TableauRecette[[#This Row],[poids / unite]]</f>
        <v>2.7706766917293231</v>
      </c>
      <c r="H42" s="185">
        <f>SUMIFS(TableauRecette[Proportion],TableauRecette[Recette],TableauRecette[[#This Row],[Recette]],TableauRecette[Conditionnement],TableauRecette[[#This Row],[Conditionnement]])</f>
        <v>133</v>
      </c>
      <c r="I42" s="185">
        <f ca="1">TableauRecette[[#This Row],[Proportion]]*TableauRecette[[#This Row],[Prix d''achat / kg]]/TableauRecette[[#This Row],[Total Proportion]]</f>
        <v>0</v>
      </c>
      <c r="J42" s="185"/>
      <c r="K42" s="702"/>
      <c r="L42" s="703">
        <f>_xlfn.XLOOKUP(TableauRecette[[#This Row],[ID]],TableauProduit[ID],TableauProduit[Total (kg) N1],0,0,1)*TableauRecette[[#This Row],[poids / unite]]</f>
        <v>0</v>
      </c>
      <c r="M42" s="704">
        <f>_xlfn.XLOOKUP(TableauRecette[[#This Row],[ID]],TableauProduit[ID],TableauProduit[Total (kg) N2],0,0,1)*TableauRecette[[#This Row],[poids / unite]]</f>
        <v>0</v>
      </c>
      <c r="N42" s="704">
        <f>_xlfn.XLOOKUP(TableauRecette[[#This Row],[ID]],TableauProduit[ID],TableauProduit[Total (kg) N3],0,0,1)*TableauRecette[[#This Row],[poids / unite]]</f>
        <v>0</v>
      </c>
      <c r="O42" s="704">
        <f>_xlfn.XLOOKUP(TableauRecette[[#This Row],[ID]],TableauProduit[ID],TableauProduit[Total (kg) N4],0,0,1)*TableauRecette[[#This Row],[poids / unite]]</f>
        <v>0</v>
      </c>
      <c r="P42" s="704">
        <f>_xlfn.XLOOKUP(TableauRecette[[#This Row],[ID]],TableauProduit[ID],TableauProduit[Total (kg) N5],0,0,1)*TableauRecette[[#This Row],[poids / unite]]</f>
        <v>0</v>
      </c>
      <c r="Q42" s="704">
        <f>_xlfn.XLOOKUP(TableauRecette[[#This Row],[ID]],TableauProduit[ID],TableauProduit[Total (kg) N6],0,0,1)*TableauRecette[[#This Row],[poids / unite]]</f>
        <v>0</v>
      </c>
      <c r="R42" s="704">
        <f>_xlfn.XLOOKUP(TableauRecette[[#This Row],[ID]],TableauProduit[ID],TableauProduit[Total (kg) N7],0,0,1)*TableauRecette[[#This Row],[poids / unite]]</f>
        <v>0</v>
      </c>
      <c r="S42" s="704">
        <f>_xlfn.XLOOKUP(TableauRecette[[#This Row],[ID]],TableauProduit[ID],TableauProduit[Total (kg) N8],0,0,1)*TableauRecette[[#This Row],[poids / unite]]</f>
        <v>0</v>
      </c>
      <c r="T42" s="704">
        <f>_xlfn.XLOOKUP(TableauRecette[[#This Row],[ID]],TableauProduit[ID],TableauProduit[Total (kg) N9],0,0,1)*TableauRecette[[#This Row],[poids / unite]]</f>
        <v>0</v>
      </c>
    </row>
    <row r="43" spans="1:20">
      <c r="A43" s="61" t="s">
        <v>93</v>
      </c>
      <c r="B43" s="61" t="str">
        <f>TableauRecette[[#This Row],[Recette]]&amp;TableauRecette[[#This Row],[Conditionnement]]</f>
        <v>ColomboEpice 100ml</v>
      </c>
      <c r="C43" s="61" t="s">
        <v>306</v>
      </c>
      <c r="D43" s="185">
        <v>5</v>
      </c>
      <c r="E43" s="61" t="s">
        <v>55</v>
      </c>
      <c r="F43" s="185">
        <f>D43/SUMIFS(TableauRecette[Proportion],TableauRecette[Recette],TableauRecette[[#This Row],[Recette]],TableauRecette[Conditionnement],TableauRecette[[#This Row],[Conditionnement]])</f>
        <v>3.7593984962406013E-2</v>
      </c>
      <c r="G43" s="185">
        <f ca="1">_xlfn.XLOOKUP(TableauRecette[[#This Row],[Ingredients]],TableauIngredients[Ingredients],TableauIngredients[Prix d''achat (kg)],0)*TableauRecette[[#This Row],[poids / unite]]</f>
        <v>0</v>
      </c>
      <c r="H43" s="185">
        <f>SUMIFS(TableauRecette[Proportion],TableauRecette[Recette],TableauRecette[[#This Row],[Recette]],TableauRecette[Conditionnement],TableauRecette[[#This Row],[Conditionnement]])</f>
        <v>133</v>
      </c>
      <c r="I43" s="185">
        <f ca="1">TableauRecette[[#This Row],[Proportion]]*TableauRecette[[#This Row],[Prix d''achat / kg]]/TableauRecette[[#This Row],[Total Proportion]]</f>
        <v>0</v>
      </c>
      <c r="J43" s="185"/>
      <c r="K43" s="702"/>
      <c r="L43" s="703">
        <f>_xlfn.XLOOKUP(TableauRecette[[#This Row],[ID]],TableauProduit[ID],TableauProduit[Total (kg) N1],0,0,1)*TableauRecette[[#This Row],[poids / unite]]</f>
        <v>0</v>
      </c>
      <c r="M43" s="704">
        <f>_xlfn.XLOOKUP(TableauRecette[[#This Row],[ID]],TableauProduit[ID],TableauProduit[Total (kg) N2],0,0,1)*TableauRecette[[#This Row],[poids / unite]]</f>
        <v>0</v>
      </c>
      <c r="N43" s="704">
        <f>_xlfn.XLOOKUP(TableauRecette[[#This Row],[ID]],TableauProduit[ID],TableauProduit[Total (kg) N3],0,0,1)*TableauRecette[[#This Row],[poids / unite]]</f>
        <v>0</v>
      </c>
      <c r="O43" s="704">
        <f>_xlfn.XLOOKUP(TableauRecette[[#This Row],[ID]],TableauProduit[ID],TableauProduit[Total (kg) N4],0,0,1)*TableauRecette[[#This Row],[poids / unite]]</f>
        <v>0</v>
      </c>
      <c r="P43" s="704">
        <f>_xlfn.XLOOKUP(TableauRecette[[#This Row],[ID]],TableauProduit[ID],TableauProduit[Total (kg) N5],0,0,1)*TableauRecette[[#This Row],[poids / unite]]</f>
        <v>0</v>
      </c>
      <c r="Q43" s="704">
        <f>_xlfn.XLOOKUP(TableauRecette[[#This Row],[ID]],TableauProduit[ID],TableauProduit[Total (kg) N6],0,0,1)*TableauRecette[[#This Row],[poids / unite]]</f>
        <v>0</v>
      </c>
      <c r="R43" s="704">
        <f>_xlfn.XLOOKUP(TableauRecette[[#This Row],[ID]],TableauProduit[ID],TableauProduit[Total (kg) N7],0,0,1)*TableauRecette[[#This Row],[poids / unite]]</f>
        <v>0</v>
      </c>
      <c r="S43" s="704">
        <f>_xlfn.XLOOKUP(TableauRecette[[#This Row],[ID]],TableauProduit[ID],TableauProduit[Total (kg) N8],0,0,1)*TableauRecette[[#This Row],[poids / unite]]</f>
        <v>0</v>
      </c>
      <c r="T43" s="704">
        <f>_xlfn.XLOOKUP(TableauRecette[[#This Row],[ID]],TableauProduit[ID],TableauProduit[Total (kg) N9],0,0,1)*TableauRecette[[#This Row],[poids / unite]]</f>
        <v>0</v>
      </c>
    </row>
    <row r="44" spans="1:20">
      <c r="A44" s="61" t="s">
        <v>93</v>
      </c>
      <c r="B44" s="61" t="str">
        <f>TableauRecette[[#This Row],[Recette]]&amp;TableauRecette[[#This Row],[Conditionnement]]</f>
        <v>ColomboEpice 100ml</v>
      </c>
      <c r="C44" s="61" t="s">
        <v>283</v>
      </c>
      <c r="D44" s="185">
        <v>5</v>
      </c>
      <c r="E44" s="61" t="s">
        <v>55</v>
      </c>
      <c r="F44" s="185">
        <f>D44/SUMIFS(TableauRecette[Proportion],TableauRecette[Recette],TableauRecette[[#This Row],[Recette]],TableauRecette[Conditionnement],TableauRecette[[#This Row],[Conditionnement]])</f>
        <v>3.7593984962406013E-2</v>
      </c>
      <c r="G44" s="185">
        <f ca="1">_xlfn.XLOOKUP(TableauRecette[[#This Row],[Ingredients]],TableauIngredients[Ingredients],TableauIngredients[Prix d''achat (kg)],0)*TableauRecette[[#This Row],[poids / unite]]</f>
        <v>4.2874248120300749</v>
      </c>
      <c r="H44" s="185">
        <f>SUMIFS(TableauRecette[Proportion],TableauRecette[Recette],TableauRecette[[#This Row],[Recette]],TableauRecette[Conditionnement],TableauRecette[[#This Row],[Conditionnement]])</f>
        <v>133</v>
      </c>
      <c r="I44" s="185">
        <f ca="1">TableauRecette[[#This Row],[Proportion]]*TableauRecette[[#This Row],[Prix d''achat / kg]]/TableauRecette[[#This Row],[Total Proportion]]</f>
        <v>0</v>
      </c>
      <c r="J44" s="185"/>
      <c r="K44" s="702"/>
      <c r="L44" s="703">
        <f>_xlfn.XLOOKUP(TableauRecette[[#This Row],[ID]],TableauProduit[ID],TableauProduit[Total (kg) N1],0,0,1)*TableauRecette[[#This Row],[poids / unite]]</f>
        <v>0</v>
      </c>
      <c r="M44" s="704">
        <f>_xlfn.XLOOKUP(TableauRecette[[#This Row],[ID]],TableauProduit[ID],TableauProduit[Total (kg) N2],0,0,1)*TableauRecette[[#This Row],[poids / unite]]</f>
        <v>0</v>
      </c>
      <c r="N44" s="704">
        <f>_xlfn.XLOOKUP(TableauRecette[[#This Row],[ID]],TableauProduit[ID],TableauProduit[Total (kg) N3],0,0,1)*TableauRecette[[#This Row],[poids / unite]]</f>
        <v>0</v>
      </c>
      <c r="O44" s="704">
        <f>_xlfn.XLOOKUP(TableauRecette[[#This Row],[ID]],TableauProduit[ID],TableauProduit[Total (kg) N4],0,0,1)*TableauRecette[[#This Row],[poids / unite]]</f>
        <v>0</v>
      </c>
      <c r="P44" s="704">
        <f>_xlfn.XLOOKUP(TableauRecette[[#This Row],[ID]],TableauProduit[ID],TableauProduit[Total (kg) N5],0,0,1)*TableauRecette[[#This Row],[poids / unite]]</f>
        <v>0</v>
      </c>
      <c r="Q44" s="704">
        <f>_xlfn.XLOOKUP(TableauRecette[[#This Row],[ID]],TableauProduit[ID],TableauProduit[Total (kg) N6],0,0,1)*TableauRecette[[#This Row],[poids / unite]]</f>
        <v>0</v>
      </c>
      <c r="R44" s="704">
        <f>_xlfn.XLOOKUP(TableauRecette[[#This Row],[ID]],TableauProduit[ID],TableauProduit[Total (kg) N7],0,0,1)*TableauRecette[[#This Row],[poids / unite]]</f>
        <v>0</v>
      </c>
      <c r="S44" s="704">
        <f>_xlfn.XLOOKUP(TableauRecette[[#This Row],[ID]],TableauProduit[ID],TableauProduit[Total (kg) N8],0,0,1)*TableauRecette[[#This Row],[poids / unite]]</f>
        <v>0</v>
      </c>
      <c r="T44" s="704">
        <f>_xlfn.XLOOKUP(TableauRecette[[#This Row],[ID]],TableauProduit[ID],TableauProduit[Total (kg) N9],0,0,1)*TableauRecette[[#This Row],[poids / unite]]</f>
        <v>0</v>
      </c>
    </row>
    <row r="45" spans="1:20">
      <c r="A45" s="61" t="s">
        <v>93</v>
      </c>
      <c r="B45" s="61" t="str">
        <f>TableauRecette[[#This Row],[Recette]]&amp;TableauRecette[[#This Row],[Conditionnement]]</f>
        <v>ColomboEpice 100ml</v>
      </c>
      <c r="C45" s="61" t="s">
        <v>307</v>
      </c>
      <c r="D45" s="185">
        <v>4</v>
      </c>
      <c r="E45" s="61" t="s">
        <v>55</v>
      </c>
      <c r="F45" s="185">
        <f>D45/SUMIFS(TableauRecette[Proportion],TableauRecette[Recette],TableauRecette[[#This Row],[Recette]],TableauRecette[Conditionnement],TableauRecette[[#This Row],[Conditionnement]])</f>
        <v>3.007518796992481E-2</v>
      </c>
      <c r="G45" s="185">
        <f ca="1">_xlfn.XLOOKUP(TableauRecette[[#This Row],[Ingredients]],TableauIngredients[Ingredients],TableauIngredients[Prix d''achat (kg)],0)*TableauRecette[[#This Row],[poids / unite]]</f>
        <v>0</v>
      </c>
      <c r="H45" s="185">
        <f>SUMIFS(TableauRecette[Proportion],TableauRecette[Recette],TableauRecette[[#This Row],[Recette]],TableauRecette[Conditionnement],TableauRecette[[#This Row],[Conditionnement]])</f>
        <v>133</v>
      </c>
      <c r="I45" s="185">
        <f ca="1">TableauRecette[[#This Row],[Proportion]]*TableauRecette[[#This Row],[Prix d''achat / kg]]/TableauRecette[[#This Row],[Total Proportion]]</f>
        <v>0</v>
      </c>
      <c r="J45" s="185"/>
      <c r="K45" s="702"/>
      <c r="L45" s="703">
        <f>_xlfn.XLOOKUP(TableauRecette[[#This Row],[ID]],TableauProduit[ID],TableauProduit[Total (kg) N1],0,0,1)*TableauRecette[[#This Row],[poids / unite]]</f>
        <v>0</v>
      </c>
      <c r="M45" s="704">
        <f>_xlfn.XLOOKUP(TableauRecette[[#This Row],[ID]],TableauProduit[ID],TableauProduit[Total (kg) N2],0,0,1)*TableauRecette[[#This Row],[poids / unite]]</f>
        <v>0</v>
      </c>
      <c r="N45" s="704">
        <f>_xlfn.XLOOKUP(TableauRecette[[#This Row],[ID]],TableauProduit[ID],TableauProduit[Total (kg) N3],0,0,1)*TableauRecette[[#This Row],[poids / unite]]</f>
        <v>0</v>
      </c>
      <c r="O45" s="704">
        <f>_xlfn.XLOOKUP(TableauRecette[[#This Row],[ID]],TableauProduit[ID],TableauProduit[Total (kg) N4],0,0,1)*TableauRecette[[#This Row],[poids / unite]]</f>
        <v>0</v>
      </c>
      <c r="P45" s="704">
        <f>_xlfn.XLOOKUP(TableauRecette[[#This Row],[ID]],TableauProduit[ID],TableauProduit[Total (kg) N5],0,0,1)*TableauRecette[[#This Row],[poids / unite]]</f>
        <v>0</v>
      </c>
      <c r="Q45" s="704">
        <f>_xlfn.XLOOKUP(TableauRecette[[#This Row],[ID]],TableauProduit[ID],TableauProduit[Total (kg) N6],0,0,1)*TableauRecette[[#This Row],[poids / unite]]</f>
        <v>0</v>
      </c>
      <c r="R45" s="704">
        <f>_xlfn.XLOOKUP(TableauRecette[[#This Row],[ID]],TableauProduit[ID],TableauProduit[Total (kg) N7],0,0,1)*TableauRecette[[#This Row],[poids / unite]]</f>
        <v>0</v>
      </c>
      <c r="S45" s="704">
        <f>_xlfn.XLOOKUP(TableauRecette[[#This Row],[ID]],TableauProduit[ID],TableauProduit[Total (kg) N8],0,0,1)*TableauRecette[[#This Row],[poids / unite]]</f>
        <v>0</v>
      </c>
      <c r="T45" s="704">
        <f>_xlfn.XLOOKUP(TableauRecette[[#This Row],[ID]],TableauProduit[ID],TableauProduit[Total (kg) N9],0,0,1)*TableauRecette[[#This Row],[poids / unite]]</f>
        <v>0</v>
      </c>
    </row>
    <row r="46" spans="1:20">
      <c r="A46" s="61" t="s">
        <v>93</v>
      </c>
      <c r="B46" s="61" t="str">
        <f>TableauRecette[[#This Row],[Recette]]&amp;TableauRecette[[#This Row],[Conditionnement]]</f>
        <v>ColomboEpice 100ml</v>
      </c>
      <c r="C46" s="61" t="s">
        <v>308</v>
      </c>
      <c r="D46" s="185">
        <v>3</v>
      </c>
      <c r="E46" s="61" t="s">
        <v>55</v>
      </c>
      <c r="F46" s="185">
        <f>D46/SUMIFS(TableauRecette[Proportion],TableauRecette[Recette],TableauRecette[[#This Row],[Recette]],TableauRecette[Conditionnement],TableauRecette[[#This Row],[Conditionnement]])</f>
        <v>2.2556390977443608E-2</v>
      </c>
      <c r="G46" s="185">
        <f ca="1">_xlfn.XLOOKUP(TableauRecette[[#This Row],[Ingredients]],TableauIngredients[Ingredients],TableauIngredients[Prix d''achat (kg)],0)*TableauRecette[[#This Row],[poids / unite]]</f>
        <v>0.72180451127819545</v>
      </c>
      <c r="H46" s="185">
        <f>SUMIFS(TableauRecette[Proportion],TableauRecette[Recette],TableauRecette[[#This Row],[Recette]],TableauRecette[Conditionnement],TableauRecette[[#This Row],[Conditionnement]])</f>
        <v>133</v>
      </c>
      <c r="I46" s="185">
        <f ca="1">TableauRecette[[#This Row],[Proportion]]*TableauRecette[[#This Row],[Prix d''achat / kg]]/TableauRecette[[#This Row],[Total Proportion]]</f>
        <v>0</v>
      </c>
      <c r="J46" s="185"/>
      <c r="K46" s="702"/>
      <c r="L46" s="703">
        <f>_xlfn.XLOOKUP(TableauRecette[[#This Row],[ID]],TableauProduit[ID],TableauProduit[Total (kg) N1],0,0,1)*TableauRecette[[#This Row],[poids / unite]]</f>
        <v>0</v>
      </c>
      <c r="M46" s="704">
        <f>_xlfn.XLOOKUP(TableauRecette[[#This Row],[ID]],TableauProduit[ID],TableauProduit[Total (kg) N2],0,0,1)*TableauRecette[[#This Row],[poids / unite]]</f>
        <v>0</v>
      </c>
      <c r="N46" s="704">
        <f>_xlfn.XLOOKUP(TableauRecette[[#This Row],[ID]],TableauProduit[ID],TableauProduit[Total (kg) N3],0,0,1)*TableauRecette[[#This Row],[poids / unite]]</f>
        <v>0</v>
      </c>
      <c r="O46" s="704">
        <f>_xlfn.XLOOKUP(TableauRecette[[#This Row],[ID]],TableauProduit[ID],TableauProduit[Total (kg) N4],0,0,1)*TableauRecette[[#This Row],[poids / unite]]</f>
        <v>0</v>
      </c>
      <c r="P46" s="704">
        <f>_xlfn.XLOOKUP(TableauRecette[[#This Row],[ID]],TableauProduit[ID],TableauProduit[Total (kg) N5],0,0,1)*TableauRecette[[#This Row],[poids / unite]]</f>
        <v>0</v>
      </c>
      <c r="Q46" s="704">
        <f>_xlfn.XLOOKUP(TableauRecette[[#This Row],[ID]],TableauProduit[ID],TableauProduit[Total (kg) N6],0,0,1)*TableauRecette[[#This Row],[poids / unite]]</f>
        <v>0</v>
      </c>
      <c r="R46" s="704">
        <f>_xlfn.XLOOKUP(TableauRecette[[#This Row],[ID]],TableauProduit[ID],TableauProduit[Total (kg) N7],0,0,1)*TableauRecette[[#This Row],[poids / unite]]</f>
        <v>0</v>
      </c>
      <c r="S46" s="704">
        <f>_xlfn.XLOOKUP(TableauRecette[[#This Row],[ID]],TableauProduit[ID],TableauProduit[Total (kg) N8],0,0,1)*TableauRecette[[#This Row],[poids / unite]]</f>
        <v>0</v>
      </c>
      <c r="T46" s="704">
        <f>_xlfn.XLOOKUP(TableauRecette[[#This Row],[ID]],TableauProduit[ID],TableauProduit[Total (kg) N9],0,0,1)*TableauRecette[[#This Row],[poids / unite]]</f>
        <v>0</v>
      </c>
    </row>
    <row r="47" spans="1:20">
      <c r="A47" s="61" t="s">
        <v>93</v>
      </c>
      <c r="B47" s="61" t="str">
        <f>TableauRecette[[#This Row],[Recette]]&amp;TableauRecette[[#This Row],[Conditionnement]]</f>
        <v>ColomboEpice 100ml</v>
      </c>
      <c r="C47" s="61" t="s">
        <v>291</v>
      </c>
      <c r="D47" s="185">
        <v>1</v>
      </c>
      <c r="E47" s="61" t="s">
        <v>55</v>
      </c>
      <c r="F47" s="185">
        <f>D47/SUMIFS(TableauRecette[Proportion],TableauRecette[Recette],TableauRecette[[#This Row],[Recette]],TableauRecette[Conditionnement],TableauRecette[[#This Row],[Conditionnement]])</f>
        <v>7.5187969924812026E-3</v>
      </c>
      <c r="G47" s="185">
        <f ca="1">_xlfn.XLOOKUP(TableauRecette[[#This Row],[Ingredients]],TableauIngredients[Ingredients],TableauIngredients[Prix d''achat (kg)],0)*TableauRecette[[#This Row],[poids / unite]]</f>
        <v>0.45112781954887216</v>
      </c>
      <c r="H47" s="185">
        <f>SUMIFS(TableauRecette[Proportion],TableauRecette[Recette],TableauRecette[[#This Row],[Recette]],TableauRecette[Conditionnement],TableauRecette[[#This Row],[Conditionnement]])</f>
        <v>133</v>
      </c>
      <c r="I47" s="185">
        <f ca="1">TableauRecette[[#This Row],[Proportion]]*TableauRecette[[#This Row],[Prix d''achat / kg]]/TableauRecette[[#This Row],[Total Proportion]]</f>
        <v>0</v>
      </c>
      <c r="J47" s="185"/>
      <c r="K47" s="702"/>
      <c r="L47" s="703">
        <f>_xlfn.XLOOKUP(TableauRecette[[#This Row],[ID]],TableauProduit[ID],TableauProduit[Total (kg) N1],0,0,1)*TableauRecette[[#This Row],[poids / unite]]</f>
        <v>0</v>
      </c>
      <c r="M47" s="704">
        <f>_xlfn.XLOOKUP(TableauRecette[[#This Row],[ID]],TableauProduit[ID],TableauProduit[Total (kg) N2],0,0,1)*TableauRecette[[#This Row],[poids / unite]]</f>
        <v>0</v>
      </c>
      <c r="N47" s="704">
        <f>_xlfn.XLOOKUP(TableauRecette[[#This Row],[ID]],TableauProduit[ID],TableauProduit[Total (kg) N3],0,0,1)*TableauRecette[[#This Row],[poids / unite]]</f>
        <v>0</v>
      </c>
      <c r="O47" s="704">
        <f>_xlfn.XLOOKUP(TableauRecette[[#This Row],[ID]],TableauProduit[ID],TableauProduit[Total (kg) N4],0,0,1)*TableauRecette[[#This Row],[poids / unite]]</f>
        <v>0</v>
      </c>
      <c r="P47" s="704">
        <f>_xlfn.XLOOKUP(TableauRecette[[#This Row],[ID]],TableauProduit[ID],TableauProduit[Total (kg) N5],0,0,1)*TableauRecette[[#This Row],[poids / unite]]</f>
        <v>0</v>
      </c>
      <c r="Q47" s="704">
        <f>_xlfn.XLOOKUP(TableauRecette[[#This Row],[ID]],TableauProduit[ID],TableauProduit[Total (kg) N6],0,0,1)*TableauRecette[[#This Row],[poids / unite]]</f>
        <v>0</v>
      </c>
      <c r="R47" s="704">
        <f>_xlfn.XLOOKUP(TableauRecette[[#This Row],[ID]],TableauProduit[ID],TableauProduit[Total (kg) N7],0,0,1)*TableauRecette[[#This Row],[poids / unite]]</f>
        <v>0</v>
      </c>
      <c r="S47" s="704">
        <f>_xlfn.XLOOKUP(TableauRecette[[#This Row],[ID]],TableauProduit[ID],TableauProduit[Total (kg) N8],0,0,1)*TableauRecette[[#This Row],[poids / unite]]</f>
        <v>0</v>
      </c>
      <c r="T47" s="704">
        <f>_xlfn.XLOOKUP(TableauRecette[[#This Row],[ID]],TableauProduit[ID],TableauProduit[Total (kg) N9],0,0,1)*TableauRecette[[#This Row],[poids / unite]]</f>
        <v>0</v>
      </c>
    </row>
    <row r="48" spans="1:20">
      <c r="A48" s="61" t="s">
        <v>93</v>
      </c>
      <c r="B48" s="61" t="str">
        <f>TableauRecette[[#This Row],[Recette]]&amp;TableauRecette[[#This Row],[Conditionnement]]</f>
        <v>ColomboEpice 100ml</v>
      </c>
      <c r="C48" s="61" t="s">
        <v>309</v>
      </c>
      <c r="D48" s="185">
        <v>15</v>
      </c>
      <c r="E48" s="61" t="s">
        <v>55</v>
      </c>
      <c r="F48" s="185">
        <f>D48/SUMIFS(TableauRecette[Proportion],TableauRecette[Recette],TableauRecette[[#This Row],[Recette]],TableauRecette[Conditionnement],TableauRecette[[#This Row],[Conditionnement]])</f>
        <v>0.11278195488721804</v>
      </c>
      <c r="G48" s="185">
        <f ca="1">_xlfn.XLOOKUP(TableauRecette[[#This Row],[Ingredients]],TableauIngredients[Ingredients],TableauIngredients[Prix d''achat (kg)],0)*TableauRecette[[#This Row],[poids / unite]]</f>
        <v>0</v>
      </c>
      <c r="H48" s="185">
        <f>SUMIFS(TableauRecette[Proportion],TableauRecette[Recette],TableauRecette[[#This Row],[Recette]],TableauRecette[Conditionnement],TableauRecette[[#This Row],[Conditionnement]])</f>
        <v>133</v>
      </c>
      <c r="I48" s="185">
        <f ca="1">TableauRecette[[#This Row],[Proportion]]*TableauRecette[[#This Row],[Prix d''achat / kg]]/TableauRecette[[#This Row],[Total Proportion]]</f>
        <v>0</v>
      </c>
      <c r="J48" s="185"/>
      <c r="K48" s="702"/>
      <c r="L48" s="703">
        <f>_xlfn.XLOOKUP(TableauRecette[[#This Row],[ID]],TableauProduit[ID],TableauProduit[Total (kg) N1],0,0,1)*TableauRecette[[#This Row],[poids / unite]]</f>
        <v>0</v>
      </c>
      <c r="M48" s="704">
        <f>_xlfn.XLOOKUP(TableauRecette[[#This Row],[ID]],TableauProduit[ID],TableauProduit[Total (kg) N2],0,0,1)*TableauRecette[[#This Row],[poids / unite]]</f>
        <v>0</v>
      </c>
      <c r="N48" s="704">
        <f>_xlfn.XLOOKUP(TableauRecette[[#This Row],[ID]],TableauProduit[ID],TableauProduit[Total (kg) N3],0,0,1)*TableauRecette[[#This Row],[poids / unite]]</f>
        <v>0</v>
      </c>
      <c r="O48" s="704">
        <f>_xlfn.XLOOKUP(TableauRecette[[#This Row],[ID]],TableauProduit[ID],TableauProduit[Total (kg) N4],0,0,1)*TableauRecette[[#This Row],[poids / unite]]</f>
        <v>0</v>
      </c>
      <c r="P48" s="704">
        <f>_xlfn.XLOOKUP(TableauRecette[[#This Row],[ID]],TableauProduit[ID],TableauProduit[Total (kg) N5],0,0,1)*TableauRecette[[#This Row],[poids / unite]]</f>
        <v>0</v>
      </c>
      <c r="Q48" s="704">
        <f>_xlfn.XLOOKUP(TableauRecette[[#This Row],[ID]],TableauProduit[ID],TableauProduit[Total (kg) N6],0,0,1)*TableauRecette[[#This Row],[poids / unite]]</f>
        <v>0</v>
      </c>
      <c r="R48" s="704">
        <f>_xlfn.XLOOKUP(TableauRecette[[#This Row],[ID]],TableauProduit[ID],TableauProduit[Total (kg) N7],0,0,1)*TableauRecette[[#This Row],[poids / unite]]</f>
        <v>0</v>
      </c>
      <c r="S48" s="704">
        <f>_xlfn.XLOOKUP(TableauRecette[[#This Row],[ID]],TableauProduit[ID],TableauProduit[Total (kg) N8],0,0,1)*TableauRecette[[#This Row],[poids / unite]]</f>
        <v>0</v>
      </c>
      <c r="T48" s="704">
        <f>_xlfn.XLOOKUP(TableauRecette[[#This Row],[ID]],TableauProduit[ID],TableauProduit[Total (kg) N9],0,0,1)*TableauRecette[[#This Row],[poids / unite]]</f>
        <v>0</v>
      </c>
    </row>
    <row r="49" spans="1:20">
      <c r="A49" s="610" t="s">
        <v>52</v>
      </c>
      <c r="B49" s="610" t="str">
        <f>TableauRecette[[#This Row],[Recette]]&amp;TableauRecette[[#This Row],[Conditionnement]]</f>
        <v>Cornichons aigres-douxCornichon doux</v>
      </c>
      <c r="C49" s="610" t="s">
        <v>271</v>
      </c>
      <c r="D49" s="611">
        <v>2000</v>
      </c>
      <c r="E49" s="610" t="s">
        <v>53</v>
      </c>
      <c r="F49" s="611">
        <f>D49/SUMIFS(TableauRecette[Proportion],TableauRecette[Recette],TableauRecette[[#This Row],[Recette]],TableauRecette[Conditionnement],TableauRecette[[#This Row],[Conditionnement]])</f>
        <v>0.67091580006709162</v>
      </c>
      <c r="G49" s="611">
        <f ca="1">_xlfn.XLOOKUP(TableauRecette[[#This Row],[Ingredients]],TableauIngredients[Ingredients],TableauIngredients[Prix d''achat (kg)],0)*TableauRecette[[#This Row],[poids / unite]]</f>
        <v>0</v>
      </c>
      <c r="H49" s="611">
        <f>SUMIFS(TableauRecette[Proportion],TableauRecette[Recette],TableauRecette[[#This Row],[Recette]],TableauRecette[Conditionnement],TableauRecette[[#This Row],[Conditionnement]])</f>
        <v>2981</v>
      </c>
      <c r="I49" s="611">
        <f ca="1">TableauRecette[[#This Row],[Proportion]]*TableauRecette[[#This Row],[Prix d''achat / kg]]/TableauRecette[[#This Row],[Total Proportion]]</f>
        <v>0</v>
      </c>
      <c r="J49" s="611"/>
      <c r="K49" s="705"/>
      <c r="L49" s="706">
        <f>_xlfn.XLOOKUP(TableauRecette[[#This Row],[ID]],TableauProduit[ID],TableauProduit[Total (kg) N1],0,0,1)*TableauRecette[[#This Row],[poids / unite]]</f>
        <v>114.05568601140557</v>
      </c>
      <c r="M49" s="707">
        <f>_xlfn.XLOOKUP(TableauRecette[[#This Row],[ID]],TableauProduit[ID],TableauProduit[Total (kg) N2],0,0,1)*TableauRecette[[#This Row],[poids / unite]]</f>
        <v>114.05568601140557</v>
      </c>
      <c r="N49" s="707">
        <f>_xlfn.XLOOKUP(TableauRecette[[#This Row],[ID]],TableauProduit[ID],TableauProduit[Total (kg) N3],0,0,1)*TableauRecette[[#This Row],[poids / unite]]</f>
        <v>114.05568601140557</v>
      </c>
      <c r="O49" s="707">
        <f>_xlfn.XLOOKUP(TableauRecette[[#This Row],[ID]],TableauProduit[ID],TableauProduit[Total (kg) N4],0,0,1)*TableauRecette[[#This Row],[poids / unite]]</f>
        <v>114.05568601140557</v>
      </c>
      <c r="P49" s="707">
        <f>_xlfn.XLOOKUP(TableauRecette[[#This Row],[ID]],TableauProduit[ID],TableauProduit[Total (kg) N5],0,0,1)*TableauRecette[[#This Row],[poids / unite]]</f>
        <v>114.05568601140557</v>
      </c>
      <c r="Q49" s="707">
        <f>_xlfn.XLOOKUP(TableauRecette[[#This Row],[ID]],TableauProduit[ID],TableauProduit[Total (kg) N6],0,0,1)*TableauRecette[[#This Row],[poids / unite]]</f>
        <v>114.05568601140557</v>
      </c>
      <c r="R49" s="707">
        <f>_xlfn.XLOOKUP(TableauRecette[[#This Row],[ID]],TableauProduit[ID],TableauProduit[Total (kg) N7],0,0,1)*TableauRecette[[#This Row],[poids / unite]]</f>
        <v>114.05568601140557</v>
      </c>
      <c r="S49" s="707">
        <f>_xlfn.XLOOKUP(TableauRecette[[#This Row],[ID]],TableauProduit[ID],TableauProduit[Total (kg) N8],0,0,1)*TableauRecette[[#This Row],[poids / unite]]</f>
        <v>114.05568601140557</v>
      </c>
      <c r="T49" s="707">
        <f>_xlfn.XLOOKUP(TableauRecette[[#This Row],[ID]],TableauProduit[ID],TableauProduit[Total (kg) N9],0,0,1)*TableauRecette[[#This Row],[poids / unite]]</f>
        <v>114.05568601140557</v>
      </c>
    </row>
    <row r="50" spans="1:20">
      <c r="A50" s="610" t="s">
        <v>52</v>
      </c>
      <c r="B50" s="610" t="str">
        <f>TableauRecette[[#This Row],[Recette]]&amp;TableauRecette[[#This Row],[Conditionnement]]</f>
        <v>Cornichons aigres-douxCornichon doux</v>
      </c>
      <c r="C50" s="610" t="s">
        <v>361</v>
      </c>
      <c r="D50" s="611">
        <v>150</v>
      </c>
      <c r="E50" s="610" t="s">
        <v>53</v>
      </c>
      <c r="F50" s="611">
        <f>D50/SUMIFS(TableauRecette[Proportion],TableauRecette[Recette],TableauRecette[[#This Row],[Recette]],TableauRecette[Conditionnement],TableauRecette[[#This Row],[Conditionnement]])</f>
        <v>5.0318685005031866E-2</v>
      </c>
      <c r="G50" s="611">
        <f ca="1">_xlfn.XLOOKUP(TableauRecette[[#This Row],[Ingredients]],TableauIngredients[Ingredients],TableauIngredients[Prix d''achat (kg)],0)*TableauRecette[[#This Row],[poids / unite]]</f>
        <v>0</v>
      </c>
      <c r="H50" s="611">
        <f>SUMIFS(TableauRecette[Proportion],TableauRecette[Recette],TableauRecette[[#This Row],[Recette]],TableauRecette[Conditionnement],TableauRecette[[#This Row],[Conditionnement]])</f>
        <v>2981</v>
      </c>
      <c r="I50" s="611">
        <f ca="1">TableauRecette[[#This Row],[Proportion]]*TableauRecette[[#This Row],[Prix d''achat / kg]]/TableauRecette[[#This Row],[Total Proportion]]</f>
        <v>0</v>
      </c>
      <c r="J50" s="611"/>
      <c r="K50" s="705"/>
      <c r="L50" s="706">
        <f>_xlfn.XLOOKUP(TableauRecette[[#This Row],[ID]],TableauProduit[ID],TableauProduit[Total (kg) N1],0,0,1)*TableauRecette[[#This Row],[poids / unite]]</f>
        <v>8.554176450855417</v>
      </c>
      <c r="M50" s="707">
        <f>_xlfn.XLOOKUP(TableauRecette[[#This Row],[ID]],TableauProduit[ID],TableauProduit[Total (kg) N2],0,0,1)*TableauRecette[[#This Row],[poids / unite]]</f>
        <v>8.554176450855417</v>
      </c>
      <c r="N50" s="707">
        <f>_xlfn.XLOOKUP(TableauRecette[[#This Row],[ID]],TableauProduit[ID],TableauProduit[Total (kg) N3],0,0,1)*TableauRecette[[#This Row],[poids / unite]]</f>
        <v>8.554176450855417</v>
      </c>
      <c r="O50" s="707">
        <f>_xlfn.XLOOKUP(TableauRecette[[#This Row],[ID]],TableauProduit[ID],TableauProduit[Total (kg) N4],0,0,1)*TableauRecette[[#This Row],[poids / unite]]</f>
        <v>8.554176450855417</v>
      </c>
      <c r="P50" s="707">
        <f>_xlfn.XLOOKUP(TableauRecette[[#This Row],[ID]],TableauProduit[ID],TableauProduit[Total (kg) N5],0,0,1)*TableauRecette[[#This Row],[poids / unite]]</f>
        <v>8.554176450855417</v>
      </c>
      <c r="Q50" s="707">
        <f>_xlfn.XLOOKUP(TableauRecette[[#This Row],[ID]],TableauProduit[ID],TableauProduit[Total (kg) N6],0,0,1)*TableauRecette[[#This Row],[poids / unite]]</f>
        <v>8.554176450855417</v>
      </c>
      <c r="R50" s="707">
        <f>_xlfn.XLOOKUP(TableauRecette[[#This Row],[ID]],TableauProduit[ID],TableauProduit[Total (kg) N7],0,0,1)*TableauRecette[[#This Row],[poids / unite]]</f>
        <v>8.554176450855417</v>
      </c>
      <c r="S50" s="707">
        <f>_xlfn.XLOOKUP(TableauRecette[[#This Row],[ID]],TableauProduit[ID],TableauProduit[Total (kg) N8],0,0,1)*TableauRecette[[#This Row],[poids / unite]]</f>
        <v>8.554176450855417</v>
      </c>
      <c r="T50" s="707">
        <f>_xlfn.XLOOKUP(TableauRecette[[#This Row],[ID]],TableauProduit[ID],TableauProduit[Total (kg) N9],0,0,1)*TableauRecette[[#This Row],[poids / unite]]</f>
        <v>8.554176450855417</v>
      </c>
    </row>
    <row r="51" spans="1:20">
      <c r="A51" s="610" t="s">
        <v>52</v>
      </c>
      <c r="B51" s="610" t="str">
        <f>TableauRecette[[#This Row],[Recette]]&amp;TableauRecette[[#This Row],[Conditionnement]]</f>
        <v>Cornichons aigres-douxCornichon doux</v>
      </c>
      <c r="C51" s="610" t="s">
        <v>358</v>
      </c>
      <c r="D51" s="611">
        <v>750</v>
      </c>
      <c r="E51" s="610" t="s">
        <v>53</v>
      </c>
      <c r="F51" s="611">
        <f>D51/SUMIFS(TableauRecette[Proportion],TableauRecette[Recette],TableauRecette[[#This Row],[Recette]],TableauRecette[Conditionnement],TableauRecette[[#This Row],[Conditionnement]])</f>
        <v>0.25159342502515936</v>
      </c>
      <c r="G51" s="611">
        <f ca="1">_xlfn.XLOOKUP(TableauRecette[[#This Row],[Ingredients]],TableauIngredients[Ingredients],TableauIngredients[Prix d''achat (kg)],0)*TableauRecette[[#This Row],[poids / unite]]</f>
        <v>0</v>
      </c>
      <c r="H51" s="611">
        <f>SUMIFS(TableauRecette[Proportion],TableauRecette[Recette],TableauRecette[[#This Row],[Recette]],TableauRecette[Conditionnement],TableauRecette[[#This Row],[Conditionnement]])</f>
        <v>2981</v>
      </c>
      <c r="I51" s="611">
        <f ca="1">TableauRecette[[#This Row],[Proportion]]*TableauRecette[[#This Row],[Prix d''achat / kg]]/TableauRecette[[#This Row],[Total Proportion]]</f>
        <v>0</v>
      </c>
      <c r="J51" s="611"/>
      <c r="K51" s="705"/>
      <c r="L51" s="706">
        <f>_xlfn.XLOOKUP(TableauRecette[[#This Row],[ID]],TableauProduit[ID],TableauProduit[Total (kg) N1],0,0,1)*TableauRecette[[#This Row],[poids / unite]]</f>
        <v>42.77088225427709</v>
      </c>
      <c r="M51" s="707">
        <f>_xlfn.XLOOKUP(TableauRecette[[#This Row],[ID]],TableauProduit[ID],TableauProduit[Total (kg) N2],0,0,1)*TableauRecette[[#This Row],[poids / unite]]</f>
        <v>42.77088225427709</v>
      </c>
      <c r="N51" s="707">
        <f>_xlfn.XLOOKUP(TableauRecette[[#This Row],[ID]],TableauProduit[ID],TableauProduit[Total (kg) N3],0,0,1)*TableauRecette[[#This Row],[poids / unite]]</f>
        <v>42.77088225427709</v>
      </c>
      <c r="O51" s="707">
        <f>_xlfn.XLOOKUP(TableauRecette[[#This Row],[ID]],TableauProduit[ID],TableauProduit[Total (kg) N4],0,0,1)*TableauRecette[[#This Row],[poids / unite]]</f>
        <v>42.77088225427709</v>
      </c>
      <c r="P51" s="707">
        <f>_xlfn.XLOOKUP(TableauRecette[[#This Row],[ID]],TableauProduit[ID],TableauProduit[Total (kg) N5],0,0,1)*TableauRecette[[#This Row],[poids / unite]]</f>
        <v>42.77088225427709</v>
      </c>
      <c r="Q51" s="707">
        <f>_xlfn.XLOOKUP(TableauRecette[[#This Row],[ID]],TableauProduit[ID],TableauProduit[Total (kg) N6],0,0,1)*TableauRecette[[#This Row],[poids / unite]]</f>
        <v>42.77088225427709</v>
      </c>
      <c r="R51" s="707">
        <f>_xlfn.XLOOKUP(TableauRecette[[#This Row],[ID]],TableauProduit[ID],TableauProduit[Total (kg) N7],0,0,1)*TableauRecette[[#This Row],[poids / unite]]</f>
        <v>42.77088225427709</v>
      </c>
      <c r="S51" s="707">
        <f>_xlfn.XLOOKUP(TableauRecette[[#This Row],[ID]],TableauProduit[ID],TableauProduit[Total (kg) N8],0,0,1)*TableauRecette[[#This Row],[poids / unite]]</f>
        <v>42.77088225427709</v>
      </c>
      <c r="T51" s="707">
        <f>_xlfn.XLOOKUP(TableauRecette[[#This Row],[ID]],TableauProduit[ID],TableauProduit[Total (kg) N9],0,0,1)*TableauRecette[[#This Row],[poids / unite]]</f>
        <v>42.77088225427709</v>
      </c>
    </row>
    <row r="52" spans="1:20">
      <c r="A52" s="610" t="s">
        <v>52</v>
      </c>
      <c r="B52" s="610" t="str">
        <f>TableauRecette[[#This Row],[Recette]]&amp;TableauRecette[[#This Row],[Conditionnement]]</f>
        <v>Cornichons aigres-douxCornichon doux</v>
      </c>
      <c r="C52" s="610" t="s">
        <v>303</v>
      </c>
      <c r="D52" s="611">
        <v>3</v>
      </c>
      <c r="E52" s="610" t="s">
        <v>53</v>
      </c>
      <c r="F52" s="611">
        <f>D52/SUMIFS(TableauRecette[Proportion],TableauRecette[Recette],TableauRecette[[#This Row],[Recette]],TableauRecette[Conditionnement],TableauRecette[[#This Row],[Conditionnement]])</f>
        <v>1.0063737001006373E-3</v>
      </c>
      <c r="G52" s="611">
        <f ca="1">_xlfn.XLOOKUP(TableauRecette[[#This Row],[Ingredients]],TableauIngredients[Ingredients],TableauIngredients[Prix d''achat (kg)],0)*TableauRecette[[#This Row],[poids / unite]]</f>
        <v>0</v>
      </c>
      <c r="H52" s="611">
        <f>SUMIFS(TableauRecette[Proportion],TableauRecette[Recette],TableauRecette[[#This Row],[Recette]],TableauRecette[Conditionnement],TableauRecette[[#This Row],[Conditionnement]])</f>
        <v>2981</v>
      </c>
      <c r="I52" s="611">
        <f ca="1">TableauRecette[[#This Row],[Proportion]]*TableauRecette[[#This Row],[Prix d''achat / kg]]/TableauRecette[[#This Row],[Total Proportion]]</f>
        <v>0</v>
      </c>
      <c r="J52" s="611"/>
      <c r="K52" s="705"/>
      <c r="L52" s="706">
        <f>_xlfn.XLOOKUP(TableauRecette[[#This Row],[ID]],TableauProduit[ID],TableauProduit[Total (kg) N1],0,0,1)*TableauRecette[[#This Row],[poids / unite]]</f>
        <v>0.17108352901710833</v>
      </c>
      <c r="M52" s="707">
        <f>_xlfn.XLOOKUP(TableauRecette[[#This Row],[ID]],TableauProduit[ID],TableauProduit[Total (kg) N2],0,0,1)*TableauRecette[[#This Row],[poids / unite]]</f>
        <v>0.17108352901710833</v>
      </c>
      <c r="N52" s="707">
        <f>_xlfn.XLOOKUP(TableauRecette[[#This Row],[ID]],TableauProduit[ID],TableauProduit[Total (kg) N3],0,0,1)*TableauRecette[[#This Row],[poids / unite]]</f>
        <v>0.17108352901710833</v>
      </c>
      <c r="O52" s="707">
        <f>_xlfn.XLOOKUP(TableauRecette[[#This Row],[ID]],TableauProduit[ID],TableauProduit[Total (kg) N4],0,0,1)*TableauRecette[[#This Row],[poids / unite]]</f>
        <v>0.17108352901710833</v>
      </c>
      <c r="P52" s="707">
        <f>_xlfn.XLOOKUP(TableauRecette[[#This Row],[ID]],TableauProduit[ID],TableauProduit[Total (kg) N5],0,0,1)*TableauRecette[[#This Row],[poids / unite]]</f>
        <v>0.17108352901710833</v>
      </c>
      <c r="Q52" s="707">
        <f>_xlfn.XLOOKUP(TableauRecette[[#This Row],[ID]],TableauProduit[ID],TableauProduit[Total (kg) N6],0,0,1)*TableauRecette[[#This Row],[poids / unite]]</f>
        <v>0.17108352901710833</v>
      </c>
      <c r="R52" s="707">
        <f>_xlfn.XLOOKUP(TableauRecette[[#This Row],[ID]],TableauProduit[ID],TableauProduit[Total (kg) N7],0,0,1)*TableauRecette[[#This Row],[poids / unite]]</f>
        <v>0.17108352901710833</v>
      </c>
      <c r="S52" s="707">
        <f>_xlfn.XLOOKUP(TableauRecette[[#This Row],[ID]],TableauProduit[ID],TableauProduit[Total (kg) N8],0,0,1)*TableauRecette[[#This Row],[poids / unite]]</f>
        <v>0.17108352901710833</v>
      </c>
      <c r="T52" s="707">
        <f>_xlfn.XLOOKUP(TableauRecette[[#This Row],[ID]],TableauProduit[ID],TableauProduit[Total (kg) N9],0,0,1)*TableauRecette[[#This Row],[poids / unite]]</f>
        <v>0.17108352901710833</v>
      </c>
    </row>
    <row r="53" spans="1:20">
      <c r="A53" s="610" t="s">
        <v>52</v>
      </c>
      <c r="B53" s="610" t="str">
        <f>TableauRecette[[#This Row],[Recette]]&amp;TableauRecette[[#This Row],[Conditionnement]]</f>
        <v>Cornichons aigres-douxCornichon doux</v>
      </c>
      <c r="C53" s="610" t="s">
        <v>305</v>
      </c>
      <c r="D53" s="611">
        <v>50</v>
      </c>
      <c r="E53" s="610" t="s">
        <v>53</v>
      </c>
      <c r="F53" s="611">
        <f>D53/SUMIFS(TableauRecette[Proportion],TableauRecette[Recette],TableauRecette[[#This Row],[Recette]],TableauRecette[Conditionnement],TableauRecette[[#This Row],[Conditionnement]])</f>
        <v>1.677289500167729E-2</v>
      </c>
      <c r="G53" s="611">
        <f ca="1">_xlfn.XLOOKUP(TableauRecette[[#This Row],[Ingredients]],TableauIngredients[Ingredients],TableauIngredients[Prix d''achat (kg)],0)*TableauRecette[[#This Row],[poids / unite]]</f>
        <v>0</v>
      </c>
      <c r="H53" s="611">
        <f>SUMIFS(TableauRecette[Proportion],TableauRecette[Recette],TableauRecette[[#This Row],[Recette]],TableauRecette[Conditionnement],TableauRecette[[#This Row],[Conditionnement]])</f>
        <v>2981</v>
      </c>
      <c r="I53" s="611">
        <f ca="1">TableauRecette[[#This Row],[Proportion]]*TableauRecette[[#This Row],[Prix d''achat / kg]]/TableauRecette[[#This Row],[Total Proportion]]</f>
        <v>0</v>
      </c>
      <c r="J53" s="611"/>
      <c r="K53" s="705"/>
      <c r="L53" s="706">
        <f>_xlfn.XLOOKUP(TableauRecette[[#This Row],[ID]],TableauProduit[ID],TableauProduit[Total (kg) N1],0,0,1)*TableauRecette[[#This Row],[poids / unite]]</f>
        <v>2.8513921502851391</v>
      </c>
      <c r="M53" s="707">
        <f>_xlfn.XLOOKUP(TableauRecette[[#This Row],[ID]],TableauProduit[ID],TableauProduit[Total (kg) N2],0,0,1)*TableauRecette[[#This Row],[poids / unite]]</f>
        <v>2.8513921502851391</v>
      </c>
      <c r="N53" s="707">
        <f>_xlfn.XLOOKUP(TableauRecette[[#This Row],[ID]],TableauProduit[ID],TableauProduit[Total (kg) N3],0,0,1)*TableauRecette[[#This Row],[poids / unite]]</f>
        <v>2.8513921502851391</v>
      </c>
      <c r="O53" s="707">
        <f>_xlfn.XLOOKUP(TableauRecette[[#This Row],[ID]],TableauProduit[ID],TableauProduit[Total (kg) N4],0,0,1)*TableauRecette[[#This Row],[poids / unite]]</f>
        <v>2.8513921502851391</v>
      </c>
      <c r="P53" s="707">
        <f>_xlfn.XLOOKUP(TableauRecette[[#This Row],[ID]],TableauProduit[ID],TableauProduit[Total (kg) N5],0,0,1)*TableauRecette[[#This Row],[poids / unite]]</f>
        <v>2.8513921502851391</v>
      </c>
      <c r="Q53" s="707">
        <f>_xlfn.XLOOKUP(TableauRecette[[#This Row],[ID]],TableauProduit[ID],TableauProduit[Total (kg) N6],0,0,1)*TableauRecette[[#This Row],[poids / unite]]</f>
        <v>2.8513921502851391</v>
      </c>
      <c r="R53" s="707">
        <f>_xlfn.XLOOKUP(TableauRecette[[#This Row],[ID]],TableauProduit[ID],TableauProduit[Total (kg) N7],0,0,1)*TableauRecette[[#This Row],[poids / unite]]</f>
        <v>2.8513921502851391</v>
      </c>
      <c r="S53" s="707">
        <f>_xlfn.XLOOKUP(TableauRecette[[#This Row],[ID]],TableauProduit[ID],TableauProduit[Total (kg) N8],0,0,1)*TableauRecette[[#This Row],[poids / unite]]</f>
        <v>2.8513921502851391</v>
      </c>
      <c r="T53" s="707">
        <f>_xlfn.XLOOKUP(TableauRecette[[#This Row],[ID]],TableauProduit[ID],TableauProduit[Total (kg) N9],0,0,1)*TableauRecette[[#This Row],[poids / unite]]</f>
        <v>2.8513921502851391</v>
      </c>
    </row>
    <row r="54" spans="1:20">
      <c r="A54" s="610" t="s">
        <v>52</v>
      </c>
      <c r="B54" s="610" t="str">
        <f>TableauRecette[[#This Row],[Recette]]&amp;TableauRecette[[#This Row],[Conditionnement]]</f>
        <v>Cornichons aigres-douxCornichon doux</v>
      </c>
      <c r="C54" s="610" t="s">
        <v>289</v>
      </c>
      <c r="D54" s="611">
        <v>10</v>
      </c>
      <c r="E54" s="610" t="s">
        <v>53</v>
      </c>
      <c r="F54" s="611">
        <f>D54/SUMIFS(TableauRecette[Proportion],TableauRecette[Recette],TableauRecette[[#This Row],[Recette]],TableauRecette[Conditionnement],TableauRecette[[#This Row],[Conditionnement]])</f>
        <v>3.3545790003354577E-3</v>
      </c>
      <c r="G54" s="611">
        <f ca="1">_xlfn.XLOOKUP(TableauRecette[[#This Row],[Ingredients]],TableauIngredients[Ingredients],TableauIngredients[Prix d''achat (kg)],0)*TableauRecette[[#This Row],[poids / unite]]</f>
        <v>0</v>
      </c>
      <c r="H54" s="611">
        <f>SUMIFS(TableauRecette[Proportion],TableauRecette[Recette],TableauRecette[[#This Row],[Recette]],TableauRecette[Conditionnement],TableauRecette[[#This Row],[Conditionnement]])</f>
        <v>2981</v>
      </c>
      <c r="I54" s="611">
        <f ca="1">TableauRecette[[#This Row],[Proportion]]*TableauRecette[[#This Row],[Prix d''achat / kg]]/TableauRecette[[#This Row],[Total Proportion]]</f>
        <v>0</v>
      </c>
      <c r="J54" s="611"/>
      <c r="K54" s="705"/>
      <c r="L54" s="706">
        <f>_xlfn.XLOOKUP(TableauRecette[[#This Row],[ID]],TableauProduit[ID],TableauProduit[Total (kg) N1],0,0,1)*TableauRecette[[#This Row],[poids / unite]]</f>
        <v>0.57027843005702783</v>
      </c>
      <c r="M54" s="707">
        <f>_xlfn.XLOOKUP(TableauRecette[[#This Row],[ID]],TableauProduit[ID],TableauProduit[Total (kg) N2],0,0,1)*TableauRecette[[#This Row],[poids / unite]]</f>
        <v>0.57027843005702783</v>
      </c>
      <c r="N54" s="707">
        <f>_xlfn.XLOOKUP(TableauRecette[[#This Row],[ID]],TableauProduit[ID],TableauProduit[Total (kg) N3],0,0,1)*TableauRecette[[#This Row],[poids / unite]]</f>
        <v>0.57027843005702783</v>
      </c>
      <c r="O54" s="707">
        <f>_xlfn.XLOOKUP(TableauRecette[[#This Row],[ID]],TableauProduit[ID],TableauProduit[Total (kg) N4],0,0,1)*TableauRecette[[#This Row],[poids / unite]]</f>
        <v>0.57027843005702783</v>
      </c>
      <c r="P54" s="707">
        <f>_xlfn.XLOOKUP(TableauRecette[[#This Row],[ID]],TableauProduit[ID],TableauProduit[Total (kg) N5],0,0,1)*TableauRecette[[#This Row],[poids / unite]]</f>
        <v>0.57027843005702783</v>
      </c>
      <c r="Q54" s="707">
        <f>_xlfn.XLOOKUP(TableauRecette[[#This Row],[ID]],TableauProduit[ID],TableauProduit[Total (kg) N6],0,0,1)*TableauRecette[[#This Row],[poids / unite]]</f>
        <v>0.57027843005702783</v>
      </c>
      <c r="R54" s="707">
        <f>_xlfn.XLOOKUP(TableauRecette[[#This Row],[ID]],TableauProduit[ID],TableauProduit[Total (kg) N7],0,0,1)*TableauRecette[[#This Row],[poids / unite]]</f>
        <v>0.57027843005702783</v>
      </c>
      <c r="S54" s="707">
        <f>_xlfn.XLOOKUP(TableauRecette[[#This Row],[ID]],TableauProduit[ID],TableauProduit[Total (kg) N8],0,0,1)*TableauRecette[[#This Row],[poids / unite]]</f>
        <v>0.57027843005702783</v>
      </c>
      <c r="T54" s="707">
        <f>_xlfn.XLOOKUP(TableauRecette[[#This Row],[ID]],TableauProduit[ID],TableauProduit[Total (kg) N9],0,0,1)*TableauRecette[[#This Row],[poids / unite]]</f>
        <v>0.57027843005702783</v>
      </c>
    </row>
    <row r="55" spans="1:20">
      <c r="A55" s="610" t="s">
        <v>52</v>
      </c>
      <c r="B55" s="610" t="str">
        <f>TableauRecette[[#This Row],[Recette]]&amp;TableauRecette[[#This Row],[Conditionnement]]</f>
        <v>Cornichons aigres-douxCornichon doux</v>
      </c>
      <c r="C55" s="610" t="s">
        <v>374</v>
      </c>
      <c r="D55" s="611">
        <v>5</v>
      </c>
      <c r="E55" s="610" t="s">
        <v>53</v>
      </c>
      <c r="F55" s="611">
        <f>D55/SUMIFS(TableauRecette[Proportion],TableauRecette[Recette],TableauRecette[[#This Row],[Recette]],TableauRecette[Conditionnement],TableauRecette[[#This Row],[Conditionnement]])</f>
        <v>1.6772895001677288E-3</v>
      </c>
      <c r="G55" s="611">
        <f ca="1">_xlfn.XLOOKUP(TableauRecette[[#This Row],[Ingredients]],TableauIngredients[Ingredients],TableauIngredients[Prix d''achat (kg)],0)*TableauRecette[[#This Row],[poids / unite]]</f>
        <v>0</v>
      </c>
      <c r="H55" s="611">
        <f>SUMIFS(TableauRecette[Proportion],TableauRecette[Recette],TableauRecette[[#This Row],[Recette]],TableauRecette[Conditionnement],TableauRecette[[#This Row],[Conditionnement]])</f>
        <v>2981</v>
      </c>
      <c r="I55" s="611">
        <f ca="1">TableauRecette[[#This Row],[Proportion]]*TableauRecette[[#This Row],[Prix d''achat / kg]]/TableauRecette[[#This Row],[Total Proportion]]</f>
        <v>0</v>
      </c>
      <c r="J55" s="611"/>
      <c r="K55" s="705"/>
      <c r="L55" s="706">
        <f>_xlfn.XLOOKUP(TableauRecette[[#This Row],[ID]],TableauProduit[ID],TableauProduit[Total (kg) N1],0,0,1)*TableauRecette[[#This Row],[poids / unite]]</f>
        <v>0.28513921502851391</v>
      </c>
      <c r="M55" s="707">
        <f>_xlfn.XLOOKUP(TableauRecette[[#This Row],[ID]],TableauProduit[ID],TableauProduit[Total (kg) N2],0,0,1)*TableauRecette[[#This Row],[poids / unite]]</f>
        <v>0.28513921502851391</v>
      </c>
      <c r="N55" s="707">
        <f>_xlfn.XLOOKUP(TableauRecette[[#This Row],[ID]],TableauProduit[ID],TableauProduit[Total (kg) N3],0,0,1)*TableauRecette[[#This Row],[poids / unite]]</f>
        <v>0.28513921502851391</v>
      </c>
      <c r="O55" s="707">
        <f>_xlfn.XLOOKUP(TableauRecette[[#This Row],[ID]],TableauProduit[ID],TableauProduit[Total (kg) N4],0,0,1)*TableauRecette[[#This Row],[poids / unite]]</f>
        <v>0.28513921502851391</v>
      </c>
      <c r="P55" s="707">
        <f>_xlfn.XLOOKUP(TableauRecette[[#This Row],[ID]],TableauProduit[ID],TableauProduit[Total (kg) N5],0,0,1)*TableauRecette[[#This Row],[poids / unite]]</f>
        <v>0.28513921502851391</v>
      </c>
      <c r="Q55" s="707">
        <f>_xlfn.XLOOKUP(TableauRecette[[#This Row],[ID]],TableauProduit[ID],TableauProduit[Total (kg) N6],0,0,1)*TableauRecette[[#This Row],[poids / unite]]</f>
        <v>0.28513921502851391</v>
      </c>
      <c r="R55" s="707">
        <f>_xlfn.XLOOKUP(TableauRecette[[#This Row],[ID]],TableauProduit[ID],TableauProduit[Total (kg) N7],0,0,1)*TableauRecette[[#This Row],[poids / unite]]</f>
        <v>0.28513921502851391</v>
      </c>
      <c r="S55" s="707">
        <f>_xlfn.XLOOKUP(TableauRecette[[#This Row],[ID]],TableauProduit[ID],TableauProduit[Total (kg) N8],0,0,1)*TableauRecette[[#This Row],[poids / unite]]</f>
        <v>0.28513921502851391</v>
      </c>
      <c r="T55" s="707">
        <f>_xlfn.XLOOKUP(TableauRecette[[#This Row],[ID]],TableauProduit[ID],TableauProduit[Total (kg) N9],0,0,1)*TableauRecette[[#This Row],[poids / unite]]</f>
        <v>0.28513921502851391</v>
      </c>
    </row>
    <row r="56" spans="1:20">
      <c r="A56" s="610" t="s">
        <v>52</v>
      </c>
      <c r="B56" s="610" t="str">
        <f>TableauRecette[[#This Row],[Recette]]&amp;TableauRecette[[#This Row],[Conditionnement]]</f>
        <v>Cornichons aigres-douxCornichon doux</v>
      </c>
      <c r="C56" s="610" t="s">
        <v>415</v>
      </c>
      <c r="D56" s="611">
        <v>5</v>
      </c>
      <c r="E56" s="610" t="s">
        <v>53</v>
      </c>
      <c r="F56" s="611">
        <f>D56/SUMIFS(TableauRecette[Proportion],TableauRecette[Recette],TableauRecette[[#This Row],[Recette]],TableauRecette[Conditionnement],TableauRecette[[#This Row],[Conditionnement]])</f>
        <v>1.6772895001677288E-3</v>
      </c>
      <c r="G56" s="611">
        <f ca="1">_xlfn.XLOOKUP(TableauRecette[[#This Row],[Ingredients]],TableauIngredients[Ingredients],TableauIngredients[Prix d''achat (kg)],0)*TableauRecette[[#This Row],[poids / unite]]</f>
        <v>0</v>
      </c>
      <c r="H56" s="611">
        <f>SUMIFS(TableauRecette[Proportion],TableauRecette[Recette],TableauRecette[[#This Row],[Recette]],TableauRecette[Conditionnement],TableauRecette[[#This Row],[Conditionnement]])</f>
        <v>2981</v>
      </c>
      <c r="I56" s="611">
        <f ca="1">TableauRecette[[#This Row],[Proportion]]*TableauRecette[[#This Row],[Prix d''achat / kg]]/TableauRecette[[#This Row],[Total Proportion]]</f>
        <v>0</v>
      </c>
      <c r="J56" s="611"/>
      <c r="K56" s="705"/>
      <c r="L56" s="706">
        <f>_xlfn.XLOOKUP(TableauRecette[[#This Row],[ID]],TableauProduit[ID],TableauProduit[Total (kg) N1],0,0,1)*TableauRecette[[#This Row],[poids / unite]]</f>
        <v>0.28513921502851391</v>
      </c>
      <c r="M56" s="707">
        <f>_xlfn.XLOOKUP(TableauRecette[[#This Row],[ID]],TableauProduit[ID],TableauProduit[Total (kg) N2],0,0,1)*TableauRecette[[#This Row],[poids / unite]]</f>
        <v>0.28513921502851391</v>
      </c>
      <c r="N56" s="707">
        <f>_xlfn.XLOOKUP(TableauRecette[[#This Row],[ID]],TableauProduit[ID],TableauProduit[Total (kg) N3],0,0,1)*TableauRecette[[#This Row],[poids / unite]]</f>
        <v>0.28513921502851391</v>
      </c>
      <c r="O56" s="707">
        <f>_xlfn.XLOOKUP(TableauRecette[[#This Row],[ID]],TableauProduit[ID],TableauProduit[Total (kg) N4],0,0,1)*TableauRecette[[#This Row],[poids / unite]]</f>
        <v>0.28513921502851391</v>
      </c>
      <c r="P56" s="707">
        <f>_xlfn.XLOOKUP(TableauRecette[[#This Row],[ID]],TableauProduit[ID],TableauProduit[Total (kg) N5],0,0,1)*TableauRecette[[#This Row],[poids / unite]]</f>
        <v>0.28513921502851391</v>
      </c>
      <c r="Q56" s="707">
        <f>_xlfn.XLOOKUP(TableauRecette[[#This Row],[ID]],TableauProduit[ID],TableauProduit[Total (kg) N6],0,0,1)*TableauRecette[[#This Row],[poids / unite]]</f>
        <v>0.28513921502851391</v>
      </c>
      <c r="R56" s="707">
        <f>_xlfn.XLOOKUP(TableauRecette[[#This Row],[ID]],TableauProduit[ID],TableauProduit[Total (kg) N7],0,0,1)*TableauRecette[[#This Row],[poids / unite]]</f>
        <v>0.28513921502851391</v>
      </c>
      <c r="S56" s="707">
        <f>_xlfn.XLOOKUP(TableauRecette[[#This Row],[ID]],TableauProduit[ID],TableauProduit[Total (kg) N8],0,0,1)*TableauRecette[[#This Row],[poids / unite]]</f>
        <v>0.28513921502851391</v>
      </c>
      <c r="T56" s="707">
        <f>_xlfn.XLOOKUP(TableauRecette[[#This Row],[ID]],TableauProduit[ID],TableauProduit[Total (kg) N9],0,0,1)*TableauRecette[[#This Row],[poids / unite]]</f>
        <v>0.28513921502851391</v>
      </c>
    </row>
    <row r="57" spans="1:20">
      <c r="A57" s="610" t="s">
        <v>52</v>
      </c>
      <c r="B57" s="610" t="str">
        <f>TableauRecette[[#This Row],[Recette]]&amp;TableauRecette[[#This Row],[Conditionnement]]</f>
        <v>Cornichons aigres-douxCornichon doux</v>
      </c>
      <c r="C57" s="610" t="s">
        <v>317</v>
      </c>
      <c r="D57" s="611">
        <v>3</v>
      </c>
      <c r="E57" s="610" t="s">
        <v>53</v>
      </c>
      <c r="F57" s="611">
        <f>D57/SUMIFS(TableauRecette[Proportion],TableauRecette[Recette],TableauRecette[[#This Row],[Recette]],TableauRecette[Conditionnement],TableauRecette[[#This Row],[Conditionnement]])</f>
        <v>1.0063737001006373E-3</v>
      </c>
      <c r="G57" s="611">
        <f ca="1">_xlfn.XLOOKUP(TableauRecette[[#This Row],[Ingredients]],TableauIngredients[Ingredients],TableauIngredients[Prix d''achat (kg)],0)*TableauRecette[[#This Row],[poids / unite]]</f>
        <v>0</v>
      </c>
      <c r="H57" s="611">
        <f>SUMIFS(TableauRecette[Proportion],TableauRecette[Recette],TableauRecette[[#This Row],[Recette]],TableauRecette[Conditionnement],TableauRecette[[#This Row],[Conditionnement]])</f>
        <v>2981</v>
      </c>
      <c r="I57" s="611">
        <f ca="1">TableauRecette[[#This Row],[Proportion]]*TableauRecette[[#This Row],[Prix d''achat / kg]]/TableauRecette[[#This Row],[Total Proportion]]</f>
        <v>0</v>
      </c>
      <c r="J57" s="611"/>
      <c r="K57" s="705"/>
      <c r="L57" s="706">
        <f>_xlfn.XLOOKUP(TableauRecette[[#This Row],[ID]],TableauProduit[ID],TableauProduit[Total (kg) N1],0,0,1)*TableauRecette[[#This Row],[poids / unite]]</f>
        <v>0.17108352901710833</v>
      </c>
      <c r="M57" s="707">
        <f>_xlfn.XLOOKUP(TableauRecette[[#This Row],[ID]],TableauProduit[ID],TableauProduit[Total (kg) N2],0,0,1)*TableauRecette[[#This Row],[poids / unite]]</f>
        <v>0.17108352901710833</v>
      </c>
      <c r="N57" s="707">
        <f>_xlfn.XLOOKUP(TableauRecette[[#This Row],[ID]],TableauProduit[ID],TableauProduit[Total (kg) N3],0,0,1)*TableauRecette[[#This Row],[poids / unite]]</f>
        <v>0.17108352901710833</v>
      </c>
      <c r="O57" s="707">
        <f>_xlfn.XLOOKUP(TableauRecette[[#This Row],[ID]],TableauProduit[ID],TableauProduit[Total (kg) N4],0,0,1)*TableauRecette[[#This Row],[poids / unite]]</f>
        <v>0.17108352901710833</v>
      </c>
      <c r="P57" s="707">
        <f>_xlfn.XLOOKUP(TableauRecette[[#This Row],[ID]],TableauProduit[ID],TableauProduit[Total (kg) N5],0,0,1)*TableauRecette[[#This Row],[poids / unite]]</f>
        <v>0.17108352901710833</v>
      </c>
      <c r="Q57" s="707">
        <f>_xlfn.XLOOKUP(TableauRecette[[#This Row],[ID]],TableauProduit[ID],TableauProduit[Total (kg) N6],0,0,1)*TableauRecette[[#This Row],[poids / unite]]</f>
        <v>0.17108352901710833</v>
      </c>
      <c r="R57" s="707">
        <f>_xlfn.XLOOKUP(TableauRecette[[#This Row],[ID]],TableauProduit[ID],TableauProduit[Total (kg) N7],0,0,1)*TableauRecette[[#This Row],[poids / unite]]</f>
        <v>0.17108352901710833</v>
      </c>
      <c r="S57" s="707">
        <f>_xlfn.XLOOKUP(TableauRecette[[#This Row],[ID]],TableauProduit[ID],TableauProduit[Total (kg) N8],0,0,1)*TableauRecette[[#This Row],[poids / unite]]</f>
        <v>0.17108352901710833</v>
      </c>
      <c r="T57" s="707">
        <f>_xlfn.XLOOKUP(TableauRecette[[#This Row],[ID]],TableauProduit[ID],TableauProduit[Total (kg) N9],0,0,1)*TableauRecette[[#This Row],[poids / unite]]</f>
        <v>0.17108352901710833</v>
      </c>
    </row>
    <row r="58" spans="1:20">
      <c r="A58" s="610" t="s">
        <v>52</v>
      </c>
      <c r="B58" s="610" t="str">
        <f>TableauRecette[[#This Row],[Recette]]&amp;TableauRecette[[#This Row],[Conditionnement]]</f>
        <v>Cornichons aigres-douxCornichon doux</v>
      </c>
      <c r="C58" s="610" t="s">
        <v>416</v>
      </c>
      <c r="D58" s="611">
        <v>5</v>
      </c>
      <c r="E58" s="610" t="s">
        <v>53</v>
      </c>
      <c r="F58" s="611">
        <f>D58/SUMIFS(TableauRecette[Proportion],TableauRecette[Recette],TableauRecette[[#This Row],[Recette]],TableauRecette[Conditionnement],TableauRecette[[#This Row],[Conditionnement]])</f>
        <v>1.6772895001677288E-3</v>
      </c>
      <c r="G58" s="611">
        <f ca="1">_xlfn.XLOOKUP(TableauRecette[[#This Row],[Ingredients]],TableauIngredients[Ingredients],TableauIngredients[Prix d''achat (kg)],0)*TableauRecette[[#This Row],[poids / unite]]</f>
        <v>0</v>
      </c>
      <c r="H58" s="611">
        <f>SUMIFS(TableauRecette[Proportion],TableauRecette[Recette],TableauRecette[[#This Row],[Recette]],TableauRecette[Conditionnement],TableauRecette[[#This Row],[Conditionnement]])</f>
        <v>2981</v>
      </c>
      <c r="I58" s="611">
        <f ca="1">TableauRecette[[#This Row],[Proportion]]*TableauRecette[[#This Row],[Prix d''achat / kg]]/TableauRecette[[#This Row],[Total Proportion]]</f>
        <v>0</v>
      </c>
      <c r="J58" s="611"/>
      <c r="K58" s="705"/>
      <c r="L58" s="706">
        <f>_xlfn.XLOOKUP(TableauRecette[[#This Row],[ID]],TableauProduit[ID],TableauProduit[Total (kg) N1],0,0,1)*TableauRecette[[#This Row],[poids / unite]]</f>
        <v>0.28513921502851391</v>
      </c>
      <c r="M58" s="707">
        <f>_xlfn.XLOOKUP(TableauRecette[[#This Row],[ID]],TableauProduit[ID],TableauProduit[Total (kg) N2],0,0,1)*TableauRecette[[#This Row],[poids / unite]]</f>
        <v>0.28513921502851391</v>
      </c>
      <c r="N58" s="707">
        <f>_xlfn.XLOOKUP(TableauRecette[[#This Row],[ID]],TableauProduit[ID],TableauProduit[Total (kg) N3],0,0,1)*TableauRecette[[#This Row],[poids / unite]]</f>
        <v>0.28513921502851391</v>
      </c>
      <c r="O58" s="707">
        <f>_xlfn.XLOOKUP(TableauRecette[[#This Row],[ID]],TableauProduit[ID],TableauProduit[Total (kg) N4],0,0,1)*TableauRecette[[#This Row],[poids / unite]]</f>
        <v>0.28513921502851391</v>
      </c>
      <c r="P58" s="707">
        <f>_xlfn.XLOOKUP(TableauRecette[[#This Row],[ID]],TableauProduit[ID],TableauProduit[Total (kg) N5],0,0,1)*TableauRecette[[#This Row],[poids / unite]]</f>
        <v>0.28513921502851391</v>
      </c>
      <c r="Q58" s="707">
        <f>_xlfn.XLOOKUP(TableauRecette[[#This Row],[ID]],TableauProduit[ID],TableauProduit[Total (kg) N6],0,0,1)*TableauRecette[[#This Row],[poids / unite]]</f>
        <v>0.28513921502851391</v>
      </c>
      <c r="R58" s="707">
        <f>_xlfn.XLOOKUP(TableauRecette[[#This Row],[ID]],TableauProduit[ID],TableauProduit[Total (kg) N7],0,0,1)*TableauRecette[[#This Row],[poids / unite]]</f>
        <v>0.28513921502851391</v>
      </c>
      <c r="S58" s="707">
        <f>_xlfn.XLOOKUP(TableauRecette[[#This Row],[ID]],TableauProduit[ID],TableauProduit[Total (kg) N8],0,0,1)*TableauRecette[[#This Row],[poids / unite]]</f>
        <v>0.28513921502851391</v>
      </c>
      <c r="T58" s="707">
        <f>_xlfn.XLOOKUP(TableauRecette[[#This Row],[ID]],TableauProduit[ID],TableauProduit[Total (kg) N9],0,0,1)*TableauRecette[[#This Row],[poids / unite]]</f>
        <v>0.28513921502851391</v>
      </c>
    </row>
    <row r="59" spans="1:20">
      <c r="A59" s="608" t="s">
        <v>50</v>
      </c>
      <c r="B59" s="608" t="str">
        <f>TableauRecette[[#This Row],[Recette]]&amp;TableauRecette[[#This Row],[Conditionnement]]</f>
        <v>Cornichons extra-fins Cornichon fin</v>
      </c>
      <c r="C59" s="608" t="s">
        <v>269</v>
      </c>
      <c r="D59" s="609">
        <v>1000</v>
      </c>
      <c r="E59" s="608" t="s">
        <v>51</v>
      </c>
      <c r="F59" s="609">
        <f>D59/SUMIFS(TableauRecette[Proportion],TableauRecette[Recette],TableauRecette[[#This Row],[Recette]],TableauRecette[Conditionnement],TableauRecette[[#This Row],[Conditionnement]])</f>
        <v>0.39588281868566905</v>
      </c>
      <c r="G59" s="609">
        <f ca="1">_xlfn.XLOOKUP(TableauRecette[[#This Row],[Ingredients]],TableauIngredients[Ingredients],TableauIngredients[Prix d''achat (kg)],0)*TableauRecette[[#This Row],[poids / unite]]</f>
        <v>0</v>
      </c>
      <c r="H59" s="609">
        <f>SUMIFS(TableauRecette[Proportion],TableauRecette[Recette],TableauRecette[[#This Row],[Recette]],TableauRecette[Conditionnement],TableauRecette[[#This Row],[Conditionnement]])</f>
        <v>2526</v>
      </c>
      <c r="I59" s="609">
        <f ca="1">TableauRecette[[#This Row],[Proportion]]*TableauRecette[[#This Row],[Prix d''achat / kg]]/TableauRecette[[#This Row],[Total Proportion]]</f>
        <v>0</v>
      </c>
      <c r="J59" s="609"/>
      <c r="K59" s="708"/>
      <c r="L59" s="709">
        <f>_xlfn.XLOOKUP(TableauRecette[[#This Row],[ID]],TableauProduit[ID],TableauProduit[Total (kg) N1],0,0,1)*TableauRecette[[#This Row],[poids / unite]]</f>
        <v>110.84718923198733</v>
      </c>
      <c r="M59" s="710">
        <f>_xlfn.XLOOKUP(TableauRecette[[#This Row],[ID]],TableauProduit[ID],TableauProduit[Total (kg) N2],0,0,1)*TableauRecette[[#This Row],[poids / unite]]</f>
        <v>110.84718923198733</v>
      </c>
      <c r="N59" s="710">
        <f>_xlfn.XLOOKUP(TableauRecette[[#This Row],[ID]],TableauProduit[ID],TableauProduit[Total (kg) N3],0,0,1)*TableauRecette[[#This Row],[poids / unite]]</f>
        <v>110.84718923198733</v>
      </c>
      <c r="O59" s="710">
        <f>_xlfn.XLOOKUP(TableauRecette[[#This Row],[ID]],TableauProduit[ID],TableauProduit[Total (kg) N4],0,0,1)*TableauRecette[[#This Row],[poids / unite]]</f>
        <v>110.84718923198733</v>
      </c>
      <c r="P59" s="710">
        <f>_xlfn.XLOOKUP(TableauRecette[[#This Row],[ID]],TableauProduit[ID],TableauProduit[Total (kg) N5],0,0,1)*TableauRecette[[#This Row],[poids / unite]]</f>
        <v>110.84718923198733</v>
      </c>
      <c r="Q59" s="710">
        <f>_xlfn.XLOOKUP(TableauRecette[[#This Row],[ID]],TableauProduit[ID],TableauProduit[Total (kg) N6],0,0,1)*TableauRecette[[#This Row],[poids / unite]]</f>
        <v>110.84718923198733</v>
      </c>
      <c r="R59" s="710">
        <f>_xlfn.XLOOKUP(TableauRecette[[#This Row],[ID]],TableauProduit[ID],TableauProduit[Total (kg) N7],0,0,1)*TableauRecette[[#This Row],[poids / unite]]</f>
        <v>110.84718923198733</v>
      </c>
      <c r="S59" s="710">
        <f>_xlfn.XLOOKUP(TableauRecette[[#This Row],[ID]],TableauProduit[ID],TableauProduit[Total (kg) N8],0,0,1)*TableauRecette[[#This Row],[poids / unite]]</f>
        <v>110.84718923198733</v>
      </c>
      <c r="T59" s="710">
        <f>_xlfn.XLOOKUP(TableauRecette[[#This Row],[ID]],TableauProduit[ID],TableauProduit[Total (kg) N9],0,0,1)*TableauRecette[[#This Row],[poids / unite]]</f>
        <v>110.84718923198733</v>
      </c>
    </row>
    <row r="60" spans="1:20">
      <c r="A60" s="608" t="s">
        <v>50</v>
      </c>
      <c r="B60" s="608" t="str">
        <f>TableauRecette[[#This Row],[Recette]]&amp;TableauRecette[[#This Row],[Conditionnement]]</f>
        <v>Cornichons extra-fins Cornichon fin</v>
      </c>
      <c r="C60" s="608" t="s">
        <v>361</v>
      </c>
      <c r="D60" s="609">
        <v>150</v>
      </c>
      <c r="E60" s="608" t="s">
        <v>51</v>
      </c>
      <c r="F60" s="609">
        <f>D60/SUMIFS(TableauRecette[Proportion],TableauRecette[Recette],TableauRecette[[#This Row],[Recette]],TableauRecette[Conditionnement],TableauRecette[[#This Row],[Conditionnement]])</f>
        <v>5.9382422802850353E-2</v>
      </c>
      <c r="G60" s="609">
        <f ca="1">_xlfn.XLOOKUP(TableauRecette[[#This Row],[Ingredients]],TableauIngredients[Ingredients],TableauIngredients[Prix d''achat (kg)],0)*TableauRecette[[#This Row],[poids / unite]]</f>
        <v>0</v>
      </c>
      <c r="H60" s="609">
        <f>SUMIFS(TableauRecette[Proportion],TableauRecette[Recette],TableauRecette[[#This Row],[Recette]],TableauRecette[Conditionnement],TableauRecette[[#This Row],[Conditionnement]])</f>
        <v>2526</v>
      </c>
      <c r="I60" s="609">
        <f ca="1">TableauRecette[[#This Row],[Proportion]]*TableauRecette[[#This Row],[Prix d''achat / kg]]/TableauRecette[[#This Row],[Total Proportion]]</f>
        <v>0</v>
      </c>
      <c r="J60" s="609"/>
      <c r="K60" s="708"/>
      <c r="L60" s="709">
        <f>_xlfn.XLOOKUP(TableauRecette[[#This Row],[ID]],TableauProduit[ID],TableauProduit[Total (kg) N1],0,0,1)*TableauRecette[[#This Row],[poids / unite]]</f>
        <v>16.6270783847981</v>
      </c>
      <c r="M60" s="710">
        <f>_xlfn.XLOOKUP(TableauRecette[[#This Row],[ID]],TableauProduit[ID],TableauProduit[Total (kg) N2],0,0,1)*TableauRecette[[#This Row],[poids / unite]]</f>
        <v>16.6270783847981</v>
      </c>
      <c r="N60" s="710">
        <f>_xlfn.XLOOKUP(TableauRecette[[#This Row],[ID]],TableauProduit[ID],TableauProduit[Total (kg) N3],0,0,1)*TableauRecette[[#This Row],[poids / unite]]</f>
        <v>16.6270783847981</v>
      </c>
      <c r="O60" s="710">
        <f>_xlfn.XLOOKUP(TableauRecette[[#This Row],[ID]],TableauProduit[ID],TableauProduit[Total (kg) N4],0,0,1)*TableauRecette[[#This Row],[poids / unite]]</f>
        <v>16.6270783847981</v>
      </c>
      <c r="P60" s="710">
        <f>_xlfn.XLOOKUP(TableauRecette[[#This Row],[ID]],TableauProduit[ID],TableauProduit[Total (kg) N5],0,0,1)*TableauRecette[[#This Row],[poids / unite]]</f>
        <v>16.6270783847981</v>
      </c>
      <c r="Q60" s="710">
        <f>_xlfn.XLOOKUP(TableauRecette[[#This Row],[ID]],TableauProduit[ID],TableauProduit[Total (kg) N6],0,0,1)*TableauRecette[[#This Row],[poids / unite]]</f>
        <v>16.6270783847981</v>
      </c>
      <c r="R60" s="710">
        <f>_xlfn.XLOOKUP(TableauRecette[[#This Row],[ID]],TableauProduit[ID],TableauProduit[Total (kg) N7],0,0,1)*TableauRecette[[#This Row],[poids / unite]]</f>
        <v>16.6270783847981</v>
      </c>
      <c r="S60" s="710">
        <f>_xlfn.XLOOKUP(TableauRecette[[#This Row],[ID]],TableauProduit[ID],TableauProduit[Total (kg) N8],0,0,1)*TableauRecette[[#This Row],[poids / unite]]</f>
        <v>16.6270783847981</v>
      </c>
      <c r="T60" s="710">
        <f>_xlfn.XLOOKUP(TableauRecette[[#This Row],[ID]],TableauProduit[ID],TableauProduit[Total (kg) N9],0,0,1)*TableauRecette[[#This Row],[poids / unite]]</f>
        <v>16.6270783847981</v>
      </c>
    </row>
    <row r="61" spans="1:20">
      <c r="A61" s="608" t="s">
        <v>50</v>
      </c>
      <c r="B61" s="608" t="str">
        <f>TableauRecette[[#This Row],[Recette]]&amp;TableauRecette[[#This Row],[Conditionnement]]</f>
        <v>Cornichons extra-fins Cornichon fin</v>
      </c>
      <c r="C61" s="608" t="s">
        <v>358</v>
      </c>
      <c r="D61" s="609">
        <v>750</v>
      </c>
      <c r="E61" s="608" t="s">
        <v>51</v>
      </c>
      <c r="F61" s="609">
        <f>D61/SUMIFS(TableauRecette[Proportion],TableauRecette[Recette],TableauRecette[[#This Row],[Recette]],TableauRecette[Conditionnement],TableauRecette[[#This Row],[Conditionnement]])</f>
        <v>0.29691211401425177</v>
      </c>
      <c r="G61" s="609">
        <f ca="1">_xlfn.XLOOKUP(TableauRecette[[#This Row],[Ingredients]],TableauIngredients[Ingredients],TableauIngredients[Prix d''achat (kg)],0)*TableauRecette[[#This Row],[poids / unite]]</f>
        <v>0</v>
      </c>
      <c r="H61" s="609">
        <f>SUMIFS(TableauRecette[Proportion],TableauRecette[Recette],TableauRecette[[#This Row],[Recette]],TableauRecette[Conditionnement],TableauRecette[[#This Row],[Conditionnement]])</f>
        <v>2526</v>
      </c>
      <c r="I61" s="609">
        <f ca="1">TableauRecette[[#This Row],[Proportion]]*TableauRecette[[#This Row],[Prix d''achat / kg]]/TableauRecette[[#This Row],[Total Proportion]]</f>
        <v>0</v>
      </c>
      <c r="J61" s="609"/>
      <c r="K61" s="708"/>
      <c r="L61" s="709">
        <f>_xlfn.XLOOKUP(TableauRecette[[#This Row],[ID]],TableauProduit[ID],TableauProduit[Total (kg) N1],0,0,1)*TableauRecette[[#This Row],[poids / unite]]</f>
        <v>83.135391923990497</v>
      </c>
      <c r="M61" s="710">
        <f>_xlfn.XLOOKUP(TableauRecette[[#This Row],[ID]],TableauProduit[ID],TableauProduit[Total (kg) N2],0,0,1)*TableauRecette[[#This Row],[poids / unite]]</f>
        <v>83.135391923990497</v>
      </c>
      <c r="N61" s="710">
        <f>_xlfn.XLOOKUP(TableauRecette[[#This Row],[ID]],TableauProduit[ID],TableauProduit[Total (kg) N3],0,0,1)*TableauRecette[[#This Row],[poids / unite]]</f>
        <v>83.135391923990497</v>
      </c>
      <c r="O61" s="710">
        <f>_xlfn.XLOOKUP(TableauRecette[[#This Row],[ID]],TableauProduit[ID],TableauProduit[Total (kg) N4],0,0,1)*TableauRecette[[#This Row],[poids / unite]]</f>
        <v>83.135391923990497</v>
      </c>
      <c r="P61" s="710">
        <f>_xlfn.XLOOKUP(TableauRecette[[#This Row],[ID]],TableauProduit[ID],TableauProduit[Total (kg) N5],0,0,1)*TableauRecette[[#This Row],[poids / unite]]</f>
        <v>83.135391923990497</v>
      </c>
      <c r="Q61" s="710">
        <f>_xlfn.XLOOKUP(TableauRecette[[#This Row],[ID]],TableauProduit[ID],TableauProduit[Total (kg) N6],0,0,1)*TableauRecette[[#This Row],[poids / unite]]</f>
        <v>83.135391923990497</v>
      </c>
      <c r="R61" s="710">
        <f>_xlfn.XLOOKUP(TableauRecette[[#This Row],[ID]],TableauProduit[ID],TableauProduit[Total (kg) N7],0,0,1)*TableauRecette[[#This Row],[poids / unite]]</f>
        <v>83.135391923990497</v>
      </c>
      <c r="S61" s="710">
        <f>_xlfn.XLOOKUP(TableauRecette[[#This Row],[ID]],TableauProduit[ID],TableauProduit[Total (kg) N8],0,0,1)*TableauRecette[[#This Row],[poids / unite]]</f>
        <v>83.135391923990497</v>
      </c>
      <c r="T61" s="710">
        <f>_xlfn.XLOOKUP(TableauRecette[[#This Row],[ID]],TableauProduit[ID],TableauProduit[Total (kg) N9],0,0,1)*TableauRecette[[#This Row],[poids / unite]]</f>
        <v>83.135391923990497</v>
      </c>
    </row>
    <row r="62" spans="1:20">
      <c r="A62" s="608" t="s">
        <v>50</v>
      </c>
      <c r="B62" s="608" t="str">
        <f>TableauRecette[[#This Row],[Recette]]&amp;TableauRecette[[#This Row],[Conditionnement]]</f>
        <v>Cornichons extra-fins Cornichon fin</v>
      </c>
      <c r="C62" s="608" t="s">
        <v>266</v>
      </c>
      <c r="D62" s="609">
        <v>12</v>
      </c>
      <c r="E62" s="608" t="s">
        <v>51</v>
      </c>
      <c r="F62" s="609">
        <f>D62/SUMIFS(TableauRecette[Proportion],TableauRecette[Recette],TableauRecette[[#This Row],[Recette]],TableauRecette[Conditionnement],TableauRecette[[#This Row],[Conditionnement]])</f>
        <v>4.7505938242280287E-3</v>
      </c>
      <c r="G62" s="609">
        <f ca="1">_xlfn.XLOOKUP(TableauRecette[[#This Row],[Ingredients]],TableauIngredients[Ingredients],TableauIngredients[Prix d''achat (kg)],0)*TableauRecette[[#This Row],[poids / unite]]</f>
        <v>0</v>
      </c>
      <c r="H62" s="609">
        <f>SUMIFS(TableauRecette[Proportion],TableauRecette[Recette],TableauRecette[[#This Row],[Recette]],TableauRecette[Conditionnement],TableauRecette[[#This Row],[Conditionnement]])</f>
        <v>2526</v>
      </c>
      <c r="I62" s="609">
        <f ca="1">TableauRecette[[#This Row],[Proportion]]*TableauRecette[[#This Row],[Prix d''achat / kg]]/TableauRecette[[#This Row],[Total Proportion]]</f>
        <v>0</v>
      </c>
      <c r="J62" s="609"/>
      <c r="K62" s="708"/>
      <c r="L62" s="709">
        <f>_xlfn.XLOOKUP(TableauRecette[[#This Row],[ID]],TableauProduit[ID],TableauProduit[Total (kg) N1],0,0,1)*TableauRecette[[#This Row],[poids / unite]]</f>
        <v>1.330166270783848</v>
      </c>
      <c r="M62" s="710">
        <f>_xlfn.XLOOKUP(TableauRecette[[#This Row],[ID]],TableauProduit[ID],TableauProduit[Total (kg) N2],0,0,1)*TableauRecette[[#This Row],[poids / unite]]</f>
        <v>1.330166270783848</v>
      </c>
      <c r="N62" s="710">
        <f>_xlfn.XLOOKUP(TableauRecette[[#This Row],[ID]],TableauProduit[ID],TableauProduit[Total (kg) N3],0,0,1)*TableauRecette[[#This Row],[poids / unite]]</f>
        <v>1.330166270783848</v>
      </c>
      <c r="O62" s="710">
        <f>_xlfn.XLOOKUP(TableauRecette[[#This Row],[ID]],TableauProduit[ID],TableauProduit[Total (kg) N4],0,0,1)*TableauRecette[[#This Row],[poids / unite]]</f>
        <v>1.330166270783848</v>
      </c>
      <c r="P62" s="710">
        <f>_xlfn.XLOOKUP(TableauRecette[[#This Row],[ID]],TableauProduit[ID],TableauProduit[Total (kg) N5],0,0,1)*TableauRecette[[#This Row],[poids / unite]]</f>
        <v>1.330166270783848</v>
      </c>
      <c r="Q62" s="710">
        <f>_xlfn.XLOOKUP(TableauRecette[[#This Row],[ID]],TableauProduit[ID],TableauProduit[Total (kg) N6],0,0,1)*TableauRecette[[#This Row],[poids / unite]]</f>
        <v>1.330166270783848</v>
      </c>
      <c r="R62" s="710">
        <f>_xlfn.XLOOKUP(TableauRecette[[#This Row],[ID]],TableauProduit[ID],TableauProduit[Total (kg) N7],0,0,1)*TableauRecette[[#This Row],[poids / unite]]</f>
        <v>1.330166270783848</v>
      </c>
      <c r="S62" s="710">
        <f>_xlfn.XLOOKUP(TableauRecette[[#This Row],[ID]],TableauProduit[ID],TableauProduit[Total (kg) N8],0,0,1)*TableauRecette[[#This Row],[poids / unite]]</f>
        <v>1.330166270783848</v>
      </c>
      <c r="T62" s="710">
        <f>_xlfn.XLOOKUP(TableauRecette[[#This Row],[ID]],TableauProduit[ID],TableauProduit[Total (kg) N9],0,0,1)*TableauRecette[[#This Row],[poids / unite]]</f>
        <v>1.330166270783848</v>
      </c>
    </row>
    <row r="63" spans="1:20">
      <c r="A63" s="608" t="s">
        <v>50</v>
      </c>
      <c r="B63" s="608" t="str">
        <f>TableauRecette[[#This Row],[Recette]]&amp;TableauRecette[[#This Row],[Conditionnement]]</f>
        <v>Cornichons extra-fins Cornichon fin</v>
      </c>
      <c r="C63" s="608" t="s">
        <v>272</v>
      </c>
      <c r="D63" s="609">
        <v>250</v>
      </c>
      <c r="E63" s="608" t="s">
        <v>51</v>
      </c>
      <c r="F63" s="609">
        <f>D63/SUMIFS(TableauRecette[Proportion],TableauRecette[Recette],TableauRecette[[#This Row],[Recette]],TableauRecette[Conditionnement],TableauRecette[[#This Row],[Conditionnement]])</f>
        <v>9.8970704671417262E-2</v>
      </c>
      <c r="G63" s="609">
        <f ca="1">_xlfn.XLOOKUP(TableauRecette[[#This Row],[Ingredients]],TableauIngredients[Ingredients],TableauIngredients[Prix d''achat (kg)],0)*TableauRecette[[#This Row],[poids / unite]]</f>
        <v>0</v>
      </c>
      <c r="H63" s="609">
        <f>SUMIFS(TableauRecette[Proportion],TableauRecette[Recette],TableauRecette[[#This Row],[Recette]],TableauRecette[Conditionnement],TableauRecette[[#This Row],[Conditionnement]])</f>
        <v>2526</v>
      </c>
      <c r="I63" s="609">
        <f ca="1">TableauRecette[[#This Row],[Proportion]]*TableauRecette[[#This Row],[Prix d''achat / kg]]/TableauRecette[[#This Row],[Total Proportion]]</f>
        <v>0</v>
      </c>
      <c r="J63" s="609"/>
      <c r="K63" s="708"/>
      <c r="L63" s="709">
        <f>_xlfn.XLOOKUP(TableauRecette[[#This Row],[ID]],TableauProduit[ID],TableauProduit[Total (kg) N1],0,0,1)*TableauRecette[[#This Row],[poids / unite]]</f>
        <v>27.711797307996832</v>
      </c>
      <c r="M63" s="710">
        <f>_xlfn.XLOOKUP(TableauRecette[[#This Row],[ID]],TableauProduit[ID],TableauProduit[Total (kg) N2],0,0,1)*TableauRecette[[#This Row],[poids / unite]]</f>
        <v>27.711797307996832</v>
      </c>
      <c r="N63" s="710">
        <f>_xlfn.XLOOKUP(TableauRecette[[#This Row],[ID]],TableauProduit[ID],TableauProduit[Total (kg) N3],0,0,1)*TableauRecette[[#This Row],[poids / unite]]</f>
        <v>27.711797307996832</v>
      </c>
      <c r="O63" s="710">
        <f>_xlfn.XLOOKUP(TableauRecette[[#This Row],[ID]],TableauProduit[ID],TableauProduit[Total (kg) N4],0,0,1)*TableauRecette[[#This Row],[poids / unite]]</f>
        <v>27.711797307996832</v>
      </c>
      <c r="P63" s="710">
        <f>_xlfn.XLOOKUP(TableauRecette[[#This Row],[ID]],TableauProduit[ID],TableauProduit[Total (kg) N5],0,0,1)*TableauRecette[[#This Row],[poids / unite]]</f>
        <v>27.711797307996832</v>
      </c>
      <c r="Q63" s="710">
        <f>_xlfn.XLOOKUP(TableauRecette[[#This Row],[ID]],TableauProduit[ID],TableauProduit[Total (kg) N6],0,0,1)*TableauRecette[[#This Row],[poids / unite]]</f>
        <v>27.711797307996832</v>
      </c>
      <c r="R63" s="710">
        <f>_xlfn.XLOOKUP(TableauRecette[[#This Row],[ID]],TableauProduit[ID],TableauProduit[Total (kg) N7],0,0,1)*TableauRecette[[#This Row],[poids / unite]]</f>
        <v>27.711797307996832</v>
      </c>
      <c r="S63" s="710">
        <f>_xlfn.XLOOKUP(TableauRecette[[#This Row],[ID]],TableauProduit[ID],TableauProduit[Total (kg) N8],0,0,1)*TableauRecette[[#This Row],[poids / unite]]</f>
        <v>27.711797307996832</v>
      </c>
      <c r="T63" s="710">
        <f>_xlfn.XLOOKUP(TableauRecette[[#This Row],[ID]],TableauProduit[ID],TableauProduit[Total (kg) N9],0,0,1)*TableauRecette[[#This Row],[poids / unite]]</f>
        <v>27.711797307996832</v>
      </c>
    </row>
    <row r="64" spans="1:20">
      <c r="A64" s="608" t="s">
        <v>50</v>
      </c>
      <c r="B64" s="608" t="str">
        <f>TableauRecette[[#This Row],[Recette]]&amp;TableauRecette[[#This Row],[Conditionnement]]</f>
        <v>Cornichons extra-fins Cornichon fin</v>
      </c>
      <c r="C64" s="608" t="s">
        <v>303</v>
      </c>
      <c r="D64" s="609">
        <v>250</v>
      </c>
      <c r="E64" s="608" t="s">
        <v>51</v>
      </c>
      <c r="F64" s="609">
        <f>D64/SUMIFS(TableauRecette[Proportion],TableauRecette[Recette],TableauRecette[[#This Row],[Recette]],TableauRecette[Conditionnement],TableauRecette[[#This Row],[Conditionnement]])</f>
        <v>9.8970704671417262E-2</v>
      </c>
      <c r="G64" s="609">
        <f ca="1">_xlfn.XLOOKUP(TableauRecette[[#This Row],[Ingredients]],TableauIngredients[Ingredients],TableauIngredients[Prix d''achat (kg)],0)*TableauRecette[[#This Row],[poids / unite]]</f>
        <v>0</v>
      </c>
      <c r="H64" s="609">
        <f>SUMIFS(TableauRecette[Proportion],TableauRecette[Recette],TableauRecette[[#This Row],[Recette]],TableauRecette[Conditionnement],TableauRecette[[#This Row],[Conditionnement]])</f>
        <v>2526</v>
      </c>
      <c r="I64" s="609">
        <f ca="1">TableauRecette[[#This Row],[Proportion]]*TableauRecette[[#This Row],[Prix d''achat / kg]]/TableauRecette[[#This Row],[Total Proportion]]</f>
        <v>0</v>
      </c>
      <c r="J64" s="609"/>
      <c r="K64" s="708"/>
      <c r="L64" s="709">
        <f>_xlfn.XLOOKUP(TableauRecette[[#This Row],[ID]],TableauProduit[ID],TableauProduit[Total (kg) N1],0,0,1)*TableauRecette[[#This Row],[poids / unite]]</f>
        <v>27.711797307996832</v>
      </c>
      <c r="M64" s="710">
        <f>_xlfn.XLOOKUP(TableauRecette[[#This Row],[ID]],TableauProduit[ID],TableauProduit[Total (kg) N2],0,0,1)*TableauRecette[[#This Row],[poids / unite]]</f>
        <v>27.711797307996832</v>
      </c>
      <c r="N64" s="710">
        <f>_xlfn.XLOOKUP(TableauRecette[[#This Row],[ID]],TableauProduit[ID],TableauProduit[Total (kg) N3],0,0,1)*TableauRecette[[#This Row],[poids / unite]]</f>
        <v>27.711797307996832</v>
      </c>
      <c r="O64" s="710">
        <f>_xlfn.XLOOKUP(TableauRecette[[#This Row],[ID]],TableauProduit[ID],TableauProduit[Total (kg) N4],0,0,1)*TableauRecette[[#This Row],[poids / unite]]</f>
        <v>27.711797307996832</v>
      </c>
      <c r="P64" s="710">
        <f>_xlfn.XLOOKUP(TableauRecette[[#This Row],[ID]],TableauProduit[ID],TableauProduit[Total (kg) N5],0,0,1)*TableauRecette[[#This Row],[poids / unite]]</f>
        <v>27.711797307996832</v>
      </c>
      <c r="Q64" s="710">
        <f>_xlfn.XLOOKUP(TableauRecette[[#This Row],[ID]],TableauProduit[ID],TableauProduit[Total (kg) N6],0,0,1)*TableauRecette[[#This Row],[poids / unite]]</f>
        <v>27.711797307996832</v>
      </c>
      <c r="R64" s="710">
        <f>_xlfn.XLOOKUP(TableauRecette[[#This Row],[ID]],TableauProduit[ID],TableauProduit[Total (kg) N7],0,0,1)*TableauRecette[[#This Row],[poids / unite]]</f>
        <v>27.711797307996832</v>
      </c>
      <c r="S64" s="710">
        <f>_xlfn.XLOOKUP(TableauRecette[[#This Row],[ID]],TableauProduit[ID],TableauProduit[Total (kg) N8],0,0,1)*TableauRecette[[#This Row],[poids / unite]]</f>
        <v>27.711797307996832</v>
      </c>
      <c r="T64" s="710">
        <f>_xlfn.XLOOKUP(TableauRecette[[#This Row],[ID]],TableauProduit[ID],TableauProduit[Total (kg) N9],0,0,1)*TableauRecette[[#This Row],[poids / unite]]</f>
        <v>27.711797307996832</v>
      </c>
    </row>
    <row r="65" spans="1:20">
      <c r="A65" s="608" t="s">
        <v>50</v>
      </c>
      <c r="B65" s="608" t="str">
        <f>TableauRecette[[#This Row],[Recette]]&amp;TableauRecette[[#This Row],[Conditionnement]]</f>
        <v>Cornichons extra-fins Cornichon fin</v>
      </c>
      <c r="C65" s="608" t="s">
        <v>414</v>
      </c>
      <c r="D65" s="609">
        <v>4</v>
      </c>
      <c r="E65" s="608" t="s">
        <v>51</v>
      </c>
      <c r="F65" s="609">
        <f>D65/SUMIFS(TableauRecette[Proportion],TableauRecette[Recette],TableauRecette[[#This Row],[Recette]],TableauRecette[Conditionnement],TableauRecette[[#This Row],[Conditionnement]])</f>
        <v>1.5835312747426761E-3</v>
      </c>
      <c r="G65" s="609">
        <f ca="1">_xlfn.XLOOKUP(TableauRecette[[#This Row],[Ingredients]],TableauIngredients[Ingredients],TableauIngredients[Prix d''achat (kg)],0)*TableauRecette[[#This Row],[poids / unite]]</f>
        <v>0</v>
      </c>
      <c r="H65" s="609">
        <f>SUMIFS(TableauRecette[Proportion],TableauRecette[Recette],TableauRecette[[#This Row],[Recette]],TableauRecette[Conditionnement],TableauRecette[[#This Row],[Conditionnement]])</f>
        <v>2526</v>
      </c>
      <c r="I65" s="609">
        <f ca="1">TableauRecette[[#This Row],[Proportion]]*TableauRecette[[#This Row],[Prix d''achat / kg]]/TableauRecette[[#This Row],[Total Proportion]]</f>
        <v>0</v>
      </c>
      <c r="J65" s="609"/>
      <c r="K65" s="708"/>
      <c r="L65" s="709">
        <f>_xlfn.XLOOKUP(TableauRecette[[#This Row],[ID]],TableauProduit[ID],TableauProduit[Total (kg) N1],0,0,1)*TableauRecette[[#This Row],[poids / unite]]</f>
        <v>0.44338875692794932</v>
      </c>
      <c r="M65" s="710">
        <f>_xlfn.XLOOKUP(TableauRecette[[#This Row],[ID]],TableauProduit[ID],TableauProduit[Total (kg) N2],0,0,1)*TableauRecette[[#This Row],[poids / unite]]</f>
        <v>0.44338875692794932</v>
      </c>
      <c r="N65" s="710">
        <f>_xlfn.XLOOKUP(TableauRecette[[#This Row],[ID]],TableauProduit[ID],TableauProduit[Total (kg) N3],0,0,1)*TableauRecette[[#This Row],[poids / unite]]</f>
        <v>0.44338875692794932</v>
      </c>
      <c r="O65" s="710">
        <f>_xlfn.XLOOKUP(TableauRecette[[#This Row],[ID]],TableauProduit[ID],TableauProduit[Total (kg) N4],0,0,1)*TableauRecette[[#This Row],[poids / unite]]</f>
        <v>0.44338875692794932</v>
      </c>
      <c r="P65" s="710">
        <f>_xlfn.XLOOKUP(TableauRecette[[#This Row],[ID]],TableauProduit[ID],TableauProduit[Total (kg) N5],0,0,1)*TableauRecette[[#This Row],[poids / unite]]</f>
        <v>0.44338875692794932</v>
      </c>
      <c r="Q65" s="710">
        <f>_xlfn.XLOOKUP(TableauRecette[[#This Row],[ID]],TableauProduit[ID],TableauProduit[Total (kg) N6],0,0,1)*TableauRecette[[#This Row],[poids / unite]]</f>
        <v>0.44338875692794932</v>
      </c>
      <c r="R65" s="710">
        <f>_xlfn.XLOOKUP(TableauRecette[[#This Row],[ID]],TableauProduit[ID],TableauProduit[Total (kg) N7],0,0,1)*TableauRecette[[#This Row],[poids / unite]]</f>
        <v>0.44338875692794932</v>
      </c>
      <c r="S65" s="710">
        <f>_xlfn.XLOOKUP(TableauRecette[[#This Row],[ID]],TableauProduit[ID],TableauProduit[Total (kg) N8],0,0,1)*TableauRecette[[#This Row],[poids / unite]]</f>
        <v>0.44338875692794932</v>
      </c>
      <c r="T65" s="710">
        <f>_xlfn.XLOOKUP(TableauRecette[[#This Row],[ID]],TableauProduit[ID],TableauProduit[Total (kg) N9],0,0,1)*TableauRecette[[#This Row],[poids / unite]]</f>
        <v>0.44338875692794932</v>
      </c>
    </row>
    <row r="66" spans="1:20">
      <c r="A66" s="608" t="s">
        <v>50</v>
      </c>
      <c r="B66" s="608" t="str">
        <f>TableauRecette[[#This Row],[Recette]]&amp;TableauRecette[[#This Row],[Conditionnement]]</f>
        <v>Cornichons extra-fins Cornichon fin</v>
      </c>
      <c r="C66" s="608" t="s">
        <v>305</v>
      </c>
      <c r="D66" s="609">
        <v>100</v>
      </c>
      <c r="E66" s="608" t="s">
        <v>51</v>
      </c>
      <c r="F66" s="609">
        <f>D66/SUMIFS(TableauRecette[Proportion],TableauRecette[Recette],TableauRecette[[#This Row],[Recette]],TableauRecette[Conditionnement],TableauRecette[[#This Row],[Conditionnement]])</f>
        <v>3.9588281868566902E-2</v>
      </c>
      <c r="G66" s="609">
        <f ca="1">_xlfn.XLOOKUP(TableauRecette[[#This Row],[Ingredients]],TableauIngredients[Ingredients],TableauIngredients[Prix d''achat (kg)],0)*TableauRecette[[#This Row],[poids / unite]]</f>
        <v>0</v>
      </c>
      <c r="H66" s="609">
        <f>SUMIFS(TableauRecette[Proportion],TableauRecette[Recette],TableauRecette[[#This Row],[Recette]],TableauRecette[Conditionnement],TableauRecette[[#This Row],[Conditionnement]])</f>
        <v>2526</v>
      </c>
      <c r="I66" s="609">
        <f ca="1">TableauRecette[[#This Row],[Proportion]]*TableauRecette[[#This Row],[Prix d''achat / kg]]/TableauRecette[[#This Row],[Total Proportion]]</f>
        <v>0</v>
      </c>
      <c r="J66" s="609"/>
      <c r="K66" s="708"/>
      <c r="L66" s="709">
        <f>_xlfn.XLOOKUP(TableauRecette[[#This Row],[ID]],TableauProduit[ID],TableauProduit[Total (kg) N1],0,0,1)*TableauRecette[[#This Row],[poids / unite]]</f>
        <v>11.084718923198732</v>
      </c>
      <c r="M66" s="710">
        <f>_xlfn.XLOOKUP(TableauRecette[[#This Row],[ID]],TableauProduit[ID],TableauProduit[Total (kg) N2],0,0,1)*TableauRecette[[#This Row],[poids / unite]]</f>
        <v>11.084718923198732</v>
      </c>
      <c r="N66" s="710">
        <f>_xlfn.XLOOKUP(TableauRecette[[#This Row],[ID]],TableauProduit[ID],TableauProduit[Total (kg) N3],0,0,1)*TableauRecette[[#This Row],[poids / unite]]</f>
        <v>11.084718923198732</v>
      </c>
      <c r="O66" s="710">
        <f>_xlfn.XLOOKUP(TableauRecette[[#This Row],[ID]],TableauProduit[ID],TableauProduit[Total (kg) N4],0,0,1)*TableauRecette[[#This Row],[poids / unite]]</f>
        <v>11.084718923198732</v>
      </c>
      <c r="P66" s="710">
        <f>_xlfn.XLOOKUP(TableauRecette[[#This Row],[ID]],TableauProduit[ID],TableauProduit[Total (kg) N5],0,0,1)*TableauRecette[[#This Row],[poids / unite]]</f>
        <v>11.084718923198732</v>
      </c>
      <c r="Q66" s="710">
        <f>_xlfn.XLOOKUP(TableauRecette[[#This Row],[ID]],TableauProduit[ID],TableauProduit[Total (kg) N6],0,0,1)*TableauRecette[[#This Row],[poids / unite]]</f>
        <v>11.084718923198732</v>
      </c>
      <c r="R66" s="710">
        <f>_xlfn.XLOOKUP(TableauRecette[[#This Row],[ID]],TableauProduit[ID],TableauProduit[Total (kg) N7],0,0,1)*TableauRecette[[#This Row],[poids / unite]]</f>
        <v>11.084718923198732</v>
      </c>
      <c r="S66" s="710">
        <f>_xlfn.XLOOKUP(TableauRecette[[#This Row],[ID]],TableauProduit[ID],TableauProduit[Total (kg) N8],0,0,1)*TableauRecette[[#This Row],[poids / unite]]</f>
        <v>11.084718923198732</v>
      </c>
      <c r="T66" s="710">
        <f>_xlfn.XLOOKUP(TableauRecette[[#This Row],[ID]],TableauProduit[ID],TableauProduit[Total (kg) N9],0,0,1)*TableauRecette[[#This Row],[poids / unite]]</f>
        <v>11.084718923198732</v>
      </c>
    </row>
    <row r="67" spans="1:20">
      <c r="A67" s="608" t="s">
        <v>50</v>
      </c>
      <c r="B67" s="608" t="str">
        <f>TableauRecette[[#This Row],[Recette]]&amp;TableauRecette[[#This Row],[Conditionnement]]</f>
        <v>Cornichons extra-fins Cornichon fin</v>
      </c>
      <c r="C67" s="608" t="s">
        <v>289</v>
      </c>
      <c r="D67" s="609">
        <v>10</v>
      </c>
      <c r="E67" s="608" t="s">
        <v>51</v>
      </c>
      <c r="F67" s="609">
        <f>D67/SUMIFS(TableauRecette[Proportion],TableauRecette[Recette],TableauRecette[[#This Row],[Recette]],TableauRecette[Conditionnement],TableauRecette[[#This Row],[Conditionnement]])</f>
        <v>3.95882818685669E-3</v>
      </c>
      <c r="G67" s="609">
        <f ca="1">_xlfn.XLOOKUP(TableauRecette[[#This Row],[Ingredients]],TableauIngredients[Ingredients],TableauIngredients[Prix d''achat (kg)],0)*TableauRecette[[#This Row],[poids / unite]]</f>
        <v>0</v>
      </c>
      <c r="H67" s="609">
        <f>SUMIFS(TableauRecette[Proportion],TableauRecette[Recette],TableauRecette[[#This Row],[Recette]],TableauRecette[Conditionnement],TableauRecette[[#This Row],[Conditionnement]])</f>
        <v>2526</v>
      </c>
      <c r="I67" s="609">
        <f ca="1">TableauRecette[[#This Row],[Proportion]]*TableauRecette[[#This Row],[Prix d''achat / kg]]/TableauRecette[[#This Row],[Total Proportion]]</f>
        <v>0</v>
      </c>
      <c r="J67" s="609"/>
      <c r="K67" s="708"/>
      <c r="L67" s="709">
        <f>_xlfn.XLOOKUP(TableauRecette[[#This Row],[ID]],TableauProduit[ID],TableauProduit[Total (kg) N1],0,0,1)*TableauRecette[[#This Row],[poids / unite]]</f>
        <v>1.1084718923198733</v>
      </c>
      <c r="M67" s="710">
        <f>_xlfn.XLOOKUP(TableauRecette[[#This Row],[ID]],TableauProduit[ID],TableauProduit[Total (kg) N2],0,0,1)*TableauRecette[[#This Row],[poids / unite]]</f>
        <v>1.1084718923198733</v>
      </c>
      <c r="N67" s="710">
        <f>_xlfn.XLOOKUP(TableauRecette[[#This Row],[ID]],TableauProduit[ID],TableauProduit[Total (kg) N3],0,0,1)*TableauRecette[[#This Row],[poids / unite]]</f>
        <v>1.1084718923198733</v>
      </c>
      <c r="O67" s="710">
        <f>_xlfn.XLOOKUP(TableauRecette[[#This Row],[ID]],TableauProduit[ID],TableauProduit[Total (kg) N4],0,0,1)*TableauRecette[[#This Row],[poids / unite]]</f>
        <v>1.1084718923198733</v>
      </c>
      <c r="P67" s="710">
        <f>_xlfn.XLOOKUP(TableauRecette[[#This Row],[ID]],TableauProduit[ID],TableauProduit[Total (kg) N5],0,0,1)*TableauRecette[[#This Row],[poids / unite]]</f>
        <v>1.1084718923198733</v>
      </c>
      <c r="Q67" s="710">
        <f>_xlfn.XLOOKUP(TableauRecette[[#This Row],[ID]],TableauProduit[ID],TableauProduit[Total (kg) N6],0,0,1)*TableauRecette[[#This Row],[poids / unite]]</f>
        <v>1.1084718923198733</v>
      </c>
      <c r="R67" s="710">
        <f>_xlfn.XLOOKUP(TableauRecette[[#This Row],[ID]],TableauProduit[ID],TableauProduit[Total (kg) N7],0,0,1)*TableauRecette[[#This Row],[poids / unite]]</f>
        <v>1.1084718923198733</v>
      </c>
      <c r="S67" s="710">
        <f>_xlfn.XLOOKUP(TableauRecette[[#This Row],[ID]],TableauProduit[ID],TableauProduit[Total (kg) N8],0,0,1)*TableauRecette[[#This Row],[poids / unite]]</f>
        <v>1.1084718923198733</v>
      </c>
      <c r="T67" s="710">
        <f>_xlfn.XLOOKUP(TableauRecette[[#This Row],[ID]],TableauProduit[ID],TableauProduit[Total (kg) N9],0,0,1)*TableauRecette[[#This Row],[poids / unite]]</f>
        <v>1.1084718923198733</v>
      </c>
    </row>
    <row r="68" spans="1:20">
      <c r="A68" s="62" t="s">
        <v>54</v>
      </c>
      <c r="B68" s="62" t="str">
        <f>TableauRecette[[#This Row],[Recette]]&amp;TableauRecette[[#This Row],[Conditionnement]]</f>
        <v>Cumin graineEpice 100ml</v>
      </c>
      <c r="C68" s="62" t="s">
        <v>284</v>
      </c>
      <c r="D68" s="186">
        <v>1</v>
      </c>
      <c r="E68" s="62" t="s">
        <v>55</v>
      </c>
      <c r="F68" s="186">
        <f>D68/SUMIFS(TableauRecette[Proportion],TableauRecette[Recette],TableauRecette[[#This Row],[Recette]],TableauRecette[Conditionnement],TableauRecette[[#This Row],[Conditionnement]])</f>
        <v>1</v>
      </c>
      <c r="G68" s="186">
        <f ca="1">_xlfn.XLOOKUP(TableauRecette[[#This Row],[Ingredients]],TableauIngredients[Ingredients],TableauIngredients[Prix d''achat (kg)],0)*TableauRecette[[#This Row],[poids / unite]]</f>
        <v>0</v>
      </c>
      <c r="H68" s="186">
        <f>SUMIFS(TableauRecette[Proportion],TableauRecette[Recette],TableauRecette[[#This Row],[Recette]],TableauRecette[Conditionnement],TableauRecette[[#This Row],[Conditionnement]])</f>
        <v>1</v>
      </c>
      <c r="I68" s="186">
        <f ca="1">TableauRecette[[#This Row],[Proportion]]*TableauRecette[[#This Row],[Prix d''achat / kg]]/TableauRecette[[#This Row],[Total Proportion]]</f>
        <v>0</v>
      </c>
      <c r="J68" s="186" t="s">
        <v>300</v>
      </c>
      <c r="K68" s="711" t="s">
        <v>282</v>
      </c>
      <c r="L68" s="712">
        <f>_xlfn.XLOOKUP(TableauRecette[[#This Row],[ID]],TableauProduit[ID],TableauProduit[Total (kg) N1],0,0,1)*TableauRecette[[#This Row],[poids / unite]]</f>
        <v>16.8</v>
      </c>
      <c r="M68" s="713">
        <f>_xlfn.XLOOKUP(TableauRecette[[#This Row],[ID]],TableauProduit[ID],TableauProduit[Total (kg) N2],0,0,1)*TableauRecette[[#This Row],[poids / unite]]</f>
        <v>16.8</v>
      </c>
      <c r="N68" s="713">
        <f>_xlfn.XLOOKUP(TableauRecette[[#This Row],[ID]],TableauProduit[ID],TableauProduit[Total (kg) N3],0,0,1)*TableauRecette[[#This Row],[poids / unite]]</f>
        <v>16.8</v>
      </c>
      <c r="O68" s="713">
        <f>_xlfn.XLOOKUP(TableauRecette[[#This Row],[ID]],TableauProduit[ID],TableauProduit[Total (kg) N4],0,0,1)*TableauRecette[[#This Row],[poids / unite]]</f>
        <v>16.8</v>
      </c>
      <c r="P68" s="713">
        <f>_xlfn.XLOOKUP(TableauRecette[[#This Row],[ID]],TableauProduit[ID],TableauProduit[Total (kg) N5],0,0,1)*TableauRecette[[#This Row],[poids / unite]]</f>
        <v>16.8</v>
      </c>
      <c r="Q68" s="713">
        <f>_xlfn.XLOOKUP(TableauRecette[[#This Row],[ID]],TableauProduit[ID],TableauProduit[Total (kg) N6],0,0,1)*TableauRecette[[#This Row],[poids / unite]]</f>
        <v>16.8</v>
      </c>
      <c r="R68" s="713">
        <f>_xlfn.XLOOKUP(TableauRecette[[#This Row],[ID]],TableauProduit[ID],TableauProduit[Total (kg) N7],0,0,1)*TableauRecette[[#This Row],[poids / unite]]</f>
        <v>16.8</v>
      </c>
      <c r="S68" s="713">
        <f>_xlfn.XLOOKUP(TableauRecette[[#This Row],[ID]],TableauProduit[ID],TableauProduit[Total (kg) N8],0,0,1)*TableauRecette[[#This Row],[poids / unite]]</f>
        <v>16.8</v>
      </c>
      <c r="T68" s="713">
        <f>_xlfn.XLOOKUP(TableauRecette[[#This Row],[ID]],TableauProduit[ID],TableauProduit[Total (kg) N9],0,0,1)*TableauRecette[[#This Row],[poids / unite]]</f>
        <v>16.8</v>
      </c>
    </row>
    <row r="69" spans="1:20">
      <c r="A69" s="63" t="s">
        <v>56</v>
      </c>
      <c r="B69" s="63" t="str">
        <f>TableauRecette[[#This Row],[Recette]]&amp;TableauRecette[[#This Row],[Conditionnement]]</f>
        <v>Cumin mouluEpice 100ml</v>
      </c>
      <c r="C69" s="63" t="s">
        <v>290</v>
      </c>
      <c r="D69" s="187">
        <v>1</v>
      </c>
      <c r="E69" s="63" t="s">
        <v>55</v>
      </c>
      <c r="F69" s="187">
        <f>D69/SUMIFS(TableauRecette[Proportion],TableauRecette[Recette],TableauRecette[[#This Row],[Recette]],TableauRecette[Conditionnement],TableauRecette[[#This Row],[Conditionnement]])</f>
        <v>1</v>
      </c>
      <c r="G69" s="187">
        <f ca="1">_xlfn.XLOOKUP(TableauRecette[[#This Row],[Ingredients]],TableauIngredients[Ingredients],TableauIngredients[Prix d''achat (kg)],0)*TableauRecette[[#This Row],[poids / unite]]</f>
        <v>0</v>
      </c>
      <c r="H69" s="187">
        <f>SUMIFS(TableauRecette[Proportion],TableauRecette[Recette],TableauRecette[[#This Row],[Recette]],TableauRecette[Conditionnement],TableauRecette[[#This Row],[Conditionnement]])</f>
        <v>1</v>
      </c>
      <c r="I69" s="187">
        <f ca="1">TableauRecette[[#This Row],[Proportion]]*TableauRecette[[#This Row],[Prix d''achat / kg]]/TableauRecette[[#This Row],[Total Proportion]]</f>
        <v>0</v>
      </c>
      <c r="J69" s="187" t="s">
        <v>310</v>
      </c>
      <c r="K69" s="714" t="s">
        <v>282</v>
      </c>
      <c r="L69" s="715">
        <f>_xlfn.XLOOKUP(TableauRecette[[#This Row],[ID]],TableauProduit[ID],TableauProduit[Total (kg) N1],0,0,1)*TableauRecette[[#This Row],[poids / unite]]</f>
        <v>21</v>
      </c>
      <c r="M69" s="716">
        <f>_xlfn.XLOOKUP(TableauRecette[[#This Row],[ID]],TableauProduit[ID],TableauProduit[Total (kg) N2],0,0,1)*TableauRecette[[#This Row],[poids / unite]]</f>
        <v>21</v>
      </c>
      <c r="N69" s="716">
        <f>_xlfn.XLOOKUP(TableauRecette[[#This Row],[ID]],TableauProduit[ID],TableauProduit[Total (kg) N3],0,0,1)*TableauRecette[[#This Row],[poids / unite]]</f>
        <v>21</v>
      </c>
      <c r="O69" s="716">
        <f>_xlfn.XLOOKUP(TableauRecette[[#This Row],[ID]],TableauProduit[ID],TableauProduit[Total (kg) N4],0,0,1)*TableauRecette[[#This Row],[poids / unite]]</f>
        <v>21</v>
      </c>
      <c r="P69" s="716">
        <f>_xlfn.XLOOKUP(TableauRecette[[#This Row],[ID]],TableauProduit[ID],TableauProduit[Total (kg) N5],0,0,1)*TableauRecette[[#This Row],[poids / unite]]</f>
        <v>21</v>
      </c>
      <c r="Q69" s="716">
        <f>_xlfn.XLOOKUP(TableauRecette[[#This Row],[ID]],TableauProduit[ID],TableauProduit[Total (kg) N6],0,0,1)*TableauRecette[[#This Row],[poids / unite]]</f>
        <v>21</v>
      </c>
      <c r="R69" s="716">
        <f>_xlfn.XLOOKUP(TableauRecette[[#This Row],[ID]],TableauProduit[ID],TableauProduit[Total (kg) N7],0,0,1)*TableauRecette[[#This Row],[poids / unite]]</f>
        <v>21</v>
      </c>
      <c r="S69" s="716">
        <f>_xlfn.XLOOKUP(TableauRecette[[#This Row],[ID]],TableauProduit[ID],TableauProduit[Total (kg) N8],0,0,1)*TableauRecette[[#This Row],[poids / unite]]</f>
        <v>21</v>
      </c>
      <c r="T69" s="716">
        <f>_xlfn.XLOOKUP(TableauRecette[[#This Row],[ID]],TableauProduit[ID],TableauProduit[Total (kg) N9],0,0,1)*TableauRecette[[#This Row],[poids / unite]]</f>
        <v>21</v>
      </c>
    </row>
    <row r="70" spans="1:20">
      <c r="A70" s="64" t="s">
        <v>66</v>
      </c>
      <c r="B70" s="64" t="str">
        <f>TableauRecette[[#This Row],[Recette]]&amp;TableauRecette[[#This Row],[Conditionnement]]</f>
        <v>CurcumaEpice 100ml</v>
      </c>
      <c r="C70" s="64" t="s">
        <v>304</v>
      </c>
      <c r="D70" s="188">
        <v>1</v>
      </c>
      <c r="E70" s="64" t="s">
        <v>55</v>
      </c>
      <c r="F70" s="188">
        <f>D70/SUMIFS(TableauRecette[Proportion],TableauRecette[Recette],TableauRecette[[#This Row],[Recette]],TableauRecette[Conditionnement],TableauRecette[[#This Row],[Conditionnement]])</f>
        <v>1</v>
      </c>
      <c r="G70" s="188">
        <f ca="1">_xlfn.XLOOKUP(TableauRecette[[#This Row],[Ingredients]],TableauIngredients[Ingredients],TableauIngredients[Prix d''achat (kg)],0)*TableauRecette[[#This Row],[poids / unite]]</f>
        <v>0</v>
      </c>
      <c r="H70" s="188">
        <f>SUMIFS(TableauRecette[Proportion],TableauRecette[Recette],TableauRecette[[#This Row],[Recette]],TableauRecette[Conditionnement],TableauRecette[[#This Row],[Conditionnement]])</f>
        <v>1</v>
      </c>
      <c r="I70" s="188">
        <f ca="1">TableauRecette[[#This Row],[Proportion]]*TableauRecette[[#This Row],[Prix d''achat / kg]]/TableauRecette[[#This Row],[Total Proportion]]</f>
        <v>0</v>
      </c>
      <c r="J70" s="188" t="s">
        <v>310</v>
      </c>
      <c r="K70" s="717" t="s">
        <v>282</v>
      </c>
      <c r="L70" s="718">
        <f>_xlfn.XLOOKUP(TableauRecette[[#This Row],[ID]],TableauProduit[ID],TableauProduit[Total (kg) N1],0,0,1)*TableauRecette[[#This Row],[poids / unite]]</f>
        <v>10.8</v>
      </c>
      <c r="M70" s="719">
        <f>_xlfn.XLOOKUP(TableauRecette[[#This Row],[ID]],TableauProduit[ID],TableauProduit[Total (kg) N2],0,0,1)*TableauRecette[[#This Row],[poids / unite]]</f>
        <v>10.8</v>
      </c>
      <c r="N70" s="719">
        <f>_xlfn.XLOOKUP(TableauRecette[[#This Row],[ID]],TableauProduit[ID],TableauProduit[Total (kg) N3],0,0,1)*TableauRecette[[#This Row],[poids / unite]]</f>
        <v>10.8</v>
      </c>
      <c r="O70" s="719">
        <f>_xlfn.XLOOKUP(TableauRecette[[#This Row],[ID]],TableauProduit[ID],TableauProduit[Total (kg) N4],0,0,1)*TableauRecette[[#This Row],[poids / unite]]</f>
        <v>10.8</v>
      </c>
      <c r="P70" s="719">
        <f>_xlfn.XLOOKUP(TableauRecette[[#This Row],[ID]],TableauProduit[ID],TableauProduit[Total (kg) N5],0,0,1)*TableauRecette[[#This Row],[poids / unite]]</f>
        <v>10.8</v>
      </c>
      <c r="Q70" s="719">
        <f>_xlfn.XLOOKUP(TableauRecette[[#This Row],[ID]],TableauProduit[ID],TableauProduit[Total (kg) N6],0,0,1)*TableauRecette[[#This Row],[poids / unite]]</f>
        <v>10.8</v>
      </c>
      <c r="R70" s="719">
        <f>_xlfn.XLOOKUP(TableauRecette[[#This Row],[ID]],TableauProduit[ID],TableauProduit[Total (kg) N7],0,0,1)*TableauRecette[[#This Row],[poids / unite]]</f>
        <v>10.8</v>
      </c>
      <c r="S70" s="719">
        <f>_xlfn.XLOOKUP(TableauRecette[[#This Row],[ID]],TableauProduit[ID],TableauProduit[Total (kg) N8],0,0,1)*TableauRecette[[#This Row],[poids / unite]]</f>
        <v>10.8</v>
      </c>
      <c r="T70" s="719">
        <f>_xlfn.XLOOKUP(TableauRecette[[#This Row],[ID]],TableauProduit[ID],TableauProduit[Total (kg) N9],0,0,1)*TableauRecette[[#This Row],[poids / unite]]</f>
        <v>10.8</v>
      </c>
    </row>
    <row r="71" spans="1:20">
      <c r="A71" s="65" t="s">
        <v>63</v>
      </c>
      <c r="B71" s="65" t="str">
        <f>TableauRecette[[#This Row],[Recette]]&amp;TableauRecette[[#This Row],[Conditionnement]]</f>
        <v>CurryEpice 100ml</v>
      </c>
      <c r="C71" s="65" t="s">
        <v>289</v>
      </c>
      <c r="D71" s="189">
        <v>0.75</v>
      </c>
      <c r="E71" s="65" t="s">
        <v>55</v>
      </c>
      <c r="F71" s="189">
        <f>D71/SUMIFS(TableauRecette[Proportion],TableauRecette[Recette],TableauRecette[[#This Row],[Recette]],TableauRecette[Conditionnement],TableauRecette[[#This Row],[Conditionnement]])</f>
        <v>3.4090909090909088E-2</v>
      </c>
      <c r="G71" s="189">
        <f ca="1">_xlfn.XLOOKUP(TableauRecette[[#This Row],[Ingredients]],TableauIngredients[Ingredients],TableauIngredients[Prix d''achat (kg)],0)*TableauRecette[[#This Row],[poids / unite]]</f>
        <v>0</v>
      </c>
      <c r="H71" s="189">
        <f>SUMIFS(TableauRecette[Proportion],TableauRecette[Recette],TableauRecette[[#This Row],[Recette]],TableauRecette[Conditionnement],TableauRecette[[#This Row],[Conditionnement]])</f>
        <v>22</v>
      </c>
      <c r="I71" s="189">
        <f ca="1">TableauRecette[[#This Row],[Proportion]]*TableauRecette[[#This Row],[Prix d''achat / kg]]/TableauRecette[[#This Row],[Total Proportion]]</f>
        <v>0</v>
      </c>
      <c r="J71" s="189" t="s">
        <v>310</v>
      </c>
      <c r="K71" s="720" t="s">
        <v>282</v>
      </c>
      <c r="L71" s="721">
        <f>_xlfn.XLOOKUP(TableauRecette[[#This Row],[ID]],TableauProduit[ID],TableauProduit[Total (kg) N1],0,0,1)*TableauRecette[[#This Row],[poids / unite]]</f>
        <v>0.93068181818181817</v>
      </c>
      <c r="M71" s="722">
        <f>_xlfn.XLOOKUP(TableauRecette[[#This Row],[ID]],TableauProduit[ID],TableauProduit[Total (kg) N2],0,0,1)*TableauRecette[[#This Row],[poids / unite]]</f>
        <v>0.93068181818181817</v>
      </c>
      <c r="N71" s="722">
        <f>_xlfn.XLOOKUP(TableauRecette[[#This Row],[ID]],TableauProduit[ID],TableauProduit[Total (kg) N3],0,0,1)*TableauRecette[[#This Row],[poids / unite]]</f>
        <v>0.93068181818181817</v>
      </c>
      <c r="O71" s="722">
        <f>_xlfn.XLOOKUP(TableauRecette[[#This Row],[ID]],TableauProduit[ID],TableauProduit[Total (kg) N4],0,0,1)*TableauRecette[[#This Row],[poids / unite]]</f>
        <v>0.93068181818181817</v>
      </c>
      <c r="P71" s="722">
        <f>_xlfn.XLOOKUP(TableauRecette[[#This Row],[ID]],TableauProduit[ID],TableauProduit[Total (kg) N5],0,0,1)*TableauRecette[[#This Row],[poids / unite]]</f>
        <v>0.93068181818181817</v>
      </c>
      <c r="Q71" s="722">
        <f>_xlfn.XLOOKUP(TableauRecette[[#This Row],[ID]],TableauProduit[ID],TableauProduit[Total (kg) N6],0,0,1)*TableauRecette[[#This Row],[poids / unite]]</f>
        <v>0.93068181818181817</v>
      </c>
      <c r="R71" s="722">
        <f>_xlfn.XLOOKUP(TableauRecette[[#This Row],[ID]],TableauProduit[ID],TableauProduit[Total (kg) N7],0,0,1)*TableauRecette[[#This Row],[poids / unite]]</f>
        <v>0.93068181818181817</v>
      </c>
      <c r="S71" s="722">
        <f>_xlfn.XLOOKUP(TableauRecette[[#This Row],[ID]],TableauProduit[ID],TableauProduit[Total (kg) N8],0,0,1)*TableauRecette[[#This Row],[poids / unite]]</f>
        <v>0.93068181818181817</v>
      </c>
      <c r="T71" s="722">
        <f>_xlfn.XLOOKUP(TableauRecette[[#This Row],[ID]],TableauProduit[ID],TableauProduit[Total (kg) N9],0,0,1)*TableauRecette[[#This Row],[poids / unite]]</f>
        <v>0.93068181818181817</v>
      </c>
    </row>
    <row r="72" spans="1:20">
      <c r="A72" s="65" t="s">
        <v>63</v>
      </c>
      <c r="B72" s="65" t="str">
        <f>TableauRecette[[#This Row],[Recette]]&amp;TableauRecette[[#This Row],[Conditionnement]]</f>
        <v>CurryEpice 100ml</v>
      </c>
      <c r="C72" s="65" t="s">
        <v>304</v>
      </c>
      <c r="D72" s="189">
        <v>1</v>
      </c>
      <c r="E72" s="65" t="s">
        <v>55</v>
      </c>
      <c r="F72" s="189">
        <f>D72/SUMIFS(TableauRecette[Proportion],TableauRecette[Recette],TableauRecette[[#This Row],[Recette]],TableauRecette[Conditionnement],TableauRecette[[#This Row],[Conditionnement]])</f>
        <v>4.5454545454545456E-2</v>
      </c>
      <c r="G72" s="189">
        <f ca="1">_xlfn.XLOOKUP(TableauRecette[[#This Row],[Ingredients]],TableauIngredients[Ingredients],TableauIngredients[Prix d''achat (kg)],0)*TableauRecette[[#This Row],[poids / unite]]</f>
        <v>0</v>
      </c>
      <c r="H72" s="189">
        <f>SUMIFS(TableauRecette[Proportion],TableauRecette[Recette],TableauRecette[[#This Row],[Recette]],TableauRecette[Conditionnement],TableauRecette[[#This Row],[Conditionnement]])</f>
        <v>22</v>
      </c>
      <c r="I72" s="189">
        <f ca="1">TableauRecette[[#This Row],[Proportion]]*TableauRecette[[#This Row],[Prix d''achat / kg]]/TableauRecette[[#This Row],[Total Proportion]]</f>
        <v>0</v>
      </c>
      <c r="J72" s="189" t="s">
        <v>310</v>
      </c>
      <c r="K72" s="720" t="s">
        <v>282</v>
      </c>
      <c r="L72" s="721">
        <f>_xlfn.XLOOKUP(TableauRecette[[#This Row],[ID]],TableauProduit[ID],TableauProduit[Total (kg) N1],0,0,1)*TableauRecette[[#This Row],[poids / unite]]</f>
        <v>1.240909090909091</v>
      </c>
      <c r="M72" s="722">
        <f>_xlfn.XLOOKUP(TableauRecette[[#This Row],[ID]],TableauProduit[ID],TableauProduit[Total (kg) N2],0,0,1)*TableauRecette[[#This Row],[poids / unite]]</f>
        <v>1.240909090909091</v>
      </c>
      <c r="N72" s="722">
        <f>_xlfn.XLOOKUP(TableauRecette[[#This Row],[ID]],TableauProduit[ID],TableauProduit[Total (kg) N3],0,0,1)*TableauRecette[[#This Row],[poids / unite]]</f>
        <v>1.240909090909091</v>
      </c>
      <c r="O72" s="722">
        <f>_xlfn.XLOOKUP(TableauRecette[[#This Row],[ID]],TableauProduit[ID],TableauProduit[Total (kg) N4],0,0,1)*TableauRecette[[#This Row],[poids / unite]]</f>
        <v>1.240909090909091</v>
      </c>
      <c r="P72" s="722">
        <f>_xlfn.XLOOKUP(TableauRecette[[#This Row],[ID]],TableauProduit[ID],TableauProduit[Total (kg) N5],0,0,1)*TableauRecette[[#This Row],[poids / unite]]</f>
        <v>1.240909090909091</v>
      </c>
      <c r="Q72" s="722">
        <f>_xlfn.XLOOKUP(TableauRecette[[#This Row],[ID]],TableauProduit[ID],TableauProduit[Total (kg) N6],0,0,1)*TableauRecette[[#This Row],[poids / unite]]</f>
        <v>1.240909090909091</v>
      </c>
      <c r="R72" s="722">
        <f>_xlfn.XLOOKUP(TableauRecette[[#This Row],[ID]],TableauProduit[ID],TableauProduit[Total (kg) N7],0,0,1)*TableauRecette[[#This Row],[poids / unite]]</f>
        <v>1.240909090909091</v>
      </c>
      <c r="S72" s="722">
        <f>_xlfn.XLOOKUP(TableauRecette[[#This Row],[ID]],TableauProduit[ID],TableauProduit[Total (kg) N8],0,0,1)*TableauRecette[[#This Row],[poids / unite]]</f>
        <v>1.240909090909091</v>
      </c>
      <c r="T72" s="722">
        <f>_xlfn.XLOOKUP(TableauRecette[[#This Row],[ID]],TableauProduit[ID],TableauProduit[Total (kg) N9],0,0,1)*TableauRecette[[#This Row],[poids / unite]]</f>
        <v>1.240909090909091</v>
      </c>
    </row>
    <row r="73" spans="1:20">
      <c r="A73" s="65" t="s">
        <v>63</v>
      </c>
      <c r="B73" s="65" t="str">
        <f>TableauRecette[[#This Row],[Recette]]&amp;TableauRecette[[#This Row],[Conditionnement]]</f>
        <v>CurryEpice 100ml</v>
      </c>
      <c r="C73" s="65" t="s">
        <v>305</v>
      </c>
      <c r="D73" s="189">
        <v>0.5</v>
      </c>
      <c r="E73" s="65" t="s">
        <v>55</v>
      </c>
      <c r="F73" s="189">
        <f>D73/SUMIFS(TableauRecette[Proportion],TableauRecette[Recette],TableauRecette[[#This Row],[Recette]],TableauRecette[Conditionnement],TableauRecette[[#This Row],[Conditionnement]])</f>
        <v>2.2727272727272728E-2</v>
      </c>
      <c r="G73" s="189">
        <f ca="1">_xlfn.XLOOKUP(TableauRecette[[#This Row],[Ingredients]],TableauIngredients[Ingredients],TableauIngredients[Prix d''achat (kg)],0)*TableauRecette[[#This Row],[poids / unite]]</f>
        <v>0</v>
      </c>
      <c r="H73" s="189">
        <f>SUMIFS(TableauRecette[Proportion],TableauRecette[Recette],TableauRecette[[#This Row],[Recette]],TableauRecette[Conditionnement],TableauRecette[[#This Row],[Conditionnement]])</f>
        <v>22</v>
      </c>
      <c r="I73" s="189">
        <f ca="1">TableauRecette[[#This Row],[Proportion]]*TableauRecette[[#This Row],[Prix d''achat / kg]]/TableauRecette[[#This Row],[Total Proportion]]</f>
        <v>0</v>
      </c>
      <c r="J73" s="189" t="s">
        <v>310</v>
      </c>
      <c r="K73" s="720" t="s">
        <v>282</v>
      </c>
      <c r="L73" s="721">
        <f>_xlfn.XLOOKUP(TableauRecette[[#This Row],[ID]],TableauProduit[ID],TableauProduit[Total (kg) N1],0,0,1)*TableauRecette[[#This Row],[poids / unite]]</f>
        <v>0.62045454545454548</v>
      </c>
      <c r="M73" s="722">
        <f>_xlfn.XLOOKUP(TableauRecette[[#This Row],[ID]],TableauProduit[ID],TableauProduit[Total (kg) N2],0,0,1)*TableauRecette[[#This Row],[poids / unite]]</f>
        <v>0.62045454545454548</v>
      </c>
      <c r="N73" s="722">
        <f>_xlfn.XLOOKUP(TableauRecette[[#This Row],[ID]],TableauProduit[ID],TableauProduit[Total (kg) N3],0,0,1)*TableauRecette[[#This Row],[poids / unite]]</f>
        <v>0.62045454545454548</v>
      </c>
      <c r="O73" s="722">
        <f>_xlfn.XLOOKUP(TableauRecette[[#This Row],[ID]],TableauProduit[ID],TableauProduit[Total (kg) N4],0,0,1)*TableauRecette[[#This Row],[poids / unite]]</f>
        <v>0.62045454545454548</v>
      </c>
      <c r="P73" s="722">
        <f>_xlfn.XLOOKUP(TableauRecette[[#This Row],[ID]],TableauProduit[ID],TableauProduit[Total (kg) N5],0,0,1)*TableauRecette[[#This Row],[poids / unite]]</f>
        <v>0.62045454545454548</v>
      </c>
      <c r="Q73" s="722">
        <f>_xlfn.XLOOKUP(TableauRecette[[#This Row],[ID]],TableauProduit[ID],TableauProduit[Total (kg) N6],0,0,1)*TableauRecette[[#This Row],[poids / unite]]</f>
        <v>0.62045454545454548</v>
      </c>
      <c r="R73" s="722">
        <f>_xlfn.XLOOKUP(TableauRecette[[#This Row],[ID]],TableauProduit[ID],TableauProduit[Total (kg) N7],0,0,1)*TableauRecette[[#This Row],[poids / unite]]</f>
        <v>0.62045454545454548</v>
      </c>
      <c r="S73" s="722">
        <f>_xlfn.XLOOKUP(TableauRecette[[#This Row],[ID]],TableauProduit[ID],TableauProduit[Total (kg) N8],0,0,1)*TableauRecette[[#This Row],[poids / unite]]</f>
        <v>0.62045454545454548</v>
      </c>
      <c r="T73" s="722">
        <f>_xlfn.XLOOKUP(TableauRecette[[#This Row],[ID]],TableauProduit[ID],TableauProduit[Total (kg) N9],0,0,1)*TableauRecette[[#This Row],[poids / unite]]</f>
        <v>0.62045454545454548</v>
      </c>
    </row>
    <row r="74" spans="1:20">
      <c r="A74" s="65" t="s">
        <v>63</v>
      </c>
      <c r="B74" s="65" t="str">
        <f>TableauRecette[[#This Row],[Recette]]&amp;TableauRecette[[#This Row],[Conditionnement]]</f>
        <v>CurryEpice 100ml</v>
      </c>
      <c r="C74" s="65" t="s">
        <v>290</v>
      </c>
      <c r="D74" s="189">
        <v>0.5</v>
      </c>
      <c r="E74" s="65" t="s">
        <v>55</v>
      </c>
      <c r="F74" s="189">
        <f>D74/SUMIFS(TableauRecette[Proportion],TableauRecette[Recette],TableauRecette[[#This Row],[Recette]],TableauRecette[Conditionnement],TableauRecette[[#This Row],[Conditionnement]])</f>
        <v>2.2727272727272728E-2</v>
      </c>
      <c r="G74" s="189">
        <f ca="1">_xlfn.XLOOKUP(TableauRecette[[#This Row],[Ingredients]],TableauIngredients[Ingredients],TableauIngredients[Prix d''achat (kg)],0)*TableauRecette[[#This Row],[poids / unite]]</f>
        <v>0</v>
      </c>
      <c r="H74" s="189">
        <f>SUMIFS(TableauRecette[Proportion],TableauRecette[Recette],TableauRecette[[#This Row],[Recette]],TableauRecette[Conditionnement],TableauRecette[[#This Row],[Conditionnement]])</f>
        <v>22</v>
      </c>
      <c r="I74" s="189">
        <f ca="1">TableauRecette[[#This Row],[Proportion]]*TableauRecette[[#This Row],[Prix d''achat / kg]]/TableauRecette[[#This Row],[Total Proportion]]</f>
        <v>0</v>
      </c>
      <c r="J74" s="189" t="s">
        <v>310</v>
      </c>
      <c r="K74" s="720" t="s">
        <v>282</v>
      </c>
      <c r="L74" s="721">
        <f>_xlfn.XLOOKUP(TableauRecette[[#This Row],[ID]],TableauProduit[ID],TableauProduit[Total (kg) N1],0,0,1)*TableauRecette[[#This Row],[poids / unite]]</f>
        <v>0.62045454545454548</v>
      </c>
      <c r="M74" s="722">
        <f>_xlfn.XLOOKUP(TableauRecette[[#This Row],[ID]],TableauProduit[ID],TableauProduit[Total (kg) N2],0,0,1)*TableauRecette[[#This Row],[poids / unite]]</f>
        <v>0.62045454545454548</v>
      </c>
      <c r="N74" s="722">
        <f>_xlfn.XLOOKUP(TableauRecette[[#This Row],[ID]],TableauProduit[ID],TableauProduit[Total (kg) N3],0,0,1)*TableauRecette[[#This Row],[poids / unite]]</f>
        <v>0.62045454545454548</v>
      </c>
      <c r="O74" s="722">
        <f>_xlfn.XLOOKUP(TableauRecette[[#This Row],[ID]],TableauProduit[ID],TableauProduit[Total (kg) N4],0,0,1)*TableauRecette[[#This Row],[poids / unite]]</f>
        <v>0.62045454545454548</v>
      </c>
      <c r="P74" s="722">
        <f>_xlfn.XLOOKUP(TableauRecette[[#This Row],[ID]],TableauProduit[ID],TableauProduit[Total (kg) N5],0,0,1)*TableauRecette[[#This Row],[poids / unite]]</f>
        <v>0.62045454545454548</v>
      </c>
      <c r="Q74" s="722">
        <f>_xlfn.XLOOKUP(TableauRecette[[#This Row],[ID]],TableauProduit[ID],TableauProduit[Total (kg) N6],0,0,1)*TableauRecette[[#This Row],[poids / unite]]</f>
        <v>0.62045454545454548</v>
      </c>
      <c r="R74" s="722">
        <f>_xlfn.XLOOKUP(TableauRecette[[#This Row],[ID]],TableauProduit[ID],TableauProduit[Total (kg) N7],0,0,1)*TableauRecette[[#This Row],[poids / unite]]</f>
        <v>0.62045454545454548</v>
      </c>
      <c r="S74" s="722">
        <f>_xlfn.XLOOKUP(TableauRecette[[#This Row],[ID]],TableauProduit[ID],TableauProduit[Total (kg) N8],0,0,1)*TableauRecette[[#This Row],[poids / unite]]</f>
        <v>0.62045454545454548</v>
      </c>
      <c r="T74" s="722">
        <f>_xlfn.XLOOKUP(TableauRecette[[#This Row],[ID]],TableauProduit[ID],TableauProduit[Total (kg) N9],0,0,1)*TableauRecette[[#This Row],[poids / unite]]</f>
        <v>0.62045454545454548</v>
      </c>
    </row>
    <row r="75" spans="1:20">
      <c r="A75" s="65" t="s">
        <v>63</v>
      </c>
      <c r="B75" s="65" t="str">
        <f>TableauRecette[[#This Row],[Recette]]&amp;TableauRecette[[#This Row],[Conditionnement]]</f>
        <v>CurryEpice 100ml</v>
      </c>
      <c r="C75" s="65" t="s">
        <v>303</v>
      </c>
      <c r="D75" s="189">
        <v>1</v>
      </c>
      <c r="E75" s="65" t="s">
        <v>55</v>
      </c>
      <c r="F75" s="189">
        <f>D75/SUMIFS(TableauRecette[Proportion],TableauRecette[Recette],TableauRecette[[#This Row],[Recette]],TableauRecette[Conditionnement],TableauRecette[[#This Row],[Conditionnement]])</f>
        <v>4.5454545454545456E-2</v>
      </c>
      <c r="G75" s="189">
        <f ca="1">_xlfn.XLOOKUP(TableauRecette[[#This Row],[Ingredients]],TableauIngredients[Ingredients],TableauIngredients[Prix d''achat (kg)],0)*TableauRecette[[#This Row],[poids / unite]]</f>
        <v>6.363636363636363E-2</v>
      </c>
      <c r="H75" s="189">
        <f>SUMIFS(TableauRecette[Proportion],TableauRecette[Recette],TableauRecette[[#This Row],[Recette]],TableauRecette[Conditionnement],TableauRecette[[#This Row],[Conditionnement]])</f>
        <v>22</v>
      </c>
      <c r="I75" s="189">
        <f ca="1">TableauRecette[[#This Row],[Proportion]]*TableauRecette[[#This Row],[Prix d''achat / kg]]/TableauRecette[[#This Row],[Total Proportion]]</f>
        <v>0</v>
      </c>
      <c r="J75" s="189" t="s">
        <v>729</v>
      </c>
      <c r="K75" s="720" t="s">
        <v>282</v>
      </c>
      <c r="L75" s="721">
        <f>_xlfn.XLOOKUP(TableauRecette[[#This Row],[ID]],TableauProduit[ID],TableauProduit[Total (kg) N1],0,0,1)*TableauRecette[[#This Row],[poids / unite]]</f>
        <v>1.240909090909091</v>
      </c>
      <c r="M75" s="722">
        <f>_xlfn.XLOOKUP(TableauRecette[[#This Row],[ID]],TableauProduit[ID],TableauProduit[Total (kg) N2],0,0,1)*TableauRecette[[#This Row],[poids / unite]]</f>
        <v>1.240909090909091</v>
      </c>
      <c r="N75" s="722">
        <f>_xlfn.XLOOKUP(TableauRecette[[#This Row],[ID]],TableauProduit[ID],TableauProduit[Total (kg) N3],0,0,1)*TableauRecette[[#This Row],[poids / unite]]</f>
        <v>1.240909090909091</v>
      </c>
      <c r="O75" s="722">
        <f>_xlfn.XLOOKUP(TableauRecette[[#This Row],[ID]],TableauProduit[ID],TableauProduit[Total (kg) N4],0,0,1)*TableauRecette[[#This Row],[poids / unite]]</f>
        <v>1.240909090909091</v>
      </c>
      <c r="P75" s="722">
        <f>_xlfn.XLOOKUP(TableauRecette[[#This Row],[ID]],TableauProduit[ID],TableauProduit[Total (kg) N5],0,0,1)*TableauRecette[[#This Row],[poids / unite]]</f>
        <v>1.240909090909091</v>
      </c>
      <c r="Q75" s="722">
        <f>_xlfn.XLOOKUP(TableauRecette[[#This Row],[ID]],TableauProduit[ID],TableauProduit[Total (kg) N6],0,0,1)*TableauRecette[[#This Row],[poids / unite]]</f>
        <v>1.240909090909091</v>
      </c>
      <c r="R75" s="722">
        <f>_xlfn.XLOOKUP(TableauRecette[[#This Row],[ID]],TableauProduit[ID],TableauProduit[Total (kg) N7],0,0,1)*TableauRecette[[#This Row],[poids / unite]]</f>
        <v>1.240909090909091</v>
      </c>
      <c r="S75" s="722">
        <f>_xlfn.XLOOKUP(TableauRecette[[#This Row],[ID]],TableauProduit[ID],TableauProduit[Total (kg) N8],0,0,1)*TableauRecette[[#This Row],[poids / unite]]</f>
        <v>1.240909090909091</v>
      </c>
      <c r="T75" s="722">
        <f>_xlfn.XLOOKUP(TableauRecette[[#This Row],[ID]],TableauProduit[ID],TableauProduit[Total (kg) N9],0,0,1)*TableauRecette[[#This Row],[poids / unite]]</f>
        <v>1.240909090909091</v>
      </c>
    </row>
    <row r="76" spans="1:20">
      <c r="A76" s="65" t="s">
        <v>63</v>
      </c>
      <c r="B76" s="65" t="str">
        <f>TableauRecette[[#This Row],[Recette]]&amp;TableauRecette[[#This Row],[Conditionnement]]</f>
        <v>CurryEpice 100ml</v>
      </c>
      <c r="C76" s="65" t="s">
        <v>287</v>
      </c>
      <c r="D76" s="189">
        <v>0.75</v>
      </c>
      <c r="E76" s="65" t="s">
        <v>55</v>
      </c>
      <c r="F76" s="189">
        <f>D76/SUMIFS(TableauRecette[Proportion],TableauRecette[Recette],TableauRecette[[#This Row],[Recette]],TableauRecette[Conditionnement],TableauRecette[[#This Row],[Conditionnement]])</f>
        <v>3.4090909090909088E-2</v>
      </c>
      <c r="G76" s="189">
        <f ca="1">_xlfn.XLOOKUP(TableauRecette[[#This Row],[Ingredients]],TableauIngredients[Ingredients],TableauIngredients[Prix d''achat (kg)],0)*TableauRecette[[#This Row],[poids / unite]]</f>
        <v>1.2562499999999999</v>
      </c>
      <c r="H76" s="189">
        <f>SUMIFS(TableauRecette[Proportion],TableauRecette[Recette],TableauRecette[[#This Row],[Recette]],TableauRecette[Conditionnement],TableauRecette[[#This Row],[Conditionnement]])</f>
        <v>22</v>
      </c>
      <c r="I76" s="189">
        <f ca="1">TableauRecette[[#This Row],[Proportion]]*TableauRecette[[#This Row],[Prix d''achat / kg]]/TableauRecette[[#This Row],[Total Proportion]]</f>
        <v>0</v>
      </c>
      <c r="J76" s="189" t="s">
        <v>729</v>
      </c>
      <c r="K76" s="720" t="s">
        <v>282</v>
      </c>
      <c r="L76" s="721">
        <f>_xlfn.XLOOKUP(TableauRecette[[#This Row],[ID]],TableauProduit[ID],TableauProduit[Total (kg) N1],0,0,1)*TableauRecette[[#This Row],[poids / unite]]</f>
        <v>0.93068181818181817</v>
      </c>
      <c r="M76" s="722">
        <f>_xlfn.XLOOKUP(TableauRecette[[#This Row],[ID]],TableauProduit[ID],TableauProduit[Total (kg) N2],0,0,1)*TableauRecette[[#This Row],[poids / unite]]</f>
        <v>0.93068181818181817</v>
      </c>
      <c r="N76" s="722">
        <f>_xlfn.XLOOKUP(TableauRecette[[#This Row],[ID]],TableauProduit[ID],TableauProduit[Total (kg) N3],0,0,1)*TableauRecette[[#This Row],[poids / unite]]</f>
        <v>0.93068181818181817</v>
      </c>
      <c r="O76" s="722">
        <f>_xlfn.XLOOKUP(TableauRecette[[#This Row],[ID]],TableauProduit[ID],TableauProduit[Total (kg) N4],0,0,1)*TableauRecette[[#This Row],[poids / unite]]</f>
        <v>0.93068181818181817</v>
      </c>
      <c r="P76" s="722">
        <f>_xlfn.XLOOKUP(TableauRecette[[#This Row],[ID]],TableauProduit[ID],TableauProduit[Total (kg) N5],0,0,1)*TableauRecette[[#This Row],[poids / unite]]</f>
        <v>0.93068181818181817</v>
      </c>
      <c r="Q76" s="722">
        <f>_xlfn.XLOOKUP(TableauRecette[[#This Row],[ID]],TableauProduit[ID],TableauProduit[Total (kg) N6],0,0,1)*TableauRecette[[#This Row],[poids / unite]]</f>
        <v>0.93068181818181817</v>
      </c>
      <c r="R76" s="722">
        <f>_xlfn.XLOOKUP(TableauRecette[[#This Row],[ID]],TableauProduit[ID],TableauProduit[Total (kg) N7],0,0,1)*TableauRecette[[#This Row],[poids / unite]]</f>
        <v>0.93068181818181817</v>
      </c>
      <c r="S76" s="722">
        <f>_xlfn.XLOOKUP(TableauRecette[[#This Row],[ID]],TableauProduit[ID],TableauProduit[Total (kg) N8],0,0,1)*TableauRecette[[#This Row],[poids / unite]]</f>
        <v>0.93068181818181817</v>
      </c>
      <c r="T76" s="722">
        <f>_xlfn.XLOOKUP(TableauRecette[[#This Row],[ID]],TableauProduit[ID],TableauProduit[Total (kg) N9],0,0,1)*TableauRecette[[#This Row],[poids / unite]]</f>
        <v>0.93068181818181817</v>
      </c>
    </row>
    <row r="77" spans="1:20">
      <c r="A77" s="65" t="s">
        <v>63</v>
      </c>
      <c r="B77" s="65" t="str">
        <f>TableauRecette[[#This Row],[Recette]]&amp;TableauRecette[[#This Row],[Conditionnement]]</f>
        <v>CurryEpice 100ml</v>
      </c>
      <c r="C77" s="65" t="s">
        <v>299</v>
      </c>
      <c r="D77" s="189">
        <v>0.5</v>
      </c>
      <c r="E77" s="65" t="s">
        <v>55</v>
      </c>
      <c r="F77" s="189">
        <f>D77/SUMIFS(TableauRecette[Proportion],TableauRecette[Recette],TableauRecette[[#This Row],[Recette]],TableauRecette[Conditionnement],TableauRecette[[#This Row],[Conditionnement]])</f>
        <v>2.2727272727272728E-2</v>
      </c>
      <c r="G77" s="189">
        <f ca="1">_xlfn.XLOOKUP(TableauRecette[[#This Row],[Ingredients]],TableauIngredients[Ingredients],TableauIngredients[Prix d''achat (kg)],0)*TableauRecette[[#This Row],[poids / unite]]</f>
        <v>0</v>
      </c>
      <c r="H77" s="189">
        <f>SUMIFS(TableauRecette[Proportion],TableauRecette[Recette],TableauRecette[[#This Row],[Recette]],TableauRecette[Conditionnement],TableauRecette[[#This Row],[Conditionnement]])</f>
        <v>22</v>
      </c>
      <c r="I77" s="189">
        <f ca="1">TableauRecette[[#This Row],[Proportion]]*TableauRecette[[#This Row],[Prix d''achat / kg]]/TableauRecette[[#This Row],[Total Proportion]]</f>
        <v>0</v>
      </c>
      <c r="J77" s="189" t="s">
        <v>729</v>
      </c>
      <c r="K77" s="720" t="s">
        <v>282</v>
      </c>
      <c r="L77" s="721">
        <f>_xlfn.XLOOKUP(TableauRecette[[#This Row],[ID]],TableauProduit[ID],TableauProduit[Total (kg) N1],0,0,1)*TableauRecette[[#This Row],[poids / unite]]</f>
        <v>0.62045454545454548</v>
      </c>
      <c r="M77" s="722">
        <f>_xlfn.XLOOKUP(TableauRecette[[#This Row],[ID]],TableauProduit[ID],TableauProduit[Total (kg) N2],0,0,1)*TableauRecette[[#This Row],[poids / unite]]</f>
        <v>0.62045454545454548</v>
      </c>
      <c r="N77" s="722">
        <f>_xlfn.XLOOKUP(TableauRecette[[#This Row],[ID]],TableauProduit[ID],TableauProduit[Total (kg) N3],0,0,1)*TableauRecette[[#This Row],[poids / unite]]</f>
        <v>0.62045454545454548</v>
      </c>
      <c r="O77" s="722">
        <f>_xlfn.XLOOKUP(TableauRecette[[#This Row],[ID]],TableauProduit[ID],TableauProduit[Total (kg) N4],0,0,1)*TableauRecette[[#This Row],[poids / unite]]</f>
        <v>0.62045454545454548</v>
      </c>
      <c r="P77" s="722">
        <f>_xlfn.XLOOKUP(TableauRecette[[#This Row],[ID]],TableauProduit[ID],TableauProduit[Total (kg) N5],0,0,1)*TableauRecette[[#This Row],[poids / unite]]</f>
        <v>0.62045454545454548</v>
      </c>
      <c r="Q77" s="722">
        <f>_xlfn.XLOOKUP(TableauRecette[[#This Row],[ID]],TableauProduit[ID],TableauProduit[Total (kg) N6],0,0,1)*TableauRecette[[#This Row],[poids / unite]]</f>
        <v>0.62045454545454548</v>
      </c>
      <c r="R77" s="722">
        <f>_xlfn.XLOOKUP(TableauRecette[[#This Row],[ID]],TableauProduit[ID],TableauProduit[Total (kg) N7],0,0,1)*TableauRecette[[#This Row],[poids / unite]]</f>
        <v>0.62045454545454548</v>
      </c>
      <c r="S77" s="722">
        <f>_xlfn.XLOOKUP(TableauRecette[[#This Row],[ID]],TableauProduit[ID],TableauProduit[Total (kg) N8],0,0,1)*TableauRecette[[#This Row],[poids / unite]]</f>
        <v>0.62045454545454548</v>
      </c>
      <c r="T77" s="722">
        <f>_xlfn.XLOOKUP(TableauRecette[[#This Row],[ID]],TableauProduit[ID],TableauProduit[Total (kg) N9],0,0,1)*TableauRecette[[#This Row],[poids / unite]]</f>
        <v>0.62045454545454548</v>
      </c>
    </row>
    <row r="78" spans="1:20">
      <c r="A78" s="65" t="s">
        <v>63</v>
      </c>
      <c r="B78" s="65" t="str">
        <f>TableauRecette[[#This Row],[Recette]]&amp;TableauRecette[[#This Row],[Conditionnement]]</f>
        <v>CurryEpice 100ml</v>
      </c>
      <c r="C78" s="65" t="s">
        <v>304</v>
      </c>
      <c r="D78" s="189">
        <v>3</v>
      </c>
      <c r="E78" s="65" t="s">
        <v>55</v>
      </c>
      <c r="F78" s="189">
        <f>D78/SUMIFS(TableauRecette[Proportion],TableauRecette[Recette],TableauRecette[[#This Row],[Recette]],TableauRecette[Conditionnement],TableauRecette[[#This Row],[Conditionnement]])</f>
        <v>0.13636363636363635</v>
      </c>
      <c r="G78" s="189">
        <f ca="1">_xlfn.XLOOKUP(TableauRecette[[#This Row],[Ingredients]],TableauIngredients[Ingredients],TableauIngredients[Prix d''achat (kg)],0)*TableauRecette[[#This Row],[poids / unite]]</f>
        <v>0</v>
      </c>
      <c r="H78" s="189">
        <f>SUMIFS(TableauRecette[Proportion],TableauRecette[Recette],TableauRecette[[#This Row],[Recette]],TableauRecette[Conditionnement],TableauRecette[[#This Row],[Conditionnement]])</f>
        <v>22</v>
      </c>
      <c r="I78" s="189">
        <f ca="1">TableauRecette[[#This Row],[Proportion]]*TableauRecette[[#This Row],[Prix d''achat / kg]]/TableauRecette[[#This Row],[Total Proportion]]</f>
        <v>0</v>
      </c>
      <c r="J78" s="189"/>
      <c r="K78" s="720"/>
      <c r="L78" s="721">
        <f>_xlfn.XLOOKUP(TableauRecette[[#This Row],[ID]],TableauProduit[ID],TableauProduit[Total (kg) N1],0,0,1)*TableauRecette[[#This Row],[poids / unite]]</f>
        <v>3.7227272727272727</v>
      </c>
      <c r="M78" s="722">
        <f>_xlfn.XLOOKUP(TableauRecette[[#This Row],[ID]],TableauProduit[ID],TableauProduit[Total (kg) N2],0,0,1)*TableauRecette[[#This Row],[poids / unite]]</f>
        <v>3.7227272727272727</v>
      </c>
      <c r="N78" s="722">
        <f>_xlfn.XLOOKUP(TableauRecette[[#This Row],[ID]],TableauProduit[ID],TableauProduit[Total (kg) N3],0,0,1)*TableauRecette[[#This Row],[poids / unite]]</f>
        <v>3.7227272727272727</v>
      </c>
      <c r="O78" s="722">
        <f>_xlfn.XLOOKUP(TableauRecette[[#This Row],[ID]],TableauProduit[ID],TableauProduit[Total (kg) N4],0,0,1)*TableauRecette[[#This Row],[poids / unite]]</f>
        <v>3.7227272727272727</v>
      </c>
      <c r="P78" s="722">
        <f>_xlfn.XLOOKUP(TableauRecette[[#This Row],[ID]],TableauProduit[ID],TableauProduit[Total (kg) N5],0,0,1)*TableauRecette[[#This Row],[poids / unite]]</f>
        <v>3.7227272727272727</v>
      </c>
      <c r="Q78" s="722">
        <f>_xlfn.XLOOKUP(TableauRecette[[#This Row],[ID]],TableauProduit[ID],TableauProduit[Total (kg) N6],0,0,1)*TableauRecette[[#This Row],[poids / unite]]</f>
        <v>3.7227272727272727</v>
      </c>
      <c r="R78" s="722">
        <f>_xlfn.XLOOKUP(TableauRecette[[#This Row],[ID]],TableauProduit[ID],TableauProduit[Total (kg) N7],0,0,1)*TableauRecette[[#This Row],[poids / unite]]</f>
        <v>3.7227272727272727</v>
      </c>
      <c r="S78" s="722">
        <f>_xlfn.XLOOKUP(TableauRecette[[#This Row],[ID]],TableauProduit[ID],TableauProduit[Total (kg) N8],0,0,1)*TableauRecette[[#This Row],[poids / unite]]</f>
        <v>3.7227272727272727</v>
      </c>
      <c r="T78" s="722">
        <f>_xlfn.XLOOKUP(TableauRecette[[#This Row],[ID]],TableauProduit[ID],TableauProduit[Total (kg) N9],0,0,1)*TableauRecette[[#This Row],[poids / unite]]</f>
        <v>3.7227272727272727</v>
      </c>
    </row>
    <row r="79" spans="1:20">
      <c r="A79" s="65" t="s">
        <v>63</v>
      </c>
      <c r="B79" s="65" t="str">
        <f>TableauRecette[[#This Row],[Recette]]&amp;TableauRecette[[#This Row],[Conditionnement]]</f>
        <v>CurryEpice 100ml</v>
      </c>
      <c r="C79" s="65" t="s">
        <v>290</v>
      </c>
      <c r="D79" s="189">
        <v>6</v>
      </c>
      <c r="E79" s="65" t="s">
        <v>55</v>
      </c>
      <c r="F79" s="189">
        <f>D79/SUMIFS(TableauRecette[Proportion],TableauRecette[Recette],TableauRecette[[#This Row],[Recette]],TableauRecette[Conditionnement],TableauRecette[[#This Row],[Conditionnement]])</f>
        <v>0.27272727272727271</v>
      </c>
      <c r="G79" s="189">
        <f ca="1">_xlfn.XLOOKUP(TableauRecette[[#This Row],[Ingredients]],TableauIngredients[Ingredients],TableauIngredients[Prix d''achat (kg)],0)*TableauRecette[[#This Row],[poids / unite]]</f>
        <v>0</v>
      </c>
      <c r="H79" s="189">
        <f>SUMIFS(TableauRecette[Proportion],TableauRecette[Recette],TableauRecette[[#This Row],[Recette]],TableauRecette[Conditionnement],TableauRecette[[#This Row],[Conditionnement]])</f>
        <v>22</v>
      </c>
      <c r="I79" s="189">
        <f ca="1">TableauRecette[[#This Row],[Proportion]]*TableauRecette[[#This Row],[Prix d''achat / kg]]/TableauRecette[[#This Row],[Total Proportion]]</f>
        <v>0</v>
      </c>
      <c r="J79" s="189"/>
      <c r="K79" s="720"/>
      <c r="L79" s="721">
        <f>_xlfn.XLOOKUP(TableauRecette[[#This Row],[ID]],TableauProduit[ID],TableauProduit[Total (kg) N1],0,0,1)*TableauRecette[[#This Row],[poids / unite]]</f>
        <v>7.4454545454545453</v>
      </c>
      <c r="M79" s="722">
        <f>_xlfn.XLOOKUP(TableauRecette[[#This Row],[ID]],TableauProduit[ID],TableauProduit[Total (kg) N2],0,0,1)*TableauRecette[[#This Row],[poids / unite]]</f>
        <v>7.4454545454545453</v>
      </c>
      <c r="N79" s="722">
        <f>_xlfn.XLOOKUP(TableauRecette[[#This Row],[ID]],TableauProduit[ID],TableauProduit[Total (kg) N3],0,0,1)*TableauRecette[[#This Row],[poids / unite]]</f>
        <v>7.4454545454545453</v>
      </c>
      <c r="O79" s="722">
        <f>_xlfn.XLOOKUP(TableauRecette[[#This Row],[ID]],TableauProduit[ID],TableauProduit[Total (kg) N4],0,0,1)*TableauRecette[[#This Row],[poids / unite]]</f>
        <v>7.4454545454545453</v>
      </c>
      <c r="P79" s="722">
        <f>_xlfn.XLOOKUP(TableauRecette[[#This Row],[ID]],TableauProduit[ID],TableauProduit[Total (kg) N5],0,0,1)*TableauRecette[[#This Row],[poids / unite]]</f>
        <v>7.4454545454545453</v>
      </c>
      <c r="Q79" s="722">
        <f>_xlfn.XLOOKUP(TableauRecette[[#This Row],[ID]],TableauProduit[ID],TableauProduit[Total (kg) N6],0,0,1)*TableauRecette[[#This Row],[poids / unite]]</f>
        <v>7.4454545454545453</v>
      </c>
      <c r="R79" s="722">
        <f>_xlfn.XLOOKUP(TableauRecette[[#This Row],[ID]],TableauProduit[ID],TableauProduit[Total (kg) N7],0,0,1)*TableauRecette[[#This Row],[poids / unite]]</f>
        <v>7.4454545454545453</v>
      </c>
      <c r="S79" s="722">
        <f>_xlfn.XLOOKUP(TableauRecette[[#This Row],[ID]],TableauProduit[ID],TableauProduit[Total (kg) N8],0,0,1)*TableauRecette[[#This Row],[poids / unite]]</f>
        <v>7.4454545454545453</v>
      </c>
      <c r="T79" s="722">
        <f>_xlfn.XLOOKUP(TableauRecette[[#This Row],[ID]],TableauProduit[ID],TableauProduit[Total (kg) N9],0,0,1)*TableauRecette[[#This Row],[poids / unite]]</f>
        <v>7.4454545454545453</v>
      </c>
    </row>
    <row r="80" spans="1:20">
      <c r="A80" s="65" t="s">
        <v>63</v>
      </c>
      <c r="B80" s="65" t="str">
        <f>TableauRecette[[#This Row],[Recette]]&amp;TableauRecette[[#This Row],[Conditionnement]]</f>
        <v>CurryEpice 100ml</v>
      </c>
      <c r="C80" s="65" t="s">
        <v>311</v>
      </c>
      <c r="D80" s="189">
        <v>6</v>
      </c>
      <c r="E80" s="65" t="s">
        <v>55</v>
      </c>
      <c r="F80" s="189">
        <f>D80/SUMIFS(TableauRecette[Proportion],TableauRecette[Recette],TableauRecette[[#This Row],[Recette]],TableauRecette[Conditionnement],TableauRecette[[#This Row],[Conditionnement]])</f>
        <v>0.27272727272727271</v>
      </c>
      <c r="G80" s="189">
        <f ca="1">_xlfn.XLOOKUP(TableauRecette[[#This Row],[Ingredients]],TableauIngredients[Ingredients],TableauIngredients[Prix d''achat (kg)],0)*TableauRecette[[#This Row],[poids / unite]]</f>
        <v>0</v>
      </c>
      <c r="H80" s="189">
        <f>SUMIFS(TableauRecette[Proportion],TableauRecette[Recette],TableauRecette[[#This Row],[Recette]],TableauRecette[Conditionnement],TableauRecette[[#This Row],[Conditionnement]])</f>
        <v>22</v>
      </c>
      <c r="I80" s="189">
        <f ca="1">TableauRecette[[#This Row],[Proportion]]*TableauRecette[[#This Row],[Prix d''achat / kg]]/TableauRecette[[#This Row],[Total Proportion]]</f>
        <v>0</v>
      </c>
      <c r="J80" s="189"/>
      <c r="K80" s="720"/>
      <c r="L80" s="721">
        <f>_xlfn.XLOOKUP(TableauRecette[[#This Row],[ID]],TableauProduit[ID],TableauProduit[Total (kg) N1],0,0,1)*TableauRecette[[#This Row],[poids / unite]]</f>
        <v>7.4454545454545453</v>
      </c>
      <c r="M80" s="722">
        <f>_xlfn.XLOOKUP(TableauRecette[[#This Row],[ID]],TableauProduit[ID],TableauProduit[Total (kg) N2],0,0,1)*TableauRecette[[#This Row],[poids / unite]]</f>
        <v>7.4454545454545453</v>
      </c>
      <c r="N80" s="722">
        <f>_xlfn.XLOOKUP(TableauRecette[[#This Row],[ID]],TableauProduit[ID],TableauProduit[Total (kg) N3],0,0,1)*TableauRecette[[#This Row],[poids / unite]]</f>
        <v>7.4454545454545453</v>
      </c>
      <c r="O80" s="722">
        <f>_xlfn.XLOOKUP(TableauRecette[[#This Row],[ID]],TableauProduit[ID],TableauProduit[Total (kg) N4],0,0,1)*TableauRecette[[#This Row],[poids / unite]]</f>
        <v>7.4454545454545453</v>
      </c>
      <c r="P80" s="722">
        <f>_xlfn.XLOOKUP(TableauRecette[[#This Row],[ID]],TableauProduit[ID],TableauProduit[Total (kg) N5],0,0,1)*TableauRecette[[#This Row],[poids / unite]]</f>
        <v>7.4454545454545453</v>
      </c>
      <c r="Q80" s="722">
        <f>_xlfn.XLOOKUP(TableauRecette[[#This Row],[ID]],TableauProduit[ID],TableauProduit[Total (kg) N6],0,0,1)*TableauRecette[[#This Row],[poids / unite]]</f>
        <v>7.4454545454545453</v>
      </c>
      <c r="R80" s="722">
        <f>_xlfn.XLOOKUP(TableauRecette[[#This Row],[ID]],TableauProduit[ID],TableauProduit[Total (kg) N7],0,0,1)*TableauRecette[[#This Row],[poids / unite]]</f>
        <v>7.4454545454545453</v>
      </c>
      <c r="S80" s="722">
        <f>_xlfn.XLOOKUP(TableauRecette[[#This Row],[ID]],TableauProduit[ID],TableauProduit[Total (kg) N8],0,0,1)*TableauRecette[[#This Row],[poids / unite]]</f>
        <v>7.4454545454545453</v>
      </c>
      <c r="T80" s="722">
        <f>_xlfn.XLOOKUP(TableauRecette[[#This Row],[ID]],TableauProduit[ID],TableauProduit[Total (kg) N9],0,0,1)*TableauRecette[[#This Row],[poids / unite]]</f>
        <v>7.4454545454545453</v>
      </c>
    </row>
    <row r="81" spans="1:20">
      <c r="A81" s="65" t="s">
        <v>63</v>
      </c>
      <c r="B81" s="65" t="str">
        <f>TableauRecette[[#This Row],[Recette]]&amp;TableauRecette[[#This Row],[Conditionnement]]</f>
        <v>CurryEpice 100ml</v>
      </c>
      <c r="C81" s="65" t="s">
        <v>305</v>
      </c>
      <c r="D81" s="189">
        <v>0.5</v>
      </c>
      <c r="E81" s="65" t="s">
        <v>55</v>
      </c>
      <c r="F81" s="189">
        <f>D81/SUMIFS(TableauRecette[Proportion],TableauRecette[Recette],TableauRecette[[#This Row],[Recette]],TableauRecette[Conditionnement],TableauRecette[[#This Row],[Conditionnement]])</f>
        <v>2.2727272727272728E-2</v>
      </c>
      <c r="G81" s="189">
        <f ca="1">_xlfn.XLOOKUP(TableauRecette[[#This Row],[Ingredients]],TableauIngredients[Ingredients],TableauIngredients[Prix d''achat (kg)],0)*TableauRecette[[#This Row],[poids / unite]]</f>
        <v>0</v>
      </c>
      <c r="H81" s="189">
        <f>SUMIFS(TableauRecette[Proportion],TableauRecette[Recette],TableauRecette[[#This Row],[Recette]],TableauRecette[Conditionnement],TableauRecette[[#This Row],[Conditionnement]])</f>
        <v>22</v>
      </c>
      <c r="I81" s="189">
        <f ca="1">TableauRecette[[#This Row],[Proportion]]*TableauRecette[[#This Row],[Prix d''achat / kg]]/TableauRecette[[#This Row],[Total Proportion]]</f>
        <v>0</v>
      </c>
      <c r="J81" s="189"/>
      <c r="K81" s="720"/>
      <c r="L81" s="721">
        <f>_xlfn.XLOOKUP(TableauRecette[[#This Row],[ID]],TableauProduit[ID],TableauProduit[Total (kg) N1],0,0,1)*TableauRecette[[#This Row],[poids / unite]]</f>
        <v>0.62045454545454548</v>
      </c>
      <c r="M81" s="722">
        <f>_xlfn.XLOOKUP(TableauRecette[[#This Row],[ID]],TableauProduit[ID],TableauProduit[Total (kg) N2],0,0,1)*TableauRecette[[#This Row],[poids / unite]]</f>
        <v>0.62045454545454548</v>
      </c>
      <c r="N81" s="722">
        <f>_xlfn.XLOOKUP(TableauRecette[[#This Row],[ID]],TableauProduit[ID],TableauProduit[Total (kg) N3],0,0,1)*TableauRecette[[#This Row],[poids / unite]]</f>
        <v>0.62045454545454548</v>
      </c>
      <c r="O81" s="722">
        <f>_xlfn.XLOOKUP(TableauRecette[[#This Row],[ID]],TableauProduit[ID],TableauProduit[Total (kg) N4],0,0,1)*TableauRecette[[#This Row],[poids / unite]]</f>
        <v>0.62045454545454548</v>
      </c>
      <c r="P81" s="722">
        <f>_xlfn.XLOOKUP(TableauRecette[[#This Row],[ID]],TableauProduit[ID],TableauProduit[Total (kg) N5],0,0,1)*TableauRecette[[#This Row],[poids / unite]]</f>
        <v>0.62045454545454548</v>
      </c>
      <c r="Q81" s="722">
        <f>_xlfn.XLOOKUP(TableauRecette[[#This Row],[ID]],TableauProduit[ID],TableauProduit[Total (kg) N6],0,0,1)*TableauRecette[[#This Row],[poids / unite]]</f>
        <v>0.62045454545454548</v>
      </c>
      <c r="R81" s="722">
        <f>_xlfn.XLOOKUP(TableauRecette[[#This Row],[ID]],TableauProduit[ID],TableauProduit[Total (kg) N7],0,0,1)*TableauRecette[[#This Row],[poids / unite]]</f>
        <v>0.62045454545454548</v>
      </c>
      <c r="S81" s="722">
        <f>_xlfn.XLOOKUP(TableauRecette[[#This Row],[ID]],TableauProduit[ID],TableauProduit[Total (kg) N8],0,0,1)*TableauRecette[[#This Row],[poids / unite]]</f>
        <v>0.62045454545454548</v>
      </c>
      <c r="T81" s="722">
        <f>_xlfn.XLOOKUP(TableauRecette[[#This Row],[ID]],TableauProduit[ID],TableauProduit[Total (kg) N9],0,0,1)*TableauRecette[[#This Row],[poids / unite]]</f>
        <v>0.62045454545454548</v>
      </c>
    </row>
    <row r="82" spans="1:20">
      <c r="A82" s="65" t="s">
        <v>63</v>
      </c>
      <c r="B82" s="65" t="str">
        <f>TableauRecette[[#This Row],[Recette]]&amp;TableauRecette[[#This Row],[Conditionnement]]</f>
        <v>CurryEpice 100ml</v>
      </c>
      <c r="C82" s="65" t="s">
        <v>299</v>
      </c>
      <c r="D82" s="189">
        <v>0.5</v>
      </c>
      <c r="E82" s="65" t="s">
        <v>55</v>
      </c>
      <c r="F82" s="189">
        <f>D82/SUMIFS(TableauRecette[Proportion],TableauRecette[Recette],TableauRecette[[#This Row],[Recette]],TableauRecette[Conditionnement],TableauRecette[[#This Row],[Conditionnement]])</f>
        <v>2.2727272727272728E-2</v>
      </c>
      <c r="G82" s="189">
        <f ca="1">_xlfn.XLOOKUP(TableauRecette[[#This Row],[Ingredients]],TableauIngredients[Ingredients],TableauIngredients[Prix d''achat (kg)],0)*TableauRecette[[#This Row],[poids / unite]]</f>
        <v>0</v>
      </c>
      <c r="H82" s="189">
        <f>SUMIFS(TableauRecette[Proportion],TableauRecette[Recette],TableauRecette[[#This Row],[Recette]],TableauRecette[Conditionnement],TableauRecette[[#This Row],[Conditionnement]])</f>
        <v>22</v>
      </c>
      <c r="I82" s="189">
        <f ca="1">TableauRecette[[#This Row],[Proportion]]*TableauRecette[[#This Row],[Prix d''achat / kg]]/TableauRecette[[#This Row],[Total Proportion]]</f>
        <v>0</v>
      </c>
      <c r="J82" s="189"/>
      <c r="K82" s="720"/>
      <c r="L82" s="721">
        <f>_xlfn.XLOOKUP(TableauRecette[[#This Row],[ID]],TableauProduit[ID],TableauProduit[Total (kg) N1],0,0,1)*TableauRecette[[#This Row],[poids / unite]]</f>
        <v>0.62045454545454548</v>
      </c>
      <c r="M82" s="722">
        <f>_xlfn.XLOOKUP(TableauRecette[[#This Row],[ID]],TableauProduit[ID],TableauProduit[Total (kg) N2],0,0,1)*TableauRecette[[#This Row],[poids / unite]]</f>
        <v>0.62045454545454548</v>
      </c>
      <c r="N82" s="722">
        <f>_xlfn.XLOOKUP(TableauRecette[[#This Row],[ID]],TableauProduit[ID],TableauProduit[Total (kg) N3],0,0,1)*TableauRecette[[#This Row],[poids / unite]]</f>
        <v>0.62045454545454548</v>
      </c>
      <c r="O82" s="722">
        <f>_xlfn.XLOOKUP(TableauRecette[[#This Row],[ID]],TableauProduit[ID],TableauProduit[Total (kg) N4],0,0,1)*TableauRecette[[#This Row],[poids / unite]]</f>
        <v>0.62045454545454548</v>
      </c>
      <c r="P82" s="722">
        <f>_xlfn.XLOOKUP(TableauRecette[[#This Row],[ID]],TableauProduit[ID],TableauProduit[Total (kg) N5],0,0,1)*TableauRecette[[#This Row],[poids / unite]]</f>
        <v>0.62045454545454548</v>
      </c>
      <c r="Q82" s="722">
        <f>_xlfn.XLOOKUP(TableauRecette[[#This Row],[ID]],TableauProduit[ID],TableauProduit[Total (kg) N6],0,0,1)*TableauRecette[[#This Row],[poids / unite]]</f>
        <v>0.62045454545454548</v>
      </c>
      <c r="R82" s="722">
        <f>_xlfn.XLOOKUP(TableauRecette[[#This Row],[ID]],TableauProduit[ID],TableauProduit[Total (kg) N7],0,0,1)*TableauRecette[[#This Row],[poids / unite]]</f>
        <v>0.62045454545454548</v>
      </c>
      <c r="S82" s="722">
        <f>_xlfn.XLOOKUP(TableauRecette[[#This Row],[ID]],TableauProduit[ID],TableauProduit[Total (kg) N8],0,0,1)*TableauRecette[[#This Row],[poids / unite]]</f>
        <v>0.62045454545454548</v>
      </c>
      <c r="T82" s="722">
        <f>_xlfn.XLOOKUP(TableauRecette[[#This Row],[ID]],TableauProduit[ID],TableauProduit[Total (kg) N9],0,0,1)*TableauRecette[[#This Row],[poids / unite]]</f>
        <v>0.62045454545454548</v>
      </c>
    </row>
    <row r="83" spans="1:20">
      <c r="A83" s="65" t="s">
        <v>63</v>
      </c>
      <c r="B83" s="65" t="str">
        <f>TableauRecette[[#This Row],[Recette]]&amp;TableauRecette[[#This Row],[Conditionnement]]</f>
        <v>CurryEpice 100ml</v>
      </c>
      <c r="C83" s="65" t="s">
        <v>312</v>
      </c>
      <c r="D83" s="189">
        <v>0.25</v>
      </c>
      <c r="E83" s="65" t="s">
        <v>55</v>
      </c>
      <c r="F83" s="189">
        <f>D83/SUMIFS(TableauRecette[Proportion],TableauRecette[Recette],TableauRecette[[#This Row],[Recette]],TableauRecette[Conditionnement],TableauRecette[[#This Row],[Conditionnement]])</f>
        <v>1.1363636363636364E-2</v>
      </c>
      <c r="G83" s="189">
        <f ca="1">_xlfn.XLOOKUP(TableauRecette[[#This Row],[Ingredients]],TableauIngredients[Ingredients],TableauIngredients[Prix d''achat (kg)],0)*TableauRecette[[#This Row],[poids / unite]]</f>
        <v>0</v>
      </c>
      <c r="H83" s="189">
        <f>SUMIFS(TableauRecette[Proportion],TableauRecette[Recette],TableauRecette[[#This Row],[Recette]],TableauRecette[Conditionnement],TableauRecette[[#This Row],[Conditionnement]])</f>
        <v>22</v>
      </c>
      <c r="I83" s="189">
        <f ca="1">TableauRecette[[#This Row],[Proportion]]*TableauRecette[[#This Row],[Prix d''achat / kg]]/TableauRecette[[#This Row],[Total Proportion]]</f>
        <v>0</v>
      </c>
      <c r="J83" s="189" t="s">
        <v>729</v>
      </c>
      <c r="K83" s="720" t="s">
        <v>282</v>
      </c>
      <c r="L83" s="721">
        <f>_xlfn.XLOOKUP(TableauRecette[[#This Row],[ID]],TableauProduit[ID],TableauProduit[Total (kg) N1],0,0,1)*TableauRecette[[#This Row],[poids / unite]]</f>
        <v>0.31022727272727274</v>
      </c>
      <c r="M83" s="722">
        <f>_xlfn.XLOOKUP(TableauRecette[[#This Row],[ID]],TableauProduit[ID],TableauProduit[Total (kg) N2],0,0,1)*TableauRecette[[#This Row],[poids / unite]]</f>
        <v>0.31022727272727274</v>
      </c>
      <c r="N83" s="722">
        <f>_xlfn.XLOOKUP(TableauRecette[[#This Row],[ID]],TableauProduit[ID],TableauProduit[Total (kg) N3],0,0,1)*TableauRecette[[#This Row],[poids / unite]]</f>
        <v>0.31022727272727274</v>
      </c>
      <c r="O83" s="722">
        <f>_xlfn.XLOOKUP(TableauRecette[[#This Row],[ID]],TableauProduit[ID],TableauProduit[Total (kg) N4],0,0,1)*TableauRecette[[#This Row],[poids / unite]]</f>
        <v>0.31022727272727274</v>
      </c>
      <c r="P83" s="722">
        <f>_xlfn.XLOOKUP(TableauRecette[[#This Row],[ID]],TableauProduit[ID],TableauProduit[Total (kg) N5],0,0,1)*TableauRecette[[#This Row],[poids / unite]]</f>
        <v>0.31022727272727274</v>
      </c>
      <c r="Q83" s="722">
        <f>_xlfn.XLOOKUP(TableauRecette[[#This Row],[ID]],TableauProduit[ID],TableauProduit[Total (kg) N6],0,0,1)*TableauRecette[[#This Row],[poids / unite]]</f>
        <v>0.31022727272727274</v>
      </c>
      <c r="R83" s="722">
        <f>_xlfn.XLOOKUP(TableauRecette[[#This Row],[ID]],TableauProduit[ID],TableauProduit[Total (kg) N7],0,0,1)*TableauRecette[[#This Row],[poids / unite]]</f>
        <v>0.31022727272727274</v>
      </c>
      <c r="S83" s="722">
        <f>_xlfn.XLOOKUP(TableauRecette[[#This Row],[ID]],TableauProduit[ID],TableauProduit[Total (kg) N8],0,0,1)*TableauRecette[[#This Row],[poids / unite]]</f>
        <v>0.31022727272727274</v>
      </c>
      <c r="T83" s="722">
        <f>_xlfn.XLOOKUP(TableauRecette[[#This Row],[ID]],TableauProduit[ID],TableauProduit[Total (kg) N9],0,0,1)*TableauRecette[[#This Row],[poids / unite]]</f>
        <v>0.31022727272727274</v>
      </c>
    </row>
    <row r="84" spans="1:20">
      <c r="A84" s="65" t="s">
        <v>63</v>
      </c>
      <c r="B84" s="65" t="str">
        <f>TableauRecette[[#This Row],[Recette]]&amp;TableauRecette[[#This Row],[Conditionnement]]</f>
        <v>CurryEpice 100ml</v>
      </c>
      <c r="C84" s="65" t="s">
        <v>309</v>
      </c>
      <c r="D84" s="189">
        <v>0.75</v>
      </c>
      <c r="E84" s="65" t="s">
        <v>55</v>
      </c>
      <c r="F84" s="189">
        <f>D84/SUMIFS(TableauRecette[Proportion],TableauRecette[Recette],TableauRecette[[#This Row],[Recette]],TableauRecette[Conditionnement],TableauRecette[[#This Row],[Conditionnement]])</f>
        <v>3.4090909090909088E-2</v>
      </c>
      <c r="G84" s="189">
        <f ca="1">_xlfn.XLOOKUP(TableauRecette[[#This Row],[Ingredients]],TableauIngredients[Ingredients],TableauIngredients[Prix d''achat (kg)],0)*TableauRecette[[#This Row],[poids / unite]]</f>
        <v>0</v>
      </c>
      <c r="H84" s="189">
        <f>SUMIFS(TableauRecette[Proportion],TableauRecette[Recette],TableauRecette[[#This Row],[Recette]],TableauRecette[Conditionnement],TableauRecette[[#This Row],[Conditionnement]])</f>
        <v>22</v>
      </c>
      <c r="I84" s="189">
        <f ca="1">TableauRecette[[#This Row],[Proportion]]*TableauRecette[[#This Row],[Prix d''achat / kg]]/TableauRecette[[#This Row],[Total Proportion]]</f>
        <v>0</v>
      </c>
      <c r="J84" s="189" t="s">
        <v>310</v>
      </c>
      <c r="K84" s="720" t="s">
        <v>282</v>
      </c>
      <c r="L84" s="721">
        <f>_xlfn.XLOOKUP(TableauRecette[[#This Row],[ID]],TableauProduit[ID],TableauProduit[Total (kg) N1],0,0,1)*TableauRecette[[#This Row],[poids / unite]]</f>
        <v>0.93068181818181817</v>
      </c>
      <c r="M84" s="722">
        <f>_xlfn.XLOOKUP(TableauRecette[[#This Row],[ID]],TableauProduit[ID],TableauProduit[Total (kg) N2],0,0,1)*TableauRecette[[#This Row],[poids / unite]]</f>
        <v>0.93068181818181817</v>
      </c>
      <c r="N84" s="722">
        <f>_xlfn.XLOOKUP(TableauRecette[[#This Row],[ID]],TableauProduit[ID],TableauProduit[Total (kg) N3],0,0,1)*TableauRecette[[#This Row],[poids / unite]]</f>
        <v>0.93068181818181817</v>
      </c>
      <c r="O84" s="722">
        <f>_xlfn.XLOOKUP(TableauRecette[[#This Row],[ID]],TableauProduit[ID],TableauProduit[Total (kg) N4],0,0,1)*TableauRecette[[#This Row],[poids / unite]]</f>
        <v>0.93068181818181817</v>
      </c>
      <c r="P84" s="722">
        <f>_xlfn.XLOOKUP(TableauRecette[[#This Row],[ID]],TableauProduit[ID],TableauProduit[Total (kg) N5],0,0,1)*TableauRecette[[#This Row],[poids / unite]]</f>
        <v>0.93068181818181817</v>
      </c>
      <c r="Q84" s="722">
        <f>_xlfn.XLOOKUP(TableauRecette[[#This Row],[ID]],TableauProduit[ID],TableauProduit[Total (kg) N6],0,0,1)*TableauRecette[[#This Row],[poids / unite]]</f>
        <v>0.93068181818181817</v>
      </c>
      <c r="R84" s="722">
        <f>_xlfn.XLOOKUP(TableauRecette[[#This Row],[ID]],TableauProduit[ID],TableauProduit[Total (kg) N7],0,0,1)*TableauRecette[[#This Row],[poids / unite]]</f>
        <v>0.93068181818181817</v>
      </c>
      <c r="S84" s="722">
        <f>_xlfn.XLOOKUP(TableauRecette[[#This Row],[ID]],TableauProduit[ID],TableauProduit[Total (kg) N8],0,0,1)*TableauRecette[[#This Row],[poids / unite]]</f>
        <v>0.93068181818181817</v>
      </c>
      <c r="T84" s="722">
        <f>_xlfn.XLOOKUP(TableauRecette[[#This Row],[ID]],TableauProduit[ID],TableauProduit[Total (kg) N9],0,0,1)*TableauRecette[[#This Row],[poids / unite]]</f>
        <v>0.93068181818181817</v>
      </c>
    </row>
    <row r="85" spans="1:20">
      <c r="A85" s="66" t="s">
        <v>101</v>
      </c>
      <c r="B85" s="66" t="str">
        <f>TableauRecette[[#This Row],[Recette]]&amp;TableauRecette[[#This Row],[Conditionnement]]</f>
        <v>Curry japonaisEpice 100ml</v>
      </c>
      <c r="C85" s="66" t="s">
        <v>304</v>
      </c>
      <c r="D85" s="190">
        <v>10</v>
      </c>
      <c r="E85" s="66" t="s">
        <v>55</v>
      </c>
      <c r="F85" s="190">
        <f>D85/SUMIFS(TableauRecette[Proportion],TableauRecette[Recette],TableauRecette[[#This Row],[Recette]],TableauRecette[Conditionnement],TableauRecette[[#This Row],[Conditionnement]])</f>
        <v>0.21052631578947367</v>
      </c>
      <c r="G85" s="190">
        <f ca="1">_xlfn.XLOOKUP(TableauRecette[[#This Row],[Ingredients]],TableauIngredients[Ingredients],TableauIngredients[Prix d''achat (kg)],0)*TableauRecette[[#This Row],[poids / unite]]</f>
        <v>0</v>
      </c>
      <c r="H85" s="190">
        <f>SUMIFS(TableauRecette[Proportion],TableauRecette[Recette],TableauRecette[[#This Row],[Recette]],TableauRecette[Conditionnement],TableauRecette[[#This Row],[Conditionnement]])</f>
        <v>47.5</v>
      </c>
      <c r="I85" s="190">
        <f ca="1">TableauRecette[[#This Row],[Proportion]]*TableauRecette[[#This Row],[Prix d''achat / kg]]/TableauRecette[[#This Row],[Total Proportion]]</f>
        <v>0</v>
      </c>
      <c r="J85" s="190"/>
      <c r="K85" s="723"/>
      <c r="L85" s="724">
        <f>_xlfn.XLOOKUP(TableauRecette[[#This Row],[ID]],TableauProduit[ID],TableauProduit[Total (kg) N1],0,0,1)*TableauRecette[[#This Row],[poids / unite]]</f>
        <v>0</v>
      </c>
      <c r="M85" s="725">
        <f>_xlfn.XLOOKUP(TableauRecette[[#This Row],[ID]],TableauProduit[ID],TableauProduit[Total (kg) N2],0,0,1)*TableauRecette[[#This Row],[poids / unite]]</f>
        <v>0</v>
      </c>
      <c r="N85" s="725">
        <f>_xlfn.XLOOKUP(TableauRecette[[#This Row],[ID]],TableauProduit[ID],TableauProduit[Total (kg) N3],0,0,1)*TableauRecette[[#This Row],[poids / unite]]</f>
        <v>0</v>
      </c>
      <c r="O85" s="725">
        <f>_xlfn.XLOOKUP(TableauRecette[[#This Row],[ID]],TableauProduit[ID],TableauProduit[Total (kg) N4],0,0,1)*TableauRecette[[#This Row],[poids / unite]]</f>
        <v>0</v>
      </c>
      <c r="P85" s="725">
        <f>_xlfn.XLOOKUP(TableauRecette[[#This Row],[ID]],TableauProduit[ID],TableauProduit[Total (kg) N5],0,0,1)*TableauRecette[[#This Row],[poids / unite]]</f>
        <v>0</v>
      </c>
      <c r="Q85" s="725">
        <f>_xlfn.XLOOKUP(TableauRecette[[#This Row],[ID]],TableauProduit[ID],TableauProduit[Total (kg) N6],0,0,1)*TableauRecette[[#This Row],[poids / unite]]</f>
        <v>0</v>
      </c>
      <c r="R85" s="725">
        <f>_xlfn.XLOOKUP(TableauRecette[[#This Row],[ID]],TableauProduit[ID],TableauProduit[Total (kg) N7],0,0,1)*TableauRecette[[#This Row],[poids / unite]]</f>
        <v>0</v>
      </c>
      <c r="S85" s="725">
        <f>_xlfn.XLOOKUP(TableauRecette[[#This Row],[ID]],TableauProduit[ID],TableauProduit[Total (kg) N8],0,0,1)*TableauRecette[[#This Row],[poids / unite]]</f>
        <v>0</v>
      </c>
      <c r="T85" s="725">
        <f>_xlfn.XLOOKUP(TableauRecette[[#This Row],[ID]],TableauProduit[ID],TableauProduit[Total (kg) N9],0,0,1)*TableauRecette[[#This Row],[poids / unite]]</f>
        <v>0</v>
      </c>
    </row>
    <row r="86" spans="1:20">
      <c r="A86" s="66" t="s">
        <v>101</v>
      </c>
      <c r="B86" s="66" t="str">
        <f>TableauRecette[[#This Row],[Recette]]&amp;TableauRecette[[#This Row],[Conditionnement]]</f>
        <v>Curry japonaisEpice 100ml</v>
      </c>
      <c r="C86" s="66" t="s">
        <v>290</v>
      </c>
      <c r="D86" s="190">
        <v>7</v>
      </c>
      <c r="E86" s="66" t="s">
        <v>55</v>
      </c>
      <c r="F86" s="190">
        <f>D86/SUMIFS(TableauRecette[Proportion],TableauRecette[Recette],TableauRecette[[#This Row],[Recette]],TableauRecette[Conditionnement],TableauRecette[[#This Row],[Conditionnement]])</f>
        <v>0.14736842105263157</v>
      </c>
      <c r="G86" s="190">
        <f ca="1">_xlfn.XLOOKUP(TableauRecette[[#This Row],[Ingredients]],TableauIngredients[Ingredients],TableauIngredients[Prix d''achat (kg)],0)*TableauRecette[[#This Row],[poids / unite]]</f>
        <v>0</v>
      </c>
      <c r="H86" s="190">
        <f>SUMIFS(TableauRecette[Proportion],TableauRecette[Recette],TableauRecette[[#This Row],[Recette]],TableauRecette[Conditionnement],TableauRecette[[#This Row],[Conditionnement]])</f>
        <v>47.5</v>
      </c>
      <c r="I86" s="190">
        <f ca="1">TableauRecette[[#This Row],[Proportion]]*TableauRecette[[#This Row],[Prix d''achat / kg]]/TableauRecette[[#This Row],[Total Proportion]]</f>
        <v>0</v>
      </c>
      <c r="J86" s="190"/>
      <c r="K86" s="723"/>
      <c r="L86" s="724">
        <f>_xlfn.XLOOKUP(TableauRecette[[#This Row],[ID]],TableauProduit[ID],TableauProduit[Total (kg) N1],0,0,1)*TableauRecette[[#This Row],[poids / unite]]</f>
        <v>0</v>
      </c>
      <c r="M86" s="725">
        <f>_xlfn.XLOOKUP(TableauRecette[[#This Row],[ID]],TableauProduit[ID],TableauProduit[Total (kg) N2],0,0,1)*TableauRecette[[#This Row],[poids / unite]]</f>
        <v>0</v>
      </c>
      <c r="N86" s="725">
        <f>_xlfn.XLOOKUP(TableauRecette[[#This Row],[ID]],TableauProduit[ID],TableauProduit[Total (kg) N3],0,0,1)*TableauRecette[[#This Row],[poids / unite]]</f>
        <v>0</v>
      </c>
      <c r="O86" s="725">
        <f>_xlfn.XLOOKUP(TableauRecette[[#This Row],[ID]],TableauProduit[ID],TableauProduit[Total (kg) N4],0,0,1)*TableauRecette[[#This Row],[poids / unite]]</f>
        <v>0</v>
      </c>
      <c r="P86" s="725">
        <f>_xlfn.XLOOKUP(TableauRecette[[#This Row],[ID]],TableauProduit[ID],TableauProduit[Total (kg) N5],0,0,1)*TableauRecette[[#This Row],[poids / unite]]</f>
        <v>0</v>
      </c>
      <c r="Q86" s="725">
        <f>_xlfn.XLOOKUP(TableauRecette[[#This Row],[ID]],TableauProduit[ID],TableauProduit[Total (kg) N6],0,0,1)*TableauRecette[[#This Row],[poids / unite]]</f>
        <v>0</v>
      </c>
      <c r="R86" s="725">
        <f>_xlfn.XLOOKUP(TableauRecette[[#This Row],[ID]],TableauProduit[ID],TableauProduit[Total (kg) N7],0,0,1)*TableauRecette[[#This Row],[poids / unite]]</f>
        <v>0</v>
      </c>
      <c r="S86" s="725">
        <f>_xlfn.XLOOKUP(TableauRecette[[#This Row],[ID]],TableauProduit[ID],TableauProduit[Total (kg) N8],0,0,1)*TableauRecette[[#This Row],[poids / unite]]</f>
        <v>0</v>
      </c>
      <c r="T86" s="725">
        <f>_xlfn.XLOOKUP(TableauRecette[[#This Row],[ID]],TableauProduit[ID],TableauProduit[Total (kg) N9],0,0,1)*TableauRecette[[#This Row],[poids / unite]]</f>
        <v>0</v>
      </c>
    </row>
    <row r="87" spans="1:20">
      <c r="A87" s="66" t="s">
        <v>101</v>
      </c>
      <c r="B87" s="66" t="str">
        <f>TableauRecette[[#This Row],[Recette]]&amp;TableauRecette[[#This Row],[Conditionnement]]</f>
        <v>Curry japonaisEpice 100ml</v>
      </c>
      <c r="C87" s="66" t="s">
        <v>289</v>
      </c>
      <c r="D87" s="190">
        <v>6</v>
      </c>
      <c r="E87" s="66" t="s">
        <v>55</v>
      </c>
      <c r="F87" s="190">
        <f>D87/SUMIFS(TableauRecette[Proportion],TableauRecette[Recette],TableauRecette[[#This Row],[Recette]],TableauRecette[Conditionnement],TableauRecette[[#This Row],[Conditionnement]])</f>
        <v>0.12631578947368421</v>
      </c>
      <c r="G87" s="190">
        <f ca="1">_xlfn.XLOOKUP(TableauRecette[[#This Row],[Ingredients]],TableauIngredients[Ingredients],TableauIngredients[Prix d''achat (kg)],0)*TableauRecette[[#This Row],[poids / unite]]</f>
        <v>0</v>
      </c>
      <c r="H87" s="190">
        <f>SUMIFS(TableauRecette[Proportion],TableauRecette[Recette],TableauRecette[[#This Row],[Recette]],TableauRecette[Conditionnement],TableauRecette[[#This Row],[Conditionnement]])</f>
        <v>47.5</v>
      </c>
      <c r="I87" s="190">
        <f ca="1">TableauRecette[[#This Row],[Proportion]]*TableauRecette[[#This Row],[Prix d''achat / kg]]/TableauRecette[[#This Row],[Total Proportion]]</f>
        <v>0</v>
      </c>
      <c r="J87" s="190"/>
      <c r="K87" s="723"/>
      <c r="L87" s="724">
        <f>_xlfn.XLOOKUP(TableauRecette[[#This Row],[ID]],TableauProduit[ID],TableauProduit[Total (kg) N1],0,0,1)*TableauRecette[[#This Row],[poids / unite]]</f>
        <v>0</v>
      </c>
      <c r="M87" s="725">
        <f>_xlfn.XLOOKUP(TableauRecette[[#This Row],[ID]],TableauProduit[ID],TableauProduit[Total (kg) N2],0,0,1)*TableauRecette[[#This Row],[poids / unite]]</f>
        <v>0</v>
      </c>
      <c r="N87" s="725">
        <f>_xlfn.XLOOKUP(TableauRecette[[#This Row],[ID]],TableauProduit[ID],TableauProduit[Total (kg) N3],0,0,1)*TableauRecette[[#This Row],[poids / unite]]</f>
        <v>0</v>
      </c>
      <c r="O87" s="725">
        <f>_xlfn.XLOOKUP(TableauRecette[[#This Row],[ID]],TableauProduit[ID],TableauProduit[Total (kg) N4],0,0,1)*TableauRecette[[#This Row],[poids / unite]]</f>
        <v>0</v>
      </c>
      <c r="P87" s="725">
        <f>_xlfn.XLOOKUP(TableauRecette[[#This Row],[ID]],TableauProduit[ID],TableauProduit[Total (kg) N5],0,0,1)*TableauRecette[[#This Row],[poids / unite]]</f>
        <v>0</v>
      </c>
      <c r="Q87" s="725">
        <f>_xlfn.XLOOKUP(TableauRecette[[#This Row],[ID]],TableauProduit[ID],TableauProduit[Total (kg) N6],0,0,1)*TableauRecette[[#This Row],[poids / unite]]</f>
        <v>0</v>
      </c>
      <c r="R87" s="725">
        <f>_xlfn.XLOOKUP(TableauRecette[[#This Row],[ID]],TableauProduit[ID],TableauProduit[Total (kg) N7],0,0,1)*TableauRecette[[#This Row],[poids / unite]]</f>
        <v>0</v>
      </c>
      <c r="S87" s="725">
        <f>_xlfn.XLOOKUP(TableauRecette[[#This Row],[ID]],TableauProduit[ID],TableauProduit[Total (kg) N8],0,0,1)*TableauRecette[[#This Row],[poids / unite]]</f>
        <v>0</v>
      </c>
      <c r="T87" s="725">
        <f>_xlfn.XLOOKUP(TableauRecette[[#This Row],[ID]],TableauProduit[ID],TableauProduit[Total (kg) N9],0,0,1)*TableauRecette[[#This Row],[poids / unite]]</f>
        <v>0</v>
      </c>
    </row>
    <row r="88" spans="1:20">
      <c r="A88" s="66" t="s">
        <v>101</v>
      </c>
      <c r="B88" s="66" t="str">
        <f>TableauRecette[[#This Row],[Recette]]&amp;TableauRecette[[#This Row],[Conditionnement]]</f>
        <v>Curry japonaisEpice 100ml</v>
      </c>
      <c r="C88" s="66" t="s">
        <v>779</v>
      </c>
      <c r="D88" s="190">
        <v>5</v>
      </c>
      <c r="E88" s="66" t="s">
        <v>55</v>
      </c>
      <c r="F88" s="190">
        <f>D88/SUMIFS(TableauRecette[Proportion],TableauRecette[Recette],TableauRecette[[#This Row],[Recette]],TableauRecette[Conditionnement],TableauRecette[[#This Row],[Conditionnement]])</f>
        <v>0.10526315789473684</v>
      </c>
      <c r="G88" s="190">
        <f ca="1">_xlfn.XLOOKUP(TableauRecette[[#This Row],[Ingredients]],TableauIngredients[Ingredients],TableauIngredients[Prix d''achat (kg)],0)*TableauRecette[[#This Row],[poids / unite]]</f>
        <v>8.0768421052631574</v>
      </c>
      <c r="H88" s="190">
        <f>SUMIFS(TableauRecette[Proportion],TableauRecette[Recette],TableauRecette[[#This Row],[Recette]],TableauRecette[Conditionnement],TableauRecette[[#This Row],[Conditionnement]])</f>
        <v>47.5</v>
      </c>
      <c r="I88" s="190">
        <f ca="1">TableauRecette[[#This Row],[Proportion]]*TableauRecette[[#This Row],[Prix d''achat / kg]]/TableauRecette[[#This Row],[Total Proportion]]</f>
        <v>0</v>
      </c>
      <c r="J88" s="190"/>
      <c r="K88" s="723"/>
      <c r="L88" s="724">
        <f>_xlfn.XLOOKUP(TableauRecette[[#This Row],[ID]],TableauProduit[ID],TableauProduit[Total (kg) N1],0,0,1)*TableauRecette[[#This Row],[poids / unite]]</f>
        <v>0</v>
      </c>
      <c r="M88" s="725">
        <f>_xlfn.XLOOKUP(TableauRecette[[#This Row],[ID]],TableauProduit[ID],TableauProduit[Total (kg) N2],0,0,1)*TableauRecette[[#This Row],[poids / unite]]</f>
        <v>0</v>
      </c>
      <c r="N88" s="725">
        <f>_xlfn.XLOOKUP(TableauRecette[[#This Row],[ID]],TableauProduit[ID],TableauProduit[Total (kg) N3],0,0,1)*TableauRecette[[#This Row],[poids / unite]]</f>
        <v>0</v>
      </c>
      <c r="O88" s="725">
        <f>_xlfn.XLOOKUP(TableauRecette[[#This Row],[ID]],TableauProduit[ID],TableauProduit[Total (kg) N4],0,0,1)*TableauRecette[[#This Row],[poids / unite]]</f>
        <v>0</v>
      </c>
      <c r="P88" s="725">
        <f>_xlfn.XLOOKUP(TableauRecette[[#This Row],[ID]],TableauProduit[ID],TableauProduit[Total (kg) N5],0,0,1)*TableauRecette[[#This Row],[poids / unite]]</f>
        <v>0</v>
      </c>
      <c r="Q88" s="725">
        <f>_xlfn.XLOOKUP(TableauRecette[[#This Row],[ID]],TableauProduit[ID],TableauProduit[Total (kg) N6],0,0,1)*TableauRecette[[#This Row],[poids / unite]]</f>
        <v>0</v>
      </c>
      <c r="R88" s="725">
        <f>_xlfn.XLOOKUP(TableauRecette[[#This Row],[ID]],TableauProduit[ID],TableauProduit[Total (kg) N7],0,0,1)*TableauRecette[[#This Row],[poids / unite]]</f>
        <v>0</v>
      </c>
      <c r="S88" s="725">
        <f>_xlfn.XLOOKUP(TableauRecette[[#This Row],[ID]],TableauProduit[ID],TableauProduit[Total (kg) N8],0,0,1)*TableauRecette[[#This Row],[poids / unite]]</f>
        <v>0</v>
      </c>
      <c r="T88" s="725">
        <f>_xlfn.XLOOKUP(TableauRecette[[#This Row],[ID]],TableauProduit[ID],TableauProduit[Total (kg) N9],0,0,1)*TableauRecette[[#This Row],[poids / unite]]</f>
        <v>0</v>
      </c>
    </row>
    <row r="89" spans="1:20">
      <c r="A89" s="66" t="s">
        <v>101</v>
      </c>
      <c r="B89" s="66" t="str">
        <f>TableauRecette[[#This Row],[Recette]]&amp;TableauRecette[[#This Row],[Conditionnement]]</f>
        <v>Curry japonaisEpice 100ml</v>
      </c>
      <c r="C89" s="66" t="s">
        <v>313</v>
      </c>
      <c r="D89" s="190">
        <v>2.5</v>
      </c>
      <c r="E89" s="66" t="s">
        <v>55</v>
      </c>
      <c r="F89" s="190">
        <f>D89/SUMIFS(TableauRecette[Proportion],TableauRecette[Recette],TableauRecette[[#This Row],[Recette]],TableauRecette[Conditionnement],TableauRecette[[#This Row],[Conditionnement]])</f>
        <v>5.2631578947368418E-2</v>
      </c>
      <c r="G89" s="190">
        <f ca="1">_xlfn.XLOOKUP(TableauRecette[[#This Row],[Ingredients]],TableauIngredients[Ingredients],TableauIngredients[Prix d''achat (kg)],0)*TableauRecette[[#This Row],[poids / unite]]</f>
        <v>0</v>
      </c>
      <c r="H89" s="190">
        <f>SUMIFS(TableauRecette[Proportion],TableauRecette[Recette],TableauRecette[[#This Row],[Recette]],TableauRecette[Conditionnement],TableauRecette[[#This Row],[Conditionnement]])</f>
        <v>47.5</v>
      </c>
      <c r="I89" s="190">
        <f ca="1">TableauRecette[[#This Row],[Proportion]]*TableauRecette[[#This Row],[Prix d''achat / kg]]/TableauRecette[[#This Row],[Total Proportion]]</f>
        <v>0</v>
      </c>
      <c r="J89" s="190"/>
      <c r="K89" s="723"/>
      <c r="L89" s="724">
        <f>_xlfn.XLOOKUP(TableauRecette[[#This Row],[ID]],TableauProduit[ID],TableauProduit[Total (kg) N1],0,0,1)*TableauRecette[[#This Row],[poids / unite]]</f>
        <v>0</v>
      </c>
      <c r="M89" s="725">
        <f>_xlfn.XLOOKUP(TableauRecette[[#This Row],[ID]],TableauProduit[ID],TableauProduit[Total (kg) N2],0,0,1)*TableauRecette[[#This Row],[poids / unite]]</f>
        <v>0</v>
      </c>
      <c r="N89" s="725">
        <f>_xlfn.XLOOKUP(TableauRecette[[#This Row],[ID]],TableauProduit[ID],TableauProduit[Total (kg) N3],0,0,1)*TableauRecette[[#This Row],[poids / unite]]</f>
        <v>0</v>
      </c>
      <c r="O89" s="725">
        <f>_xlfn.XLOOKUP(TableauRecette[[#This Row],[ID]],TableauProduit[ID],TableauProduit[Total (kg) N4],0,0,1)*TableauRecette[[#This Row],[poids / unite]]</f>
        <v>0</v>
      </c>
      <c r="P89" s="725">
        <f>_xlfn.XLOOKUP(TableauRecette[[#This Row],[ID]],TableauProduit[ID],TableauProduit[Total (kg) N5],0,0,1)*TableauRecette[[#This Row],[poids / unite]]</f>
        <v>0</v>
      </c>
      <c r="Q89" s="725">
        <f>_xlfn.XLOOKUP(TableauRecette[[#This Row],[ID]],TableauProduit[ID],TableauProduit[Total (kg) N6],0,0,1)*TableauRecette[[#This Row],[poids / unite]]</f>
        <v>0</v>
      </c>
      <c r="R89" s="725">
        <f>_xlfn.XLOOKUP(TableauRecette[[#This Row],[ID]],TableauProduit[ID],TableauProduit[Total (kg) N7],0,0,1)*TableauRecette[[#This Row],[poids / unite]]</f>
        <v>0</v>
      </c>
      <c r="S89" s="725">
        <f>_xlfn.XLOOKUP(TableauRecette[[#This Row],[ID]],TableauProduit[ID],TableauProduit[Total (kg) N8],0,0,1)*TableauRecette[[#This Row],[poids / unite]]</f>
        <v>0</v>
      </c>
      <c r="T89" s="725">
        <f>_xlfn.XLOOKUP(TableauRecette[[#This Row],[ID]],TableauProduit[ID],TableauProduit[Total (kg) N9],0,0,1)*TableauRecette[[#This Row],[poids / unite]]</f>
        <v>0</v>
      </c>
    </row>
    <row r="90" spans="1:20">
      <c r="A90" s="66" t="s">
        <v>101</v>
      </c>
      <c r="B90" s="66" t="str">
        <f>TableauRecette[[#This Row],[Recette]]&amp;TableauRecette[[#This Row],[Conditionnement]]</f>
        <v>Curry japonaisEpice 100ml</v>
      </c>
      <c r="C90" s="66" t="s">
        <v>307</v>
      </c>
      <c r="D90" s="190">
        <v>2.5</v>
      </c>
      <c r="E90" s="66" t="s">
        <v>55</v>
      </c>
      <c r="F90" s="190">
        <f>D90/SUMIFS(TableauRecette[Proportion],TableauRecette[Recette],TableauRecette[[#This Row],[Recette]],TableauRecette[Conditionnement],TableauRecette[[#This Row],[Conditionnement]])</f>
        <v>5.2631578947368418E-2</v>
      </c>
      <c r="G90" s="190">
        <f ca="1">_xlfn.XLOOKUP(TableauRecette[[#This Row],[Ingredients]],TableauIngredients[Ingredients],TableauIngredients[Prix d''achat (kg)],0)*TableauRecette[[#This Row],[poids / unite]]</f>
        <v>0</v>
      </c>
      <c r="H90" s="190">
        <f>SUMIFS(TableauRecette[Proportion],TableauRecette[Recette],TableauRecette[[#This Row],[Recette]],TableauRecette[Conditionnement],TableauRecette[[#This Row],[Conditionnement]])</f>
        <v>47.5</v>
      </c>
      <c r="I90" s="190">
        <f ca="1">TableauRecette[[#This Row],[Proportion]]*TableauRecette[[#This Row],[Prix d''achat / kg]]/TableauRecette[[#This Row],[Total Proportion]]</f>
        <v>0</v>
      </c>
      <c r="J90" s="190"/>
      <c r="K90" s="723"/>
      <c r="L90" s="724">
        <f>_xlfn.XLOOKUP(TableauRecette[[#This Row],[ID]],TableauProduit[ID],TableauProduit[Total (kg) N1],0,0,1)*TableauRecette[[#This Row],[poids / unite]]</f>
        <v>0</v>
      </c>
      <c r="M90" s="725">
        <f>_xlfn.XLOOKUP(TableauRecette[[#This Row],[ID]],TableauProduit[ID],TableauProduit[Total (kg) N2],0,0,1)*TableauRecette[[#This Row],[poids / unite]]</f>
        <v>0</v>
      </c>
      <c r="N90" s="725">
        <f>_xlfn.XLOOKUP(TableauRecette[[#This Row],[ID]],TableauProduit[ID],TableauProduit[Total (kg) N3],0,0,1)*TableauRecette[[#This Row],[poids / unite]]</f>
        <v>0</v>
      </c>
      <c r="O90" s="725">
        <f>_xlfn.XLOOKUP(TableauRecette[[#This Row],[ID]],TableauProduit[ID],TableauProduit[Total (kg) N4],0,0,1)*TableauRecette[[#This Row],[poids / unite]]</f>
        <v>0</v>
      </c>
      <c r="P90" s="725">
        <f>_xlfn.XLOOKUP(TableauRecette[[#This Row],[ID]],TableauProduit[ID],TableauProduit[Total (kg) N5],0,0,1)*TableauRecette[[#This Row],[poids / unite]]</f>
        <v>0</v>
      </c>
      <c r="Q90" s="725">
        <f>_xlfn.XLOOKUP(TableauRecette[[#This Row],[ID]],TableauProduit[ID],TableauProduit[Total (kg) N6],0,0,1)*TableauRecette[[#This Row],[poids / unite]]</f>
        <v>0</v>
      </c>
      <c r="R90" s="725">
        <f>_xlfn.XLOOKUP(TableauRecette[[#This Row],[ID]],TableauProduit[ID],TableauProduit[Total (kg) N7],0,0,1)*TableauRecette[[#This Row],[poids / unite]]</f>
        <v>0</v>
      </c>
      <c r="S90" s="725">
        <f>_xlfn.XLOOKUP(TableauRecette[[#This Row],[ID]],TableauProduit[ID],TableauProduit[Total (kg) N8],0,0,1)*TableauRecette[[#This Row],[poids / unite]]</f>
        <v>0</v>
      </c>
      <c r="T90" s="725">
        <f>_xlfn.XLOOKUP(TableauRecette[[#This Row],[ID]],TableauProduit[ID],TableauProduit[Total (kg) N9],0,0,1)*TableauRecette[[#This Row],[poids / unite]]</f>
        <v>0</v>
      </c>
    </row>
    <row r="91" spans="1:20">
      <c r="A91" s="66" t="s">
        <v>101</v>
      </c>
      <c r="B91" s="66" t="str">
        <f>TableauRecette[[#This Row],[Recette]]&amp;TableauRecette[[#This Row],[Conditionnement]]</f>
        <v>Curry japonaisEpice 100ml</v>
      </c>
      <c r="C91" s="66" t="s">
        <v>294</v>
      </c>
      <c r="D91" s="190">
        <v>2</v>
      </c>
      <c r="E91" s="66" t="s">
        <v>55</v>
      </c>
      <c r="F91" s="190">
        <f>D91/SUMIFS(TableauRecette[Proportion],TableauRecette[Recette],TableauRecette[[#This Row],[Recette]],TableauRecette[Conditionnement],TableauRecette[[#This Row],[Conditionnement]])</f>
        <v>4.2105263157894736E-2</v>
      </c>
      <c r="G91" s="190">
        <f ca="1">_xlfn.XLOOKUP(TableauRecette[[#This Row],[Ingredients]],TableauIngredients[Ingredients],TableauIngredients[Prix d''achat (kg)],0)*TableauRecette[[#This Row],[poids / unite]]</f>
        <v>0.9263157894736842</v>
      </c>
      <c r="H91" s="190">
        <f>SUMIFS(TableauRecette[Proportion],TableauRecette[Recette],TableauRecette[[#This Row],[Recette]],TableauRecette[Conditionnement],TableauRecette[[#This Row],[Conditionnement]])</f>
        <v>47.5</v>
      </c>
      <c r="I91" s="190">
        <f ca="1">TableauRecette[[#This Row],[Proportion]]*TableauRecette[[#This Row],[Prix d''achat / kg]]/TableauRecette[[#This Row],[Total Proportion]]</f>
        <v>0</v>
      </c>
      <c r="J91" s="190"/>
      <c r="K91" s="723"/>
      <c r="L91" s="724">
        <f>_xlfn.XLOOKUP(TableauRecette[[#This Row],[ID]],TableauProduit[ID],TableauProduit[Total (kg) N1],0,0,1)*TableauRecette[[#This Row],[poids / unite]]</f>
        <v>0</v>
      </c>
      <c r="M91" s="725">
        <f>_xlfn.XLOOKUP(TableauRecette[[#This Row],[ID]],TableauProduit[ID],TableauProduit[Total (kg) N2],0,0,1)*TableauRecette[[#This Row],[poids / unite]]</f>
        <v>0</v>
      </c>
      <c r="N91" s="725">
        <f>_xlfn.XLOOKUP(TableauRecette[[#This Row],[ID]],TableauProduit[ID],TableauProduit[Total (kg) N3],0,0,1)*TableauRecette[[#This Row],[poids / unite]]</f>
        <v>0</v>
      </c>
      <c r="O91" s="725">
        <f>_xlfn.XLOOKUP(TableauRecette[[#This Row],[ID]],TableauProduit[ID],TableauProduit[Total (kg) N4],0,0,1)*TableauRecette[[#This Row],[poids / unite]]</f>
        <v>0</v>
      </c>
      <c r="P91" s="725">
        <f>_xlfn.XLOOKUP(TableauRecette[[#This Row],[ID]],TableauProduit[ID],TableauProduit[Total (kg) N5],0,0,1)*TableauRecette[[#This Row],[poids / unite]]</f>
        <v>0</v>
      </c>
      <c r="Q91" s="725">
        <f>_xlfn.XLOOKUP(TableauRecette[[#This Row],[ID]],TableauProduit[ID],TableauProduit[Total (kg) N6],0,0,1)*TableauRecette[[#This Row],[poids / unite]]</f>
        <v>0</v>
      </c>
      <c r="R91" s="725">
        <f>_xlfn.XLOOKUP(TableauRecette[[#This Row],[ID]],TableauProduit[ID],TableauProduit[Total (kg) N7],0,0,1)*TableauRecette[[#This Row],[poids / unite]]</f>
        <v>0</v>
      </c>
      <c r="S91" s="725">
        <f>_xlfn.XLOOKUP(TableauRecette[[#This Row],[ID]],TableauProduit[ID],TableauProduit[Total (kg) N8],0,0,1)*TableauRecette[[#This Row],[poids / unite]]</f>
        <v>0</v>
      </c>
      <c r="T91" s="725">
        <f>_xlfn.XLOOKUP(TableauRecette[[#This Row],[ID]],TableauProduit[ID],TableauProduit[Total (kg) N9],0,0,1)*TableauRecette[[#This Row],[poids / unite]]</f>
        <v>0</v>
      </c>
    </row>
    <row r="92" spans="1:20">
      <c r="A92" s="66" t="s">
        <v>101</v>
      </c>
      <c r="B92" s="66" t="str">
        <f>TableauRecette[[#This Row],[Recette]]&amp;TableauRecette[[#This Row],[Conditionnement]]</f>
        <v>Curry japonaisEpice 100ml</v>
      </c>
      <c r="C92" s="66" t="s">
        <v>314</v>
      </c>
      <c r="D92" s="190">
        <v>1.5</v>
      </c>
      <c r="E92" s="66" t="s">
        <v>55</v>
      </c>
      <c r="F92" s="190">
        <f>D92/SUMIFS(TableauRecette[Proportion],TableauRecette[Recette],TableauRecette[[#This Row],[Recette]],TableauRecette[Conditionnement],TableauRecette[[#This Row],[Conditionnement]])</f>
        <v>3.1578947368421054E-2</v>
      </c>
      <c r="G92" s="190">
        <f ca="1">_xlfn.XLOOKUP(TableauRecette[[#This Row],[Ingredients]],TableauIngredients[Ingredients],TableauIngredients[Prix d''achat (kg)],0)*TableauRecette[[#This Row],[poids / unite]]</f>
        <v>0</v>
      </c>
      <c r="H92" s="190">
        <f>SUMIFS(TableauRecette[Proportion],TableauRecette[Recette],TableauRecette[[#This Row],[Recette]],TableauRecette[Conditionnement],TableauRecette[[#This Row],[Conditionnement]])</f>
        <v>47.5</v>
      </c>
      <c r="I92" s="190">
        <f ca="1">TableauRecette[[#This Row],[Proportion]]*TableauRecette[[#This Row],[Prix d''achat / kg]]/TableauRecette[[#This Row],[Total Proportion]]</f>
        <v>0</v>
      </c>
      <c r="J92" s="190"/>
      <c r="K92" s="723"/>
      <c r="L92" s="724">
        <f>_xlfn.XLOOKUP(TableauRecette[[#This Row],[ID]],TableauProduit[ID],TableauProduit[Total (kg) N1],0,0,1)*TableauRecette[[#This Row],[poids / unite]]</f>
        <v>0</v>
      </c>
      <c r="M92" s="725">
        <f>_xlfn.XLOOKUP(TableauRecette[[#This Row],[ID]],TableauProduit[ID],TableauProduit[Total (kg) N2],0,0,1)*TableauRecette[[#This Row],[poids / unite]]</f>
        <v>0</v>
      </c>
      <c r="N92" s="725">
        <f>_xlfn.XLOOKUP(TableauRecette[[#This Row],[ID]],TableauProduit[ID],TableauProduit[Total (kg) N3],0,0,1)*TableauRecette[[#This Row],[poids / unite]]</f>
        <v>0</v>
      </c>
      <c r="O92" s="725">
        <f>_xlfn.XLOOKUP(TableauRecette[[#This Row],[ID]],TableauProduit[ID],TableauProduit[Total (kg) N4],0,0,1)*TableauRecette[[#This Row],[poids / unite]]</f>
        <v>0</v>
      </c>
      <c r="P92" s="725">
        <f>_xlfn.XLOOKUP(TableauRecette[[#This Row],[ID]],TableauProduit[ID],TableauProduit[Total (kg) N5],0,0,1)*TableauRecette[[#This Row],[poids / unite]]</f>
        <v>0</v>
      </c>
      <c r="Q92" s="725">
        <f>_xlfn.XLOOKUP(TableauRecette[[#This Row],[ID]],TableauProduit[ID],TableauProduit[Total (kg) N6],0,0,1)*TableauRecette[[#This Row],[poids / unite]]</f>
        <v>0</v>
      </c>
      <c r="R92" s="725">
        <f>_xlfn.XLOOKUP(TableauRecette[[#This Row],[ID]],TableauProduit[ID],TableauProduit[Total (kg) N7],0,0,1)*TableauRecette[[#This Row],[poids / unite]]</f>
        <v>0</v>
      </c>
      <c r="S92" s="725">
        <f>_xlfn.XLOOKUP(TableauRecette[[#This Row],[ID]],TableauProduit[ID],TableauProduit[Total (kg) N8],0,0,1)*TableauRecette[[#This Row],[poids / unite]]</f>
        <v>0</v>
      </c>
      <c r="T92" s="725">
        <f>_xlfn.XLOOKUP(TableauRecette[[#This Row],[ID]],TableauProduit[ID],TableauProduit[Total (kg) N9],0,0,1)*TableauRecette[[#This Row],[poids / unite]]</f>
        <v>0</v>
      </c>
    </row>
    <row r="93" spans="1:20">
      <c r="A93" s="66" t="s">
        <v>101</v>
      </c>
      <c r="B93" s="66" t="str">
        <f>TableauRecette[[#This Row],[Recette]]&amp;TableauRecette[[#This Row],[Conditionnement]]</f>
        <v>Curry japonaisEpice 100ml</v>
      </c>
      <c r="C93" s="66" t="s">
        <v>299</v>
      </c>
      <c r="D93" s="190">
        <v>1.5</v>
      </c>
      <c r="E93" s="66" t="s">
        <v>55</v>
      </c>
      <c r="F93" s="190">
        <f>D93/SUMIFS(TableauRecette[Proportion],TableauRecette[Recette],TableauRecette[[#This Row],[Recette]],TableauRecette[Conditionnement],TableauRecette[[#This Row],[Conditionnement]])</f>
        <v>3.1578947368421054E-2</v>
      </c>
      <c r="G93" s="190">
        <f ca="1">_xlfn.XLOOKUP(TableauRecette[[#This Row],[Ingredients]],TableauIngredients[Ingredients],TableauIngredients[Prix d''achat (kg)],0)*TableauRecette[[#This Row],[poids / unite]]</f>
        <v>0</v>
      </c>
      <c r="H93" s="190">
        <f>SUMIFS(TableauRecette[Proportion],TableauRecette[Recette],TableauRecette[[#This Row],[Recette]],TableauRecette[Conditionnement],TableauRecette[[#This Row],[Conditionnement]])</f>
        <v>47.5</v>
      </c>
      <c r="I93" s="190">
        <f ca="1">TableauRecette[[#This Row],[Proportion]]*TableauRecette[[#This Row],[Prix d''achat / kg]]/TableauRecette[[#This Row],[Total Proportion]]</f>
        <v>0</v>
      </c>
      <c r="J93" s="190"/>
      <c r="K93" s="723"/>
      <c r="L93" s="724">
        <f>_xlfn.XLOOKUP(TableauRecette[[#This Row],[ID]],TableauProduit[ID],TableauProduit[Total (kg) N1],0,0,1)*TableauRecette[[#This Row],[poids / unite]]</f>
        <v>0</v>
      </c>
      <c r="M93" s="725">
        <f>_xlfn.XLOOKUP(TableauRecette[[#This Row],[ID]],TableauProduit[ID],TableauProduit[Total (kg) N2],0,0,1)*TableauRecette[[#This Row],[poids / unite]]</f>
        <v>0</v>
      </c>
      <c r="N93" s="725">
        <f>_xlfn.XLOOKUP(TableauRecette[[#This Row],[ID]],TableauProduit[ID],TableauProduit[Total (kg) N3],0,0,1)*TableauRecette[[#This Row],[poids / unite]]</f>
        <v>0</v>
      </c>
      <c r="O93" s="725">
        <f>_xlfn.XLOOKUP(TableauRecette[[#This Row],[ID]],TableauProduit[ID],TableauProduit[Total (kg) N4],0,0,1)*TableauRecette[[#This Row],[poids / unite]]</f>
        <v>0</v>
      </c>
      <c r="P93" s="725">
        <f>_xlfn.XLOOKUP(TableauRecette[[#This Row],[ID]],TableauProduit[ID],TableauProduit[Total (kg) N5],0,0,1)*TableauRecette[[#This Row],[poids / unite]]</f>
        <v>0</v>
      </c>
      <c r="Q93" s="725">
        <f>_xlfn.XLOOKUP(TableauRecette[[#This Row],[ID]],TableauProduit[ID],TableauProduit[Total (kg) N6],0,0,1)*TableauRecette[[#This Row],[poids / unite]]</f>
        <v>0</v>
      </c>
      <c r="R93" s="725">
        <f>_xlfn.XLOOKUP(TableauRecette[[#This Row],[ID]],TableauProduit[ID],TableauProduit[Total (kg) N7],0,0,1)*TableauRecette[[#This Row],[poids / unite]]</f>
        <v>0</v>
      </c>
      <c r="S93" s="725">
        <f>_xlfn.XLOOKUP(TableauRecette[[#This Row],[ID]],TableauProduit[ID],TableauProduit[Total (kg) N8],0,0,1)*TableauRecette[[#This Row],[poids / unite]]</f>
        <v>0</v>
      </c>
      <c r="T93" s="725">
        <f>_xlfn.XLOOKUP(TableauRecette[[#This Row],[ID]],TableauProduit[ID],TableauProduit[Total (kg) N9],0,0,1)*TableauRecette[[#This Row],[poids / unite]]</f>
        <v>0</v>
      </c>
    </row>
    <row r="94" spans="1:20">
      <c r="A94" s="66" t="s">
        <v>101</v>
      </c>
      <c r="B94" s="66" t="str">
        <f>TableauRecette[[#This Row],[Recette]]&amp;TableauRecette[[#This Row],[Conditionnement]]</f>
        <v>Curry japonaisEpice 100ml</v>
      </c>
      <c r="C94" s="66" t="s">
        <v>283</v>
      </c>
      <c r="D94" s="190">
        <v>1</v>
      </c>
      <c r="E94" s="66" t="s">
        <v>55</v>
      </c>
      <c r="F94" s="190">
        <f>D94/SUMIFS(TableauRecette[Proportion],TableauRecette[Recette],TableauRecette[[#This Row],[Recette]],TableauRecette[Conditionnement],TableauRecette[[#This Row],[Conditionnement]])</f>
        <v>2.1052631578947368E-2</v>
      </c>
      <c r="G94" s="190">
        <f ca="1">_xlfn.XLOOKUP(TableauRecette[[#This Row],[Ingredients]],TableauIngredients[Ingredients],TableauIngredients[Prix d''achat (kg)],0)*TableauRecette[[#This Row],[poids / unite]]</f>
        <v>2.400957894736842</v>
      </c>
      <c r="H94" s="190">
        <f>SUMIFS(TableauRecette[Proportion],TableauRecette[Recette],TableauRecette[[#This Row],[Recette]],TableauRecette[Conditionnement],TableauRecette[[#This Row],[Conditionnement]])</f>
        <v>47.5</v>
      </c>
      <c r="I94" s="190">
        <f ca="1">TableauRecette[[#This Row],[Proportion]]*TableauRecette[[#This Row],[Prix d''achat / kg]]/TableauRecette[[#This Row],[Total Proportion]]</f>
        <v>0</v>
      </c>
      <c r="J94" s="190"/>
      <c r="K94" s="723"/>
      <c r="L94" s="724">
        <f>_xlfn.XLOOKUP(TableauRecette[[#This Row],[ID]],TableauProduit[ID],TableauProduit[Total (kg) N1],0,0,1)*TableauRecette[[#This Row],[poids / unite]]</f>
        <v>0</v>
      </c>
      <c r="M94" s="725">
        <f>_xlfn.XLOOKUP(TableauRecette[[#This Row],[ID]],TableauProduit[ID],TableauProduit[Total (kg) N2],0,0,1)*TableauRecette[[#This Row],[poids / unite]]</f>
        <v>0</v>
      </c>
      <c r="N94" s="725">
        <f>_xlfn.XLOOKUP(TableauRecette[[#This Row],[ID]],TableauProduit[ID],TableauProduit[Total (kg) N3],0,0,1)*TableauRecette[[#This Row],[poids / unite]]</f>
        <v>0</v>
      </c>
      <c r="O94" s="725">
        <f>_xlfn.XLOOKUP(TableauRecette[[#This Row],[ID]],TableauProduit[ID],TableauProduit[Total (kg) N4],0,0,1)*TableauRecette[[#This Row],[poids / unite]]</f>
        <v>0</v>
      </c>
      <c r="P94" s="725">
        <f>_xlfn.XLOOKUP(TableauRecette[[#This Row],[ID]],TableauProduit[ID],TableauProduit[Total (kg) N5],0,0,1)*TableauRecette[[#This Row],[poids / unite]]</f>
        <v>0</v>
      </c>
      <c r="Q94" s="725">
        <f>_xlfn.XLOOKUP(TableauRecette[[#This Row],[ID]],TableauProduit[ID],TableauProduit[Total (kg) N6],0,0,1)*TableauRecette[[#This Row],[poids / unite]]</f>
        <v>0</v>
      </c>
      <c r="R94" s="725">
        <f>_xlfn.XLOOKUP(TableauRecette[[#This Row],[ID]],TableauProduit[ID],TableauProduit[Total (kg) N7],0,0,1)*TableauRecette[[#This Row],[poids / unite]]</f>
        <v>0</v>
      </c>
      <c r="S94" s="725">
        <f>_xlfn.XLOOKUP(TableauRecette[[#This Row],[ID]],TableauProduit[ID],TableauProduit[Total (kg) N8],0,0,1)*TableauRecette[[#This Row],[poids / unite]]</f>
        <v>0</v>
      </c>
      <c r="T94" s="725">
        <f>_xlfn.XLOOKUP(TableauRecette[[#This Row],[ID]],TableauProduit[ID],TableauProduit[Total (kg) N9],0,0,1)*TableauRecette[[#This Row],[poids / unite]]</f>
        <v>0</v>
      </c>
    </row>
    <row r="95" spans="1:20">
      <c r="A95" s="66" t="s">
        <v>101</v>
      </c>
      <c r="B95" s="66" t="str">
        <f>TableauRecette[[#This Row],[Recette]]&amp;TableauRecette[[#This Row],[Conditionnement]]</f>
        <v>Curry japonaisEpice 100ml</v>
      </c>
      <c r="C95" s="66" t="s">
        <v>288</v>
      </c>
      <c r="D95" s="190">
        <v>1</v>
      </c>
      <c r="E95" s="66" t="s">
        <v>55</v>
      </c>
      <c r="F95" s="190">
        <f>D95/SUMIFS(TableauRecette[Proportion],TableauRecette[Recette],TableauRecette[[#This Row],[Recette]],TableauRecette[Conditionnement],TableauRecette[[#This Row],[Conditionnement]])</f>
        <v>2.1052631578947368E-2</v>
      </c>
      <c r="G95" s="190">
        <f ca="1">_xlfn.XLOOKUP(TableauRecette[[#This Row],[Ingredients]],TableauIngredients[Ingredients],TableauIngredients[Prix d''achat (kg)],0)*TableauRecette[[#This Row],[poids / unite]]</f>
        <v>0.75789473684210529</v>
      </c>
      <c r="H95" s="190">
        <f>SUMIFS(TableauRecette[Proportion],TableauRecette[Recette],TableauRecette[[#This Row],[Recette]],TableauRecette[Conditionnement],TableauRecette[[#This Row],[Conditionnement]])</f>
        <v>47.5</v>
      </c>
      <c r="I95" s="190">
        <f ca="1">TableauRecette[[#This Row],[Proportion]]*TableauRecette[[#This Row],[Prix d''achat / kg]]/TableauRecette[[#This Row],[Total Proportion]]</f>
        <v>0</v>
      </c>
      <c r="J95" s="190"/>
      <c r="K95" s="723"/>
      <c r="L95" s="724">
        <f>_xlfn.XLOOKUP(TableauRecette[[#This Row],[ID]],TableauProduit[ID],TableauProduit[Total (kg) N1],0,0,1)*TableauRecette[[#This Row],[poids / unite]]</f>
        <v>0</v>
      </c>
      <c r="M95" s="725">
        <f>_xlfn.XLOOKUP(TableauRecette[[#This Row],[ID]],TableauProduit[ID],TableauProduit[Total (kg) N2],0,0,1)*TableauRecette[[#This Row],[poids / unite]]</f>
        <v>0</v>
      </c>
      <c r="N95" s="725">
        <f>_xlfn.XLOOKUP(TableauRecette[[#This Row],[ID]],TableauProduit[ID],TableauProduit[Total (kg) N3],0,0,1)*TableauRecette[[#This Row],[poids / unite]]</f>
        <v>0</v>
      </c>
      <c r="O95" s="725">
        <f>_xlfn.XLOOKUP(TableauRecette[[#This Row],[ID]],TableauProduit[ID],TableauProduit[Total (kg) N4],0,0,1)*TableauRecette[[#This Row],[poids / unite]]</f>
        <v>0</v>
      </c>
      <c r="P95" s="725">
        <f>_xlfn.XLOOKUP(TableauRecette[[#This Row],[ID]],TableauProduit[ID],TableauProduit[Total (kg) N5],0,0,1)*TableauRecette[[#This Row],[poids / unite]]</f>
        <v>0</v>
      </c>
      <c r="Q95" s="725">
        <f>_xlfn.XLOOKUP(TableauRecette[[#This Row],[ID]],TableauProduit[ID],TableauProduit[Total (kg) N6],0,0,1)*TableauRecette[[#This Row],[poids / unite]]</f>
        <v>0</v>
      </c>
      <c r="R95" s="725">
        <f>_xlfn.XLOOKUP(TableauRecette[[#This Row],[ID]],TableauProduit[ID],TableauProduit[Total (kg) N7],0,0,1)*TableauRecette[[#This Row],[poids / unite]]</f>
        <v>0</v>
      </c>
      <c r="S95" s="725">
        <f>_xlfn.XLOOKUP(TableauRecette[[#This Row],[ID]],TableauProduit[ID],TableauProduit[Total (kg) N8],0,0,1)*TableauRecette[[#This Row],[poids / unite]]</f>
        <v>0</v>
      </c>
      <c r="T95" s="725">
        <f>_xlfn.XLOOKUP(TableauRecette[[#This Row],[ID]],TableauProduit[ID],TableauProduit[Total (kg) N9],0,0,1)*TableauRecette[[#This Row],[poids / unite]]</f>
        <v>0</v>
      </c>
    </row>
    <row r="96" spans="1:20">
      <c r="A96" s="66" t="s">
        <v>101</v>
      </c>
      <c r="B96" s="66" t="str">
        <f>TableauRecette[[#This Row],[Recette]]&amp;TableauRecette[[#This Row],[Conditionnement]]</f>
        <v>Curry japonaisEpice 100ml</v>
      </c>
      <c r="C96" s="66" t="s">
        <v>308</v>
      </c>
      <c r="D96" s="190">
        <v>1</v>
      </c>
      <c r="E96" s="66" t="s">
        <v>55</v>
      </c>
      <c r="F96" s="190">
        <f>D96/SUMIFS(TableauRecette[Proportion],TableauRecette[Recette],TableauRecette[[#This Row],[Recette]],TableauRecette[Conditionnement],TableauRecette[[#This Row],[Conditionnement]])</f>
        <v>2.1052631578947368E-2</v>
      </c>
      <c r="G96" s="190">
        <f ca="1">_xlfn.XLOOKUP(TableauRecette[[#This Row],[Ingredients]],TableauIngredients[Ingredients],TableauIngredients[Prix d''achat (kg)],0)*TableauRecette[[#This Row],[poids / unite]]</f>
        <v>0.67368421052631577</v>
      </c>
      <c r="H96" s="190">
        <f>SUMIFS(TableauRecette[Proportion],TableauRecette[Recette],TableauRecette[[#This Row],[Recette]],TableauRecette[Conditionnement],TableauRecette[[#This Row],[Conditionnement]])</f>
        <v>47.5</v>
      </c>
      <c r="I96" s="190">
        <f ca="1">TableauRecette[[#This Row],[Proportion]]*TableauRecette[[#This Row],[Prix d''achat / kg]]/TableauRecette[[#This Row],[Total Proportion]]</f>
        <v>0</v>
      </c>
      <c r="J96" s="190"/>
      <c r="K96" s="723"/>
      <c r="L96" s="724">
        <f>_xlfn.XLOOKUP(TableauRecette[[#This Row],[ID]],TableauProduit[ID],TableauProduit[Total (kg) N1],0,0,1)*TableauRecette[[#This Row],[poids / unite]]</f>
        <v>0</v>
      </c>
      <c r="M96" s="725">
        <f>_xlfn.XLOOKUP(TableauRecette[[#This Row],[ID]],TableauProduit[ID],TableauProduit[Total (kg) N2],0,0,1)*TableauRecette[[#This Row],[poids / unite]]</f>
        <v>0</v>
      </c>
      <c r="N96" s="725">
        <f>_xlfn.XLOOKUP(TableauRecette[[#This Row],[ID]],TableauProduit[ID],TableauProduit[Total (kg) N3],0,0,1)*TableauRecette[[#This Row],[poids / unite]]</f>
        <v>0</v>
      </c>
      <c r="O96" s="725">
        <f>_xlfn.XLOOKUP(TableauRecette[[#This Row],[ID]],TableauProduit[ID],TableauProduit[Total (kg) N4],0,0,1)*TableauRecette[[#This Row],[poids / unite]]</f>
        <v>0</v>
      </c>
      <c r="P96" s="725">
        <f>_xlfn.XLOOKUP(TableauRecette[[#This Row],[ID]],TableauProduit[ID],TableauProduit[Total (kg) N5],0,0,1)*TableauRecette[[#This Row],[poids / unite]]</f>
        <v>0</v>
      </c>
      <c r="Q96" s="725">
        <f>_xlfn.XLOOKUP(TableauRecette[[#This Row],[ID]],TableauProduit[ID],TableauProduit[Total (kg) N6],0,0,1)*TableauRecette[[#This Row],[poids / unite]]</f>
        <v>0</v>
      </c>
      <c r="R96" s="725">
        <f>_xlfn.XLOOKUP(TableauRecette[[#This Row],[ID]],TableauProduit[ID],TableauProduit[Total (kg) N7],0,0,1)*TableauRecette[[#This Row],[poids / unite]]</f>
        <v>0</v>
      </c>
      <c r="S96" s="725">
        <f>_xlfn.XLOOKUP(TableauRecette[[#This Row],[ID]],TableauProduit[ID],TableauProduit[Total (kg) N8],0,0,1)*TableauRecette[[#This Row],[poids / unite]]</f>
        <v>0</v>
      </c>
      <c r="T96" s="725">
        <f>_xlfn.XLOOKUP(TableauRecette[[#This Row],[ID]],TableauProduit[ID],TableauProduit[Total (kg) N9],0,0,1)*TableauRecette[[#This Row],[poids / unite]]</f>
        <v>0</v>
      </c>
    </row>
    <row r="97" spans="1:20">
      <c r="A97" s="66" t="s">
        <v>101</v>
      </c>
      <c r="B97" s="66" t="str">
        <f>TableauRecette[[#This Row],[Recette]]&amp;TableauRecette[[#This Row],[Conditionnement]]</f>
        <v>Curry japonaisEpice 100ml</v>
      </c>
      <c r="C97" s="66" t="s">
        <v>315</v>
      </c>
      <c r="D97" s="190">
        <v>1</v>
      </c>
      <c r="E97" s="66" t="s">
        <v>55</v>
      </c>
      <c r="F97" s="190">
        <f>D97/SUMIFS(TableauRecette[Proportion],TableauRecette[Recette],TableauRecette[[#This Row],[Recette]],TableauRecette[Conditionnement],TableauRecette[[#This Row],[Conditionnement]])</f>
        <v>2.1052631578947368E-2</v>
      </c>
      <c r="G97" s="190">
        <f ca="1">_xlfn.XLOOKUP(TableauRecette[[#This Row],[Ingredients]],TableauIngredients[Ingredients],TableauIngredients[Prix d''achat (kg)],0)*TableauRecette[[#This Row],[poids / unite]]</f>
        <v>0</v>
      </c>
      <c r="H97" s="190">
        <f>SUMIFS(TableauRecette[Proportion],TableauRecette[Recette],TableauRecette[[#This Row],[Recette]],TableauRecette[Conditionnement],TableauRecette[[#This Row],[Conditionnement]])</f>
        <v>47.5</v>
      </c>
      <c r="I97" s="190">
        <f ca="1">TableauRecette[[#This Row],[Proportion]]*TableauRecette[[#This Row],[Prix d''achat / kg]]/TableauRecette[[#This Row],[Total Proportion]]</f>
        <v>0</v>
      </c>
      <c r="J97" s="190"/>
      <c r="K97" s="723"/>
      <c r="L97" s="724">
        <f>_xlfn.XLOOKUP(TableauRecette[[#This Row],[ID]],TableauProduit[ID],TableauProduit[Total (kg) N1],0,0,1)*TableauRecette[[#This Row],[poids / unite]]</f>
        <v>0</v>
      </c>
      <c r="M97" s="725">
        <f>_xlfn.XLOOKUP(TableauRecette[[#This Row],[ID]],TableauProduit[ID],TableauProduit[Total (kg) N2],0,0,1)*TableauRecette[[#This Row],[poids / unite]]</f>
        <v>0</v>
      </c>
      <c r="N97" s="725">
        <f>_xlfn.XLOOKUP(TableauRecette[[#This Row],[ID]],TableauProduit[ID],TableauProduit[Total (kg) N3],0,0,1)*TableauRecette[[#This Row],[poids / unite]]</f>
        <v>0</v>
      </c>
      <c r="O97" s="725">
        <f>_xlfn.XLOOKUP(TableauRecette[[#This Row],[ID]],TableauProduit[ID],TableauProduit[Total (kg) N4],0,0,1)*TableauRecette[[#This Row],[poids / unite]]</f>
        <v>0</v>
      </c>
      <c r="P97" s="725">
        <f>_xlfn.XLOOKUP(TableauRecette[[#This Row],[ID]],TableauProduit[ID],TableauProduit[Total (kg) N5],0,0,1)*TableauRecette[[#This Row],[poids / unite]]</f>
        <v>0</v>
      </c>
      <c r="Q97" s="725">
        <f>_xlfn.XLOOKUP(TableauRecette[[#This Row],[ID]],TableauProduit[ID],TableauProduit[Total (kg) N6],0,0,1)*TableauRecette[[#This Row],[poids / unite]]</f>
        <v>0</v>
      </c>
      <c r="R97" s="725">
        <f>_xlfn.XLOOKUP(TableauRecette[[#This Row],[ID]],TableauProduit[ID],TableauProduit[Total (kg) N7],0,0,1)*TableauRecette[[#This Row],[poids / unite]]</f>
        <v>0</v>
      </c>
      <c r="S97" s="725">
        <f>_xlfn.XLOOKUP(TableauRecette[[#This Row],[ID]],TableauProduit[ID],TableauProduit[Total (kg) N8],0,0,1)*TableauRecette[[#This Row],[poids / unite]]</f>
        <v>0</v>
      </c>
      <c r="T97" s="725">
        <f>_xlfn.XLOOKUP(TableauRecette[[#This Row],[ID]],TableauProduit[ID],TableauProduit[Total (kg) N9],0,0,1)*TableauRecette[[#This Row],[poids / unite]]</f>
        <v>0</v>
      </c>
    </row>
    <row r="98" spans="1:20">
      <c r="A98" s="66" t="s">
        <v>101</v>
      </c>
      <c r="B98" s="66" t="str">
        <f>TableauRecette[[#This Row],[Recette]]&amp;TableauRecette[[#This Row],[Conditionnement]]</f>
        <v>Curry japonaisEpice 100ml</v>
      </c>
      <c r="C98" s="66" t="s">
        <v>316</v>
      </c>
      <c r="D98" s="190">
        <v>1</v>
      </c>
      <c r="E98" s="66" t="s">
        <v>55</v>
      </c>
      <c r="F98" s="190">
        <f>D98/SUMIFS(TableauRecette[Proportion],TableauRecette[Recette],TableauRecette[[#This Row],[Recette]],TableauRecette[Conditionnement],TableauRecette[[#This Row],[Conditionnement]])</f>
        <v>2.1052631578947368E-2</v>
      </c>
      <c r="G98" s="190">
        <f ca="1">_xlfn.XLOOKUP(TableauRecette[[#This Row],[Ingredients]],TableauIngredients[Ingredients],TableauIngredients[Prix d''achat (kg)],0)*TableauRecette[[#This Row],[poids / unite]]</f>
        <v>0</v>
      </c>
      <c r="H98" s="190">
        <f>SUMIFS(TableauRecette[Proportion],TableauRecette[Recette],TableauRecette[[#This Row],[Recette]],TableauRecette[Conditionnement],TableauRecette[[#This Row],[Conditionnement]])</f>
        <v>47.5</v>
      </c>
      <c r="I98" s="190">
        <f ca="1">TableauRecette[[#This Row],[Proportion]]*TableauRecette[[#This Row],[Prix d''achat / kg]]/TableauRecette[[#This Row],[Total Proportion]]</f>
        <v>0</v>
      </c>
      <c r="J98" s="190"/>
      <c r="K98" s="723"/>
      <c r="L98" s="724">
        <f>_xlfn.XLOOKUP(TableauRecette[[#This Row],[ID]],TableauProduit[ID],TableauProduit[Total (kg) N1],0,0,1)*TableauRecette[[#This Row],[poids / unite]]</f>
        <v>0</v>
      </c>
      <c r="M98" s="725">
        <f>_xlfn.XLOOKUP(TableauRecette[[#This Row],[ID]],TableauProduit[ID],TableauProduit[Total (kg) N2],0,0,1)*TableauRecette[[#This Row],[poids / unite]]</f>
        <v>0</v>
      </c>
      <c r="N98" s="725">
        <f>_xlfn.XLOOKUP(TableauRecette[[#This Row],[ID]],TableauProduit[ID],TableauProduit[Total (kg) N3],0,0,1)*TableauRecette[[#This Row],[poids / unite]]</f>
        <v>0</v>
      </c>
      <c r="O98" s="725">
        <f>_xlfn.XLOOKUP(TableauRecette[[#This Row],[ID]],TableauProduit[ID],TableauProduit[Total (kg) N4],0,0,1)*TableauRecette[[#This Row],[poids / unite]]</f>
        <v>0</v>
      </c>
      <c r="P98" s="725">
        <f>_xlfn.XLOOKUP(TableauRecette[[#This Row],[ID]],TableauProduit[ID],TableauProduit[Total (kg) N5],0,0,1)*TableauRecette[[#This Row],[poids / unite]]</f>
        <v>0</v>
      </c>
      <c r="Q98" s="725">
        <f>_xlfn.XLOOKUP(TableauRecette[[#This Row],[ID]],TableauProduit[ID],TableauProduit[Total (kg) N6],0,0,1)*TableauRecette[[#This Row],[poids / unite]]</f>
        <v>0</v>
      </c>
      <c r="R98" s="725">
        <f>_xlfn.XLOOKUP(TableauRecette[[#This Row],[ID]],TableauProduit[ID],TableauProduit[Total (kg) N7],0,0,1)*TableauRecette[[#This Row],[poids / unite]]</f>
        <v>0</v>
      </c>
      <c r="S98" s="725">
        <f>_xlfn.XLOOKUP(TableauRecette[[#This Row],[ID]],TableauProduit[ID],TableauProduit[Total (kg) N8],0,0,1)*TableauRecette[[#This Row],[poids / unite]]</f>
        <v>0</v>
      </c>
      <c r="T98" s="725">
        <f>_xlfn.XLOOKUP(TableauRecette[[#This Row],[ID]],TableauProduit[ID],TableauProduit[Total (kg) N9],0,0,1)*TableauRecette[[#This Row],[poids / unite]]</f>
        <v>0</v>
      </c>
    </row>
    <row r="99" spans="1:20">
      <c r="A99" s="66" t="s">
        <v>101</v>
      </c>
      <c r="B99" s="66" t="str">
        <f>TableauRecette[[#This Row],[Recette]]&amp;TableauRecette[[#This Row],[Conditionnement]]</f>
        <v>Curry japonaisEpice 100ml</v>
      </c>
      <c r="C99" s="66" t="s">
        <v>291</v>
      </c>
      <c r="D99" s="190">
        <v>1</v>
      </c>
      <c r="E99" s="66" t="s">
        <v>55</v>
      </c>
      <c r="F99" s="190">
        <f>D99/SUMIFS(TableauRecette[Proportion],TableauRecette[Recette],TableauRecette[[#This Row],[Recette]],TableauRecette[Conditionnement],TableauRecette[[#This Row],[Conditionnement]])</f>
        <v>2.1052631578947368E-2</v>
      </c>
      <c r="G99" s="190">
        <f ca="1">_xlfn.XLOOKUP(TableauRecette[[#This Row],[Ingredients]],TableauIngredients[Ingredients],TableauIngredients[Prix d''achat (kg)],0)*TableauRecette[[#This Row],[poids / unite]]</f>
        <v>1.263157894736842</v>
      </c>
      <c r="H99" s="190">
        <f>SUMIFS(TableauRecette[Proportion],TableauRecette[Recette],TableauRecette[[#This Row],[Recette]],TableauRecette[Conditionnement],TableauRecette[[#This Row],[Conditionnement]])</f>
        <v>47.5</v>
      </c>
      <c r="I99" s="190">
        <f ca="1">TableauRecette[[#This Row],[Proportion]]*TableauRecette[[#This Row],[Prix d''achat / kg]]/TableauRecette[[#This Row],[Total Proportion]]</f>
        <v>0</v>
      </c>
      <c r="J99" s="190"/>
      <c r="K99" s="723"/>
      <c r="L99" s="724">
        <f>_xlfn.XLOOKUP(TableauRecette[[#This Row],[ID]],TableauProduit[ID],TableauProduit[Total (kg) N1],0,0,1)*TableauRecette[[#This Row],[poids / unite]]</f>
        <v>0</v>
      </c>
      <c r="M99" s="725">
        <f>_xlfn.XLOOKUP(TableauRecette[[#This Row],[ID]],TableauProduit[ID],TableauProduit[Total (kg) N2],0,0,1)*TableauRecette[[#This Row],[poids / unite]]</f>
        <v>0</v>
      </c>
      <c r="N99" s="725">
        <f>_xlfn.XLOOKUP(TableauRecette[[#This Row],[ID]],TableauProduit[ID],TableauProduit[Total (kg) N3],0,0,1)*TableauRecette[[#This Row],[poids / unite]]</f>
        <v>0</v>
      </c>
      <c r="O99" s="725">
        <f>_xlfn.XLOOKUP(TableauRecette[[#This Row],[ID]],TableauProduit[ID],TableauProduit[Total (kg) N4],0,0,1)*TableauRecette[[#This Row],[poids / unite]]</f>
        <v>0</v>
      </c>
      <c r="P99" s="725">
        <f>_xlfn.XLOOKUP(TableauRecette[[#This Row],[ID]],TableauProduit[ID],TableauProduit[Total (kg) N5],0,0,1)*TableauRecette[[#This Row],[poids / unite]]</f>
        <v>0</v>
      </c>
      <c r="Q99" s="725">
        <f>_xlfn.XLOOKUP(TableauRecette[[#This Row],[ID]],TableauProduit[ID],TableauProduit[Total (kg) N6],0,0,1)*TableauRecette[[#This Row],[poids / unite]]</f>
        <v>0</v>
      </c>
      <c r="R99" s="725">
        <f>_xlfn.XLOOKUP(TableauRecette[[#This Row],[ID]],TableauProduit[ID],TableauProduit[Total (kg) N7],0,0,1)*TableauRecette[[#This Row],[poids / unite]]</f>
        <v>0</v>
      </c>
      <c r="S99" s="725">
        <f>_xlfn.XLOOKUP(TableauRecette[[#This Row],[ID]],TableauProduit[ID],TableauProduit[Total (kg) N8],0,0,1)*TableauRecette[[#This Row],[poids / unite]]</f>
        <v>0</v>
      </c>
      <c r="T99" s="725">
        <f>_xlfn.XLOOKUP(TableauRecette[[#This Row],[ID]],TableauProduit[ID],TableauProduit[Total (kg) N9],0,0,1)*TableauRecette[[#This Row],[poids / unite]]</f>
        <v>0</v>
      </c>
    </row>
    <row r="100" spans="1:20">
      <c r="A100" s="66" t="s">
        <v>101</v>
      </c>
      <c r="B100" s="66" t="str">
        <f>TableauRecette[[#This Row],[Recette]]&amp;TableauRecette[[#This Row],[Conditionnement]]</f>
        <v>Curry japonaisEpice 100ml</v>
      </c>
      <c r="C100" s="66" t="s">
        <v>287</v>
      </c>
      <c r="D100" s="190">
        <v>1</v>
      </c>
      <c r="E100" s="66" t="s">
        <v>55</v>
      </c>
      <c r="F100" s="190">
        <f>D100/SUMIFS(TableauRecette[Proportion],TableauRecette[Recette],TableauRecette[[#This Row],[Recette]],TableauRecette[Conditionnement],TableauRecette[[#This Row],[Conditionnement]])</f>
        <v>2.1052631578947368E-2</v>
      </c>
      <c r="G100" s="190">
        <f ca="1">_xlfn.XLOOKUP(TableauRecette[[#This Row],[Ingredients]],TableauIngredients[Ingredients],TableauIngredients[Prix d''achat (kg)],0)*TableauRecette[[#This Row],[poids / unite]]</f>
        <v>0.77578947368421058</v>
      </c>
      <c r="H100" s="190">
        <f>SUMIFS(TableauRecette[Proportion],TableauRecette[Recette],TableauRecette[[#This Row],[Recette]],TableauRecette[Conditionnement],TableauRecette[[#This Row],[Conditionnement]])</f>
        <v>47.5</v>
      </c>
      <c r="I100" s="190">
        <f ca="1">TableauRecette[[#This Row],[Proportion]]*TableauRecette[[#This Row],[Prix d''achat / kg]]/TableauRecette[[#This Row],[Total Proportion]]</f>
        <v>0</v>
      </c>
      <c r="J100" s="190"/>
      <c r="K100" s="723"/>
      <c r="L100" s="724">
        <f>_xlfn.XLOOKUP(TableauRecette[[#This Row],[ID]],TableauProduit[ID],TableauProduit[Total (kg) N1],0,0,1)*TableauRecette[[#This Row],[poids / unite]]</f>
        <v>0</v>
      </c>
      <c r="M100" s="725">
        <f>_xlfn.XLOOKUP(TableauRecette[[#This Row],[ID]],TableauProduit[ID],TableauProduit[Total (kg) N2],0,0,1)*TableauRecette[[#This Row],[poids / unite]]</f>
        <v>0</v>
      </c>
      <c r="N100" s="725">
        <f>_xlfn.XLOOKUP(TableauRecette[[#This Row],[ID]],TableauProduit[ID],TableauProduit[Total (kg) N3],0,0,1)*TableauRecette[[#This Row],[poids / unite]]</f>
        <v>0</v>
      </c>
      <c r="O100" s="725">
        <f>_xlfn.XLOOKUP(TableauRecette[[#This Row],[ID]],TableauProduit[ID],TableauProduit[Total (kg) N4],0,0,1)*TableauRecette[[#This Row],[poids / unite]]</f>
        <v>0</v>
      </c>
      <c r="P100" s="725">
        <f>_xlfn.XLOOKUP(TableauRecette[[#This Row],[ID]],TableauProduit[ID],TableauProduit[Total (kg) N5],0,0,1)*TableauRecette[[#This Row],[poids / unite]]</f>
        <v>0</v>
      </c>
      <c r="Q100" s="725">
        <f>_xlfn.XLOOKUP(TableauRecette[[#This Row],[ID]],TableauProduit[ID],TableauProduit[Total (kg) N6],0,0,1)*TableauRecette[[#This Row],[poids / unite]]</f>
        <v>0</v>
      </c>
      <c r="R100" s="725">
        <f>_xlfn.XLOOKUP(TableauRecette[[#This Row],[ID]],TableauProduit[ID],TableauProduit[Total (kg) N7],0,0,1)*TableauRecette[[#This Row],[poids / unite]]</f>
        <v>0</v>
      </c>
      <c r="S100" s="725">
        <f>_xlfn.XLOOKUP(TableauRecette[[#This Row],[ID]],TableauProduit[ID],TableauProduit[Total (kg) N8],0,0,1)*TableauRecette[[#This Row],[poids / unite]]</f>
        <v>0</v>
      </c>
      <c r="T100" s="725">
        <f>_xlfn.XLOOKUP(TableauRecette[[#This Row],[ID]],TableauProduit[ID],TableauProduit[Total (kg) N9],0,0,1)*TableauRecette[[#This Row],[poids / unite]]</f>
        <v>0</v>
      </c>
    </row>
    <row r="101" spans="1:20">
      <c r="A101" s="66" t="s">
        <v>101</v>
      </c>
      <c r="B101" s="66" t="str">
        <f>TableauRecette[[#This Row],[Recette]]&amp;TableauRecette[[#This Row],[Conditionnement]]</f>
        <v>Curry japonaisEpice 100ml</v>
      </c>
      <c r="C101" s="66" t="s">
        <v>317</v>
      </c>
      <c r="D101" s="190">
        <v>1</v>
      </c>
      <c r="E101" s="66" t="s">
        <v>55</v>
      </c>
      <c r="F101" s="190">
        <f>D101/SUMIFS(TableauRecette[Proportion],TableauRecette[Recette],TableauRecette[[#This Row],[Recette]],TableauRecette[Conditionnement],TableauRecette[[#This Row],[Conditionnement]])</f>
        <v>2.1052631578947368E-2</v>
      </c>
      <c r="G101" s="190">
        <f ca="1">_xlfn.XLOOKUP(TableauRecette[[#This Row],[Ingredients]],TableauIngredients[Ingredients],TableauIngredients[Prix d''achat (kg)],0)*TableauRecette[[#This Row],[poids / unite]]</f>
        <v>0</v>
      </c>
      <c r="H101" s="190">
        <f>SUMIFS(TableauRecette[Proportion],TableauRecette[Recette],TableauRecette[[#This Row],[Recette]],TableauRecette[Conditionnement],TableauRecette[[#This Row],[Conditionnement]])</f>
        <v>47.5</v>
      </c>
      <c r="I101" s="190">
        <f ca="1">TableauRecette[[#This Row],[Proportion]]*TableauRecette[[#This Row],[Prix d''achat / kg]]/TableauRecette[[#This Row],[Total Proportion]]</f>
        <v>0</v>
      </c>
      <c r="J101" s="190"/>
      <c r="K101" s="723"/>
      <c r="L101" s="724">
        <f>_xlfn.XLOOKUP(TableauRecette[[#This Row],[ID]],TableauProduit[ID],TableauProduit[Total (kg) N1],0,0,1)*TableauRecette[[#This Row],[poids / unite]]</f>
        <v>0</v>
      </c>
      <c r="M101" s="725">
        <f>_xlfn.XLOOKUP(TableauRecette[[#This Row],[ID]],TableauProduit[ID],TableauProduit[Total (kg) N2],0,0,1)*TableauRecette[[#This Row],[poids / unite]]</f>
        <v>0</v>
      </c>
      <c r="N101" s="725">
        <f>_xlfn.XLOOKUP(TableauRecette[[#This Row],[ID]],TableauProduit[ID],TableauProduit[Total (kg) N3],0,0,1)*TableauRecette[[#This Row],[poids / unite]]</f>
        <v>0</v>
      </c>
      <c r="O101" s="725">
        <f>_xlfn.XLOOKUP(TableauRecette[[#This Row],[ID]],TableauProduit[ID],TableauProduit[Total (kg) N4],0,0,1)*TableauRecette[[#This Row],[poids / unite]]</f>
        <v>0</v>
      </c>
      <c r="P101" s="725">
        <f>_xlfn.XLOOKUP(TableauRecette[[#This Row],[ID]],TableauProduit[ID],TableauProduit[Total (kg) N5],0,0,1)*TableauRecette[[#This Row],[poids / unite]]</f>
        <v>0</v>
      </c>
      <c r="Q101" s="725">
        <f>_xlfn.XLOOKUP(TableauRecette[[#This Row],[ID]],TableauProduit[ID],TableauProduit[Total (kg) N6],0,0,1)*TableauRecette[[#This Row],[poids / unite]]</f>
        <v>0</v>
      </c>
      <c r="R101" s="725">
        <f>_xlfn.XLOOKUP(TableauRecette[[#This Row],[ID]],TableauProduit[ID],TableauProduit[Total (kg) N7],0,0,1)*TableauRecette[[#This Row],[poids / unite]]</f>
        <v>0</v>
      </c>
      <c r="S101" s="725">
        <f>_xlfn.XLOOKUP(TableauRecette[[#This Row],[ID]],TableauProduit[ID],TableauProduit[Total (kg) N8],0,0,1)*TableauRecette[[#This Row],[poids / unite]]</f>
        <v>0</v>
      </c>
      <c r="T101" s="725">
        <f>_xlfn.XLOOKUP(TableauRecette[[#This Row],[ID]],TableauProduit[ID],TableauProduit[Total (kg) N9],0,0,1)*TableauRecette[[#This Row],[poids / unite]]</f>
        <v>0</v>
      </c>
    </row>
    <row r="102" spans="1:20">
      <c r="A102" s="66" t="s">
        <v>101</v>
      </c>
      <c r="B102" s="66" t="str">
        <f>TableauRecette[[#This Row],[Recette]]&amp;TableauRecette[[#This Row],[Conditionnement]]</f>
        <v>Curry japonaisEpice 100ml</v>
      </c>
      <c r="C102" s="66" t="s">
        <v>777</v>
      </c>
      <c r="D102" s="190">
        <v>1.5</v>
      </c>
      <c r="E102" s="66" t="s">
        <v>55</v>
      </c>
      <c r="F102" s="190">
        <f>D102/SUMIFS(TableauRecette[Proportion],TableauRecette[Recette],TableauRecette[[#This Row],[Recette]],TableauRecette[Conditionnement],TableauRecette[[#This Row],[Conditionnement]])</f>
        <v>3.1578947368421054E-2</v>
      </c>
      <c r="G102" s="190">
        <f ca="1">_xlfn.XLOOKUP(TableauRecette[[#This Row],[Ingredients]],TableauIngredients[Ingredients],TableauIngredients[Prix d''achat (kg)],0)*TableauRecette[[#This Row],[poids / unite]]</f>
        <v>0</v>
      </c>
      <c r="H102" s="190">
        <f>SUMIFS(TableauRecette[Proportion],TableauRecette[Recette],TableauRecette[[#This Row],[Recette]],TableauRecette[Conditionnement],TableauRecette[[#This Row],[Conditionnement]])</f>
        <v>47.5</v>
      </c>
      <c r="I102" s="190">
        <f ca="1">TableauRecette[[#This Row],[Proportion]]*TableauRecette[[#This Row],[Prix d''achat / kg]]/TableauRecette[[#This Row],[Total Proportion]]</f>
        <v>0</v>
      </c>
      <c r="J102" s="190"/>
      <c r="K102" s="723"/>
      <c r="L102" s="724">
        <f>_xlfn.XLOOKUP(TableauRecette[[#This Row],[ID]],TableauProduit[ID],TableauProduit[Total (kg) N1],0,0,1)*TableauRecette[[#This Row],[poids / unite]]</f>
        <v>0</v>
      </c>
      <c r="M102" s="725">
        <f>_xlfn.XLOOKUP(TableauRecette[[#This Row],[ID]],TableauProduit[ID],TableauProduit[Total (kg) N2],0,0,1)*TableauRecette[[#This Row],[poids / unite]]</f>
        <v>0</v>
      </c>
      <c r="N102" s="725">
        <f>_xlfn.XLOOKUP(TableauRecette[[#This Row],[ID]],TableauProduit[ID],TableauProduit[Total (kg) N3],0,0,1)*TableauRecette[[#This Row],[poids / unite]]</f>
        <v>0</v>
      </c>
      <c r="O102" s="725">
        <f>_xlfn.XLOOKUP(TableauRecette[[#This Row],[ID]],TableauProduit[ID],TableauProduit[Total (kg) N4],0,0,1)*TableauRecette[[#This Row],[poids / unite]]</f>
        <v>0</v>
      </c>
      <c r="P102" s="725">
        <f>_xlfn.XLOOKUP(TableauRecette[[#This Row],[ID]],TableauProduit[ID],TableauProduit[Total (kg) N5],0,0,1)*TableauRecette[[#This Row],[poids / unite]]</f>
        <v>0</v>
      </c>
      <c r="Q102" s="725">
        <f>_xlfn.XLOOKUP(TableauRecette[[#This Row],[ID]],TableauProduit[ID],TableauProduit[Total (kg) N6],0,0,1)*TableauRecette[[#This Row],[poids / unite]]</f>
        <v>0</v>
      </c>
      <c r="R102" s="725">
        <f>_xlfn.XLOOKUP(TableauRecette[[#This Row],[ID]],TableauProduit[ID],TableauProduit[Total (kg) N7],0,0,1)*TableauRecette[[#This Row],[poids / unite]]</f>
        <v>0</v>
      </c>
      <c r="S102" s="725">
        <f>_xlfn.XLOOKUP(TableauRecette[[#This Row],[ID]],TableauProduit[ID],TableauProduit[Total (kg) N8],0,0,1)*TableauRecette[[#This Row],[poids / unite]]</f>
        <v>0</v>
      </c>
      <c r="T102" s="725">
        <f>_xlfn.XLOOKUP(TableauRecette[[#This Row],[ID]],TableauProduit[ID],TableauProduit[Total (kg) N9],0,0,1)*TableauRecette[[#This Row],[poids / unite]]</f>
        <v>0</v>
      </c>
    </row>
    <row r="103" spans="1:20">
      <c r="A103" s="67" t="s">
        <v>79</v>
      </c>
      <c r="B103" s="67" t="str">
        <f>TableauRecette[[#This Row],[Recette]]&amp;TableauRecette[[#This Row],[Conditionnement]]</f>
        <v>Curry MadraEpice 100ml</v>
      </c>
      <c r="C103" s="67" t="s">
        <v>289</v>
      </c>
      <c r="D103" s="191">
        <v>0.75</v>
      </c>
      <c r="E103" s="67" t="s">
        <v>55</v>
      </c>
      <c r="F103" s="191">
        <f>D103/SUMIFS(TableauRecette[Proportion],TableauRecette[Recette],TableauRecette[[#This Row],[Recette]],TableauRecette[Conditionnement],TableauRecette[[#This Row],[Conditionnement]])</f>
        <v>0.10714285714285714</v>
      </c>
      <c r="G103" s="191">
        <f ca="1">_xlfn.XLOOKUP(TableauRecette[[#This Row],[Ingredients]],TableauIngredients[Ingredients],TableauIngredients[Prix d''achat (kg)],0)*TableauRecette[[#This Row],[poids / unite]]</f>
        <v>0</v>
      </c>
      <c r="H103" s="191">
        <f>SUMIFS(TableauRecette[Proportion],TableauRecette[Recette],TableauRecette[[#This Row],[Recette]],TableauRecette[Conditionnement],TableauRecette[[#This Row],[Conditionnement]])</f>
        <v>7</v>
      </c>
      <c r="I103" s="191">
        <f ca="1">TableauRecette[[#This Row],[Proportion]]*TableauRecette[[#This Row],[Prix d''achat / kg]]/TableauRecette[[#This Row],[Total Proportion]]</f>
        <v>0</v>
      </c>
      <c r="J103" s="191" t="s">
        <v>729</v>
      </c>
      <c r="K103" s="726" t="s">
        <v>282</v>
      </c>
      <c r="L103" s="727">
        <f>_xlfn.XLOOKUP(TableauRecette[[#This Row],[ID]],TableauProduit[ID],TableauProduit[Total (kg) N1],0,0,1)*TableauRecette[[#This Row],[poids / unite]]</f>
        <v>0.96428571428571419</v>
      </c>
      <c r="M103" s="728">
        <f>_xlfn.XLOOKUP(TableauRecette[[#This Row],[ID]],TableauProduit[ID],TableauProduit[Total (kg) N2],0,0,1)*TableauRecette[[#This Row],[poids / unite]]</f>
        <v>0.96428571428571419</v>
      </c>
      <c r="N103" s="728">
        <f>_xlfn.XLOOKUP(TableauRecette[[#This Row],[ID]],TableauProduit[ID],TableauProduit[Total (kg) N3],0,0,1)*TableauRecette[[#This Row],[poids / unite]]</f>
        <v>0.96428571428571419</v>
      </c>
      <c r="O103" s="728">
        <f>_xlfn.XLOOKUP(TableauRecette[[#This Row],[ID]],TableauProduit[ID],TableauProduit[Total (kg) N4],0,0,1)*TableauRecette[[#This Row],[poids / unite]]</f>
        <v>0.96428571428571419</v>
      </c>
      <c r="P103" s="728">
        <f>_xlfn.XLOOKUP(TableauRecette[[#This Row],[ID]],TableauProduit[ID],TableauProduit[Total (kg) N5],0,0,1)*TableauRecette[[#This Row],[poids / unite]]</f>
        <v>0.96428571428571419</v>
      </c>
      <c r="Q103" s="728">
        <f>_xlfn.XLOOKUP(TableauRecette[[#This Row],[ID]],TableauProduit[ID],TableauProduit[Total (kg) N6],0,0,1)*TableauRecette[[#This Row],[poids / unite]]</f>
        <v>0.96428571428571419</v>
      </c>
      <c r="R103" s="728">
        <f>_xlfn.XLOOKUP(TableauRecette[[#This Row],[ID]],TableauProduit[ID],TableauProduit[Total (kg) N7],0,0,1)*TableauRecette[[#This Row],[poids / unite]]</f>
        <v>0.96428571428571419</v>
      </c>
      <c r="S103" s="728">
        <f>_xlfn.XLOOKUP(TableauRecette[[#This Row],[ID]],TableauProduit[ID],TableauProduit[Total (kg) N8],0,0,1)*TableauRecette[[#This Row],[poids / unite]]</f>
        <v>0.96428571428571419</v>
      </c>
      <c r="T103" s="728">
        <f>_xlfn.XLOOKUP(TableauRecette[[#This Row],[ID]],TableauProduit[ID],TableauProduit[Total (kg) N9],0,0,1)*TableauRecette[[#This Row],[poids / unite]]</f>
        <v>0.96428571428571419</v>
      </c>
    </row>
    <row r="104" spans="1:20">
      <c r="A104" s="67" t="s">
        <v>79</v>
      </c>
      <c r="B104" s="67" t="str">
        <f>TableauRecette[[#This Row],[Recette]]&amp;TableauRecette[[#This Row],[Conditionnement]]</f>
        <v>Curry MadraEpice 100ml</v>
      </c>
      <c r="C104" s="67" t="s">
        <v>304</v>
      </c>
      <c r="D104" s="191">
        <v>1</v>
      </c>
      <c r="E104" s="67" t="s">
        <v>55</v>
      </c>
      <c r="F104" s="191">
        <f>D104/SUMIFS(TableauRecette[Proportion],TableauRecette[Recette],TableauRecette[[#This Row],[Recette]],TableauRecette[Conditionnement],TableauRecette[[#This Row],[Conditionnement]])</f>
        <v>0.14285714285714285</v>
      </c>
      <c r="G104" s="191">
        <f ca="1">_xlfn.XLOOKUP(TableauRecette[[#This Row],[Ingredients]],TableauIngredients[Ingredients],TableauIngredients[Prix d''achat (kg)],0)*TableauRecette[[#This Row],[poids / unite]]</f>
        <v>0</v>
      </c>
      <c r="H104" s="191">
        <f>SUMIFS(TableauRecette[Proportion],TableauRecette[Recette],TableauRecette[[#This Row],[Recette]],TableauRecette[Conditionnement],TableauRecette[[#This Row],[Conditionnement]])</f>
        <v>7</v>
      </c>
      <c r="I104" s="191">
        <f ca="1">TableauRecette[[#This Row],[Proportion]]*TableauRecette[[#This Row],[Prix d''achat / kg]]/TableauRecette[[#This Row],[Total Proportion]]</f>
        <v>0</v>
      </c>
      <c r="J104" s="191" t="s">
        <v>729</v>
      </c>
      <c r="K104" s="726" t="s">
        <v>282</v>
      </c>
      <c r="L104" s="727">
        <f>_xlfn.XLOOKUP(TableauRecette[[#This Row],[ID]],TableauProduit[ID],TableauProduit[Total (kg) N1],0,0,1)*TableauRecette[[#This Row],[poids / unite]]</f>
        <v>1.2857142857142856</v>
      </c>
      <c r="M104" s="728">
        <f>_xlfn.XLOOKUP(TableauRecette[[#This Row],[ID]],TableauProduit[ID],TableauProduit[Total (kg) N2],0,0,1)*TableauRecette[[#This Row],[poids / unite]]</f>
        <v>1.2857142857142856</v>
      </c>
      <c r="N104" s="728">
        <f>_xlfn.XLOOKUP(TableauRecette[[#This Row],[ID]],TableauProduit[ID],TableauProduit[Total (kg) N3],0,0,1)*TableauRecette[[#This Row],[poids / unite]]</f>
        <v>1.2857142857142856</v>
      </c>
      <c r="O104" s="728">
        <f>_xlfn.XLOOKUP(TableauRecette[[#This Row],[ID]],TableauProduit[ID],TableauProduit[Total (kg) N4],0,0,1)*TableauRecette[[#This Row],[poids / unite]]</f>
        <v>1.2857142857142856</v>
      </c>
      <c r="P104" s="728">
        <f>_xlfn.XLOOKUP(TableauRecette[[#This Row],[ID]],TableauProduit[ID],TableauProduit[Total (kg) N5],0,0,1)*TableauRecette[[#This Row],[poids / unite]]</f>
        <v>1.2857142857142856</v>
      </c>
      <c r="Q104" s="728">
        <f>_xlfn.XLOOKUP(TableauRecette[[#This Row],[ID]],TableauProduit[ID],TableauProduit[Total (kg) N6],0,0,1)*TableauRecette[[#This Row],[poids / unite]]</f>
        <v>1.2857142857142856</v>
      </c>
      <c r="R104" s="728">
        <f>_xlfn.XLOOKUP(TableauRecette[[#This Row],[ID]],TableauProduit[ID],TableauProduit[Total (kg) N7],0,0,1)*TableauRecette[[#This Row],[poids / unite]]</f>
        <v>1.2857142857142856</v>
      </c>
      <c r="S104" s="728">
        <f>_xlfn.XLOOKUP(TableauRecette[[#This Row],[ID]],TableauProduit[ID],TableauProduit[Total (kg) N8],0,0,1)*TableauRecette[[#This Row],[poids / unite]]</f>
        <v>1.2857142857142856</v>
      </c>
      <c r="T104" s="728">
        <f>_xlfn.XLOOKUP(TableauRecette[[#This Row],[ID]],TableauProduit[ID],TableauProduit[Total (kg) N9],0,0,1)*TableauRecette[[#This Row],[poids / unite]]</f>
        <v>1.2857142857142856</v>
      </c>
    </row>
    <row r="105" spans="1:20">
      <c r="A105" s="67" t="s">
        <v>79</v>
      </c>
      <c r="B105" s="67" t="str">
        <f>TableauRecette[[#This Row],[Recette]]&amp;TableauRecette[[#This Row],[Conditionnement]]</f>
        <v>Curry MadraEpice 100ml</v>
      </c>
      <c r="C105" s="67" t="s">
        <v>305</v>
      </c>
      <c r="D105" s="191">
        <v>0.5</v>
      </c>
      <c r="E105" s="67" t="s">
        <v>55</v>
      </c>
      <c r="F105" s="191">
        <f>D105/SUMIFS(TableauRecette[Proportion],TableauRecette[Recette],TableauRecette[[#This Row],[Recette]],TableauRecette[Conditionnement],TableauRecette[[#This Row],[Conditionnement]])</f>
        <v>7.1428571428571425E-2</v>
      </c>
      <c r="G105" s="191">
        <f ca="1">_xlfn.XLOOKUP(TableauRecette[[#This Row],[Ingredients]],TableauIngredients[Ingredients],TableauIngredients[Prix d''achat (kg)],0)*TableauRecette[[#This Row],[poids / unite]]</f>
        <v>0</v>
      </c>
      <c r="H105" s="191">
        <f>SUMIFS(TableauRecette[Proportion],TableauRecette[Recette],TableauRecette[[#This Row],[Recette]],TableauRecette[Conditionnement],TableauRecette[[#This Row],[Conditionnement]])</f>
        <v>7</v>
      </c>
      <c r="I105" s="191">
        <f ca="1">TableauRecette[[#This Row],[Proportion]]*TableauRecette[[#This Row],[Prix d''achat / kg]]/TableauRecette[[#This Row],[Total Proportion]]</f>
        <v>0</v>
      </c>
      <c r="J105" s="191" t="s">
        <v>730</v>
      </c>
      <c r="K105" s="726" t="s">
        <v>282</v>
      </c>
      <c r="L105" s="727">
        <f>_xlfn.XLOOKUP(TableauRecette[[#This Row],[ID]],TableauProduit[ID],TableauProduit[Total (kg) N1],0,0,1)*TableauRecette[[#This Row],[poids / unite]]</f>
        <v>0.64285714285714279</v>
      </c>
      <c r="M105" s="728">
        <f>_xlfn.XLOOKUP(TableauRecette[[#This Row],[ID]],TableauProduit[ID],TableauProduit[Total (kg) N2],0,0,1)*TableauRecette[[#This Row],[poids / unite]]</f>
        <v>0.64285714285714279</v>
      </c>
      <c r="N105" s="728">
        <f>_xlfn.XLOOKUP(TableauRecette[[#This Row],[ID]],TableauProduit[ID],TableauProduit[Total (kg) N3],0,0,1)*TableauRecette[[#This Row],[poids / unite]]</f>
        <v>0.64285714285714279</v>
      </c>
      <c r="O105" s="728">
        <f>_xlfn.XLOOKUP(TableauRecette[[#This Row],[ID]],TableauProduit[ID],TableauProduit[Total (kg) N4],0,0,1)*TableauRecette[[#This Row],[poids / unite]]</f>
        <v>0.64285714285714279</v>
      </c>
      <c r="P105" s="728">
        <f>_xlfn.XLOOKUP(TableauRecette[[#This Row],[ID]],TableauProduit[ID],TableauProduit[Total (kg) N5],0,0,1)*TableauRecette[[#This Row],[poids / unite]]</f>
        <v>0.64285714285714279</v>
      </c>
      <c r="Q105" s="728">
        <f>_xlfn.XLOOKUP(TableauRecette[[#This Row],[ID]],TableauProduit[ID],TableauProduit[Total (kg) N6],0,0,1)*TableauRecette[[#This Row],[poids / unite]]</f>
        <v>0.64285714285714279</v>
      </c>
      <c r="R105" s="728">
        <f>_xlfn.XLOOKUP(TableauRecette[[#This Row],[ID]],TableauProduit[ID],TableauProduit[Total (kg) N7],0,0,1)*TableauRecette[[#This Row],[poids / unite]]</f>
        <v>0.64285714285714279</v>
      </c>
      <c r="S105" s="728">
        <f>_xlfn.XLOOKUP(TableauRecette[[#This Row],[ID]],TableauProduit[ID],TableauProduit[Total (kg) N8],0,0,1)*TableauRecette[[#This Row],[poids / unite]]</f>
        <v>0.64285714285714279</v>
      </c>
      <c r="T105" s="728">
        <f>_xlfn.XLOOKUP(TableauRecette[[#This Row],[ID]],TableauProduit[ID],TableauProduit[Total (kg) N9],0,0,1)*TableauRecette[[#This Row],[poids / unite]]</f>
        <v>0.64285714285714279</v>
      </c>
    </row>
    <row r="106" spans="1:20">
      <c r="A106" s="67" t="s">
        <v>79</v>
      </c>
      <c r="B106" s="67" t="str">
        <f>TableauRecette[[#This Row],[Recette]]&amp;TableauRecette[[#This Row],[Conditionnement]]</f>
        <v>Curry MadraEpice 100ml</v>
      </c>
      <c r="C106" s="67" t="s">
        <v>290</v>
      </c>
      <c r="D106" s="191">
        <v>0.5</v>
      </c>
      <c r="E106" s="67" t="s">
        <v>55</v>
      </c>
      <c r="F106" s="191">
        <f>D106/SUMIFS(TableauRecette[Proportion],TableauRecette[Recette],TableauRecette[[#This Row],[Recette]],TableauRecette[Conditionnement],TableauRecette[[#This Row],[Conditionnement]])</f>
        <v>7.1428571428571425E-2</v>
      </c>
      <c r="G106" s="191">
        <f ca="1">_xlfn.XLOOKUP(TableauRecette[[#This Row],[Ingredients]],TableauIngredients[Ingredients],TableauIngredients[Prix d''achat (kg)],0)*TableauRecette[[#This Row],[poids / unite]]</f>
        <v>0</v>
      </c>
      <c r="H106" s="191">
        <f>SUMIFS(TableauRecette[Proportion],TableauRecette[Recette],TableauRecette[[#This Row],[Recette]],TableauRecette[Conditionnement],TableauRecette[[#This Row],[Conditionnement]])</f>
        <v>7</v>
      </c>
      <c r="I106" s="191">
        <f ca="1">TableauRecette[[#This Row],[Proportion]]*TableauRecette[[#This Row],[Prix d''achat / kg]]/TableauRecette[[#This Row],[Total Proportion]]</f>
        <v>0</v>
      </c>
      <c r="J106" s="191" t="s">
        <v>730</v>
      </c>
      <c r="K106" s="726" t="s">
        <v>282</v>
      </c>
      <c r="L106" s="727">
        <f>_xlfn.XLOOKUP(TableauRecette[[#This Row],[ID]],TableauProduit[ID],TableauProduit[Total (kg) N1],0,0,1)*TableauRecette[[#This Row],[poids / unite]]</f>
        <v>0.64285714285714279</v>
      </c>
      <c r="M106" s="728">
        <f>_xlfn.XLOOKUP(TableauRecette[[#This Row],[ID]],TableauProduit[ID],TableauProduit[Total (kg) N2],0,0,1)*TableauRecette[[#This Row],[poids / unite]]</f>
        <v>0.64285714285714279</v>
      </c>
      <c r="N106" s="728">
        <f>_xlfn.XLOOKUP(TableauRecette[[#This Row],[ID]],TableauProduit[ID],TableauProduit[Total (kg) N3],0,0,1)*TableauRecette[[#This Row],[poids / unite]]</f>
        <v>0.64285714285714279</v>
      </c>
      <c r="O106" s="728">
        <f>_xlfn.XLOOKUP(TableauRecette[[#This Row],[ID]],TableauProduit[ID],TableauProduit[Total (kg) N4],0,0,1)*TableauRecette[[#This Row],[poids / unite]]</f>
        <v>0.64285714285714279</v>
      </c>
      <c r="P106" s="728">
        <f>_xlfn.XLOOKUP(TableauRecette[[#This Row],[ID]],TableauProduit[ID],TableauProduit[Total (kg) N5],0,0,1)*TableauRecette[[#This Row],[poids / unite]]</f>
        <v>0.64285714285714279</v>
      </c>
      <c r="Q106" s="728">
        <f>_xlfn.XLOOKUP(TableauRecette[[#This Row],[ID]],TableauProduit[ID],TableauProduit[Total (kg) N6],0,0,1)*TableauRecette[[#This Row],[poids / unite]]</f>
        <v>0.64285714285714279</v>
      </c>
      <c r="R106" s="728">
        <f>_xlfn.XLOOKUP(TableauRecette[[#This Row],[ID]],TableauProduit[ID],TableauProduit[Total (kg) N7],0,0,1)*TableauRecette[[#This Row],[poids / unite]]</f>
        <v>0.64285714285714279</v>
      </c>
      <c r="S106" s="728">
        <f>_xlfn.XLOOKUP(TableauRecette[[#This Row],[ID]],TableauProduit[ID],TableauProduit[Total (kg) N8],0,0,1)*TableauRecette[[#This Row],[poids / unite]]</f>
        <v>0.64285714285714279</v>
      </c>
      <c r="T106" s="728">
        <f>_xlfn.XLOOKUP(TableauRecette[[#This Row],[ID]],TableauProduit[ID],TableauProduit[Total (kg) N9],0,0,1)*TableauRecette[[#This Row],[poids / unite]]</f>
        <v>0.64285714285714279</v>
      </c>
    </row>
    <row r="107" spans="1:20">
      <c r="A107" s="67" t="s">
        <v>79</v>
      </c>
      <c r="B107" s="67" t="str">
        <f>TableauRecette[[#This Row],[Recette]]&amp;TableauRecette[[#This Row],[Conditionnement]]</f>
        <v>Curry MadraEpice 100ml</v>
      </c>
      <c r="C107" s="669" t="s">
        <v>303</v>
      </c>
      <c r="D107" s="191">
        <v>1</v>
      </c>
      <c r="E107" s="67" t="s">
        <v>55</v>
      </c>
      <c r="F107" s="191">
        <f>D107/SUMIFS(TableauRecette[Proportion],TableauRecette[Recette],TableauRecette[[#This Row],[Recette]],TableauRecette[Conditionnement],TableauRecette[[#This Row],[Conditionnement]])</f>
        <v>0.14285714285714285</v>
      </c>
      <c r="G107" s="191">
        <f ca="1">_xlfn.XLOOKUP(TableauRecette[[#This Row],[Ingredients]],TableauIngredients[Ingredients],TableauIngredients[Prix d''achat (kg)],0)*TableauRecette[[#This Row],[poids / unite]]</f>
        <v>0.19999999999999998</v>
      </c>
      <c r="H107" s="191">
        <f>SUMIFS(TableauRecette[Proportion],TableauRecette[Recette],TableauRecette[[#This Row],[Recette]],TableauRecette[Conditionnement],TableauRecette[[#This Row],[Conditionnement]])</f>
        <v>7</v>
      </c>
      <c r="I107" s="191">
        <f ca="1">TableauRecette[[#This Row],[Proportion]]*TableauRecette[[#This Row],[Prix d''achat / kg]]/TableauRecette[[#This Row],[Total Proportion]]</f>
        <v>0</v>
      </c>
      <c r="J107" s="191" t="s">
        <v>730</v>
      </c>
      <c r="K107" s="726" t="s">
        <v>282</v>
      </c>
      <c r="L107" s="727">
        <f>_xlfn.XLOOKUP(TableauRecette[[#This Row],[ID]],TableauProduit[ID],TableauProduit[Total (kg) N1],0,0,1)*TableauRecette[[#This Row],[poids / unite]]</f>
        <v>1.2857142857142856</v>
      </c>
      <c r="M107" s="728">
        <f>_xlfn.XLOOKUP(TableauRecette[[#This Row],[ID]],TableauProduit[ID],TableauProduit[Total (kg) N2],0,0,1)*TableauRecette[[#This Row],[poids / unite]]</f>
        <v>1.2857142857142856</v>
      </c>
      <c r="N107" s="728">
        <f>_xlfn.XLOOKUP(TableauRecette[[#This Row],[ID]],TableauProduit[ID],TableauProduit[Total (kg) N3],0,0,1)*TableauRecette[[#This Row],[poids / unite]]</f>
        <v>1.2857142857142856</v>
      </c>
      <c r="O107" s="728">
        <f>_xlfn.XLOOKUP(TableauRecette[[#This Row],[ID]],TableauProduit[ID],TableauProduit[Total (kg) N4],0,0,1)*TableauRecette[[#This Row],[poids / unite]]</f>
        <v>1.2857142857142856</v>
      </c>
      <c r="P107" s="728">
        <f>_xlfn.XLOOKUP(TableauRecette[[#This Row],[ID]],TableauProduit[ID],TableauProduit[Total (kg) N5],0,0,1)*TableauRecette[[#This Row],[poids / unite]]</f>
        <v>1.2857142857142856</v>
      </c>
      <c r="Q107" s="728">
        <f>_xlfn.XLOOKUP(TableauRecette[[#This Row],[ID]],TableauProduit[ID],TableauProduit[Total (kg) N6],0,0,1)*TableauRecette[[#This Row],[poids / unite]]</f>
        <v>1.2857142857142856</v>
      </c>
      <c r="R107" s="728">
        <f>_xlfn.XLOOKUP(TableauRecette[[#This Row],[ID]],TableauProduit[ID],TableauProduit[Total (kg) N7],0,0,1)*TableauRecette[[#This Row],[poids / unite]]</f>
        <v>1.2857142857142856</v>
      </c>
      <c r="S107" s="728">
        <f>_xlfn.XLOOKUP(TableauRecette[[#This Row],[ID]],TableauProduit[ID],TableauProduit[Total (kg) N8],0,0,1)*TableauRecette[[#This Row],[poids / unite]]</f>
        <v>1.2857142857142856</v>
      </c>
      <c r="T107" s="728">
        <f>_xlfn.XLOOKUP(TableauRecette[[#This Row],[ID]],TableauProduit[ID],TableauProduit[Total (kg) N9],0,0,1)*TableauRecette[[#This Row],[poids / unite]]</f>
        <v>1.2857142857142856</v>
      </c>
    </row>
    <row r="108" spans="1:20">
      <c r="A108" s="67" t="s">
        <v>79</v>
      </c>
      <c r="B108" s="67" t="str">
        <f>TableauRecette[[#This Row],[Recette]]&amp;TableauRecette[[#This Row],[Conditionnement]]</f>
        <v>Curry MadraEpice 100ml</v>
      </c>
      <c r="C108" s="67" t="s">
        <v>287</v>
      </c>
      <c r="D108" s="191">
        <v>0.75</v>
      </c>
      <c r="E108" s="67" t="s">
        <v>55</v>
      </c>
      <c r="F108" s="191">
        <f>D108/SUMIFS(TableauRecette[Proportion],TableauRecette[Recette],TableauRecette[[#This Row],[Recette]],TableauRecette[Conditionnement],TableauRecette[[#This Row],[Conditionnement]])</f>
        <v>0.10714285714285714</v>
      </c>
      <c r="G108" s="191">
        <f ca="1">_xlfn.XLOOKUP(TableauRecette[[#This Row],[Ingredients]],TableauIngredients[Ingredients],TableauIngredients[Prix d''achat (kg)],0)*TableauRecette[[#This Row],[poids / unite]]</f>
        <v>3.9482142857142857</v>
      </c>
      <c r="H108" s="191">
        <f>SUMIFS(TableauRecette[Proportion],TableauRecette[Recette],TableauRecette[[#This Row],[Recette]],TableauRecette[Conditionnement],TableauRecette[[#This Row],[Conditionnement]])</f>
        <v>7</v>
      </c>
      <c r="I108" s="191">
        <f ca="1">TableauRecette[[#This Row],[Proportion]]*TableauRecette[[#This Row],[Prix d''achat / kg]]/TableauRecette[[#This Row],[Total Proportion]]</f>
        <v>0</v>
      </c>
      <c r="J108" s="191" t="s">
        <v>730</v>
      </c>
      <c r="K108" s="726" t="s">
        <v>282</v>
      </c>
      <c r="L108" s="727">
        <f>_xlfn.XLOOKUP(TableauRecette[[#This Row],[ID]],TableauProduit[ID],TableauProduit[Total (kg) N1],0,0,1)*TableauRecette[[#This Row],[poids / unite]]</f>
        <v>0.96428571428571419</v>
      </c>
      <c r="M108" s="728">
        <f>_xlfn.XLOOKUP(TableauRecette[[#This Row],[ID]],TableauProduit[ID],TableauProduit[Total (kg) N2],0,0,1)*TableauRecette[[#This Row],[poids / unite]]</f>
        <v>0.96428571428571419</v>
      </c>
      <c r="N108" s="728">
        <f>_xlfn.XLOOKUP(TableauRecette[[#This Row],[ID]],TableauProduit[ID],TableauProduit[Total (kg) N3],0,0,1)*TableauRecette[[#This Row],[poids / unite]]</f>
        <v>0.96428571428571419</v>
      </c>
      <c r="O108" s="728">
        <f>_xlfn.XLOOKUP(TableauRecette[[#This Row],[ID]],TableauProduit[ID],TableauProduit[Total (kg) N4],0,0,1)*TableauRecette[[#This Row],[poids / unite]]</f>
        <v>0.96428571428571419</v>
      </c>
      <c r="P108" s="728">
        <f>_xlfn.XLOOKUP(TableauRecette[[#This Row],[ID]],TableauProduit[ID],TableauProduit[Total (kg) N5],0,0,1)*TableauRecette[[#This Row],[poids / unite]]</f>
        <v>0.96428571428571419</v>
      </c>
      <c r="Q108" s="728">
        <f>_xlfn.XLOOKUP(TableauRecette[[#This Row],[ID]],TableauProduit[ID],TableauProduit[Total (kg) N6],0,0,1)*TableauRecette[[#This Row],[poids / unite]]</f>
        <v>0.96428571428571419</v>
      </c>
      <c r="R108" s="728">
        <f>_xlfn.XLOOKUP(TableauRecette[[#This Row],[ID]],TableauProduit[ID],TableauProduit[Total (kg) N7],0,0,1)*TableauRecette[[#This Row],[poids / unite]]</f>
        <v>0.96428571428571419</v>
      </c>
      <c r="S108" s="728">
        <f>_xlfn.XLOOKUP(TableauRecette[[#This Row],[ID]],TableauProduit[ID],TableauProduit[Total (kg) N8],0,0,1)*TableauRecette[[#This Row],[poids / unite]]</f>
        <v>0.96428571428571419</v>
      </c>
      <c r="T108" s="728">
        <f>_xlfn.XLOOKUP(TableauRecette[[#This Row],[ID]],TableauProduit[ID],TableauProduit[Total (kg) N9],0,0,1)*TableauRecette[[#This Row],[poids / unite]]</f>
        <v>0.96428571428571419</v>
      </c>
    </row>
    <row r="109" spans="1:20">
      <c r="A109" s="67" t="s">
        <v>79</v>
      </c>
      <c r="B109" s="67" t="str">
        <f>TableauRecette[[#This Row],[Recette]]&amp;TableauRecette[[#This Row],[Conditionnement]]</f>
        <v>Curry MadraEpice 100ml</v>
      </c>
      <c r="C109" s="67" t="s">
        <v>299</v>
      </c>
      <c r="D109" s="191">
        <v>0.5</v>
      </c>
      <c r="E109" s="67" t="s">
        <v>55</v>
      </c>
      <c r="F109" s="191">
        <f>D109/SUMIFS(TableauRecette[Proportion],TableauRecette[Recette],TableauRecette[[#This Row],[Recette]],TableauRecette[Conditionnement],TableauRecette[[#This Row],[Conditionnement]])</f>
        <v>7.1428571428571425E-2</v>
      </c>
      <c r="G109" s="191">
        <f ca="1">_xlfn.XLOOKUP(TableauRecette[[#This Row],[Ingredients]],TableauIngredients[Ingredients],TableauIngredients[Prix d''achat (kg)],0)*TableauRecette[[#This Row],[poids / unite]]</f>
        <v>0</v>
      </c>
      <c r="H109" s="191">
        <f>SUMIFS(TableauRecette[Proportion],TableauRecette[Recette],TableauRecette[[#This Row],[Recette]],TableauRecette[Conditionnement],TableauRecette[[#This Row],[Conditionnement]])</f>
        <v>7</v>
      </c>
      <c r="I109" s="191">
        <f ca="1">TableauRecette[[#This Row],[Proportion]]*TableauRecette[[#This Row],[Prix d''achat / kg]]/TableauRecette[[#This Row],[Total Proportion]]</f>
        <v>0</v>
      </c>
      <c r="J109" s="191" t="s">
        <v>318</v>
      </c>
      <c r="K109" s="726" t="s">
        <v>293</v>
      </c>
      <c r="L109" s="727">
        <f>_xlfn.XLOOKUP(TableauRecette[[#This Row],[ID]],TableauProduit[ID],TableauProduit[Total (kg) N1],0,0,1)*TableauRecette[[#This Row],[poids / unite]]</f>
        <v>0.64285714285714279</v>
      </c>
      <c r="M109" s="728">
        <f>_xlfn.XLOOKUP(TableauRecette[[#This Row],[ID]],TableauProduit[ID],TableauProduit[Total (kg) N2],0,0,1)*TableauRecette[[#This Row],[poids / unite]]</f>
        <v>0.64285714285714279</v>
      </c>
      <c r="N109" s="728">
        <f>_xlfn.XLOOKUP(TableauRecette[[#This Row],[ID]],TableauProduit[ID],TableauProduit[Total (kg) N3],0,0,1)*TableauRecette[[#This Row],[poids / unite]]</f>
        <v>0.64285714285714279</v>
      </c>
      <c r="O109" s="728">
        <f>_xlfn.XLOOKUP(TableauRecette[[#This Row],[ID]],TableauProduit[ID],TableauProduit[Total (kg) N4],0,0,1)*TableauRecette[[#This Row],[poids / unite]]</f>
        <v>0.64285714285714279</v>
      </c>
      <c r="P109" s="728">
        <f>_xlfn.XLOOKUP(TableauRecette[[#This Row],[ID]],TableauProduit[ID],TableauProduit[Total (kg) N5],0,0,1)*TableauRecette[[#This Row],[poids / unite]]</f>
        <v>0.64285714285714279</v>
      </c>
      <c r="Q109" s="728">
        <f>_xlfn.XLOOKUP(TableauRecette[[#This Row],[ID]],TableauProduit[ID],TableauProduit[Total (kg) N6],0,0,1)*TableauRecette[[#This Row],[poids / unite]]</f>
        <v>0.64285714285714279</v>
      </c>
      <c r="R109" s="728">
        <f>_xlfn.XLOOKUP(TableauRecette[[#This Row],[ID]],TableauProduit[ID],TableauProduit[Total (kg) N7],0,0,1)*TableauRecette[[#This Row],[poids / unite]]</f>
        <v>0.64285714285714279</v>
      </c>
      <c r="S109" s="728">
        <f>_xlfn.XLOOKUP(TableauRecette[[#This Row],[ID]],TableauProduit[ID],TableauProduit[Total (kg) N8],0,0,1)*TableauRecette[[#This Row],[poids / unite]]</f>
        <v>0.64285714285714279</v>
      </c>
      <c r="T109" s="728">
        <f>_xlfn.XLOOKUP(TableauRecette[[#This Row],[ID]],TableauProduit[ID],TableauProduit[Total (kg) N9],0,0,1)*TableauRecette[[#This Row],[poids / unite]]</f>
        <v>0.64285714285714279</v>
      </c>
    </row>
    <row r="110" spans="1:20">
      <c r="A110" s="67" t="s">
        <v>79</v>
      </c>
      <c r="B110" s="67" t="str">
        <f>TableauRecette[[#This Row],[Recette]]&amp;TableauRecette[[#This Row],[Conditionnement]]</f>
        <v>Curry MadraEpice 100ml</v>
      </c>
      <c r="C110" s="67" t="s">
        <v>319</v>
      </c>
      <c r="D110" s="191">
        <v>0.25</v>
      </c>
      <c r="E110" s="67" t="s">
        <v>55</v>
      </c>
      <c r="F110" s="191">
        <f>D110/SUMIFS(TableauRecette[Proportion],TableauRecette[Recette],TableauRecette[[#This Row],[Recette]],TableauRecette[Conditionnement],TableauRecette[[#This Row],[Conditionnement]])</f>
        <v>3.5714285714285712E-2</v>
      </c>
      <c r="G110" s="191">
        <f ca="1">_xlfn.XLOOKUP(TableauRecette[[#This Row],[Ingredients]],TableauIngredients[Ingredients],TableauIngredients[Prix d''achat (kg)],0)*TableauRecette[[#This Row],[poids / unite]]</f>
        <v>0</v>
      </c>
      <c r="H110" s="191">
        <f>SUMIFS(TableauRecette[Proportion],TableauRecette[Recette],TableauRecette[[#This Row],[Recette]],TableauRecette[Conditionnement],TableauRecette[[#This Row],[Conditionnement]])</f>
        <v>7</v>
      </c>
      <c r="I110" s="191">
        <f ca="1">TableauRecette[[#This Row],[Proportion]]*TableauRecette[[#This Row],[Prix d''achat / kg]]/TableauRecette[[#This Row],[Total Proportion]]</f>
        <v>0</v>
      </c>
      <c r="J110" s="191" t="s">
        <v>318</v>
      </c>
      <c r="K110" s="726" t="s">
        <v>293</v>
      </c>
      <c r="L110" s="727">
        <f>_xlfn.XLOOKUP(TableauRecette[[#This Row],[ID]],TableauProduit[ID],TableauProduit[Total (kg) N1],0,0,1)*TableauRecette[[#This Row],[poids / unite]]</f>
        <v>0.3214285714285714</v>
      </c>
      <c r="M110" s="728">
        <f>_xlfn.XLOOKUP(TableauRecette[[#This Row],[ID]],TableauProduit[ID],TableauProduit[Total (kg) N2],0,0,1)*TableauRecette[[#This Row],[poids / unite]]</f>
        <v>0.3214285714285714</v>
      </c>
      <c r="N110" s="728">
        <f>_xlfn.XLOOKUP(TableauRecette[[#This Row],[ID]],TableauProduit[ID],TableauProduit[Total (kg) N3],0,0,1)*TableauRecette[[#This Row],[poids / unite]]</f>
        <v>0.3214285714285714</v>
      </c>
      <c r="O110" s="728">
        <f>_xlfn.XLOOKUP(TableauRecette[[#This Row],[ID]],TableauProduit[ID],TableauProduit[Total (kg) N4],0,0,1)*TableauRecette[[#This Row],[poids / unite]]</f>
        <v>0.3214285714285714</v>
      </c>
      <c r="P110" s="728">
        <f>_xlfn.XLOOKUP(TableauRecette[[#This Row],[ID]],TableauProduit[ID],TableauProduit[Total (kg) N5],0,0,1)*TableauRecette[[#This Row],[poids / unite]]</f>
        <v>0.3214285714285714</v>
      </c>
      <c r="Q110" s="728">
        <f>_xlfn.XLOOKUP(TableauRecette[[#This Row],[ID]],TableauProduit[ID],TableauProduit[Total (kg) N6],0,0,1)*TableauRecette[[#This Row],[poids / unite]]</f>
        <v>0.3214285714285714</v>
      </c>
      <c r="R110" s="728">
        <f>_xlfn.XLOOKUP(TableauRecette[[#This Row],[ID]],TableauProduit[ID],TableauProduit[Total (kg) N7],0,0,1)*TableauRecette[[#This Row],[poids / unite]]</f>
        <v>0.3214285714285714</v>
      </c>
      <c r="S110" s="728">
        <f>_xlfn.XLOOKUP(TableauRecette[[#This Row],[ID]],TableauProduit[ID],TableauProduit[Total (kg) N8],0,0,1)*TableauRecette[[#This Row],[poids / unite]]</f>
        <v>0.3214285714285714</v>
      </c>
      <c r="T110" s="728">
        <f>_xlfn.XLOOKUP(TableauRecette[[#This Row],[ID]],TableauProduit[ID],TableauProduit[Total (kg) N9],0,0,1)*TableauRecette[[#This Row],[poids / unite]]</f>
        <v>0.3214285714285714</v>
      </c>
    </row>
    <row r="111" spans="1:20">
      <c r="A111" s="67" t="s">
        <v>79</v>
      </c>
      <c r="B111" s="67" t="str">
        <f>TableauRecette[[#This Row],[Recette]]&amp;TableauRecette[[#This Row],[Conditionnement]]</f>
        <v>Curry MadraEpice 100ml</v>
      </c>
      <c r="C111" s="67" t="s">
        <v>313</v>
      </c>
      <c r="D111" s="191">
        <v>0.25</v>
      </c>
      <c r="E111" s="67" t="s">
        <v>55</v>
      </c>
      <c r="F111" s="191">
        <f>D111/SUMIFS(TableauRecette[Proportion],TableauRecette[Recette],TableauRecette[[#This Row],[Recette]],TableauRecette[Conditionnement],TableauRecette[[#This Row],[Conditionnement]])</f>
        <v>3.5714285714285712E-2</v>
      </c>
      <c r="G111" s="191">
        <f ca="1">_xlfn.XLOOKUP(TableauRecette[[#This Row],[Ingredients]],TableauIngredients[Ingredients],TableauIngredients[Prix d''achat (kg)],0)*TableauRecette[[#This Row],[poids / unite]]</f>
        <v>0</v>
      </c>
      <c r="H111" s="191">
        <f>SUMIFS(TableauRecette[Proportion],TableauRecette[Recette],TableauRecette[[#This Row],[Recette]],TableauRecette[Conditionnement],TableauRecette[[#This Row],[Conditionnement]])</f>
        <v>7</v>
      </c>
      <c r="I111" s="191">
        <f ca="1">TableauRecette[[#This Row],[Proportion]]*TableauRecette[[#This Row],[Prix d''achat / kg]]/TableauRecette[[#This Row],[Total Proportion]]</f>
        <v>0</v>
      </c>
      <c r="J111" s="191" t="s">
        <v>318</v>
      </c>
      <c r="K111" s="726" t="s">
        <v>293</v>
      </c>
      <c r="L111" s="727">
        <f>_xlfn.XLOOKUP(TableauRecette[[#This Row],[ID]],TableauProduit[ID],TableauProduit[Total (kg) N1],0,0,1)*TableauRecette[[#This Row],[poids / unite]]</f>
        <v>0.3214285714285714</v>
      </c>
      <c r="M111" s="728">
        <f>_xlfn.XLOOKUP(TableauRecette[[#This Row],[ID]],TableauProduit[ID],TableauProduit[Total (kg) N2],0,0,1)*TableauRecette[[#This Row],[poids / unite]]</f>
        <v>0.3214285714285714</v>
      </c>
      <c r="N111" s="728">
        <f>_xlfn.XLOOKUP(TableauRecette[[#This Row],[ID]],TableauProduit[ID],TableauProduit[Total (kg) N3],0,0,1)*TableauRecette[[#This Row],[poids / unite]]</f>
        <v>0.3214285714285714</v>
      </c>
      <c r="O111" s="728">
        <f>_xlfn.XLOOKUP(TableauRecette[[#This Row],[ID]],TableauProduit[ID],TableauProduit[Total (kg) N4],0,0,1)*TableauRecette[[#This Row],[poids / unite]]</f>
        <v>0.3214285714285714</v>
      </c>
      <c r="P111" s="728">
        <f>_xlfn.XLOOKUP(TableauRecette[[#This Row],[ID]],TableauProduit[ID],TableauProduit[Total (kg) N5],0,0,1)*TableauRecette[[#This Row],[poids / unite]]</f>
        <v>0.3214285714285714</v>
      </c>
      <c r="Q111" s="728">
        <f>_xlfn.XLOOKUP(TableauRecette[[#This Row],[ID]],TableauProduit[ID],TableauProduit[Total (kg) N6],0,0,1)*TableauRecette[[#This Row],[poids / unite]]</f>
        <v>0.3214285714285714</v>
      </c>
      <c r="R111" s="728">
        <f>_xlfn.XLOOKUP(TableauRecette[[#This Row],[ID]],TableauProduit[ID],TableauProduit[Total (kg) N7],0,0,1)*TableauRecette[[#This Row],[poids / unite]]</f>
        <v>0.3214285714285714</v>
      </c>
      <c r="S111" s="728">
        <f>_xlfn.XLOOKUP(TableauRecette[[#This Row],[ID]],TableauProduit[ID],TableauProduit[Total (kg) N8],0,0,1)*TableauRecette[[#This Row],[poids / unite]]</f>
        <v>0.3214285714285714</v>
      </c>
      <c r="T111" s="728">
        <f>_xlfn.XLOOKUP(TableauRecette[[#This Row],[ID]],TableauProduit[ID],TableauProduit[Total (kg) N9],0,0,1)*TableauRecette[[#This Row],[poids / unite]]</f>
        <v>0.3214285714285714</v>
      </c>
    </row>
    <row r="112" spans="1:20">
      <c r="A112" s="67" t="s">
        <v>79</v>
      </c>
      <c r="B112" s="67" t="str">
        <f>TableauRecette[[#This Row],[Recette]]&amp;TableauRecette[[#This Row],[Conditionnement]]</f>
        <v>Curry MadraEpice 100ml</v>
      </c>
      <c r="C112" s="67" t="s">
        <v>320</v>
      </c>
      <c r="D112" s="191">
        <v>0.25</v>
      </c>
      <c r="E112" s="67" t="s">
        <v>55</v>
      </c>
      <c r="F112" s="191">
        <f>D112/SUMIFS(TableauRecette[Proportion],TableauRecette[Recette],TableauRecette[[#This Row],[Recette]],TableauRecette[Conditionnement],TableauRecette[[#This Row],[Conditionnement]])</f>
        <v>3.5714285714285712E-2</v>
      </c>
      <c r="G112" s="191">
        <f ca="1">_xlfn.XLOOKUP(TableauRecette[[#This Row],[Ingredients]],TableauIngredients[Ingredients],TableauIngredients[Prix d''achat (kg)],0)*TableauRecette[[#This Row],[poids / unite]]</f>
        <v>0</v>
      </c>
      <c r="H112" s="191">
        <f>SUMIFS(TableauRecette[Proportion],TableauRecette[Recette],TableauRecette[[#This Row],[Recette]],TableauRecette[Conditionnement],TableauRecette[[#This Row],[Conditionnement]])</f>
        <v>7</v>
      </c>
      <c r="I112" s="191">
        <f ca="1">TableauRecette[[#This Row],[Proportion]]*TableauRecette[[#This Row],[Prix d''achat / kg]]/TableauRecette[[#This Row],[Total Proportion]]</f>
        <v>0</v>
      </c>
      <c r="J112" s="191" t="s">
        <v>318</v>
      </c>
      <c r="K112" s="726" t="s">
        <v>293</v>
      </c>
      <c r="L112" s="727">
        <f>_xlfn.XLOOKUP(TableauRecette[[#This Row],[ID]],TableauProduit[ID],TableauProduit[Total (kg) N1],0,0,1)*TableauRecette[[#This Row],[poids / unite]]</f>
        <v>0.3214285714285714</v>
      </c>
      <c r="M112" s="728">
        <f>_xlfn.XLOOKUP(TableauRecette[[#This Row],[ID]],TableauProduit[ID],TableauProduit[Total (kg) N2],0,0,1)*TableauRecette[[#This Row],[poids / unite]]</f>
        <v>0.3214285714285714</v>
      </c>
      <c r="N112" s="728">
        <f>_xlfn.XLOOKUP(TableauRecette[[#This Row],[ID]],TableauProduit[ID],TableauProduit[Total (kg) N3],0,0,1)*TableauRecette[[#This Row],[poids / unite]]</f>
        <v>0.3214285714285714</v>
      </c>
      <c r="O112" s="728">
        <f>_xlfn.XLOOKUP(TableauRecette[[#This Row],[ID]],TableauProduit[ID],TableauProduit[Total (kg) N4],0,0,1)*TableauRecette[[#This Row],[poids / unite]]</f>
        <v>0.3214285714285714</v>
      </c>
      <c r="P112" s="728">
        <f>_xlfn.XLOOKUP(TableauRecette[[#This Row],[ID]],TableauProduit[ID],TableauProduit[Total (kg) N5],0,0,1)*TableauRecette[[#This Row],[poids / unite]]</f>
        <v>0.3214285714285714</v>
      </c>
      <c r="Q112" s="728">
        <f>_xlfn.XLOOKUP(TableauRecette[[#This Row],[ID]],TableauProduit[ID],TableauProduit[Total (kg) N6],0,0,1)*TableauRecette[[#This Row],[poids / unite]]</f>
        <v>0.3214285714285714</v>
      </c>
      <c r="R112" s="728">
        <f>_xlfn.XLOOKUP(TableauRecette[[#This Row],[ID]],TableauProduit[ID],TableauProduit[Total (kg) N7],0,0,1)*TableauRecette[[#This Row],[poids / unite]]</f>
        <v>0.3214285714285714</v>
      </c>
      <c r="S112" s="728">
        <f>_xlfn.XLOOKUP(TableauRecette[[#This Row],[ID]],TableauProduit[ID],TableauProduit[Total (kg) N8],0,0,1)*TableauRecette[[#This Row],[poids / unite]]</f>
        <v>0.3214285714285714</v>
      </c>
      <c r="T112" s="728">
        <f>_xlfn.XLOOKUP(TableauRecette[[#This Row],[ID]],TableauProduit[ID],TableauProduit[Total (kg) N9],0,0,1)*TableauRecette[[#This Row],[poids / unite]]</f>
        <v>0.3214285714285714</v>
      </c>
    </row>
    <row r="113" spans="1:20">
      <c r="A113" s="67" t="s">
        <v>79</v>
      </c>
      <c r="B113" s="67" t="str">
        <f>TableauRecette[[#This Row],[Recette]]&amp;TableauRecette[[#This Row],[Conditionnement]]</f>
        <v>Curry MadraEpice 100ml</v>
      </c>
      <c r="C113" s="67" t="s">
        <v>312</v>
      </c>
      <c r="D113" s="191">
        <v>0.25</v>
      </c>
      <c r="E113" s="67" t="s">
        <v>55</v>
      </c>
      <c r="F113" s="191">
        <f>D113/SUMIFS(TableauRecette[Proportion],TableauRecette[Recette],TableauRecette[[#This Row],[Recette]],TableauRecette[Conditionnement],TableauRecette[[#This Row],[Conditionnement]])</f>
        <v>3.5714285714285712E-2</v>
      </c>
      <c r="G113" s="191">
        <f ca="1">_xlfn.XLOOKUP(TableauRecette[[#This Row],[Ingredients]],TableauIngredients[Ingredients],TableauIngredients[Prix d''achat (kg)],0)*TableauRecette[[#This Row],[poids / unite]]</f>
        <v>0</v>
      </c>
      <c r="H113" s="191">
        <f>SUMIFS(TableauRecette[Proportion],TableauRecette[Recette],TableauRecette[[#This Row],[Recette]],TableauRecette[Conditionnement],TableauRecette[[#This Row],[Conditionnement]])</f>
        <v>7</v>
      </c>
      <c r="I113" s="191">
        <f ca="1">TableauRecette[[#This Row],[Proportion]]*TableauRecette[[#This Row],[Prix d''achat / kg]]/TableauRecette[[#This Row],[Total Proportion]]</f>
        <v>0</v>
      </c>
      <c r="J113" s="191" t="s">
        <v>318</v>
      </c>
      <c r="K113" s="726" t="s">
        <v>293</v>
      </c>
      <c r="L113" s="727">
        <f>_xlfn.XLOOKUP(TableauRecette[[#This Row],[ID]],TableauProduit[ID],TableauProduit[Total (kg) N1],0,0,1)*TableauRecette[[#This Row],[poids / unite]]</f>
        <v>0.3214285714285714</v>
      </c>
      <c r="M113" s="728">
        <f>_xlfn.XLOOKUP(TableauRecette[[#This Row],[ID]],TableauProduit[ID],TableauProduit[Total (kg) N2],0,0,1)*TableauRecette[[#This Row],[poids / unite]]</f>
        <v>0.3214285714285714</v>
      </c>
      <c r="N113" s="728">
        <f>_xlfn.XLOOKUP(TableauRecette[[#This Row],[ID]],TableauProduit[ID],TableauProduit[Total (kg) N3],0,0,1)*TableauRecette[[#This Row],[poids / unite]]</f>
        <v>0.3214285714285714</v>
      </c>
      <c r="O113" s="728">
        <f>_xlfn.XLOOKUP(TableauRecette[[#This Row],[ID]],TableauProduit[ID],TableauProduit[Total (kg) N4],0,0,1)*TableauRecette[[#This Row],[poids / unite]]</f>
        <v>0.3214285714285714</v>
      </c>
      <c r="P113" s="728">
        <f>_xlfn.XLOOKUP(TableauRecette[[#This Row],[ID]],TableauProduit[ID],TableauProduit[Total (kg) N5],0,0,1)*TableauRecette[[#This Row],[poids / unite]]</f>
        <v>0.3214285714285714</v>
      </c>
      <c r="Q113" s="728">
        <f>_xlfn.XLOOKUP(TableauRecette[[#This Row],[ID]],TableauProduit[ID],TableauProduit[Total (kg) N6],0,0,1)*TableauRecette[[#This Row],[poids / unite]]</f>
        <v>0.3214285714285714</v>
      </c>
      <c r="R113" s="728">
        <f>_xlfn.XLOOKUP(TableauRecette[[#This Row],[ID]],TableauProduit[ID],TableauProduit[Total (kg) N7],0,0,1)*TableauRecette[[#This Row],[poids / unite]]</f>
        <v>0.3214285714285714</v>
      </c>
      <c r="S113" s="728">
        <f>_xlfn.XLOOKUP(TableauRecette[[#This Row],[ID]],TableauProduit[ID],TableauProduit[Total (kg) N8],0,0,1)*TableauRecette[[#This Row],[poids / unite]]</f>
        <v>0.3214285714285714</v>
      </c>
      <c r="T113" s="728">
        <f>_xlfn.XLOOKUP(TableauRecette[[#This Row],[ID]],TableauProduit[ID],TableauProduit[Total (kg) N9],0,0,1)*TableauRecette[[#This Row],[poids / unite]]</f>
        <v>0.3214285714285714</v>
      </c>
    </row>
    <row r="114" spans="1:20">
      <c r="A114" s="67" t="s">
        <v>79</v>
      </c>
      <c r="B114" s="67" t="str">
        <f>TableauRecette[[#This Row],[Recette]]&amp;TableauRecette[[#This Row],[Conditionnement]]</f>
        <v>Curry MadraEpice 100ml</v>
      </c>
      <c r="C114" s="67" t="s">
        <v>309</v>
      </c>
      <c r="D114" s="191">
        <v>0.75</v>
      </c>
      <c r="E114" s="67" t="s">
        <v>55</v>
      </c>
      <c r="F114" s="191">
        <f>D114/SUMIFS(TableauRecette[Proportion],TableauRecette[Recette],TableauRecette[[#This Row],[Recette]],TableauRecette[Conditionnement],TableauRecette[[#This Row],[Conditionnement]])</f>
        <v>0.10714285714285714</v>
      </c>
      <c r="G114" s="191">
        <f ca="1">_xlfn.XLOOKUP(TableauRecette[[#This Row],[Ingredients]],TableauIngredients[Ingredients],TableauIngredients[Prix d''achat (kg)],0)*TableauRecette[[#This Row],[poids / unite]]</f>
        <v>0</v>
      </c>
      <c r="H114" s="191">
        <f>SUMIFS(TableauRecette[Proportion],TableauRecette[Recette],TableauRecette[[#This Row],[Recette]],TableauRecette[Conditionnement],TableauRecette[[#This Row],[Conditionnement]])</f>
        <v>7</v>
      </c>
      <c r="I114" s="191">
        <f ca="1">TableauRecette[[#This Row],[Proportion]]*TableauRecette[[#This Row],[Prix d''achat / kg]]/TableauRecette[[#This Row],[Total Proportion]]</f>
        <v>0</v>
      </c>
      <c r="J114" s="191" t="s">
        <v>730</v>
      </c>
      <c r="K114" s="726" t="s">
        <v>282</v>
      </c>
      <c r="L114" s="727">
        <f>_xlfn.XLOOKUP(TableauRecette[[#This Row],[ID]],TableauProduit[ID],TableauProduit[Total (kg) N1],0,0,1)*TableauRecette[[#This Row],[poids / unite]]</f>
        <v>0.96428571428571419</v>
      </c>
      <c r="M114" s="728">
        <f>_xlfn.XLOOKUP(TableauRecette[[#This Row],[ID]],TableauProduit[ID],TableauProduit[Total (kg) N2],0,0,1)*TableauRecette[[#This Row],[poids / unite]]</f>
        <v>0.96428571428571419</v>
      </c>
      <c r="N114" s="728">
        <f>_xlfn.XLOOKUP(TableauRecette[[#This Row],[ID]],TableauProduit[ID],TableauProduit[Total (kg) N3],0,0,1)*TableauRecette[[#This Row],[poids / unite]]</f>
        <v>0.96428571428571419</v>
      </c>
      <c r="O114" s="728">
        <f>_xlfn.XLOOKUP(TableauRecette[[#This Row],[ID]],TableauProduit[ID],TableauProduit[Total (kg) N4],0,0,1)*TableauRecette[[#This Row],[poids / unite]]</f>
        <v>0.96428571428571419</v>
      </c>
      <c r="P114" s="728">
        <f>_xlfn.XLOOKUP(TableauRecette[[#This Row],[ID]],TableauProduit[ID],TableauProduit[Total (kg) N5],0,0,1)*TableauRecette[[#This Row],[poids / unite]]</f>
        <v>0.96428571428571419</v>
      </c>
      <c r="Q114" s="728">
        <f>_xlfn.XLOOKUP(TableauRecette[[#This Row],[ID]],TableauProduit[ID],TableauProduit[Total (kg) N6],0,0,1)*TableauRecette[[#This Row],[poids / unite]]</f>
        <v>0.96428571428571419</v>
      </c>
      <c r="R114" s="728">
        <f>_xlfn.XLOOKUP(TableauRecette[[#This Row],[ID]],TableauProduit[ID],TableauProduit[Total (kg) N7],0,0,1)*TableauRecette[[#This Row],[poids / unite]]</f>
        <v>0.96428571428571419</v>
      </c>
      <c r="S114" s="728">
        <f>_xlfn.XLOOKUP(TableauRecette[[#This Row],[ID]],TableauProduit[ID],TableauProduit[Total (kg) N8],0,0,1)*TableauRecette[[#This Row],[poids / unite]]</f>
        <v>0.96428571428571419</v>
      </c>
      <c r="T114" s="728">
        <f>_xlfn.XLOOKUP(TableauRecette[[#This Row],[ID]],TableauProduit[ID],TableauProduit[Total (kg) N9],0,0,1)*TableauRecette[[#This Row],[poids / unite]]</f>
        <v>0.96428571428571419</v>
      </c>
    </row>
    <row r="115" spans="1:20">
      <c r="A115" s="67" t="s">
        <v>79</v>
      </c>
      <c r="B115" s="67" t="str">
        <f>TableauRecette[[#This Row],[Recette]]&amp;TableauRecette[[#This Row],[Conditionnement]]</f>
        <v>Curry MadraEpice 100ml</v>
      </c>
      <c r="C115" s="67" t="s">
        <v>777</v>
      </c>
      <c r="D115" s="191">
        <v>0.25</v>
      </c>
      <c r="E115" s="67" t="s">
        <v>55</v>
      </c>
      <c r="F115" s="191">
        <f>D115/SUMIFS(TableauRecette[Proportion],TableauRecette[Recette],TableauRecette[[#This Row],[Recette]],TableauRecette[Conditionnement],TableauRecette[[#This Row],[Conditionnement]])</f>
        <v>3.5714285714285712E-2</v>
      </c>
      <c r="G115" s="191">
        <f ca="1">_xlfn.XLOOKUP(TableauRecette[[#This Row],[Ingredients]],TableauIngredients[Ingredients],TableauIngredients[Prix d''achat (kg)],0)*TableauRecette[[#This Row],[poids / unite]]</f>
        <v>0</v>
      </c>
      <c r="H115" s="191">
        <f>SUMIFS(TableauRecette[Proportion],TableauRecette[Recette],TableauRecette[[#This Row],[Recette]],TableauRecette[Conditionnement],TableauRecette[[#This Row],[Conditionnement]])</f>
        <v>7</v>
      </c>
      <c r="I115" s="191">
        <f ca="1">TableauRecette[[#This Row],[Proportion]]*TableauRecette[[#This Row],[Prix d''achat / kg]]/TableauRecette[[#This Row],[Total Proportion]]</f>
        <v>0</v>
      </c>
      <c r="J115" s="191" t="s">
        <v>318</v>
      </c>
      <c r="K115" s="726" t="s">
        <v>293</v>
      </c>
      <c r="L115" s="727">
        <f>_xlfn.XLOOKUP(TableauRecette[[#This Row],[ID]],TableauProduit[ID],TableauProduit[Total (kg) N1],0,0,1)*TableauRecette[[#This Row],[poids / unite]]</f>
        <v>0.3214285714285714</v>
      </c>
      <c r="M115" s="728">
        <f>_xlfn.XLOOKUP(TableauRecette[[#This Row],[ID]],TableauProduit[ID],TableauProduit[Total (kg) N2],0,0,1)*TableauRecette[[#This Row],[poids / unite]]</f>
        <v>0.3214285714285714</v>
      </c>
      <c r="N115" s="728">
        <f>_xlfn.XLOOKUP(TableauRecette[[#This Row],[ID]],TableauProduit[ID],TableauProduit[Total (kg) N3],0,0,1)*TableauRecette[[#This Row],[poids / unite]]</f>
        <v>0.3214285714285714</v>
      </c>
      <c r="O115" s="728">
        <f>_xlfn.XLOOKUP(TableauRecette[[#This Row],[ID]],TableauProduit[ID],TableauProduit[Total (kg) N4],0,0,1)*TableauRecette[[#This Row],[poids / unite]]</f>
        <v>0.3214285714285714</v>
      </c>
      <c r="P115" s="728">
        <f>_xlfn.XLOOKUP(TableauRecette[[#This Row],[ID]],TableauProduit[ID],TableauProduit[Total (kg) N5],0,0,1)*TableauRecette[[#This Row],[poids / unite]]</f>
        <v>0.3214285714285714</v>
      </c>
      <c r="Q115" s="728">
        <f>_xlfn.XLOOKUP(TableauRecette[[#This Row],[ID]],TableauProduit[ID],TableauProduit[Total (kg) N6],0,0,1)*TableauRecette[[#This Row],[poids / unite]]</f>
        <v>0.3214285714285714</v>
      </c>
      <c r="R115" s="728">
        <f>_xlfn.XLOOKUP(TableauRecette[[#This Row],[ID]],TableauProduit[ID],TableauProduit[Total (kg) N7],0,0,1)*TableauRecette[[#This Row],[poids / unite]]</f>
        <v>0.3214285714285714</v>
      </c>
      <c r="S115" s="728">
        <f>_xlfn.XLOOKUP(TableauRecette[[#This Row],[ID]],TableauProduit[ID],TableauProduit[Total (kg) N8],0,0,1)*TableauRecette[[#This Row],[poids / unite]]</f>
        <v>0.3214285714285714</v>
      </c>
      <c r="T115" s="728">
        <f>_xlfn.XLOOKUP(TableauRecette[[#This Row],[ID]],TableauProduit[ID],TableauProduit[Total (kg) N9],0,0,1)*TableauRecette[[#This Row],[poids / unite]]</f>
        <v>0.3214285714285714</v>
      </c>
    </row>
    <row r="116" spans="1:20">
      <c r="A116" s="68" t="s">
        <v>90</v>
      </c>
      <c r="B116" s="68" t="str">
        <f>TableauRecette[[#This Row],[Recette]]&amp;TableauRecette[[#This Row],[Conditionnement]]</f>
        <v>DukkahEpice 100ml</v>
      </c>
      <c r="C116" s="68" t="s">
        <v>321</v>
      </c>
      <c r="D116" s="192">
        <v>150</v>
      </c>
      <c r="E116" s="68" t="s">
        <v>55</v>
      </c>
      <c r="F116" s="192">
        <f>D116/SUMIFS(TableauRecette[Proportion],TableauRecette[Recette],TableauRecette[[#This Row],[Recette]],TableauRecette[Conditionnement],TableauRecette[[#This Row],[Conditionnement]])</f>
        <v>0.46439628482972134</v>
      </c>
      <c r="G116" s="192">
        <f ca="1">_xlfn.XLOOKUP(TableauRecette[[#This Row],[Ingredients]],TableauIngredients[Ingredients],TableauIngredients[Prix d''achat (kg)],0)*TableauRecette[[#This Row],[poids / unite]]</f>
        <v>3.2507739938080493</v>
      </c>
      <c r="H116" s="192">
        <f>SUMIFS(TableauRecette[Proportion],TableauRecette[Recette],TableauRecette[[#This Row],[Recette]],TableauRecette[Conditionnement],TableauRecette[[#This Row],[Conditionnement]])</f>
        <v>323</v>
      </c>
      <c r="I116" s="192">
        <f ca="1">TableauRecette[[#This Row],[Proportion]]*TableauRecette[[#This Row],[Prix d''achat / kg]]/TableauRecette[[#This Row],[Total Proportion]]</f>
        <v>0</v>
      </c>
      <c r="J116" s="192" t="s">
        <v>318</v>
      </c>
      <c r="K116" s="729" t="s">
        <v>293</v>
      </c>
      <c r="L116" s="730">
        <f>_xlfn.XLOOKUP(TableauRecette[[#This Row],[ID]],TableauProduit[ID],TableauProduit[Total (kg) N1],0,0,1)*TableauRecette[[#This Row],[poids / unite]]</f>
        <v>0</v>
      </c>
      <c r="M116" s="731">
        <f>_xlfn.XLOOKUP(TableauRecette[[#This Row],[ID]],TableauProduit[ID],TableauProduit[Total (kg) N2],0,0,1)*TableauRecette[[#This Row],[poids / unite]]</f>
        <v>0</v>
      </c>
      <c r="N116" s="731">
        <f>_xlfn.XLOOKUP(TableauRecette[[#This Row],[ID]],TableauProduit[ID],TableauProduit[Total (kg) N3],0,0,1)*TableauRecette[[#This Row],[poids / unite]]</f>
        <v>0</v>
      </c>
      <c r="O116" s="731">
        <f>_xlfn.XLOOKUP(TableauRecette[[#This Row],[ID]],TableauProduit[ID],TableauProduit[Total (kg) N4],0,0,1)*TableauRecette[[#This Row],[poids / unite]]</f>
        <v>0</v>
      </c>
      <c r="P116" s="731">
        <f>_xlfn.XLOOKUP(TableauRecette[[#This Row],[ID]],TableauProduit[ID],TableauProduit[Total (kg) N5],0,0,1)*TableauRecette[[#This Row],[poids / unite]]</f>
        <v>0</v>
      </c>
      <c r="Q116" s="731">
        <f>_xlfn.XLOOKUP(TableauRecette[[#This Row],[ID]],TableauProduit[ID],TableauProduit[Total (kg) N6],0,0,1)*TableauRecette[[#This Row],[poids / unite]]</f>
        <v>0</v>
      </c>
      <c r="R116" s="731">
        <f>_xlfn.XLOOKUP(TableauRecette[[#This Row],[ID]],TableauProduit[ID],TableauProduit[Total (kg) N7],0,0,1)*TableauRecette[[#This Row],[poids / unite]]</f>
        <v>0</v>
      </c>
      <c r="S116" s="731">
        <f>_xlfn.XLOOKUP(TableauRecette[[#This Row],[ID]],TableauProduit[ID],TableauProduit[Total (kg) N8],0,0,1)*TableauRecette[[#This Row],[poids / unite]]</f>
        <v>0</v>
      </c>
      <c r="T116" s="731">
        <f>_xlfn.XLOOKUP(TableauRecette[[#This Row],[ID]],TableauProduit[ID],TableauProduit[Total (kg) N9],0,0,1)*TableauRecette[[#This Row],[poids / unite]]</f>
        <v>0</v>
      </c>
    </row>
    <row r="117" spans="1:20">
      <c r="A117" s="68" t="s">
        <v>90</v>
      </c>
      <c r="B117" s="68" t="str">
        <f>TableauRecette[[#This Row],[Recette]]&amp;TableauRecette[[#This Row],[Conditionnement]]</f>
        <v>DukkahEpice 100ml</v>
      </c>
      <c r="C117" s="68" t="s">
        <v>322</v>
      </c>
      <c r="D117" s="192">
        <v>150</v>
      </c>
      <c r="E117" s="68" t="s">
        <v>55</v>
      </c>
      <c r="F117" s="192">
        <f>D117/SUMIFS(TableauRecette[Proportion],TableauRecette[Recette],TableauRecette[[#This Row],[Recette]],TableauRecette[Conditionnement],TableauRecette[[#This Row],[Conditionnement]])</f>
        <v>0.46439628482972134</v>
      </c>
      <c r="G117" s="192">
        <f ca="1">_xlfn.XLOOKUP(TableauRecette[[#This Row],[Ingredients]],TableauIngredients[Ingredients],TableauIngredients[Prix d''achat (kg)],0)*TableauRecette[[#This Row],[poids / unite]]</f>
        <v>0</v>
      </c>
      <c r="H117" s="192">
        <f>SUMIFS(TableauRecette[Proportion],TableauRecette[Recette],TableauRecette[[#This Row],[Recette]],TableauRecette[Conditionnement],TableauRecette[[#This Row],[Conditionnement]])</f>
        <v>323</v>
      </c>
      <c r="I117" s="192">
        <f ca="1">TableauRecette[[#This Row],[Proportion]]*TableauRecette[[#This Row],[Prix d''achat / kg]]/TableauRecette[[#This Row],[Total Proportion]]</f>
        <v>0</v>
      </c>
      <c r="J117" s="192" t="s">
        <v>318</v>
      </c>
      <c r="K117" s="729" t="s">
        <v>293</v>
      </c>
      <c r="L117" s="730">
        <f>_xlfn.XLOOKUP(TableauRecette[[#This Row],[ID]],TableauProduit[ID],TableauProduit[Total (kg) N1],0,0,1)*TableauRecette[[#This Row],[poids / unite]]</f>
        <v>0</v>
      </c>
      <c r="M117" s="731">
        <f>_xlfn.XLOOKUP(TableauRecette[[#This Row],[ID]],TableauProduit[ID],TableauProduit[Total (kg) N2],0,0,1)*TableauRecette[[#This Row],[poids / unite]]</f>
        <v>0</v>
      </c>
      <c r="N117" s="731">
        <f>_xlfn.XLOOKUP(TableauRecette[[#This Row],[ID]],TableauProduit[ID],TableauProduit[Total (kg) N3],0,0,1)*TableauRecette[[#This Row],[poids / unite]]</f>
        <v>0</v>
      </c>
      <c r="O117" s="731">
        <f>_xlfn.XLOOKUP(TableauRecette[[#This Row],[ID]],TableauProduit[ID],TableauProduit[Total (kg) N4],0,0,1)*TableauRecette[[#This Row],[poids / unite]]</f>
        <v>0</v>
      </c>
      <c r="P117" s="731">
        <f>_xlfn.XLOOKUP(TableauRecette[[#This Row],[ID]],TableauProduit[ID],TableauProduit[Total (kg) N5],0,0,1)*TableauRecette[[#This Row],[poids / unite]]</f>
        <v>0</v>
      </c>
      <c r="Q117" s="731">
        <f>_xlfn.XLOOKUP(TableauRecette[[#This Row],[ID]],TableauProduit[ID],TableauProduit[Total (kg) N6],0,0,1)*TableauRecette[[#This Row],[poids / unite]]</f>
        <v>0</v>
      </c>
      <c r="R117" s="731">
        <f>_xlfn.XLOOKUP(TableauRecette[[#This Row],[ID]],TableauProduit[ID],TableauProduit[Total (kg) N7],0,0,1)*TableauRecette[[#This Row],[poids / unite]]</f>
        <v>0</v>
      </c>
      <c r="S117" s="731">
        <f>_xlfn.XLOOKUP(TableauRecette[[#This Row],[ID]],TableauProduit[ID],TableauProduit[Total (kg) N8],0,0,1)*TableauRecette[[#This Row],[poids / unite]]</f>
        <v>0</v>
      </c>
      <c r="T117" s="731">
        <f>_xlfn.XLOOKUP(TableauRecette[[#This Row],[ID]],TableauProduit[ID],TableauProduit[Total (kg) N9],0,0,1)*TableauRecette[[#This Row],[poids / unite]]</f>
        <v>0</v>
      </c>
    </row>
    <row r="118" spans="1:20">
      <c r="A118" s="68" t="s">
        <v>90</v>
      </c>
      <c r="B118" s="68" t="str">
        <f>TableauRecette[[#This Row],[Recette]]&amp;TableauRecette[[#This Row],[Conditionnement]]</f>
        <v>DukkahEpice 100ml</v>
      </c>
      <c r="C118" s="68" t="s">
        <v>289</v>
      </c>
      <c r="D118" s="192">
        <v>4</v>
      </c>
      <c r="E118" s="68" t="s">
        <v>55</v>
      </c>
      <c r="F118" s="192">
        <f>D118/SUMIFS(TableauRecette[Proportion],TableauRecette[Recette],TableauRecette[[#This Row],[Recette]],TableauRecette[Conditionnement],TableauRecette[[#This Row],[Conditionnement]])</f>
        <v>1.238390092879257E-2</v>
      </c>
      <c r="G118" s="192">
        <f ca="1">_xlfn.XLOOKUP(TableauRecette[[#This Row],[Ingredients]],TableauIngredients[Ingredients],TableauIngredients[Prix d''achat (kg)],0)*TableauRecette[[#This Row],[poids / unite]]</f>
        <v>0</v>
      </c>
      <c r="H118" s="192">
        <f>SUMIFS(TableauRecette[Proportion],TableauRecette[Recette],TableauRecette[[#This Row],[Recette]],TableauRecette[Conditionnement],TableauRecette[[#This Row],[Conditionnement]])</f>
        <v>323</v>
      </c>
      <c r="I118" s="192">
        <f ca="1">TableauRecette[[#This Row],[Proportion]]*TableauRecette[[#This Row],[Prix d''achat / kg]]/TableauRecette[[#This Row],[Total Proportion]]</f>
        <v>0</v>
      </c>
      <c r="J118" s="192" t="s">
        <v>323</v>
      </c>
      <c r="K118" s="729" t="s">
        <v>282</v>
      </c>
      <c r="L118" s="730">
        <f>_xlfn.XLOOKUP(TableauRecette[[#This Row],[ID]],TableauProduit[ID],TableauProduit[Total (kg) N1],0,0,1)*TableauRecette[[#This Row],[poids / unite]]</f>
        <v>0</v>
      </c>
      <c r="M118" s="731">
        <f>_xlfn.XLOOKUP(TableauRecette[[#This Row],[ID]],TableauProduit[ID],TableauProduit[Total (kg) N2],0,0,1)*TableauRecette[[#This Row],[poids / unite]]</f>
        <v>0</v>
      </c>
      <c r="N118" s="731">
        <f>_xlfn.XLOOKUP(TableauRecette[[#This Row],[ID]],TableauProduit[ID],TableauProduit[Total (kg) N3],0,0,1)*TableauRecette[[#This Row],[poids / unite]]</f>
        <v>0</v>
      </c>
      <c r="O118" s="731">
        <f>_xlfn.XLOOKUP(TableauRecette[[#This Row],[ID]],TableauProduit[ID],TableauProduit[Total (kg) N4],0,0,1)*TableauRecette[[#This Row],[poids / unite]]</f>
        <v>0</v>
      </c>
      <c r="P118" s="731">
        <f>_xlfn.XLOOKUP(TableauRecette[[#This Row],[ID]],TableauProduit[ID],TableauProduit[Total (kg) N5],0,0,1)*TableauRecette[[#This Row],[poids / unite]]</f>
        <v>0</v>
      </c>
      <c r="Q118" s="731">
        <f>_xlfn.XLOOKUP(TableauRecette[[#This Row],[ID]],TableauProduit[ID],TableauProduit[Total (kg) N6],0,0,1)*TableauRecette[[#This Row],[poids / unite]]</f>
        <v>0</v>
      </c>
      <c r="R118" s="731">
        <f>_xlfn.XLOOKUP(TableauRecette[[#This Row],[ID]],TableauProduit[ID],TableauProduit[Total (kg) N7],0,0,1)*TableauRecette[[#This Row],[poids / unite]]</f>
        <v>0</v>
      </c>
      <c r="S118" s="731">
        <f>_xlfn.XLOOKUP(TableauRecette[[#This Row],[ID]],TableauProduit[ID],TableauProduit[Total (kg) N8],0,0,1)*TableauRecette[[#This Row],[poids / unite]]</f>
        <v>0</v>
      </c>
      <c r="T118" s="731">
        <f>_xlfn.XLOOKUP(TableauRecette[[#This Row],[ID]],TableauProduit[ID],TableauProduit[Total (kg) N9],0,0,1)*TableauRecette[[#This Row],[poids / unite]]</f>
        <v>0</v>
      </c>
    </row>
    <row r="119" spans="1:20">
      <c r="A119" s="68" t="s">
        <v>90</v>
      </c>
      <c r="B119" s="68" t="str">
        <f>TableauRecette[[#This Row],[Recette]]&amp;TableauRecette[[#This Row],[Conditionnement]]</f>
        <v>DukkahEpice 100ml</v>
      </c>
      <c r="C119" s="68" t="s">
        <v>284</v>
      </c>
      <c r="D119" s="192">
        <v>6</v>
      </c>
      <c r="E119" s="68" t="s">
        <v>55</v>
      </c>
      <c r="F119" s="192">
        <f>D119/SUMIFS(TableauRecette[Proportion],TableauRecette[Recette],TableauRecette[[#This Row],[Recette]],TableauRecette[Conditionnement],TableauRecette[[#This Row],[Conditionnement]])</f>
        <v>1.8575851393188854E-2</v>
      </c>
      <c r="G119" s="192">
        <f ca="1">_xlfn.XLOOKUP(TableauRecette[[#This Row],[Ingredients]],TableauIngredients[Ingredients],TableauIngredients[Prix d''achat (kg)],0)*TableauRecette[[#This Row],[poids / unite]]</f>
        <v>0</v>
      </c>
      <c r="H119" s="192">
        <f>SUMIFS(TableauRecette[Proportion],TableauRecette[Recette],TableauRecette[[#This Row],[Recette]],TableauRecette[Conditionnement],TableauRecette[[#This Row],[Conditionnement]])</f>
        <v>323</v>
      </c>
      <c r="I119" s="192">
        <f ca="1">TableauRecette[[#This Row],[Proportion]]*TableauRecette[[#This Row],[Prix d''achat / kg]]/TableauRecette[[#This Row],[Total Proportion]]</f>
        <v>0</v>
      </c>
      <c r="J119" s="192" t="s">
        <v>323</v>
      </c>
      <c r="K119" s="729" t="s">
        <v>282</v>
      </c>
      <c r="L119" s="730">
        <f>_xlfn.XLOOKUP(TableauRecette[[#This Row],[ID]],TableauProduit[ID],TableauProduit[Total (kg) N1],0,0,1)*TableauRecette[[#This Row],[poids / unite]]</f>
        <v>0</v>
      </c>
      <c r="M119" s="731">
        <f>_xlfn.XLOOKUP(TableauRecette[[#This Row],[ID]],TableauProduit[ID],TableauProduit[Total (kg) N2],0,0,1)*TableauRecette[[#This Row],[poids / unite]]</f>
        <v>0</v>
      </c>
      <c r="N119" s="731">
        <f>_xlfn.XLOOKUP(TableauRecette[[#This Row],[ID]],TableauProduit[ID],TableauProduit[Total (kg) N3],0,0,1)*TableauRecette[[#This Row],[poids / unite]]</f>
        <v>0</v>
      </c>
      <c r="O119" s="731">
        <f>_xlfn.XLOOKUP(TableauRecette[[#This Row],[ID]],TableauProduit[ID],TableauProduit[Total (kg) N4],0,0,1)*TableauRecette[[#This Row],[poids / unite]]</f>
        <v>0</v>
      </c>
      <c r="P119" s="731">
        <f>_xlfn.XLOOKUP(TableauRecette[[#This Row],[ID]],TableauProduit[ID],TableauProduit[Total (kg) N5],0,0,1)*TableauRecette[[#This Row],[poids / unite]]</f>
        <v>0</v>
      </c>
      <c r="Q119" s="731">
        <f>_xlfn.XLOOKUP(TableauRecette[[#This Row],[ID]],TableauProduit[ID],TableauProduit[Total (kg) N6],0,0,1)*TableauRecette[[#This Row],[poids / unite]]</f>
        <v>0</v>
      </c>
      <c r="R119" s="731">
        <f>_xlfn.XLOOKUP(TableauRecette[[#This Row],[ID]],TableauProduit[ID],TableauProduit[Total (kg) N7],0,0,1)*TableauRecette[[#This Row],[poids / unite]]</f>
        <v>0</v>
      </c>
      <c r="S119" s="731">
        <f>_xlfn.XLOOKUP(TableauRecette[[#This Row],[ID]],TableauProduit[ID],TableauProduit[Total (kg) N8],0,0,1)*TableauRecette[[#This Row],[poids / unite]]</f>
        <v>0</v>
      </c>
      <c r="T119" s="731">
        <f>_xlfn.XLOOKUP(TableauRecette[[#This Row],[ID]],TableauProduit[ID],TableauProduit[Total (kg) N9],0,0,1)*TableauRecette[[#This Row],[poids / unite]]</f>
        <v>0</v>
      </c>
    </row>
    <row r="120" spans="1:20">
      <c r="A120" s="68" t="s">
        <v>90</v>
      </c>
      <c r="B120" s="68" t="str">
        <f>TableauRecette[[#This Row],[Recette]]&amp;TableauRecette[[#This Row],[Conditionnement]]</f>
        <v>DukkahEpice 100ml</v>
      </c>
      <c r="C120" s="68" t="s">
        <v>777</v>
      </c>
      <c r="D120" s="192">
        <v>12</v>
      </c>
      <c r="E120" s="68" t="s">
        <v>55</v>
      </c>
      <c r="F120" s="192">
        <f>D120/SUMIFS(TableauRecette[Proportion],TableauRecette[Recette],TableauRecette[[#This Row],[Recette]],TableauRecette[Conditionnement],TableauRecette[[#This Row],[Conditionnement]])</f>
        <v>3.7151702786377708E-2</v>
      </c>
      <c r="G120" s="192">
        <f ca="1">_xlfn.XLOOKUP(TableauRecette[[#This Row],[Ingredients]],TableauIngredients[Ingredients],TableauIngredients[Prix d''achat (kg)],0)*TableauRecette[[#This Row],[poids / unite]]</f>
        <v>0</v>
      </c>
      <c r="H120" s="192">
        <f>SUMIFS(TableauRecette[Proportion],TableauRecette[Recette],TableauRecette[[#This Row],[Recette]],TableauRecette[Conditionnement],TableauRecette[[#This Row],[Conditionnement]])</f>
        <v>323</v>
      </c>
      <c r="I120" s="192">
        <f ca="1">TableauRecette[[#This Row],[Proportion]]*TableauRecette[[#This Row],[Prix d''achat / kg]]/TableauRecette[[#This Row],[Total Proportion]]</f>
        <v>0</v>
      </c>
      <c r="J120" s="192" t="s">
        <v>323</v>
      </c>
      <c r="K120" s="729" t="s">
        <v>282</v>
      </c>
      <c r="L120" s="730">
        <f>_xlfn.XLOOKUP(TableauRecette[[#This Row],[ID]],TableauProduit[ID],TableauProduit[Total (kg) N1],0,0,1)*TableauRecette[[#This Row],[poids / unite]]</f>
        <v>0</v>
      </c>
      <c r="M120" s="731">
        <f>_xlfn.XLOOKUP(TableauRecette[[#This Row],[ID]],TableauProduit[ID],TableauProduit[Total (kg) N2],0,0,1)*TableauRecette[[#This Row],[poids / unite]]</f>
        <v>0</v>
      </c>
      <c r="N120" s="731">
        <f>_xlfn.XLOOKUP(TableauRecette[[#This Row],[ID]],TableauProduit[ID],TableauProduit[Total (kg) N3],0,0,1)*TableauRecette[[#This Row],[poids / unite]]</f>
        <v>0</v>
      </c>
      <c r="O120" s="731">
        <f>_xlfn.XLOOKUP(TableauRecette[[#This Row],[ID]],TableauProduit[ID],TableauProduit[Total (kg) N4],0,0,1)*TableauRecette[[#This Row],[poids / unite]]</f>
        <v>0</v>
      </c>
      <c r="P120" s="731">
        <f>_xlfn.XLOOKUP(TableauRecette[[#This Row],[ID]],TableauProduit[ID],TableauProduit[Total (kg) N5],0,0,1)*TableauRecette[[#This Row],[poids / unite]]</f>
        <v>0</v>
      </c>
      <c r="Q120" s="731">
        <f>_xlfn.XLOOKUP(TableauRecette[[#This Row],[ID]],TableauProduit[ID],TableauProduit[Total (kg) N6],0,0,1)*TableauRecette[[#This Row],[poids / unite]]</f>
        <v>0</v>
      </c>
      <c r="R120" s="731">
        <f>_xlfn.XLOOKUP(TableauRecette[[#This Row],[ID]],TableauProduit[ID],TableauProduit[Total (kg) N7],0,0,1)*TableauRecette[[#This Row],[poids / unite]]</f>
        <v>0</v>
      </c>
      <c r="S120" s="731">
        <f>_xlfn.XLOOKUP(TableauRecette[[#This Row],[ID]],TableauProduit[ID],TableauProduit[Total (kg) N8],0,0,1)*TableauRecette[[#This Row],[poids / unite]]</f>
        <v>0</v>
      </c>
      <c r="T120" s="731">
        <f>_xlfn.XLOOKUP(TableauRecette[[#This Row],[ID]],TableauProduit[ID],TableauProduit[Total (kg) N9],0,0,1)*TableauRecette[[#This Row],[poids / unite]]</f>
        <v>0</v>
      </c>
    </row>
    <row r="121" spans="1:20">
      <c r="A121" s="68" t="s">
        <v>90</v>
      </c>
      <c r="B121" s="68" t="str">
        <f>TableauRecette[[#This Row],[Recette]]&amp;TableauRecette[[#This Row],[Conditionnement]]</f>
        <v>DukkahEpice 100ml</v>
      </c>
      <c r="C121" s="68" t="s">
        <v>303</v>
      </c>
      <c r="D121" s="192">
        <v>1</v>
      </c>
      <c r="E121" s="68" t="s">
        <v>55</v>
      </c>
      <c r="F121" s="192">
        <f>D121/SUMIFS(TableauRecette[Proportion],TableauRecette[Recette],TableauRecette[[#This Row],[Recette]],TableauRecette[Conditionnement],TableauRecette[[#This Row],[Conditionnement]])</f>
        <v>3.0959752321981426E-3</v>
      </c>
      <c r="G121" s="192">
        <f ca="1">_xlfn.XLOOKUP(TableauRecette[[#This Row],[Ingredients]],TableauIngredients[Ingredients],TableauIngredients[Prix d''achat (kg)],0)*TableauRecette[[#This Row],[poids / unite]]</f>
        <v>4.3343653250773996E-3</v>
      </c>
      <c r="H121" s="192">
        <f>SUMIFS(TableauRecette[Proportion],TableauRecette[Recette],TableauRecette[[#This Row],[Recette]],TableauRecette[Conditionnement],TableauRecette[[#This Row],[Conditionnement]])</f>
        <v>323</v>
      </c>
      <c r="I121" s="192">
        <f ca="1">TableauRecette[[#This Row],[Proportion]]*TableauRecette[[#This Row],[Prix d''achat / kg]]/TableauRecette[[#This Row],[Total Proportion]]</f>
        <v>0</v>
      </c>
      <c r="J121" s="192" t="s">
        <v>323</v>
      </c>
      <c r="K121" s="729" t="s">
        <v>282</v>
      </c>
      <c r="L121" s="730">
        <f>_xlfn.XLOOKUP(TableauRecette[[#This Row],[ID]],TableauProduit[ID],TableauProduit[Total (kg) N1],0,0,1)*TableauRecette[[#This Row],[poids / unite]]</f>
        <v>0</v>
      </c>
      <c r="M121" s="731">
        <f>_xlfn.XLOOKUP(TableauRecette[[#This Row],[ID]],TableauProduit[ID],TableauProduit[Total (kg) N2],0,0,1)*TableauRecette[[#This Row],[poids / unite]]</f>
        <v>0</v>
      </c>
      <c r="N121" s="731">
        <f>_xlfn.XLOOKUP(TableauRecette[[#This Row],[ID]],TableauProduit[ID],TableauProduit[Total (kg) N3],0,0,1)*TableauRecette[[#This Row],[poids / unite]]</f>
        <v>0</v>
      </c>
      <c r="O121" s="731">
        <f>_xlfn.XLOOKUP(TableauRecette[[#This Row],[ID]],TableauProduit[ID],TableauProduit[Total (kg) N4],0,0,1)*TableauRecette[[#This Row],[poids / unite]]</f>
        <v>0</v>
      </c>
      <c r="P121" s="731">
        <f>_xlfn.XLOOKUP(TableauRecette[[#This Row],[ID]],TableauProduit[ID],TableauProduit[Total (kg) N5],0,0,1)*TableauRecette[[#This Row],[poids / unite]]</f>
        <v>0</v>
      </c>
      <c r="Q121" s="731">
        <f>_xlfn.XLOOKUP(TableauRecette[[#This Row],[ID]],TableauProduit[ID],TableauProduit[Total (kg) N6],0,0,1)*TableauRecette[[#This Row],[poids / unite]]</f>
        <v>0</v>
      </c>
      <c r="R121" s="731">
        <f>_xlfn.XLOOKUP(TableauRecette[[#This Row],[ID]],TableauProduit[ID],TableauProduit[Total (kg) N7],0,0,1)*TableauRecette[[#This Row],[poids / unite]]</f>
        <v>0</v>
      </c>
      <c r="S121" s="731">
        <f>_xlfn.XLOOKUP(TableauRecette[[#This Row],[ID]],TableauProduit[ID],TableauProduit[Total (kg) N8],0,0,1)*TableauRecette[[#This Row],[poids / unite]]</f>
        <v>0</v>
      </c>
      <c r="T121" s="731">
        <f>_xlfn.XLOOKUP(TableauRecette[[#This Row],[ID]],TableauProduit[ID],TableauProduit[Total (kg) N9],0,0,1)*TableauRecette[[#This Row],[poids / unite]]</f>
        <v>0</v>
      </c>
    </row>
    <row r="122" spans="1:20">
      <c r="A122" s="69" t="s">
        <v>100</v>
      </c>
      <c r="B122" s="69" t="str">
        <f>TableauRecette[[#This Row],[Recette]]&amp;TableauRecette[[#This Row],[Conditionnement]]</f>
        <v>Durban masalaEpice 100ml</v>
      </c>
      <c r="C122" s="69" t="s">
        <v>289</v>
      </c>
      <c r="D122" s="193">
        <v>2</v>
      </c>
      <c r="E122" s="69" t="s">
        <v>55</v>
      </c>
      <c r="F122" s="193">
        <f>D122/SUMIFS(TableauRecette[Proportion],TableauRecette[Recette],TableauRecette[[#This Row],[Recette]],TableauRecette[Conditionnement],TableauRecette[[#This Row],[Conditionnement]])</f>
        <v>0.12422360248447203</v>
      </c>
      <c r="G122" s="193">
        <f ca="1">_xlfn.XLOOKUP(TableauRecette[[#This Row],[Ingredients]],TableauIngredients[Ingredients],TableauIngredients[Prix d''achat (kg)],0)*TableauRecette[[#This Row],[poids / unite]]</f>
        <v>0</v>
      </c>
      <c r="H122" s="193">
        <f>SUMIFS(TableauRecette[Proportion],TableauRecette[Recette],TableauRecette[[#This Row],[Recette]],TableauRecette[Conditionnement],TableauRecette[[#This Row],[Conditionnement]])</f>
        <v>16.100000000000001</v>
      </c>
      <c r="I122" s="193">
        <f ca="1">TableauRecette[[#This Row],[Proportion]]*TableauRecette[[#This Row],[Prix d''achat / kg]]/TableauRecette[[#This Row],[Total Proportion]]</f>
        <v>0</v>
      </c>
      <c r="J122" s="193" t="s">
        <v>323</v>
      </c>
      <c r="K122" s="732" t="s">
        <v>282</v>
      </c>
      <c r="L122" s="733">
        <f>_xlfn.XLOOKUP(TableauRecette[[#This Row],[ID]],TableauProduit[ID],TableauProduit[Total (kg) N1],0,0,1)*TableauRecette[[#This Row],[poids / unite]]</f>
        <v>0</v>
      </c>
      <c r="M122" s="734">
        <f>_xlfn.XLOOKUP(TableauRecette[[#This Row],[ID]],TableauProduit[ID],TableauProduit[Total (kg) N2],0,0,1)*TableauRecette[[#This Row],[poids / unite]]</f>
        <v>0</v>
      </c>
      <c r="N122" s="734">
        <f>_xlfn.XLOOKUP(TableauRecette[[#This Row],[ID]],TableauProduit[ID],TableauProduit[Total (kg) N3],0,0,1)*TableauRecette[[#This Row],[poids / unite]]</f>
        <v>0</v>
      </c>
      <c r="O122" s="734">
        <f>_xlfn.XLOOKUP(TableauRecette[[#This Row],[ID]],TableauProduit[ID],TableauProduit[Total (kg) N4],0,0,1)*TableauRecette[[#This Row],[poids / unite]]</f>
        <v>0</v>
      </c>
      <c r="P122" s="734">
        <f>_xlfn.XLOOKUP(TableauRecette[[#This Row],[ID]],TableauProduit[ID],TableauProduit[Total (kg) N5],0,0,1)*TableauRecette[[#This Row],[poids / unite]]</f>
        <v>0</v>
      </c>
      <c r="Q122" s="734">
        <f>_xlfn.XLOOKUP(TableauRecette[[#This Row],[ID]],TableauProduit[ID],TableauProduit[Total (kg) N6],0,0,1)*TableauRecette[[#This Row],[poids / unite]]</f>
        <v>0</v>
      </c>
      <c r="R122" s="734">
        <f>_xlfn.XLOOKUP(TableauRecette[[#This Row],[ID]],TableauProduit[ID],TableauProduit[Total (kg) N7],0,0,1)*TableauRecette[[#This Row],[poids / unite]]</f>
        <v>0</v>
      </c>
      <c r="S122" s="734">
        <f>_xlfn.XLOOKUP(TableauRecette[[#This Row],[ID]],TableauProduit[ID],TableauProduit[Total (kg) N8],0,0,1)*TableauRecette[[#This Row],[poids / unite]]</f>
        <v>0</v>
      </c>
      <c r="T122" s="734">
        <f>_xlfn.XLOOKUP(TableauRecette[[#This Row],[ID]],TableauProduit[ID],TableauProduit[Total (kg) N9],0,0,1)*TableauRecette[[#This Row],[poids / unite]]</f>
        <v>0</v>
      </c>
    </row>
    <row r="123" spans="1:20">
      <c r="A123" s="69" t="s">
        <v>100</v>
      </c>
      <c r="B123" s="69" t="str">
        <f>TableauRecette[[#This Row],[Recette]]&amp;TableauRecette[[#This Row],[Conditionnement]]</f>
        <v>Durban masalaEpice 100ml</v>
      </c>
      <c r="C123" s="69" t="s">
        <v>284</v>
      </c>
      <c r="D123" s="193">
        <v>2</v>
      </c>
      <c r="E123" s="69" t="s">
        <v>55</v>
      </c>
      <c r="F123" s="193">
        <f>D123/SUMIFS(TableauRecette[Proportion],TableauRecette[Recette],TableauRecette[[#This Row],[Recette]],TableauRecette[Conditionnement],TableauRecette[[#This Row],[Conditionnement]])</f>
        <v>0.12422360248447203</v>
      </c>
      <c r="G123" s="193">
        <f ca="1">_xlfn.XLOOKUP(TableauRecette[[#This Row],[Ingredients]],TableauIngredients[Ingredients],TableauIngredients[Prix d''achat (kg)],0)*TableauRecette[[#This Row],[poids / unite]]</f>
        <v>0</v>
      </c>
      <c r="H123" s="193">
        <f>SUMIFS(TableauRecette[Proportion],TableauRecette[Recette],TableauRecette[[#This Row],[Recette]],TableauRecette[Conditionnement],TableauRecette[[#This Row],[Conditionnement]])</f>
        <v>16.100000000000001</v>
      </c>
      <c r="I123" s="193">
        <f ca="1">TableauRecette[[#This Row],[Proportion]]*TableauRecette[[#This Row],[Prix d''achat / kg]]/TableauRecette[[#This Row],[Total Proportion]]</f>
        <v>0</v>
      </c>
      <c r="J123" s="193" t="s">
        <v>323</v>
      </c>
      <c r="K123" s="732" t="s">
        <v>282</v>
      </c>
      <c r="L123" s="733">
        <f>_xlfn.XLOOKUP(TableauRecette[[#This Row],[ID]],TableauProduit[ID],TableauProduit[Total (kg) N1],0,0,1)*TableauRecette[[#This Row],[poids / unite]]</f>
        <v>0</v>
      </c>
      <c r="M123" s="734">
        <f>_xlfn.XLOOKUP(TableauRecette[[#This Row],[ID]],TableauProduit[ID],TableauProduit[Total (kg) N2],0,0,1)*TableauRecette[[#This Row],[poids / unite]]</f>
        <v>0</v>
      </c>
      <c r="N123" s="734">
        <f>_xlfn.XLOOKUP(TableauRecette[[#This Row],[ID]],TableauProduit[ID],TableauProduit[Total (kg) N3],0,0,1)*TableauRecette[[#This Row],[poids / unite]]</f>
        <v>0</v>
      </c>
      <c r="O123" s="734">
        <f>_xlfn.XLOOKUP(TableauRecette[[#This Row],[ID]],TableauProduit[ID],TableauProduit[Total (kg) N4],0,0,1)*TableauRecette[[#This Row],[poids / unite]]</f>
        <v>0</v>
      </c>
      <c r="P123" s="734">
        <f>_xlfn.XLOOKUP(TableauRecette[[#This Row],[ID]],TableauProduit[ID],TableauProduit[Total (kg) N5],0,0,1)*TableauRecette[[#This Row],[poids / unite]]</f>
        <v>0</v>
      </c>
      <c r="Q123" s="734">
        <f>_xlfn.XLOOKUP(TableauRecette[[#This Row],[ID]],TableauProduit[ID],TableauProduit[Total (kg) N6],0,0,1)*TableauRecette[[#This Row],[poids / unite]]</f>
        <v>0</v>
      </c>
      <c r="R123" s="734">
        <f>_xlfn.XLOOKUP(TableauRecette[[#This Row],[ID]],TableauProduit[ID],TableauProduit[Total (kg) N7],0,0,1)*TableauRecette[[#This Row],[poids / unite]]</f>
        <v>0</v>
      </c>
      <c r="S123" s="734">
        <f>_xlfn.XLOOKUP(TableauRecette[[#This Row],[ID]],TableauProduit[ID],TableauProduit[Total (kg) N8],0,0,1)*TableauRecette[[#This Row],[poids / unite]]</f>
        <v>0</v>
      </c>
      <c r="T123" s="734">
        <f>_xlfn.XLOOKUP(TableauRecette[[#This Row],[ID]],TableauProduit[ID],TableauProduit[Total (kg) N9],0,0,1)*TableauRecette[[#This Row],[poids / unite]]</f>
        <v>0</v>
      </c>
    </row>
    <row r="124" spans="1:20">
      <c r="A124" s="69" t="s">
        <v>100</v>
      </c>
      <c r="B124" s="69" t="str">
        <f>TableauRecette[[#This Row],[Recette]]&amp;TableauRecette[[#This Row],[Conditionnement]]</f>
        <v>Durban masalaEpice 100ml</v>
      </c>
      <c r="C124" s="69" t="s">
        <v>283</v>
      </c>
      <c r="D124" s="193">
        <v>1</v>
      </c>
      <c r="E124" s="69" t="s">
        <v>55</v>
      </c>
      <c r="F124" s="193">
        <f>D124/SUMIFS(TableauRecette[Proportion],TableauRecette[Recette],TableauRecette[[#This Row],[Recette]],TableauRecette[Conditionnement],TableauRecette[[#This Row],[Conditionnement]])</f>
        <v>6.2111801242236017E-2</v>
      </c>
      <c r="G124" s="193">
        <f ca="1">_xlfn.XLOOKUP(TableauRecette[[#This Row],[Ingredients]],TableauIngredients[Ingredients],TableauIngredients[Prix d''achat (kg)],0)*TableauRecette[[#This Row],[poids / unite]]</f>
        <v>7.0835714285714273</v>
      </c>
      <c r="H124" s="193">
        <f>SUMIFS(TableauRecette[Proportion],TableauRecette[Recette],TableauRecette[[#This Row],[Recette]],TableauRecette[Conditionnement],TableauRecette[[#This Row],[Conditionnement]])</f>
        <v>16.100000000000001</v>
      </c>
      <c r="I124" s="193">
        <f ca="1">TableauRecette[[#This Row],[Proportion]]*TableauRecette[[#This Row],[Prix d''achat / kg]]/TableauRecette[[#This Row],[Total Proportion]]</f>
        <v>0</v>
      </c>
      <c r="J124" s="193" t="s">
        <v>323</v>
      </c>
      <c r="K124" s="732" t="s">
        <v>282</v>
      </c>
      <c r="L124" s="733">
        <f>_xlfn.XLOOKUP(TableauRecette[[#This Row],[ID]],TableauProduit[ID],TableauProduit[Total (kg) N1],0,0,1)*TableauRecette[[#This Row],[poids / unite]]</f>
        <v>0</v>
      </c>
      <c r="M124" s="734">
        <f>_xlfn.XLOOKUP(TableauRecette[[#This Row],[ID]],TableauProduit[ID],TableauProduit[Total (kg) N2],0,0,1)*TableauRecette[[#This Row],[poids / unite]]</f>
        <v>0</v>
      </c>
      <c r="N124" s="734">
        <f>_xlfn.XLOOKUP(TableauRecette[[#This Row],[ID]],TableauProduit[ID],TableauProduit[Total (kg) N3],0,0,1)*TableauRecette[[#This Row],[poids / unite]]</f>
        <v>0</v>
      </c>
      <c r="O124" s="734">
        <f>_xlfn.XLOOKUP(TableauRecette[[#This Row],[ID]],TableauProduit[ID],TableauProduit[Total (kg) N4],0,0,1)*TableauRecette[[#This Row],[poids / unite]]</f>
        <v>0</v>
      </c>
      <c r="P124" s="734">
        <f>_xlfn.XLOOKUP(TableauRecette[[#This Row],[ID]],TableauProduit[ID],TableauProduit[Total (kg) N5],0,0,1)*TableauRecette[[#This Row],[poids / unite]]</f>
        <v>0</v>
      </c>
      <c r="Q124" s="734">
        <f>_xlfn.XLOOKUP(TableauRecette[[#This Row],[ID]],TableauProduit[ID],TableauProduit[Total (kg) N6],0,0,1)*TableauRecette[[#This Row],[poids / unite]]</f>
        <v>0</v>
      </c>
      <c r="R124" s="734">
        <f>_xlfn.XLOOKUP(TableauRecette[[#This Row],[ID]],TableauProduit[ID],TableauProduit[Total (kg) N7],0,0,1)*TableauRecette[[#This Row],[poids / unite]]</f>
        <v>0</v>
      </c>
      <c r="S124" s="734">
        <f>_xlfn.XLOOKUP(TableauRecette[[#This Row],[ID]],TableauProduit[ID],TableauProduit[Total (kg) N8],0,0,1)*TableauRecette[[#This Row],[poids / unite]]</f>
        <v>0</v>
      </c>
      <c r="T124" s="734">
        <f>_xlfn.XLOOKUP(TableauRecette[[#This Row],[ID]],TableauProduit[ID],TableauProduit[Total (kg) N9],0,0,1)*TableauRecette[[#This Row],[poids / unite]]</f>
        <v>0</v>
      </c>
    </row>
    <row r="125" spans="1:20">
      <c r="A125" s="69" t="s">
        <v>100</v>
      </c>
      <c r="B125" s="69" t="str">
        <f>TableauRecette[[#This Row],[Recette]]&amp;TableauRecette[[#This Row],[Conditionnement]]</f>
        <v>Durban masalaEpice 100ml</v>
      </c>
      <c r="C125" s="69" t="s">
        <v>306</v>
      </c>
      <c r="D125" s="193">
        <v>0.5</v>
      </c>
      <c r="E125" s="69" t="s">
        <v>55</v>
      </c>
      <c r="F125" s="193">
        <f>D125/SUMIFS(TableauRecette[Proportion],TableauRecette[Recette],TableauRecette[[#This Row],[Recette]],TableauRecette[Conditionnement],TableauRecette[[#This Row],[Conditionnement]])</f>
        <v>3.1055900621118009E-2</v>
      </c>
      <c r="G125" s="193">
        <f ca="1">_xlfn.XLOOKUP(TableauRecette[[#This Row],[Ingredients]],TableauIngredients[Ingredients],TableauIngredients[Prix d''achat (kg)],0)*TableauRecette[[#This Row],[poids / unite]]</f>
        <v>0</v>
      </c>
      <c r="H125" s="193">
        <f>SUMIFS(TableauRecette[Proportion],TableauRecette[Recette],TableauRecette[[#This Row],[Recette]],TableauRecette[Conditionnement],TableauRecette[[#This Row],[Conditionnement]])</f>
        <v>16.100000000000001</v>
      </c>
      <c r="I125" s="193">
        <f ca="1">TableauRecette[[#This Row],[Proportion]]*TableauRecette[[#This Row],[Prix d''achat / kg]]/TableauRecette[[#This Row],[Total Proportion]]</f>
        <v>0</v>
      </c>
      <c r="J125" s="193" t="s">
        <v>323</v>
      </c>
      <c r="K125" s="732" t="s">
        <v>282</v>
      </c>
      <c r="L125" s="733">
        <f>_xlfn.XLOOKUP(TableauRecette[[#This Row],[ID]],TableauProduit[ID],TableauProduit[Total (kg) N1],0,0,1)*TableauRecette[[#This Row],[poids / unite]]</f>
        <v>0</v>
      </c>
      <c r="M125" s="734">
        <f>_xlfn.XLOOKUP(TableauRecette[[#This Row],[ID]],TableauProduit[ID],TableauProduit[Total (kg) N2],0,0,1)*TableauRecette[[#This Row],[poids / unite]]</f>
        <v>0</v>
      </c>
      <c r="N125" s="734">
        <f>_xlfn.XLOOKUP(TableauRecette[[#This Row],[ID]],TableauProduit[ID],TableauProduit[Total (kg) N3],0,0,1)*TableauRecette[[#This Row],[poids / unite]]</f>
        <v>0</v>
      </c>
      <c r="O125" s="734">
        <f>_xlfn.XLOOKUP(TableauRecette[[#This Row],[ID]],TableauProduit[ID],TableauProduit[Total (kg) N4],0,0,1)*TableauRecette[[#This Row],[poids / unite]]</f>
        <v>0</v>
      </c>
      <c r="P125" s="734">
        <f>_xlfn.XLOOKUP(TableauRecette[[#This Row],[ID]],TableauProduit[ID],TableauProduit[Total (kg) N5],0,0,1)*TableauRecette[[#This Row],[poids / unite]]</f>
        <v>0</v>
      </c>
      <c r="Q125" s="734">
        <f>_xlfn.XLOOKUP(TableauRecette[[#This Row],[ID]],TableauProduit[ID],TableauProduit[Total (kg) N6],0,0,1)*TableauRecette[[#This Row],[poids / unite]]</f>
        <v>0</v>
      </c>
      <c r="R125" s="734">
        <f>_xlfn.XLOOKUP(TableauRecette[[#This Row],[ID]],TableauProduit[ID],TableauProduit[Total (kg) N7],0,0,1)*TableauRecette[[#This Row],[poids / unite]]</f>
        <v>0</v>
      </c>
      <c r="S125" s="734">
        <f>_xlfn.XLOOKUP(TableauRecette[[#This Row],[ID]],TableauProduit[ID],TableauProduit[Total (kg) N8],0,0,1)*TableauRecette[[#This Row],[poids / unite]]</f>
        <v>0</v>
      </c>
      <c r="T125" s="734">
        <f>_xlfn.XLOOKUP(TableauRecette[[#This Row],[ID]],TableauProduit[ID],TableauProduit[Total (kg) N9],0,0,1)*TableauRecette[[#This Row],[poids / unite]]</f>
        <v>0</v>
      </c>
    </row>
    <row r="126" spans="1:20">
      <c r="A126" s="69" t="s">
        <v>100</v>
      </c>
      <c r="B126" s="69" t="str">
        <f>TableauRecette[[#This Row],[Recette]]&amp;TableauRecette[[#This Row],[Conditionnement]]</f>
        <v>Durban masalaEpice 100ml</v>
      </c>
      <c r="C126" s="69" t="s">
        <v>288</v>
      </c>
      <c r="D126" s="193">
        <v>0.1</v>
      </c>
      <c r="E126" s="69" t="s">
        <v>55</v>
      </c>
      <c r="F126" s="193">
        <f>D126/SUMIFS(TableauRecette[Proportion],TableauRecette[Recette],TableauRecette[[#This Row],[Recette]],TableauRecette[Conditionnement],TableauRecette[[#This Row],[Conditionnement]])</f>
        <v>6.2111801242236021E-3</v>
      </c>
      <c r="G126" s="193">
        <f ca="1">_xlfn.XLOOKUP(TableauRecette[[#This Row],[Ingredients]],TableauIngredients[Ingredients],TableauIngredients[Prix d''achat (kg)],0)*TableauRecette[[#This Row],[poids / unite]]</f>
        <v>0.22360248447204967</v>
      </c>
      <c r="H126" s="193">
        <f>SUMIFS(TableauRecette[Proportion],TableauRecette[Recette],TableauRecette[[#This Row],[Recette]],TableauRecette[Conditionnement],TableauRecette[[#This Row],[Conditionnement]])</f>
        <v>16.100000000000001</v>
      </c>
      <c r="I126" s="193">
        <f ca="1">TableauRecette[[#This Row],[Proportion]]*TableauRecette[[#This Row],[Prix d''achat / kg]]/TableauRecette[[#This Row],[Total Proportion]]</f>
        <v>0</v>
      </c>
      <c r="J126" s="193" t="s">
        <v>323</v>
      </c>
      <c r="K126" s="732" t="s">
        <v>282</v>
      </c>
      <c r="L126" s="733">
        <f>_xlfn.XLOOKUP(TableauRecette[[#This Row],[ID]],TableauProduit[ID],TableauProduit[Total (kg) N1],0,0,1)*TableauRecette[[#This Row],[poids / unite]]</f>
        <v>0</v>
      </c>
      <c r="M126" s="734">
        <f>_xlfn.XLOOKUP(TableauRecette[[#This Row],[ID]],TableauProduit[ID],TableauProduit[Total (kg) N2],0,0,1)*TableauRecette[[#This Row],[poids / unite]]</f>
        <v>0</v>
      </c>
      <c r="N126" s="734">
        <f>_xlfn.XLOOKUP(TableauRecette[[#This Row],[ID]],TableauProduit[ID],TableauProduit[Total (kg) N3],0,0,1)*TableauRecette[[#This Row],[poids / unite]]</f>
        <v>0</v>
      </c>
      <c r="O126" s="734">
        <f>_xlfn.XLOOKUP(TableauRecette[[#This Row],[ID]],TableauProduit[ID],TableauProduit[Total (kg) N4],0,0,1)*TableauRecette[[#This Row],[poids / unite]]</f>
        <v>0</v>
      </c>
      <c r="P126" s="734">
        <f>_xlfn.XLOOKUP(TableauRecette[[#This Row],[ID]],TableauProduit[ID],TableauProduit[Total (kg) N5],0,0,1)*TableauRecette[[#This Row],[poids / unite]]</f>
        <v>0</v>
      </c>
      <c r="Q126" s="734">
        <f>_xlfn.XLOOKUP(TableauRecette[[#This Row],[ID]],TableauProduit[ID],TableauProduit[Total (kg) N6],0,0,1)*TableauRecette[[#This Row],[poids / unite]]</f>
        <v>0</v>
      </c>
      <c r="R126" s="734">
        <f>_xlfn.XLOOKUP(TableauRecette[[#This Row],[ID]],TableauProduit[ID],TableauProduit[Total (kg) N7],0,0,1)*TableauRecette[[#This Row],[poids / unite]]</f>
        <v>0</v>
      </c>
      <c r="S126" s="734">
        <f>_xlfn.XLOOKUP(TableauRecette[[#This Row],[ID]],TableauProduit[ID],TableauProduit[Total (kg) N8],0,0,1)*TableauRecette[[#This Row],[poids / unite]]</f>
        <v>0</v>
      </c>
      <c r="T126" s="734">
        <f>_xlfn.XLOOKUP(TableauRecette[[#This Row],[ID]],TableauProduit[ID],TableauProduit[Total (kg) N9],0,0,1)*TableauRecette[[#This Row],[poids / unite]]</f>
        <v>0</v>
      </c>
    </row>
    <row r="127" spans="1:20">
      <c r="A127" s="69" t="s">
        <v>100</v>
      </c>
      <c r="B127" s="69" t="str">
        <f>TableauRecette[[#This Row],[Recette]]&amp;TableauRecette[[#This Row],[Conditionnement]]</f>
        <v>Durban masalaEpice 100ml</v>
      </c>
      <c r="C127" s="69" t="s">
        <v>285</v>
      </c>
      <c r="D127" s="193">
        <v>3</v>
      </c>
      <c r="E127" s="69" t="s">
        <v>55</v>
      </c>
      <c r="F127" s="193">
        <f>D127/SUMIFS(TableauRecette[Proportion],TableauRecette[Recette],TableauRecette[[#This Row],[Recette]],TableauRecette[Conditionnement],TableauRecette[[#This Row],[Conditionnement]])</f>
        <v>0.18633540372670807</v>
      </c>
      <c r="G127" s="193">
        <f ca="1">_xlfn.XLOOKUP(TableauRecette[[#This Row],[Ingredients]],TableauIngredients[Ingredients],TableauIngredients[Prix d''achat (kg)],0)*TableauRecette[[#This Row],[poids / unite]]</f>
        <v>4.0993788819875778</v>
      </c>
      <c r="H127" s="193">
        <f>SUMIFS(TableauRecette[Proportion],TableauRecette[Recette],TableauRecette[[#This Row],[Recette]],TableauRecette[Conditionnement],TableauRecette[[#This Row],[Conditionnement]])</f>
        <v>16.100000000000001</v>
      </c>
      <c r="I127" s="193">
        <f ca="1">TableauRecette[[#This Row],[Proportion]]*TableauRecette[[#This Row],[Prix d''achat / kg]]/TableauRecette[[#This Row],[Total Proportion]]</f>
        <v>0</v>
      </c>
      <c r="J127" s="193" t="s">
        <v>324</v>
      </c>
      <c r="K127" s="732" t="s">
        <v>282</v>
      </c>
      <c r="L127" s="733">
        <f>_xlfn.XLOOKUP(TableauRecette[[#This Row],[ID]],TableauProduit[ID],TableauProduit[Total (kg) N1],0,0,1)*TableauRecette[[#This Row],[poids / unite]]</f>
        <v>0</v>
      </c>
      <c r="M127" s="734">
        <f>_xlfn.XLOOKUP(TableauRecette[[#This Row],[ID]],TableauProduit[ID],TableauProduit[Total (kg) N2],0,0,1)*TableauRecette[[#This Row],[poids / unite]]</f>
        <v>0</v>
      </c>
      <c r="N127" s="734">
        <f>_xlfn.XLOOKUP(TableauRecette[[#This Row],[ID]],TableauProduit[ID],TableauProduit[Total (kg) N3],0,0,1)*TableauRecette[[#This Row],[poids / unite]]</f>
        <v>0</v>
      </c>
      <c r="O127" s="734">
        <f>_xlfn.XLOOKUP(TableauRecette[[#This Row],[ID]],TableauProduit[ID],TableauProduit[Total (kg) N4],0,0,1)*TableauRecette[[#This Row],[poids / unite]]</f>
        <v>0</v>
      </c>
      <c r="P127" s="734">
        <f>_xlfn.XLOOKUP(TableauRecette[[#This Row],[ID]],TableauProduit[ID],TableauProduit[Total (kg) N5],0,0,1)*TableauRecette[[#This Row],[poids / unite]]</f>
        <v>0</v>
      </c>
      <c r="Q127" s="734">
        <f>_xlfn.XLOOKUP(TableauRecette[[#This Row],[ID]],TableauProduit[ID],TableauProduit[Total (kg) N6],0,0,1)*TableauRecette[[#This Row],[poids / unite]]</f>
        <v>0</v>
      </c>
      <c r="R127" s="734">
        <f>_xlfn.XLOOKUP(TableauRecette[[#This Row],[ID]],TableauProduit[ID],TableauProduit[Total (kg) N7],0,0,1)*TableauRecette[[#This Row],[poids / unite]]</f>
        <v>0</v>
      </c>
      <c r="S127" s="734">
        <f>_xlfn.XLOOKUP(TableauRecette[[#This Row],[ID]],TableauProduit[ID],TableauProduit[Total (kg) N8],0,0,1)*TableauRecette[[#This Row],[poids / unite]]</f>
        <v>0</v>
      </c>
      <c r="T127" s="734">
        <f>_xlfn.XLOOKUP(TableauRecette[[#This Row],[ID]],TableauProduit[ID],TableauProduit[Total (kg) N9],0,0,1)*TableauRecette[[#This Row],[poids / unite]]</f>
        <v>0</v>
      </c>
    </row>
    <row r="128" spans="1:20">
      <c r="A128" s="69" t="s">
        <v>100</v>
      </c>
      <c r="B128" s="69" t="str">
        <f>TableauRecette[[#This Row],[Recette]]&amp;TableauRecette[[#This Row],[Conditionnement]]</f>
        <v>Durban masalaEpice 100ml</v>
      </c>
      <c r="C128" s="69" t="s">
        <v>325</v>
      </c>
      <c r="D128" s="193">
        <v>1</v>
      </c>
      <c r="E128" s="69" t="s">
        <v>55</v>
      </c>
      <c r="F128" s="193">
        <f>D128/SUMIFS(TableauRecette[Proportion],TableauRecette[Recette],TableauRecette[[#This Row],[Recette]],TableauRecette[Conditionnement],TableauRecette[[#This Row],[Conditionnement]])</f>
        <v>6.2111801242236017E-2</v>
      </c>
      <c r="G128" s="193">
        <f ca="1">_xlfn.XLOOKUP(TableauRecette[[#This Row],[Ingredients]],TableauIngredients[Ingredients],TableauIngredients[Prix d''achat (kg)],0)*TableauRecette[[#This Row],[poids / unite]]</f>
        <v>0</v>
      </c>
      <c r="H128" s="193">
        <f>SUMIFS(TableauRecette[Proportion],TableauRecette[Recette],TableauRecette[[#This Row],[Recette]],TableauRecette[Conditionnement],TableauRecette[[#This Row],[Conditionnement]])</f>
        <v>16.100000000000001</v>
      </c>
      <c r="I128" s="193">
        <f ca="1">TableauRecette[[#This Row],[Proportion]]*TableauRecette[[#This Row],[Prix d''achat / kg]]/TableauRecette[[#This Row],[Total Proportion]]</f>
        <v>0</v>
      </c>
      <c r="J128" s="193" t="s">
        <v>324</v>
      </c>
      <c r="K128" s="732" t="s">
        <v>282</v>
      </c>
      <c r="L128" s="733">
        <f>_xlfn.XLOOKUP(TableauRecette[[#This Row],[ID]],TableauProduit[ID],TableauProduit[Total (kg) N1],0,0,1)*TableauRecette[[#This Row],[poids / unite]]</f>
        <v>0</v>
      </c>
      <c r="M128" s="734">
        <f>_xlfn.XLOOKUP(TableauRecette[[#This Row],[ID]],TableauProduit[ID],TableauProduit[Total (kg) N2],0,0,1)*TableauRecette[[#This Row],[poids / unite]]</f>
        <v>0</v>
      </c>
      <c r="N128" s="734">
        <f>_xlfn.XLOOKUP(TableauRecette[[#This Row],[ID]],TableauProduit[ID],TableauProduit[Total (kg) N3],0,0,1)*TableauRecette[[#This Row],[poids / unite]]</f>
        <v>0</v>
      </c>
      <c r="O128" s="734">
        <f>_xlfn.XLOOKUP(TableauRecette[[#This Row],[ID]],TableauProduit[ID],TableauProduit[Total (kg) N4],0,0,1)*TableauRecette[[#This Row],[poids / unite]]</f>
        <v>0</v>
      </c>
      <c r="P128" s="734">
        <f>_xlfn.XLOOKUP(TableauRecette[[#This Row],[ID]],TableauProduit[ID],TableauProduit[Total (kg) N5],0,0,1)*TableauRecette[[#This Row],[poids / unite]]</f>
        <v>0</v>
      </c>
      <c r="Q128" s="734">
        <f>_xlfn.XLOOKUP(TableauRecette[[#This Row],[ID]],TableauProduit[ID],TableauProduit[Total (kg) N6],0,0,1)*TableauRecette[[#This Row],[poids / unite]]</f>
        <v>0</v>
      </c>
      <c r="R128" s="734">
        <f>_xlfn.XLOOKUP(TableauRecette[[#This Row],[ID]],TableauProduit[ID],TableauProduit[Total (kg) N7],0,0,1)*TableauRecette[[#This Row],[poids / unite]]</f>
        <v>0</v>
      </c>
      <c r="S128" s="734">
        <f>_xlfn.XLOOKUP(TableauRecette[[#This Row],[ID]],TableauProduit[ID],TableauProduit[Total (kg) N8],0,0,1)*TableauRecette[[#This Row],[poids / unite]]</f>
        <v>0</v>
      </c>
      <c r="T128" s="734">
        <f>_xlfn.XLOOKUP(TableauRecette[[#This Row],[ID]],TableauProduit[ID],TableauProduit[Total (kg) N9],0,0,1)*TableauRecette[[#This Row],[poids / unite]]</f>
        <v>0</v>
      </c>
    </row>
    <row r="129" spans="1:20">
      <c r="A129" s="69" t="s">
        <v>100</v>
      </c>
      <c r="B129" s="69" t="str">
        <f>TableauRecette[[#This Row],[Recette]]&amp;TableauRecette[[#This Row],[Conditionnement]]</f>
        <v>Durban masalaEpice 100ml</v>
      </c>
      <c r="C129" s="559" t="s">
        <v>299</v>
      </c>
      <c r="D129" s="193">
        <v>0.5</v>
      </c>
      <c r="E129" s="69" t="s">
        <v>55</v>
      </c>
      <c r="F129" s="193">
        <f>D129/SUMIFS(TableauRecette[Proportion],TableauRecette[Recette],TableauRecette[[#This Row],[Recette]],TableauRecette[Conditionnement],TableauRecette[[#This Row],[Conditionnement]])</f>
        <v>3.1055900621118009E-2</v>
      </c>
      <c r="G129" s="193">
        <f ca="1">_xlfn.XLOOKUP(TableauRecette[[#This Row],[Ingredients]],TableauIngredients[Ingredients],TableauIngredients[Prix d''achat (kg)],0)*TableauRecette[[#This Row],[poids / unite]]</f>
        <v>0</v>
      </c>
      <c r="H129" s="193">
        <f>SUMIFS(TableauRecette[Proportion],TableauRecette[Recette],TableauRecette[[#This Row],[Recette]],TableauRecette[Conditionnement],TableauRecette[[#This Row],[Conditionnement]])</f>
        <v>16.100000000000001</v>
      </c>
      <c r="I129" s="193">
        <f ca="1">TableauRecette[[#This Row],[Proportion]]*TableauRecette[[#This Row],[Prix d''achat / kg]]/TableauRecette[[#This Row],[Total Proportion]]</f>
        <v>0</v>
      </c>
      <c r="J129" s="193" t="s">
        <v>324</v>
      </c>
      <c r="K129" s="732" t="s">
        <v>282</v>
      </c>
      <c r="L129" s="733">
        <f>_xlfn.XLOOKUP(TableauRecette[[#This Row],[ID]],TableauProduit[ID],TableauProduit[Total (kg) N1],0,0,1)*TableauRecette[[#This Row],[poids / unite]]</f>
        <v>0</v>
      </c>
      <c r="M129" s="734">
        <f>_xlfn.XLOOKUP(TableauRecette[[#This Row],[ID]],TableauProduit[ID],TableauProduit[Total (kg) N2],0,0,1)*TableauRecette[[#This Row],[poids / unite]]</f>
        <v>0</v>
      </c>
      <c r="N129" s="734">
        <f>_xlfn.XLOOKUP(TableauRecette[[#This Row],[ID]],TableauProduit[ID],TableauProduit[Total (kg) N3],0,0,1)*TableauRecette[[#This Row],[poids / unite]]</f>
        <v>0</v>
      </c>
      <c r="O129" s="734">
        <f>_xlfn.XLOOKUP(TableauRecette[[#This Row],[ID]],TableauProduit[ID],TableauProduit[Total (kg) N4],0,0,1)*TableauRecette[[#This Row],[poids / unite]]</f>
        <v>0</v>
      </c>
      <c r="P129" s="734">
        <f>_xlfn.XLOOKUP(TableauRecette[[#This Row],[ID]],TableauProduit[ID],TableauProduit[Total (kg) N5],0,0,1)*TableauRecette[[#This Row],[poids / unite]]</f>
        <v>0</v>
      </c>
      <c r="Q129" s="734">
        <f>_xlfn.XLOOKUP(TableauRecette[[#This Row],[ID]],TableauProduit[ID],TableauProduit[Total (kg) N6],0,0,1)*TableauRecette[[#This Row],[poids / unite]]</f>
        <v>0</v>
      </c>
      <c r="R129" s="734">
        <f>_xlfn.XLOOKUP(TableauRecette[[#This Row],[ID]],TableauProduit[ID],TableauProduit[Total (kg) N7],0,0,1)*TableauRecette[[#This Row],[poids / unite]]</f>
        <v>0</v>
      </c>
      <c r="S129" s="734">
        <f>_xlfn.XLOOKUP(TableauRecette[[#This Row],[ID]],TableauProduit[ID],TableauProduit[Total (kg) N8],0,0,1)*TableauRecette[[#This Row],[poids / unite]]</f>
        <v>0</v>
      </c>
      <c r="T129" s="734">
        <f>_xlfn.XLOOKUP(TableauRecette[[#This Row],[ID]],TableauProduit[ID],TableauProduit[Total (kg) N9],0,0,1)*TableauRecette[[#This Row],[poids / unite]]</f>
        <v>0</v>
      </c>
    </row>
    <row r="130" spans="1:20">
      <c r="A130" s="69" t="s">
        <v>100</v>
      </c>
      <c r="B130" s="69" t="str">
        <f>TableauRecette[[#This Row],[Recette]]&amp;TableauRecette[[#This Row],[Conditionnement]]</f>
        <v>Durban masalaEpice 100ml</v>
      </c>
      <c r="C130" s="560" t="s">
        <v>309</v>
      </c>
      <c r="D130" s="193">
        <v>6</v>
      </c>
      <c r="E130" s="69" t="s">
        <v>55</v>
      </c>
      <c r="F130" s="193">
        <f>D130/SUMIFS(TableauRecette[Proportion],TableauRecette[Recette],TableauRecette[[#This Row],[Recette]],TableauRecette[Conditionnement],TableauRecette[[#This Row],[Conditionnement]])</f>
        <v>0.37267080745341613</v>
      </c>
      <c r="G130" s="193">
        <f ca="1">_xlfn.XLOOKUP(TableauRecette[[#This Row],[Ingredients]],TableauIngredients[Ingredients],TableauIngredients[Prix d''achat (kg)],0)*TableauRecette[[#This Row],[poids / unite]]</f>
        <v>0</v>
      </c>
      <c r="H130" s="193">
        <f>SUMIFS(TableauRecette[Proportion],TableauRecette[Recette],TableauRecette[[#This Row],[Recette]],TableauRecette[Conditionnement],TableauRecette[[#This Row],[Conditionnement]])</f>
        <v>16.100000000000001</v>
      </c>
      <c r="I130" s="193">
        <f ca="1">TableauRecette[[#This Row],[Proportion]]*TableauRecette[[#This Row],[Prix d''achat / kg]]/TableauRecette[[#This Row],[Total Proportion]]</f>
        <v>0</v>
      </c>
      <c r="J130" s="193" t="s">
        <v>324</v>
      </c>
      <c r="K130" s="732" t="s">
        <v>282</v>
      </c>
      <c r="L130" s="733">
        <f>_xlfn.XLOOKUP(TableauRecette[[#This Row],[ID]],TableauProduit[ID],TableauProduit[Total (kg) N1],0,0,1)*TableauRecette[[#This Row],[poids / unite]]</f>
        <v>0</v>
      </c>
      <c r="M130" s="734">
        <f>_xlfn.XLOOKUP(TableauRecette[[#This Row],[ID]],TableauProduit[ID],TableauProduit[Total (kg) N2],0,0,1)*TableauRecette[[#This Row],[poids / unite]]</f>
        <v>0</v>
      </c>
      <c r="N130" s="734">
        <f>_xlfn.XLOOKUP(TableauRecette[[#This Row],[ID]],TableauProduit[ID],TableauProduit[Total (kg) N3],0,0,1)*TableauRecette[[#This Row],[poids / unite]]</f>
        <v>0</v>
      </c>
      <c r="O130" s="734">
        <f>_xlfn.XLOOKUP(TableauRecette[[#This Row],[ID]],TableauProduit[ID],TableauProduit[Total (kg) N4],0,0,1)*TableauRecette[[#This Row],[poids / unite]]</f>
        <v>0</v>
      </c>
      <c r="P130" s="734">
        <f>_xlfn.XLOOKUP(TableauRecette[[#This Row],[ID]],TableauProduit[ID],TableauProduit[Total (kg) N5],0,0,1)*TableauRecette[[#This Row],[poids / unite]]</f>
        <v>0</v>
      </c>
      <c r="Q130" s="734">
        <f>_xlfn.XLOOKUP(TableauRecette[[#This Row],[ID]],TableauProduit[ID],TableauProduit[Total (kg) N6],0,0,1)*TableauRecette[[#This Row],[poids / unite]]</f>
        <v>0</v>
      </c>
      <c r="R130" s="734">
        <f>_xlfn.XLOOKUP(TableauRecette[[#This Row],[ID]],TableauProduit[ID],TableauProduit[Total (kg) N7],0,0,1)*TableauRecette[[#This Row],[poids / unite]]</f>
        <v>0</v>
      </c>
      <c r="S130" s="734">
        <f>_xlfn.XLOOKUP(TableauRecette[[#This Row],[ID]],TableauProduit[ID],TableauProduit[Total (kg) N8],0,0,1)*TableauRecette[[#This Row],[poids / unite]]</f>
        <v>0</v>
      </c>
      <c r="T130" s="734">
        <f>_xlfn.XLOOKUP(TableauRecette[[#This Row],[ID]],TableauProduit[ID],TableauProduit[Total (kg) N9],0,0,1)*TableauRecette[[#This Row],[poids / unite]]</f>
        <v>0</v>
      </c>
    </row>
    <row r="131" spans="1:20">
      <c r="A131" s="70" t="s">
        <v>694</v>
      </c>
      <c r="B131" s="70" t="str">
        <f>TableauRecette[[#This Row],[Recette]]&amp;TableauRecette[[#This Row],[Conditionnement]]</f>
        <v>epices cajunEpice 100ml</v>
      </c>
      <c r="C131" s="70" t="s">
        <v>67</v>
      </c>
      <c r="D131" s="194">
        <v>3</v>
      </c>
      <c r="E131" s="70" t="s">
        <v>55</v>
      </c>
      <c r="F131" s="194">
        <f>D131/SUMIFS(TableauRecette[Proportion],TableauRecette[Recette],TableauRecette[[#This Row],[Recette]],TableauRecette[Conditionnement],TableauRecette[[#This Row],[Conditionnement]])</f>
        <v>0.17647058823529413</v>
      </c>
      <c r="G131" s="194">
        <f ca="1">_xlfn.XLOOKUP(TableauRecette[[#This Row],[Ingredients]],TableauIngredients[Ingredients],TableauIngredients[Prix d''achat (kg)],0)*TableauRecette[[#This Row],[poids / unite]]</f>
        <v>0</v>
      </c>
      <c r="H131" s="194">
        <f>SUMIFS(TableauRecette[Proportion],TableauRecette[Recette],TableauRecette[[#This Row],[Recette]],TableauRecette[Conditionnement],TableauRecette[[#This Row],[Conditionnement]])</f>
        <v>17</v>
      </c>
      <c r="I131" s="194">
        <f ca="1">TableauRecette[[#This Row],[Proportion]]*TableauRecette[[#This Row],[Prix d''achat / kg]]/TableauRecette[[#This Row],[Total Proportion]]</f>
        <v>0</v>
      </c>
      <c r="J131" s="194"/>
      <c r="K131" s="735"/>
      <c r="L131" s="736">
        <f>_xlfn.XLOOKUP(TableauRecette[[#This Row],[ID]],TableauProduit[ID],TableauProduit[Total (kg) N1],0,0,1)*TableauRecette[[#This Row],[poids / unite]]</f>
        <v>0</v>
      </c>
      <c r="M131" s="737">
        <f>_xlfn.XLOOKUP(TableauRecette[[#This Row],[ID]],TableauProduit[ID],TableauProduit[Total (kg) N2],0,0,1)*TableauRecette[[#This Row],[poids / unite]]</f>
        <v>0</v>
      </c>
      <c r="N131" s="737">
        <f>_xlfn.XLOOKUP(TableauRecette[[#This Row],[ID]],TableauProduit[ID],TableauProduit[Total (kg) N3],0,0,1)*TableauRecette[[#This Row],[poids / unite]]</f>
        <v>0</v>
      </c>
      <c r="O131" s="737">
        <f>_xlfn.XLOOKUP(TableauRecette[[#This Row],[ID]],TableauProduit[ID],TableauProduit[Total (kg) N4],0,0,1)*TableauRecette[[#This Row],[poids / unite]]</f>
        <v>0</v>
      </c>
      <c r="P131" s="737">
        <f>_xlfn.XLOOKUP(TableauRecette[[#This Row],[ID]],TableauProduit[ID],TableauProduit[Total (kg) N5],0,0,1)*TableauRecette[[#This Row],[poids / unite]]</f>
        <v>0</v>
      </c>
      <c r="Q131" s="737">
        <f>_xlfn.XLOOKUP(TableauRecette[[#This Row],[ID]],TableauProduit[ID],TableauProduit[Total (kg) N6],0,0,1)*TableauRecette[[#This Row],[poids / unite]]</f>
        <v>0</v>
      </c>
      <c r="R131" s="737">
        <f>_xlfn.XLOOKUP(TableauRecette[[#This Row],[ID]],TableauProduit[ID],TableauProduit[Total (kg) N7],0,0,1)*TableauRecette[[#This Row],[poids / unite]]</f>
        <v>0</v>
      </c>
      <c r="S131" s="737">
        <f>_xlfn.XLOOKUP(TableauRecette[[#This Row],[ID]],TableauProduit[ID],TableauProduit[Total (kg) N8],0,0,1)*TableauRecette[[#This Row],[poids / unite]]</f>
        <v>0</v>
      </c>
      <c r="T131" s="737">
        <f>_xlfn.XLOOKUP(TableauRecette[[#This Row],[ID]],TableauProduit[ID],TableauProduit[Total (kg) N9],0,0,1)*TableauRecette[[#This Row],[poids / unite]]</f>
        <v>0</v>
      </c>
    </row>
    <row r="132" spans="1:20">
      <c r="A132" s="70" t="s">
        <v>694</v>
      </c>
      <c r="B132" s="70" t="str">
        <f>TableauRecette[[#This Row],[Recette]]&amp;TableauRecette[[#This Row],[Conditionnement]]</f>
        <v>epices cajunEpice 100ml</v>
      </c>
      <c r="C132" s="70" t="s">
        <v>326</v>
      </c>
      <c r="D132" s="194">
        <v>3</v>
      </c>
      <c r="E132" s="70" t="s">
        <v>55</v>
      </c>
      <c r="F132" s="194">
        <f>D132/SUMIFS(TableauRecette[Proportion],TableauRecette[Recette],TableauRecette[[#This Row],[Recette]],TableauRecette[Conditionnement],TableauRecette[[#This Row],[Conditionnement]])</f>
        <v>0.17647058823529413</v>
      </c>
      <c r="G132" s="194">
        <f ca="1">_xlfn.XLOOKUP(TableauRecette[[#This Row],[Ingredients]],TableauIngredients[Ingredients],TableauIngredients[Prix d''achat (kg)],0)*TableauRecette[[#This Row],[poids / unite]]</f>
        <v>0</v>
      </c>
      <c r="H132" s="194">
        <f>SUMIFS(TableauRecette[Proportion],TableauRecette[Recette],TableauRecette[[#This Row],[Recette]],TableauRecette[Conditionnement],TableauRecette[[#This Row],[Conditionnement]])</f>
        <v>17</v>
      </c>
      <c r="I132" s="194">
        <f ca="1">TableauRecette[[#This Row],[Proportion]]*TableauRecette[[#This Row],[Prix d''achat / kg]]/TableauRecette[[#This Row],[Total Proportion]]</f>
        <v>0</v>
      </c>
      <c r="J132" s="194"/>
      <c r="K132" s="735"/>
      <c r="L132" s="736">
        <f>_xlfn.XLOOKUP(TableauRecette[[#This Row],[ID]],TableauProduit[ID],TableauProduit[Total (kg) N1],0,0,1)*TableauRecette[[#This Row],[poids / unite]]</f>
        <v>0</v>
      </c>
      <c r="M132" s="737">
        <f>_xlfn.XLOOKUP(TableauRecette[[#This Row],[ID]],TableauProduit[ID],TableauProduit[Total (kg) N2],0,0,1)*TableauRecette[[#This Row],[poids / unite]]</f>
        <v>0</v>
      </c>
      <c r="N132" s="737">
        <f>_xlfn.XLOOKUP(TableauRecette[[#This Row],[ID]],TableauProduit[ID],TableauProduit[Total (kg) N3],0,0,1)*TableauRecette[[#This Row],[poids / unite]]</f>
        <v>0</v>
      </c>
      <c r="O132" s="737">
        <f>_xlfn.XLOOKUP(TableauRecette[[#This Row],[ID]],TableauProduit[ID],TableauProduit[Total (kg) N4],0,0,1)*TableauRecette[[#This Row],[poids / unite]]</f>
        <v>0</v>
      </c>
      <c r="P132" s="737">
        <f>_xlfn.XLOOKUP(TableauRecette[[#This Row],[ID]],TableauProduit[ID],TableauProduit[Total (kg) N5],0,0,1)*TableauRecette[[#This Row],[poids / unite]]</f>
        <v>0</v>
      </c>
      <c r="Q132" s="737">
        <f>_xlfn.XLOOKUP(TableauRecette[[#This Row],[ID]],TableauProduit[ID],TableauProduit[Total (kg) N6],0,0,1)*TableauRecette[[#This Row],[poids / unite]]</f>
        <v>0</v>
      </c>
      <c r="R132" s="737">
        <f>_xlfn.XLOOKUP(TableauRecette[[#This Row],[ID]],TableauProduit[ID],TableauProduit[Total (kg) N7],0,0,1)*TableauRecette[[#This Row],[poids / unite]]</f>
        <v>0</v>
      </c>
      <c r="S132" s="737">
        <f>_xlfn.XLOOKUP(TableauRecette[[#This Row],[ID]],TableauProduit[ID],TableauProduit[Total (kg) N8],0,0,1)*TableauRecette[[#This Row],[poids / unite]]</f>
        <v>0</v>
      </c>
      <c r="T132" s="737">
        <f>_xlfn.XLOOKUP(TableauRecette[[#This Row],[ID]],TableauProduit[ID],TableauProduit[Total (kg) N9],0,0,1)*TableauRecette[[#This Row],[poids / unite]]</f>
        <v>0</v>
      </c>
    </row>
    <row r="133" spans="1:20">
      <c r="A133" s="70" t="s">
        <v>694</v>
      </c>
      <c r="B133" s="70" t="str">
        <f>TableauRecette[[#This Row],[Recette]]&amp;TableauRecette[[#This Row],[Conditionnement]]</f>
        <v>epices cajunEpice 100ml</v>
      </c>
      <c r="C133" s="70" t="s">
        <v>316</v>
      </c>
      <c r="D133" s="194">
        <v>3</v>
      </c>
      <c r="E133" s="70" t="s">
        <v>55</v>
      </c>
      <c r="F133" s="194">
        <f>D133/SUMIFS(TableauRecette[Proportion],TableauRecette[Recette],TableauRecette[[#This Row],[Recette]],TableauRecette[Conditionnement],TableauRecette[[#This Row],[Conditionnement]])</f>
        <v>0.17647058823529413</v>
      </c>
      <c r="G133" s="194">
        <f ca="1">_xlfn.XLOOKUP(TableauRecette[[#This Row],[Ingredients]],TableauIngredients[Ingredients],TableauIngredients[Prix d''achat (kg)],0)*TableauRecette[[#This Row],[poids / unite]]</f>
        <v>0</v>
      </c>
      <c r="H133" s="194">
        <f>SUMIFS(TableauRecette[Proportion],TableauRecette[Recette],TableauRecette[[#This Row],[Recette]],TableauRecette[Conditionnement],TableauRecette[[#This Row],[Conditionnement]])</f>
        <v>17</v>
      </c>
      <c r="I133" s="194">
        <f ca="1">TableauRecette[[#This Row],[Proportion]]*TableauRecette[[#This Row],[Prix d''achat / kg]]/TableauRecette[[#This Row],[Total Proportion]]</f>
        <v>0</v>
      </c>
      <c r="J133" s="194"/>
      <c r="K133" s="735"/>
      <c r="L133" s="736">
        <f>_xlfn.XLOOKUP(TableauRecette[[#This Row],[ID]],TableauProduit[ID],TableauProduit[Total (kg) N1],0,0,1)*TableauRecette[[#This Row],[poids / unite]]</f>
        <v>0</v>
      </c>
      <c r="M133" s="737">
        <f>_xlfn.XLOOKUP(TableauRecette[[#This Row],[ID]],TableauProduit[ID],TableauProduit[Total (kg) N2],0,0,1)*TableauRecette[[#This Row],[poids / unite]]</f>
        <v>0</v>
      </c>
      <c r="N133" s="737">
        <f>_xlfn.XLOOKUP(TableauRecette[[#This Row],[ID]],TableauProduit[ID],TableauProduit[Total (kg) N3],0,0,1)*TableauRecette[[#This Row],[poids / unite]]</f>
        <v>0</v>
      </c>
      <c r="O133" s="737">
        <f>_xlfn.XLOOKUP(TableauRecette[[#This Row],[ID]],TableauProduit[ID],TableauProduit[Total (kg) N4],0,0,1)*TableauRecette[[#This Row],[poids / unite]]</f>
        <v>0</v>
      </c>
      <c r="P133" s="737">
        <f>_xlfn.XLOOKUP(TableauRecette[[#This Row],[ID]],TableauProduit[ID],TableauProduit[Total (kg) N5],0,0,1)*TableauRecette[[#This Row],[poids / unite]]</f>
        <v>0</v>
      </c>
      <c r="Q133" s="737">
        <f>_xlfn.XLOOKUP(TableauRecette[[#This Row],[ID]],TableauProduit[ID],TableauProduit[Total (kg) N6],0,0,1)*TableauRecette[[#This Row],[poids / unite]]</f>
        <v>0</v>
      </c>
      <c r="R133" s="737">
        <f>_xlfn.XLOOKUP(TableauRecette[[#This Row],[ID]],TableauProduit[ID],TableauProduit[Total (kg) N7],0,0,1)*TableauRecette[[#This Row],[poids / unite]]</f>
        <v>0</v>
      </c>
      <c r="S133" s="737">
        <f>_xlfn.XLOOKUP(TableauRecette[[#This Row],[ID]],TableauProduit[ID],TableauProduit[Total (kg) N8],0,0,1)*TableauRecette[[#This Row],[poids / unite]]</f>
        <v>0</v>
      </c>
      <c r="T133" s="737">
        <f>_xlfn.XLOOKUP(TableauRecette[[#This Row],[ID]],TableauProduit[ID],TableauProduit[Total (kg) N9],0,0,1)*TableauRecette[[#This Row],[poids / unite]]</f>
        <v>0</v>
      </c>
    </row>
    <row r="134" spans="1:20">
      <c r="A134" s="70" t="s">
        <v>694</v>
      </c>
      <c r="B134" s="70" t="str">
        <f>TableauRecette[[#This Row],[Recette]]&amp;TableauRecette[[#This Row],[Conditionnement]]</f>
        <v>epices cajunEpice 100ml</v>
      </c>
      <c r="C134" s="70" t="s">
        <v>319</v>
      </c>
      <c r="D134" s="194">
        <v>3</v>
      </c>
      <c r="E134" s="70" t="s">
        <v>55</v>
      </c>
      <c r="F134" s="194">
        <f>D134/SUMIFS(TableauRecette[Proportion],TableauRecette[Recette],TableauRecette[[#This Row],[Recette]],TableauRecette[Conditionnement],TableauRecette[[#This Row],[Conditionnement]])</f>
        <v>0.17647058823529413</v>
      </c>
      <c r="G134" s="194">
        <f ca="1">_xlfn.XLOOKUP(TableauRecette[[#This Row],[Ingredients]],TableauIngredients[Ingredients],TableauIngredients[Prix d''achat (kg)],0)*TableauRecette[[#This Row],[poids / unite]]</f>
        <v>0</v>
      </c>
      <c r="H134" s="194">
        <f>SUMIFS(TableauRecette[Proportion],TableauRecette[Recette],TableauRecette[[#This Row],[Recette]],TableauRecette[Conditionnement],TableauRecette[[#This Row],[Conditionnement]])</f>
        <v>17</v>
      </c>
      <c r="I134" s="194">
        <f ca="1">TableauRecette[[#This Row],[Proportion]]*TableauRecette[[#This Row],[Prix d''achat / kg]]/TableauRecette[[#This Row],[Total Proportion]]</f>
        <v>0</v>
      </c>
      <c r="J134" s="194"/>
      <c r="K134" s="735"/>
      <c r="L134" s="736">
        <f>_xlfn.XLOOKUP(TableauRecette[[#This Row],[ID]],TableauProduit[ID],TableauProduit[Total (kg) N1],0,0,1)*TableauRecette[[#This Row],[poids / unite]]</f>
        <v>0</v>
      </c>
      <c r="M134" s="737">
        <f>_xlfn.XLOOKUP(TableauRecette[[#This Row],[ID]],TableauProduit[ID],TableauProduit[Total (kg) N2],0,0,1)*TableauRecette[[#This Row],[poids / unite]]</f>
        <v>0</v>
      </c>
      <c r="N134" s="737">
        <f>_xlfn.XLOOKUP(TableauRecette[[#This Row],[ID]],TableauProduit[ID],TableauProduit[Total (kg) N3],0,0,1)*TableauRecette[[#This Row],[poids / unite]]</f>
        <v>0</v>
      </c>
      <c r="O134" s="737">
        <f>_xlfn.XLOOKUP(TableauRecette[[#This Row],[ID]],TableauProduit[ID],TableauProduit[Total (kg) N4],0,0,1)*TableauRecette[[#This Row],[poids / unite]]</f>
        <v>0</v>
      </c>
      <c r="P134" s="737">
        <f>_xlfn.XLOOKUP(TableauRecette[[#This Row],[ID]],TableauProduit[ID],TableauProduit[Total (kg) N5],0,0,1)*TableauRecette[[#This Row],[poids / unite]]</f>
        <v>0</v>
      </c>
      <c r="Q134" s="737">
        <f>_xlfn.XLOOKUP(TableauRecette[[#This Row],[ID]],TableauProduit[ID],TableauProduit[Total (kg) N6],0,0,1)*TableauRecette[[#This Row],[poids / unite]]</f>
        <v>0</v>
      </c>
      <c r="R134" s="737">
        <f>_xlfn.XLOOKUP(TableauRecette[[#This Row],[ID]],TableauProduit[ID],TableauProduit[Total (kg) N7],0,0,1)*TableauRecette[[#This Row],[poids / unite]]</f>
        <v>0</v>
      </c>
      <c r="S134" s="737">
        <f>_xlfn.XLOOKUP(TableauRecette[[#This Row],[ID]],TableauProduit[ID],TableauProduit[Total (kg) N8],0,0,1)*TableauRecette[[#This Row],[poids / unite]]</f>
        <v>0</v>
      </c>
      <c r="T134" s="737">
        <f>_xlfn.XLOOKUP(TableauRecette[[#This Row],[ID]],TableauProduit[ID],TableauProduit[Total (kg) N9],0,0,1)*TableauRecette[[#This Row],[poids / unite]]</f>
        <v>0</v>
      </c>
    </row>
    <row r="135" spans="1:20">
      <c r="A135" s="70" t="s">
        <v>694</v>
      </c>
      <c r="B135" s="70" t="str">
        <f>TableauRecette[[#This Row],[Recette]]&amp;TableauRecette[[#This Row],[Conditionnement]]</f>
        <v>epices cajunEpice 100ml</v>
      </c>
      <c r="C135" s="70" t="s">
        <v>320</v>
      </c>
      <c r="D135" s="194">
        <v>1</v>
      </c>
      <c r="E135" s="70" t="s">
        <v>55</v>
      </c>
      <c r="F135" s="194">
        <f>D135/SUMIFS(TableauRecette[Proportion],TableauRecette[Recette],TableauRecette[[#This Row],[Recette]],TableauRecette[Conditionnement],TableauRecette[[#This Row],[Conditionnement]])</f>
        <v>5.8823529411764705E-2</v>
      </c>
      <c r="G135" s="194">
        <f ca="1">_xlfn.XLOOKUP(TableauRecette[[#This Row],[Ingredients]],TableauIngredients[Ingredients],TableauIngredients[Prix d''achat (kg)],0)*TableauRecette[[#This Row],[poids / unite]]</f>
        <v>0</v>
      </c>
      <c r="H135" s="194">
        <f>SUMIFS(TableauRecette[Proportion],TableauRecette[Recette],TableauRecette[[#This Row],[Recette]],TableauRecette[Conditionnement],TableauRecette[[#This Row],[Conditionnement]])</f>
        <v>17</v>
      </c>
      <c r="I135" s="194">
        <f ca="1">TableauRecette[[#This Row],[Proportion]]*TableauRecette[[#This Row],[Prix d''achat / kg]]/TableauRecette[[#This Row],[Total Proportion]]</f>
        <v>0</v>
      </c>
      <c r="J135" s="194"/>
      <c r="K135" s="735"/>
      <c r="L135" s="736">
        <f>_xlfn.XLOOKUP(TableauRecette[[#This Row],[ID]],TableauProduit[ID],TableauProduit[Total (kg) N1],0,0,1)*TableauRecette[[#This Row],[poids / unite]]</f>
        <v>0</v>
      </c>
      <c r="M135" s="737">
        <f>_xlfn.XLOOKUP(TableauRecette[[#This Row],[ID]],TableauProduit[ID],TableauProduit[Total (kg) N2],0,0,1)*TableauRecette[[#This Row],[poids / unite]]</f>
        <v>0</v>
      </c>
      <c r="N135" s="737">
        <f>_xlfn.XLOOKUP(TableauRecette[[#This Row],[ID]],TableauProduit[ID],TableauProduit[Total (kg) N3],0,0,1)*TableauRecette[[#This Row],[poids / unite]]</f>
        <v>0</v>
      </c>
      <c r="O135" s="737">
        <f>_xlfn.XLOOKUP(TableauRecette[[#This Row],[ID]],TableauProduit[ID],TableauProduit[Total (kg) N4],0,0,1)*TableauRecette[[#This Row],[poids / unite]]</f>
        <v>0</v>
      </c>
      <c r="P135" s="737">
        <f>_xlfn.XLOOKUP(TableauRecette[[#This Row],[ID]],TableauProduit[ID],TableauProduit[Total (kg) N5],0,0,1)*TableauRecette[[#This Row],[poids / unite]]</f>
        <v>0</v>
      </c>
      <c r="Q135" s="737">
        <f>_xlfn.XLOOKUP(TableauRecette[[#This Row],[ID]],TableauProduit[ID],TableauProduit[Total (kg) N6],0,0,1)*TableauRecette[[#This Row],[poids / unite]]</f>
        <v>0</v>
      </c>
      <c r="R135" s="737">
        <f>_xlfn.XLOOKUP(TableauRecette[[#This Row],[ID]],TableauProduit[ID],TableauProduit[Total (kg) N7],0,0,1)*TableauRecette[[#This Row],[poids / unite]]</f>
        <v>0</v>
      </c>
      <c r="S135" s="737">
        <f>_xlfn.XLOOKUP(TableauRecette[[#This Row],[ID]],TableauProduit[ID],TableauProduit[Total (kg) N8],0,0,1)*TableauRecette[[#This Row],[poids / unite]]</f>
        <v>0</v>
      </c>
      <c r="T135" s="737">
        <f>_xlfn.XLOOKUP(TableauRecette[[#This Row],[ID]],TableauProduit[ID],TableauProduit[Total (kg) N9],0,0,1)*TableauRecette[[#This Row],[poids / unite]]</f>
        <v>0</v>
      </c>
    </row>
    <row r="136" spans="1:20">
      <c r="A136" s="70" t="s">
        <v>694</v>
      </c>
      <c r="B136" s="70" t="str">
        <f>TableauRecette[[#This Row],[Recette]]&amp;TableauRecette[[#This Row],[Conditionnement]]</f>
        <v>epices cajunEpice 100ml</v>
      </c>
      <c r="C136" s="70" t="s">
        <v>287</v>
      </c>
      <c r="D136" s="194">
        <v>1</v>
      </c>
      <c r="E136" s="70" t="s">
        <v>55</v>
      </c>
      <c r="F136" s="194">
        <f>D136/SUMIFS(TableauRecette[Proportion],TableauRecette[Recette],TableauRecette[[#This Row],[Recette]],TableauRecette[Conditionnement],TableauRecette[[#This Row],[Conditionnement]])</f>
        <v>5.8823529411764705E-2</v>
      </c>
      <c r="G136" s="194">
        <f ca="1">_xlfn.XLOOKUP(TableauRecette[[#This Row],[Ingredients]],TableauIngredients[Ingredients],TableauIngredients[Prix d''achat (kg)],0)*TableauRecette[[#This Row],[poids / unite]]</f>
        <v>2.1676470588235293</v>
      </c>
      <c r="H136" s="194">
        <f>SUMIFS(TableauRecette[Proportion],TableauRecette[Recette],TableauRecette[[#This Row],[Recette]],TableauRecette[Conditionnement],TableauRecette[[#This Row],[Conditionnement]])</f>
        <v>17</v>
      </c>
      <c r="I136" s="194">
        <f ca="1">TableauRecette[[#This Row],[Proportion]]*TableauRecette[[#This Row],[Prix d''achat / kg]]/TableauRecette[[#This Row],[Total Proportion]]</f>
        <v>0</v>
      </c>
      <c r="J136" s="194"/>
      <c r="K136" s="735"/>
      <c r="L136" s="736">
        <f>_xlfn.XLOOKUP(TableauRecette[[#This Row],[ID]],TableauProduit[ID],TableauProduit[Total (kg) N1],0,0,1)*TableauRecette[[#This Row],[poids / unite]]</f>
        <v>0</v>
      </c>
      <c r="M136" s="737">
        <f>_xlfn.XLOOKUP(TableauRecette[[#This Row],[ID]],TableauProduit[ID],TableauProduit[Total (kg) N2],0,0,1)*TableauRecette[[#This Row],[poids / unite]]</f>
        <v>0</v>
      </c>
      <c r="N136" s="737">
        <f>_xlfn.XLOOKUP(TableauRecette[[#This Row],[ID]],TableauProduit[ID],TableauProduit[Total (kg) N3],0,0,1)*TableauRecette[[#This Row],[poids / unite]]</f>
        <v>0</v>
      </c>
      <c r="O136" s="737">
        <f>_xlfn.XLOOKUP(TableauRecette[[#This Row],[ID]],TableauProduit[ID],TableauProduit[Total (kg) N4],0,0,1)*TableauRecette[[#This Row],[poids / unite]]</f>
        <v>0</v>
      </c>
      <c r="P136" s="737">
        <f>_xlfn.XLOOKUP(TableauRecette[[#This Row],[ID]],TableauProduit[ID],TableauProduit[Total (kg) N5],0,0,1)*TableauRecette[[#This Row],[poids / unite]]</f>
        <v>0</v>
      </c>
      <c r="Q136" s="737">
        <f>_xlfn.XLOOKUP(TableauRecette[[#This Row],[ID]],TableauProduit[ID],TableauProduit[Total (kg) N6],0,0,1)*TableauRecette[[#This Row],[poids / unite]]</f>
        <v>0</v>
      </c>
      <c r="R136" s="737">
        <f>_xlfn.XLOOKUP(TableauRecette[[#This Row],[ID]],TableauProduit[ID],TableauProduit[Total (kg) N7],0,0,1)*TableauRecette[[#This Row],[poids / unite]]</f>
        <v>0</v>
      </c>
      <c r="S136" s="737">
        <f>_xlfn.XLOOKUP(TableauRecette[[#This Row],[ID]],TableauProduit[ID],TableauProduit[Total (kg) N8],0,0,1)*TableauRecette[[#This Row],[poids / unite]]</f>
        <v>0</v>
      </c>
      <c r="T136" s="737">
        <f>_xlfn.XLOOKUP(TableauRecette[[#This Row],[ID]],TableauProduit[ID],TableauProduit[Total (kg) N9],0,0,1)*TableauRecette[[#This Row],[poids / unite]]</f>
        <v>0</v>
      </c>
    </row>
    <row r="137" spans="1:20">
      <c r="A137" s="70" t="s">
        <v>694</v>
      </c>
      <c r="B137" s="70" t="str">
        <f>TableauRecette[[#This Row],[Recette]]&amp;TableauRecette[[#This Row],[Conditionnement]]</f>
        <v>epices cajunEpice 100ml</v>
      </c>
      <c r="C137" s="70" t="s">
        <v>305</v>
      </c>
      <c r="D137" s="194">
        <v>1</v>
      </c>
      <c r="E137" s="70" t="s">
        <v>55</v>
      </c>
      <c r="F137" s="194">
        <f>D137/SUMIFS(TableauRecette[Proportion],TableauRecette[Recette],TableauRecette[[#This Row],[Recette]],TableauRecette[Conditionnement],TableauRecette[[#This Row],[Conditionnement]])</f>
        <v>5.8823529411764705E-2</v>
      </c>
      <c r="G137" s="194">
        <f ca="1">_xlfn.XLOOKUP(TableauRecette[[#This Row],[Ingredients]],TableauIngredients[Ingredients],TableauIngredients[Prix d''achat (kg)],0)*TableauRecette[[#This Row],[poids / unite]]</f>
        <v>0</v>
      </c>
      <c r="H137" s="194">
        <f>SUMIFS(TableauRecette[Proportion],TableauRecette[Recette],TableauRecette[[#This Row],[Recette]],TableauRecette[Conditionnement],TableauRecette[[#This Row],[Conditionnement]])</f>
        <v>17</v>
      </c>
      <c r="I137" s="194">
        <f ca="1">TableauRecette[[#This Row],[Proportion]]*TableauRecette[[#This Row],[Prix d''achat / kg]]/TableauRecette[[#This Row],[Total Proportion]]</f>
        <v>0</v>
      </c>
      <c r="J137" s="194"/>
      <c r="K137" s="735"/>
      <c r="L137" s="736">
        <f>_xlfn.XLOOKUP(TableauRecette[[#This Row],[ID]],TableauProduit[ID],TableauProduit[Total (kg) N1],0,0,1)*TableauRecette[[#This Row],[poids / unite]]</f>
        <v>0</v>
      </c>
      <c r="M137" s="737">
        <f>_xlfn.XLOOKUP(TableauRecette[[#This Row],[ID]],TableauProduit[ID],TableauProduit[Total (kg) N2],0,0,1)*TableauRecette[[#This Row],[poids / unite]]</f>
        <v>0</v>
      </c>
      <c r="N137" s="737">
        <f>_xlfn.XLOOKUP(TableauRecette[[#This Row],[ID]],TableauProduit[ID],TableauProduit[Total (kg) N3],0,0,1)*TableauRecette[[#This Row],[poids / unite]]</f>
        <v>0</v>
      </c>
      <c r="O137" s="737">
        <f>_xlfn.XLOOKUP(TableauRecette[[#This Row],[ID]],TableauProduit[ID],TableauProduit[Total (kg) N4],0,0,1)*TableauRecette[[#This Row],[poids / unite]]</f>
        <v>0</v>
      </c>
      <c r="P137" s="737">
        <f>_xlfn.XLOOKUP(TableauRecette[[#This Row],[ID]],TableauProduit[ID],TableauProduit[Total (kg) N5],0,0,1)*TableauRecette[[#This Row],[poids / unite]]</f>
        <v>0</v>
      </c>
      <c r="Q137" s="737">
        <f>_xlfn.XLOOKUP(TableauRecette[[#This Row],[ID]],TableauProduit[ID],TableauProduit[Total (kg) N6],0,0,1)*TableauRecette[[#This Row],[poids / unite]]</f>
        <v>0</v>
      </c>
      <c r="R137" s="737">
        <f>_xlfn.XLOOKUP(TableauRecette[[#This Row],[ID]],TableauProduit[ID],TableauProduit[Total (kg) N7],0,0,1)*TableauRecette[[#This Row],[poids / unite]]</f>
        <v>0</v>
      </c>
      <c r="S137" s="737">
        <f>_xlfn.XLOOKUP(TableauRecette[[#This Row],[ID]],TableauProduit[ID],TableauProduit[Total (kg) N8],0,0,1)*TableauRecette[[#This Row],[poids / unite]]</f>
        <v>0</v>
      </c>
      <c r="T137" s="737">
        <f>_xlfn.XLOOKUP(TableauRecette[[#This Row],[ID]],TableauProduit[ID],TableauProduit[Total (kg) N9],0,0,1)*TableauRecette[[#This Row],[poids / unite]]</f>
        <v>0</v>
      </c>
    </row>
    <row r="138" spans="1:20">
      <c r="A138" s="70" t="s">
        <v>694</v>
      </c>
      <c r="B138" s="70" t="str">
        <f>TableauRecette[[#This Row],[Recette]]&amp;TableauRecette[[#This Row],[Conditionnement]]</f>
        <v>epices cajunEpice 100ml</v>
      </c>
      <c r="C138" s="660" t="s">
        <v>303</v>
      </c>
      <c r="D138" s="194">
        <v>1</v>
      </c>
      <c r="E138" s="70" t="s">
        <v>55</v>
      </c>
      <c r="F138" s="194">
        <f>D138/SUMIFS(TableauRecette[Proportion],TableauRecette[Recette],TableauRecette[[#This Row],[Recette]],TableauRecette[Conditionnement],TableauRecette[[#This Row],[Conditionnement]])</f>
        <v>5.8823529411764705E-2</v>
      </c>
      <c r="G138" s="194">
        <f ca="1">_xlfn.XLOOKUP(TableauRecette[[#This Row],[Ingredients]],TableauIngredients[Ingredients],TableauIngredients[Prix d''achat (kg)],0)*TableauRecette[[#This Row],[poids / unite]]</f>
        <v>8.2352941176470587E-2</v>
      </c>
      <c r="H138" s="194">
        <f>SUMIFS(TableauRecette[Proportion],TableauRecette[Recette],TableauRecette[[#This Row],[Recette]],TableauRecette[Conditionnement],TableauRecette[[#This Row],[Conditionnement]])</f>
        <v>17</v>
      </c>
      <c r="I138" s="194">
        <f ca="1">TableauRecette[[#This Row],[Proportion]]*TableauRecette[[#This Row],[Prix d''achat / kg]]/TableauRecette[[#This Row],[Total Proportion]]</f>
        <v>0</v>
      </c>
      <c r="J138" s="194"/>
      <c r="K138" s="735"/>
      <c r="L138" s="736">
        <f>_xlfn.XLOOKUP(TableauRecette[[#This Row],[ID]],TableauProduit[ID],TableauProduit[Total (kg) N1],0,0,1)*TableauRecette[[#This Row],[poids / unite]]</f>
        <v>0</v>
      </c>
      <c r="M138" s="737">
        <f>_xlfn.XLOOKUP(TableauRecette[[#This Row],[ID]],TableauProduit[ID],TableauProduit[Total (kg) N2],0,0,1)*TableauRecette[[#This Row],[poids / unite]]</f>
        <v>0</v>
      </c>
      <c r="N138" s="737">
        <f>_xlfn.XLOOKUP(TableauRecette[[#This Row],[ID]],TableauProduit[ID],TableauProduit[Total (kg) N3],0,0,1)*TableauRecette[[#This Row],[poids / unite]]</f>
        <v>0</v>
      </c>
      <c r="O138" s="737">
        <f>_xlfn.XLOOKUP(TableauRecette[[#This Row],[ID]],TableauProduit[ID],TableauProduit[Total (kg) N4],0,0,1)*TableauRecette[[#This Row],[poids / unite]]</f>
        <v>0</v>
      </c>
      <c r="P138" s="737">
        <f>_xlfn.XLOOKUP(TableauRecette[[#This Row],[ID]],TableauProduit[ID],TableauProduit[Total (kg) N5],0,0,1)*TableauRecette[[#This Row],[poids / unite]]</f>
        <v>0</v>
      </c>
      <c r="Q138" s="737">
        <f>_xlfn.XLOOKUP(TableauRecette[[#This Row],[ID]],TableauProduit[ID],TableauProduit[Total (kg) N6],0,0,1)*TableauRecette[[#This Row],[poids / unite]]</f>
        <v>0</v>
      </c>
      <c r="R138" s="737">
        <f>_xlfn.XLOOKUP(TableauRecette[[#This Row],[ID]],TableauProduit[ID],TableauProduit[Total (kg) N7],0,0,1)*TableauRecette[[#This Row],[poids / unite]]</f>
        <v>0</v>
      </c>
      <c r="S138" s="737">
        <f>_xlfn.XLOOKUP(TableauRecette[[#This Row],[ID]],TableauProduit[ID],TableauProduit[Total (kg) N8],0,0,1)*TableauRecette[[#This Row],[poids / unite]]</f>
        <v>0</v>
      </c>
      <c r="T138" s="737">
        <f>_xlfn.XLOOKUP(TableauRecette[[#This Row],[ID]],TableauProduit[ID],TableauProduit[Total (kg) N9],0,0,1)*TableauRecette[[#This Row],[poids / unite]]</f>
        <v>0</v>
      </c>
    </row>
    <row r="139" spans="1:20">
      <c r="A139" s="70" t="s">
        <v>694</v>
      </c>
      <c r="B139" s="70" t="str">
        <f>TableauRecette[[#This Row],[Recette]]&amp;TableauRecette[[#This Row],[Conditionnement]]</f>
        <v>epices cajunEpice 100ml</v>
      </c>
      <c r="C139" s="70" t="s">
        <v>777</v>
      </c>
      <c r="D139" s="194">
        <v>1</v>
      </c>
      <c r="E139" s="70" t="s">
        <v>55</v>
      </c>
      <c r="F139" s="194">
        <f>D139/SUMIFS(TableauRecette[Proportion],TableauRecette[Recette],TableauRecette[[#This Row],[Recette]],TableauRecette[Conditionnement],TableauRecette[[#This Row],[Conditionnement]])</f>
        <v>5.8823529411764705E-2</v>
      </c>
      <c r="G139" s="194">
        <f ca="1">_xlfn.XLOOKUP(TableauRecette[[#This Row],[Ingredients]],TableauIngredients[Ingredients],TableauIngredients[Prix d''achat (kg)],0)*TableauRecette[[#This Row],[poids / unite]]</f>
        <v>0</v>
      </c>
      <c r="H139" s="194">
        <f>SUMIFS(TableauRecette[Proportion],TableauRecette[Recette],TableauRecette[[#This Row],[Recette]],TableauRecette[Conditionnement],TableauRecette[[#This Row],[Conditionnement]])</f>
        <v>17</v>
      </c>
      <c r="I139" s="194">
        <f ca="1">TableauRecette[[#This Row],[Proportion]]*TableauRecette[[#This Row],[Prix d''achat / kg]]/TableauRecette[[#This Row],[Total Proportion]]</f>
        <v>0</v>
      </c>
      <c r="J139" s="194"/>
      <c r="K139" s="735"/>
      <c r="L139" s="736">
        <f>_xlfn.XLOOKUP(TableauRecette[[#This Row],[ID]],TableauProduit[ID],TableauProduit[Total (kg) N1],0,0,1)*TableauRecette[[#This Row],[poids / unite]]</f>
        <v>0</v>
      </c>
      <c r="M139" s="737">
        <f>_xlfn.XLOOKUP(TableauRecette[[#This Row],[ID]],TableauProduit[ID],TableauProduit[Total (kg) N2],0,0,1)*TableauRecette[[#This Row],[poids / unite]]</f>
        <v>0</v>
      </c>
      <c r="N139" s="737">
        <f>_xlfn.XLOOKUP(TableauRecette[[#This Row],[ID]],TableauProduit[ID],TableauProduit[Total (kg) N3],0,0,1)*TableauRecette[[#This Row],[poids / unite]]</f>
        <v>0</v>
      </c>
      <c r="O139" s="737">
        <f>_xlfn.XLOOKUP(TableauRecette[[#This Row],[ID]],TableauProduit[ID],TableauProduit[Total (kg) N4],0,0,1)*TableauRecette[[#This Row],[poids / unite]]</f>
        <v>0</v>
      </c>
      <c r="P139" s="737">
        <f>_xlfn.XLOOKUP(TableauRecette[[#This Row],[ID]],TableauProduit[ID],TableauProduit[Total (kg) N5],0,0,1)*TableauRecette[[#This Row],[poids / unite]]</f>
        <v>0</v>
      </c>
      <c r="Q139" s="737">
        <f>_xlfn.XLOOKUP(TableauRecette[[#This Row],[ID]],TableauProduit[ID],TableauProduit[Total (kg) N6],0,0,1)*TableauRecette[[#This Row],[poids / unite]]</f>
        <v>0</v>
      </c>
      <c r="R139" s="737">
        <f>_xlfn.XLOOKUP(TableauRecette[[#This Row],[ID]],TableauProduit[ID],TableauProduit[Total (kg) N7],0,0,1)*TableauRecette[[#This Row],[poids / unite]]</f>
        <v>0</v>
      </c>
      <c r="S139" s="737">
        <f>_xlfn.XLOOKUP(TableauRecette[[#This Row],[ID]],TableauProduit[ID],TableauProduit[Total (kg) N8],0,0,1)*TableauRecette[[#This Row],[poids / unite]]</f>
        <v>0</v>
      </c>
      <c r="T139" s="737">
        <f>_xlfn.XLOOKUP(TableauRecette[[#This Row],[ID]],TableauProduit[ID],TableauProduit[Total (kg) N9],0,0,1)*TableauRecette[[#This Row],[poids / unite]]</f>
        <v>0</v>
      </c>
    </row>
    <row r="140" spans="1:20">
      <c r="A140" s="71" t="s">
        <v>699</v>
      </c>
      <c r="B140" s="71" t="str">
        <f>TableauRecette[[#This Row],[Recette]]&amp;TableauRecette[[#This Row],[Conditionnement]]</f>
        <v>epices guacamoleEpice 100ml</v>
      </c>
      <c r="C140" s="71" t="s">
        <v>314</v>
      </c>
      <c r="D140" s="195">
        <v>1</v>
      </c>
      <c r="E140" s="71" t="s">
        <v>55</v>
      </c>
      <c r="F140" s="195">
        <f>D140/SUMIFS(TableauRecette[Proportion],TableauRecette[Recette],TableauRecette[[#This Row],[Recette]],TableauRecette[Conditionnement],TableauRecette[[#This Row],[Conditionnement]])</f>
        <v>0.15384615384615385</v>
      </c>
      <c r="G140" s="195">
        <f ca="1">_xlfn.XLOOKUP(TableauRecette[[#This Row],[Ingredients]],TableauIngredients[Ingredients],TableauIngredients[Prix d''achat (kg)],0)*TableauRecette[[#This Row],[poids / unite]]</f>
        <v>0</v>
      </c>
      <c r="H140" s="195">
        <f>SUMIFS(TableauRecette[Proportion],TableauRecette[Recette],TableauRecette[[#This Row],[Recette]],TableauRecette[Conditionnement],TableauRecette[[#This Row],[Conditionnement]])</f>
        <v>6.5</v>
      </c>
      <c r="I140" s="195">
        <f ca="1">TableauRecette[[#This Row],[Proportion]]*TableauRecette[[#This Row],[Prix d''achat / kg]]/TableauRecette[[#This Row],[Total Proportion]]</f>
        <v>0</v>
      </c>
      <c r="J140" s="195"/>
      <c r="K140" s="738"/>
      <c r="L140" s="739">
        <f>_xlfn.XLOOKUP(TableauRecette[[#This Row],[ID]],TableauProduit[ID],TableauProduit[Total (kg) N1],0,0,1)*TableauRecette[[#This Row],[poids / unite]]</f>
        <v>0</v>
      </c>
      <c r="M140" s="740">
        <f>_xlfn.XLOOKUP(TableauRecette[[#This Row],[ID]],TableauProduit[ID],TableauProduit[Total (kg) N2],0,0,1)*TableauRecette[[#This Row],[poids / unite]]</f>
        <v>0</v>
      </c>
      <c r="N140" s="740">
        <f>_xlfn.XLOOKUP(TableauRecette[[#This Row],[ID]],TableauProduit[ID],TableauProduit[Total (kg) N3],0,0,1)*TableauRecette[[#This Row],[poids / unite]]</f>
        <v>0</v>
      </c>
      <c r="O140" s="740">
        <f>_xlfn.XLOOKUP(TableauRecette[[#This Row],[ID]],TableauProduit[ID],TableauProduit[Total (kg) N4],0,0,1)*TableauRecette[[#This Row],[poids / unite]]</f>
        <v>0</v>
      </c>
      <c r="P140" s="740">
        <f>_xlfn.XLOOKUP(TableauRecette[[#This Row],[ID]],TableauProduit[ID],TableauProduit[Total (kg) N5],0,0,1)*TableauRecette[[#This Row],[poids / unite]]</f>
        <v>0</v>
      </c>
      <c r="Q140" s="740">
        <f>_xlfn.XLOOKUP(TableauRecette[[#This Row],[ID]],TableauProduit[ID],TableauProduit[Total (kg) N6],0,0,1)*TableauRecette[[#This Row],[poids / unite]]</f>
        <v>0</v>
      </c>
      <c r="R140" s="740">
        <f>_xlfn.XLOOKUP(TableauRecette[[#This Row],[ID]],TableauProduit[ID],TableauProduit[Total (kg) N7],0,0,1)*TableauRecette[[#This Row],[poids / unite]]</f>
        <v>0</v>
      </c>
      <c r="S140" s="740">
        <f>_xlfn.XLOOKUP(TableauRecette[[#This Row],[ID]],TableauProduit[ID],TableauProduit[Total (kg) N8],0,0,1)*TableauRecette[[#This Row],[poids / unite]]</f>
        <v>0</v>
      </c>
      <c r="T140" s="740">
        <f>_xlfn.XLOOKUP(TableauRecette[[#This Row],[ID]],TableauProduit[ID],TableauProduit[Total (kg) N9],0,0,1)*TableauRecette[[#This Row],[poids / unite]]</f>
        <v>0</v>
      </c>
    </row>
    <row r="141" spans="1:20">
      <c r="A141" s="71" t="s">
        <v>699</v>
      </c>
      <c r="B141" s="71" t="str">
        <f>TableauRecette[[#This Row],[Recette]]&amp;TableauRecette[[#This Row],[Conditionnement]]</f>
        <v>epices guacamoleEpice 100ml</v>
      </c>
      <c r="C141" s="71" t="s">
        <v>311</v>
      </c>
      <c r="D141" s="195">
        <v>1</v>
      </c>
      <c r="E141" s="71" t="s">
        <v>55</v>
      </c>
      <c r="F141" s="195">
        <f>D141/SUMIFS(TableauRecette[Proportion],TableauRecette[Recette],TableauRecette[[#This Row],[Recette]],TableauRecette[Conditionnement],TableauRecette[[#This Row],[Conditionnement]])</f>
        <v>0.15384615384615385</v>
      </c>
      <c r="G141" s="195">
        <f ca="1">_xlfn.XLOOKUP(TableauRecette[[#This Row],[Ingredients]],TableauIngredients[Ingredients],TableauIngredients[Prix d''achat (kg)],0)*TableauRecette[[#This Row],[poids / unite]]</f>
        <v>0</v>
      </c>
      <c r="H141" s="195">
        <f>SUMIFS(TableauRecette[Proportion],TableauRecette[Recette],TableauRecette[[#This Row],[Recette]],TableauRecette[Conditionnement],TableauRecette[[#This Row],[Conditionnement]])</f>
        <v>6.5</v>
      </c>
      <c r="I141" s="195">
        <f ca="1">TableauRecette[[#This Row],[Proportion]]*TableauRecette[[#This Row],[Prix d''achat / kg]]/TableauRecette[[#This Row],[Total Proportion]]</f>
        <v>0</v>
      </c>
      <c r="J141" s="195"/>
      <c r="K141" s="738"/>
      <c r="L141" s="739">
        <f>_xlfn.XLOOKUP(TableauRecette[[#This Row],[ID]],TableauProduit[ID],TableauProduit[Total (kg) N1],0,0,1)*TableauRecette[[#This Row],[poids / unite]]</f>
        <v>0</v>
      </c>
      <c r="M141" s="740">
        <f>_xlfn.XLOOKUP(TableauRecette[[#This Row],[ID]],TableauProduit[ID],TableauProduit[Total (kg) N2],0,0,1)*TableauRecette[[#This Row],[poids / unite]]</f>
        <v>0</v>
      </c>
      <c r="N141" s="740">
        <f>_xlfn.XLOOKUP(TableauRecette[[#This Row],[ID]],TableauProduit[ID],TableauProduit[Total (kg) N3],0,0,1)*TableauRecette[[#This Row],[poids / unite]]</f>
        <v>0</v>
      </c>
      <c r="O141" s="740">
        <f>_xlfn.XLOOKUP(TableauRecette[[#This Row],[ID]],TableauProduit[ID],TableauProduit[Total (kg) N4],0,0,1)*TableauRecette[[#This Row],[poids / unite]]</f>
        <v>0</v>
      </c>
      <c r="P141" s="740">
        <f>_xlfn.XLOOKUP(TableauRecette[[#This Row],[ID]],TableauProduit[ID],TableauProduit[Total (kg) N5],0,0,1)*TableauRecette[[#This Row],[poids / unite]]</f>
        <v>0</v>
      </c>
      <c r="Q141" s="740">
        <f>_xlfn.XLOOKUP(TableauRecette[[#This Row],[ID]],TableauProduit[ID],TableauProduit[Total (kg) N6],0,0,1)*TableauRecette[[#This Row],[poids / unite]]</f>
        <v>0</v>
      </c>
      <c r="R141" s="740">
        <f>_xlfn.XLOOKUP(TableauRecette[[#This Row],[ID]],TableauProduit[ID],TableauProduit[Total (kg) N7],0,0,1)*TableauRecette[[#This Row],[poids / unite]]</f>
        <v>0</v>
      </c>
      <c r="S141" s="740">
        <f>_xlfn.XLOOKUP(TableauRecette[[#This Row],[ID]],TableauProduit[ID],TableauProduit[Total (kg) N8],0,0,1)*TableauRecette[[#This Row],[poids / unite]]</f>
        <v>0</v>
      </c>
      <c r="T141" s="740">
        <f>_xlfn.XLOOKUP(TableauRecette[[#This Row],[ID]],TableauProduit[ID],TableauProduit[Total (kg) N9],0,0,1)*TableauRecette[[#This Row],[poids / unite]]</f>
        <v>0</v>
      </c>
    </row>
    <row r="142" spans="1:20">
      <c r="A142" s="71" t="s">
        <v>699</v>
      </c>
      <c r="B142" s="71" t="str">
        <f>TableauRecette[[#This Row],[Recette]]&amp;TableauRecette[[#This Row],[Conditionnement]]</f>
        <v>epices guacamoleEpice 100ml</v>
      </c>
      <c r="C142" s="71" t="s">
        <v>327</v>
      </c>
      <c r="D142" s="195">
        <v>1</v>
      </c>
      <c r="E142" s="71" t="s">
        <v>55</v>
      </c>
      <c r="F142" s="195">
        <f>D142/SUMIFS(TableauRecette[Proportion],TableauRecette[Recette],TableauRecette[[#This Row],[Recette]],TableauRecette[Conditionnement],TableauRecette[[#This Row],[Conditionnement]])</f>
        <v>0.15384615384615385</v>
      </c>
      <c r="G142" s="195">
        <f ca="1">_xlfn.XLOOKUP(TableauRecette[[#This Row],[Ingredients]],TableauIngredients[Ingredients],TableauIngredients[Prix d''achat (kg)],0)*TableauRecette[[#This Row],[poids / unite]]</f>
        <v>0</v>
      </c>
      <c r="H142" s="195">
        <f>SUMIFS(TableauRecette[Proportion],TableauRecette[Recette],TableauRecette[[#This Row],[Recette]],TableauRecette[Conditionnement],TableauRecette[[#This Row],[Conditionnement]])</f>
        <v>6.5</v>
      </c>
      <c r="I142" s="195">
        <f ca="1">TableauRecette[[#This Row],[Proportion]]*TableauRecette[[#This Row],[Prix d''achat / kg]]/TableauRecette[[#This Row],[Total Proportion]]</f>
        <v>0</v>
      </c>
      <c r="J142" s="195"/>
      <c r="K142" s="738"/>
      <c r="L142" s="739">
        <f>_xlfn.XLOOKUP(TableauRecette[[#This Row],[ID]],TableauProduit[ID],TableauProduit[Total (kg) N1],0,0,1)*TableauRecette[[#This Row],[poids / unite]]</f>
        <v>0</v>
      </c>
      <c r="M142" s="740">
        <f>_xlfn.XLOOKUP(TableauRecette[[#This Row],[ID]],TableauProduit[ID],TableauProduit[Total (kg) N2],0,0,1)*TableauRecette[[#This Row],[poids / unite]]</f>
        <v>0</v>
      </c>
      <c r="N142" s="740">
        <f>_xlfn.XLOOKUP(TableauRecette[[#This Row],[ID]],TableauProduit[ID],TableauProduit[Total (kg) N3],0,0,1)*TableauRecette[[#This Row],[poids / unite]]</f>
        <v>0</v>
      </c>
      <c r="O142" s="740">
        <f>_xlfn.XLOOKUP(TableauRecette[[#This Row],[ID]],TableauProduit[ID],TableauProduit[Total (kg) N4],0,0,1)*TableauRecette[[#This Row],[poids / unite]]</f>
        <v>0</v>
      </c>
      <c r="P142" s="740">
        <f>_xlfn.XLOOKUP(TableauRecette[[#This Row],[ID]],TableauProduit[ID],TableauProduit[Total (kg) N5],0,0,1)*TableauRecette[[#This Row],[poids / unite]]</f>
        <v>0</v>
      </c>
      <c r="Q142" s="740">
        <f>_xlfn.XLOOKUP(TableauRecette[[#This Row],[ID]],TableauProduit[ID],TableauProduit[Total (kg) N6],0,0,1)*TableauRecette[[#This Row],[poids / unite]]</f>
        <v>0</v>
      </c>
      <c r="R142" s="740">
        <f>_xlfn.XLOOKUP(TableauRecette[[#This Row],[ID]],TableauProduit[ID],TableauProduit[Total (kg) N7],0,0,1)*TableauRecette[[#This Row],[poids / unite]]</f>
        <v>0</v>
      </c>
      <c r="S142" s="740">
        <f>_xlfn.XLOOKUP(TableauRecette[[#This Row],[ID]],TableauProduit[ID],TableauProduit[Total (kg) N8],0,0,1)*TableauRecette[[#This Row],[poids / unite]]</f>
        <v>0</v>
      </c>
      <c r="T142" s="740">
        <f>_xlfn.XLOOKUP(TableauRecette[[#This Row],[ID]],TableauProduit[ID],TableauProduit[Total (kg) N9],0,0,1)*TableauRecette[[#This Row],[poids / unite]]</f>
        <v>0</v>
      </c>
    </row>
    <row r="143" spans="1:20">
      <c r="A143" s="71" t="s">
        <v>699</v>
      </c>
      <c r="B143" s="71" t="str">
        <f>TableauRecette[[#This Row],[Recette]]&amp;TableauRecette[[#This Row],[Conditionnement]]</f>
        <v>epices guacamoleEpice 100ml</v>
      </c>
      <c r="C143" s="670" t="s">
        <v>291</v>
      </c>
      <c r="D143" s="195">
        <v>1</v>
      </c>
      <c r="E143" s="71" t="s">
        <v>55</v>
      </c>
      <c r="F143" s="195">
        <f>D143/SUMIFS(TableauRecette[Proportion],TableauRecette[Recette],TableauRecette[[#This Row],[Recette]],TableauRecette[Conditionnement],TableauRecette[[#This Row],[Conditionnement]])</f>
        <v>0.15384615384615385</v>
      </c>
      <c r="G143" s="195">
        <f ca="1">_xlfn.XLOOKUP(TableauRecette[[#This Row],[Ingredients]],TableauIngredients[Ingredients],TableauIngredients[Prix d''achat (kg)],0)*TableauRecette[[#This Row],[poids / unite]]</f>
        <v>9.2307692307692317</v>
      </c>
      <c r="H143" s="195">
        <f>SUMIFS(TableauRecette[Proportion],TableauRecette[Recette],TableauRecette[[#This Row],[Recette]],TableauRecette[Conditionnement],TableauRecette[[#This Row],[Conditionnement]])</f>
        <v>6.5</v>
      </c>
      <c r="I143" s="195">
        <f ca="1">TableauRecette[[#This Row],[Proportion]]*TableauRecette[[#This Row],[Prix d''achat / kg]]/TableauRecette[[#This Row],[Total Proportion]]</f>
        <v>0</v>
      </c>
      <c r="J143" s="195"/>
      <c r="K143" s="738"/>
      <c r="L143" s="739">
        <f>_xlfn.XLOOKUP(TableauRecette[[#This Row],[ID]],TableauProduit[ID],TableauProduit[Total (kg) N1],0,0,1)*TableauRecette[[#This Row],[poids / unite]]</f>
        <v>0</v>
      </c>
      <c r="M143" s="740">
        <f>_xlfn.XLOOKUP(TableauRecette[[#This Row],[ID]],TableauProduit[ID],TableauProduit[Total (kg) N2],0,0,1)*TableauRecette[[#This Row],[poids / unite]]</f>
        <v>0</v>
      </c>
      <c r="N143" s="740">
        <f>_xlfn.XLOOKUP(TableauRecette[[#This Row],[ID]],TableauProduit[ID],TableauProduit[Total (kg) N3],0,0,1)*TableauRecette[[#This Row],[poids / unite]]</f>
        <v>0</v>
      </c>
      <c r="O143" s="740">
        <f>_xlfn.XLOOKUP(TableauRecette[[#This Row],[ID]],TableauProduit[ID],TableauProduit[Total (kg) N4],0,0,1)*TableauRecette[[#This Row],[poids / unite]]</f>
        <v>0</v>
      </c>
      <c r="P143" s="740">
        <f>_xlfn.XLOOKUP(TableauRecette[[#This Row],[ID]],TableauProduit[ID],TableauProduit[Total (kg) N5],0,0,1)*TableauRecette[[#This Row],[poids / unite]]</f>
        <v>0</v>
      </c>
      <c r="Q143" s="740">
        <f>_xlfn.XLOOKUP(TableauRecette[[#This Row],[ID]],TableauProduit[ID],TableauProduit[Total (kg) N6],0,0,1)*TableauRecette[[#This Row],[poids / unite]]</f>
        <v>0</v>
      </c>
      <c r="R143" s="740">
        <f>_xlfn.XLOOKUP(TableauRecette[[#This Row],[ID]],TableauProduit[ID],TableauProduit[Total (kg) N7],0,0,1)*TableauRecette[[#This Row],[poids / unite]]</f>
        <v>0</v>
      </c>
      <c r="S143" s="740">
        <f>_xlfn.XLOOKUP(TableauRecette[[#This Row],[ID]],TableauProduit[ID],TableauProduit[Total (kg) N8],0,0,1)*TableauRecette[[#This Row],[poids / unite]]</f>
        <v>0</v>
      </c>
      <c r="T143" s="740">
        <f>_xlfn.XLOOKUP(TableauRecette[[#This Row],[ID]],TableauProduit[ID],TableauProduit[Total (kg) N9],0,0,1)*TableauRecette[[#This Row],[poids / unite]]</f>
        <v>0</v>
      </c>
    </row>
    <row r="144" spans="1:20">
      <c r="A144" s="71" t="s">
        <v>699</v>
      </c>
      <c r="B144" s="71" t="str">
        <f>TableauRecette[[#This Row],[Recette]]&amp;TableauRecette[[#This Row],[Conditionnement]]</f>
        <v>epices guacamoleEpice 100ml</v>
      </c>
      <c r="C144" s="71" t="s">
        <v>290</v>
      </c>
      <c r="D144" s="195">
        <v>1</v>
      </c>
      <c r="E144" s="71" t="s">
        <v>55</v>
      </c>
      <c r="F144" s="195">
        <f>D144/SUMIFS(TableauRecette[Proportion],TableauRecette[Recette],TableauRecette[[#This Row],[Recette]],TableauRecette[Conditionnement],TableauRecette[[#This Row],[Conditionnement]])</f>
        <v>0.15384615384615385</v>
      </c>
      <c r="G144" s="195">
        <f ca="1">_xlfn.XLOOKUP(TableauRecette[[#This Row],[Ingredients]],TableauIngredients[Ingredients],TableauIngredients[Prix d''achat (kg)],0)*TableauRecette[[#This Row],[poids / unite]]</f>
        <v>0</v>
      </c>
      <c r="H144" s="195">
        <f>SUMIFS(TableauRecette[Proportion],TableauRecette[Recette],TableauRecette[[#This Row],[Recette]],TableauRecette[Conditionnement],TableauRecette[[#This Row],[Conditionnement]])</f>
        <v>6.5</v>
      </c>
      <c r="I144" s="195">
        <f ca="1">TableauRecette[[#This Row],[Proportion]]*TableauRecette[[#This Row],[Prix d''achat / kg]]/TableauRecette[[#This Row],[Total Proportion]]</f>
        <v>0</v>
      </c>
      <c r="J144" s="195"/>
      <c r="K144" s="738"/>
      <c r="L144" s="739">
        <f>_xlfn.XLOOKUP(TableauRecette[[#This Row],[ID]],TableauProduit[ID],TableauProduit[Total (kg) N1],0,0,1)*TableauRecette[[#This Row],[poids / unite]]</f>
        <v>0</v>
      </c>
      <c r="M144" s="740">
        <f>_xlfn.XLOOKUP(TableauRecette[[#This Row],[ID]],TableauProduit[ID],TableauProduit[Total (kg) N2],0,0,1)*TableauRecette[[#This Row],[poids / unite]]</f>
        <v>0</v>
      </c>
      <c r="N144" s="740">
        <f>_xlfn.XLOOKUP(TableauRecette[[#This Row],[ID]],TableauProduit[ID],TableauProduit[Total (kg) N3],0,0,1)*TableauRecette[[#This Row],[poids / unite]]</f>
        <v>0</v>
      </c>
      <c r="O144" s="740">
        <f>_xlfn.XLOOKUP(TableauRecette[[#This Row],[ID]],TableauProduit[ID],TableauProduit[Total (kg) N4],0,0,1)*TableauRecette[[#This Row],[poids / unite]]</f>
        <v>0</v>
      </c>
      <c r="P144" s="740">
        <f>_xlfn.XLOOKUP(TableauRecette[[#This Row],[ID]],TableauProduit[ID],TableauProduit[Total (kg) N5],0,0,1)*TableauRecette[[#This Row],[poids / unite]]</f>
        <v>0</v>
      </c>
      <c r="Q144" s="740">
        <f>_xlfn.XLOOKUP(TableauRecette[[#This Row],[ID]],TableauProduit[ID],TableauProduit[Total (kg) N6],0,0,1)*TableauRecette[[#This Row],[poids / unite]]</f>
        <v>0</v>
      </c>
      <c r="R144" s="740">
        <f>_xlfn.XLOOKUP(TableauRecette[[#This Row],[ID]],TableauProduit[ID],TableauProduit[Total (kg) N7],0,0,1)*TableauRecette[[#This Row],[poids / unite]]</f>
        <v>0</v>
      </c>
      <c r="S144" s="740">
        <f>_xlfn.XLOOKUP(TableauRecette[[#This Row],[ID]],TableauProduit[ID],TableauProduit[Total (kg) N8],0,0,1)*TableauRecette[[#This Row],[poids / unite]]</f>
        <v>0</v>
      </c>
      <c r="T144" s="740">
        <f>_xlfn.XLOOKUP(TableauRecette[[#This Row],[ID]],TableauProduit[ID],TableauProduit[Total (kg) N9],0,0,1)*TableauRecette[[#This Row],[poids / unite]]</f>
        <v>0</v>
      </c>
    </row>
    <row r="145" spans="1:20">
      <c r="A145" s="71" t="s">
        <v>699</v>
      </c>
      <c r="B145" s="71" t="str">
        <f>TableauRecette[[#This Row],[Recette]]&amp;TableauRecette[[#This Row],[Conditionnement]]</f>
        <v>epices guacamoleEpice 100ml</v>
      </c>
      <c r="C145" s="71" t="s">
        <v>303</v>
      </c>
      <c r="D145" s="195">
        <v>0.5</v>
      </c>
      <c r="E145" s="71" t="s">
        <v>55</v>
      </c>
      <c r="F145" s="195">
        <f>D145/SUMIFS(TableauRecette[Proportion],TableauRecette[Recette],TableauRecette[[#This Row],[Recette]],TableauRecette[Conditionnement],TableauRecette[[#This Row],[Conditionnement]])</f>
        <v>7.6923076923076927E-2</v>
      </c>
      <c r="G145" s="195">
        <f ca="1">_xlfn.XLOOKUP(TableauRecette[[#This Row],[Ingredients]],TableauIngredients[Ingredients],TableauIngredients[Prix d''achat (kg)],0)*TableauRecette[[#This Row],[poids / unite]]</f>
        <v>0.1076923076923077</v>
      </c>
      <c r="H145" s="195">
        <f>SUMIFS(TableauRecette[Proportion],TableauRecette[Recette],TableauRecette[[#This Row],[Recette]],TableauRecette[Conditionnement],TableauRecette[[#This Row],[Conditionnement]])</f>
        <v>6.5</v>
      </c>
      <c r="I145" s="195">
        <f ca="1">TableauRecette[[#This Row],[Proportion]]*TableauRecette[[#This Row],[Prix d''achat / kg]]/TableauRecette[[#This Row],[Total Proportion]]</f>
        <v>0</v>
      </c>
      <c r="J145" s="195"/>
      <c r="K145" s="738"/>
      <c r="L145" s="739">
        <f>_xlfn.XLOOKUP(TableauRecette[[#This Row],[ID]],TableauProduit[ID],TableauProduit[Total (kg) N1],0,0,1)*TableauRecette[[#This Row],[poids / unite]]</f>
        <v>0</v>
      </c>
      <c r="M145" s="740">
        <f>_xlfn.XLOOKUP(TableauRecette[[#This Row],[ID]],TableauProduit[ID],TableauProduit[Total (kg) N2],0,0,1)*TableauRecette[[#This Row],[poids / unite]]</f>
        <v>0</v>
      </c>
      <c r="N145" s="740">
        <f>_xlfn.XLOOKUP(TableauRecette[[#This Row],[ID]],TableauProduit[ID],TableauProduit[Total (kg) N3],0,0,1)*TableauRecette[[#This Row],[poids / unite]]</f>
        <v>0</v>
      </c>
      <c r="O145" s="740">
        <f>_xlfn.XLOOKUP(TableauRecette[[#This Row],[ID]],TableauProduit[ID],TableauProduit[Total (kg) N4],0,0,1)*TableauRecette[[#This Row],[poids / unite]]</f>
        <v>0</v>
      </c>
      <c r="P145" s="740">
        <f>_xlfn.XLOOKUP(TableauRecette[[#This Row],[ID]],TableauProduit[ID],TableauProduit[Total (kg) N5],0,0,1)*TableauRecette[[#This Row],[poids / unite]]</f>
        <v>0</v>
      </c>
      <c r="Q145" s="740">
        <f>_xlfn.XLOOKUP(TableauRecette[[#This Row],[ID]],TableauProduit[ID],TableauProduit[Total (kg) N6],0,0,1)*TableauRecette[[#This Row],[poids / unite]]</f>
        <v>0</v>
      </c>
      <c r="R145" s="740">
        <f>_xlfn.XLOOKUP(TableauRecette[[#This Row],[ID]],TableauProduit[ID],TableauProduit[Total (kg) N7],0,0,1)*TableauRecette[[#This Row],[poids / unite]]</f>
        <v>0</v>
      </c>
      <c r="S145" s="740">
        <f>_xlfn.XLOOKUP(TableauRecette[[#This Row],[ID]],TableauProduit[ID],TableauProduit[Total (kg) N8],0,0,1)*TableauRecette[[#This Row],[poids / unite]]</f>
        <v>0</v>
      </c>
      <c r="T145" s="740">
        <f>_xlfn.XLOOKUP(TableauRecette[[#This Row],[ID]],TableauProduit[ID],TableauProduit[Total (kg) N9],0,0,1)*TableauRecette[[#This Row],[poids / unite]]</f>
        <v>0</v>
      </c>
    </row>
    <row r="146" spans="1:20">
      <c r="A146" s="71" t="s">
        <v>699</v>
      </c>
      <c r="B146" s="71" t="str">
        <f>TableauRecette[[#This Row],[Recette]]&amp;TableauRecette[[#This Row],[Conditionnement]]</f>
        <v>epices guacamoleEpice 100ml</v>
      </c>
      <c r="C146" s="71" t="s">
        <v>777</v>
      </c>
      <c r="D146" s="195">
        <v>1</v>
      </c>
      <c r="E146" s="71" t="s">
        <v>55</v>
      </c>
      <c r="F146" s="195">
        <f>D146/SUMIFS(TableauRecette[Proportion],TableauRecette[Recette],TableauRecette[[#This Row],[Recette]],TableauRecette[Conditionnement],TableauRecette[[#This Row],[Conditionnement]])</f>
        <v>0.15384615384615385</v>
      </c>
      <c r="G146" s="195">
        <f ca="1">_xlfn.XLOOKUP(TableauRecette[[#This Row],[Ingredients]],TableauIngredients[Ingredients],TableauIngredients[Prix d''achat (kg)],0)*TableauRecette[[#This Row],[poids / unite]]</f>
        <v>0</v>
      </c>
      <c r="H146" s="195">
        <f>SUMIFS(TableauRecette[Proportion],TableauRecette[Recette],TableauRecette[[#This Row],[Recette]],TableauRecette[Conditionnement],TableauRecette[[#This Row],[Conditionnement]])</f>
        <v>6.5</v>
      </c>
      <c r="I146" s="195">
        <f ca="1">TableauRecette[[#This Row],[Proportion]]*TableauRecette[[#This Row],[Prix d''achat / kg]]/TableauRecette[[#This Row],[Total Proportion]]</f>
        <v>0</v>
      </c>
      <c r="J146" s="195"/>
      <c r="K146" s="738"/>
      <c r="L146" s="739">
        <f>_xlfn.XLOOKUP(TableauRecette[[#This Row],[ID]],TableauProduit[ID],TableauProduit[Total (kg) N1],0,0,1)*TableauRecette[[#This Row],[poids / unite]]</f>
        <v>0</v>
      </c>
      <c r="M146" s="740">
        <f>_xlfn.XLOOKUP(TableauRecette[[#This Row],[ID]],TableauProduit[ID],TableauProduit[Total (kg) N2],0,0,1)*TableauRecette[[#This Row],[poids / unite]]</f>
        <v>0</v>
      </c>
      <c r="N146" s="740">
        <f>_xlfn.XLOOKUP(TableauRecette[[#This Row],[ID]],TableauProduit[ID],TableauProduit[Total (kg) N3],0,0,1)*TableauRecette[[#This Row],[poids / unite]]</f>
        <v>0</v>
      </c>
      <c r="O146" s="740">
        <f>_xlfn.XLOOKUP(TableauRecette[[#This Row],[ID]],TableauProduit[ID],TableauProduit[Total (kg) N4],0,0,1)*TableauRecette[[#This Row],[poids / unite]]</f>
        <v>0</v>
      </c>
      <c r="P146" s="740">
        <f>_xlfn.XLOOKUP(TableauRecette[[#This Row],[ID]],TableauProduit[ID],TableauProduit[Total (kg) N5],0,0,1)*TableauRecette[[#This Row],[poids / unite]]</f>
        <v>0</v>
      </c>
      <c r="Q146" s="740">
        <f>_xlfn.XLOOKUP(TableauRecette[[#This Row],[ID]],TableauProduit[ID],TableauProduit[Total (kg) N6],0,0,1)*TableauRecette[[#This Row],[poids / unite]]</f>
        <v>0</v>
      </c>
      <c r="R146" s="740">
        <f>_xlfn.XLOOKUP(TableauRecette[[#This Row],[ID]],TableauProduit[ID],TableauProduit[Total (kg) N7],0,0,1)*TableauRecette[[#This Row],[poids / unite]]</f>
        <v>0</v>
      </c>
      <c r="S146" s="740">
        <f>_xlfn.XLOOKUP(TableauRecette[[#This Row],[ID]],TableauProduit[ID],TableauProduit[Total (kg) N8],0,0,1)*TableauRecette[[#This Row],[poids / unite]]</f>
        <v>0</v>
      </c>
      <c r="T146" s="740">
        <f>_xlfn.XLOOKUP(TableauRecette[[#This Row],[ID]],TableauProduit[ID],TableauProduit[Total (kg) N9],0,0,1)*TableauRecette[[#This Row],[poids / unite]]</f>
        <v>0</v>
      </c>
    </row>
    <row r="147" spans="1:20">
      <c r="A147" s="72" t="s">
        <v>696</v>
      </c>
      <c r="B147" s="72" t="str">
        <f>TableauRecette[[#This Row],[Recette]]&amp;TableauRecette[[#This Row],[Conditionnement]]</f>
        <v>epices poissons et fruits de merEpice 100ml</v>
      </c>
      <c r="C147" s="72" t="s">
        <v>312</v>
      </c>
      <c r="D147" s="196">
        <v>2</v>
      </c>
      <c r="E147" s="72" t="s">
        <v>55</v>
      </c>
      <c r="F147" s="196">
        <f>D147/SUMIFS(TableauRecette[Proportion],TableauRecette[Recette],TableauRecette[[#This Row],[Recette]],TableauRecette[Conditionnement],TableauRecette[[#This Row],[Conditionnement]])</f>
        <v>6.6666666666666666E-2</v>
      </c>
      <c r="G147" s="196">
        <f ca="1">_xlfn.XLOOKUP(TableauRecette[[#This Row],[Ingredients]],TableauIngredients[Ingredients],TableauIngredients[Prix d''achat (kg)],0)*TableauRecette[[#This Row],[poids / unite]]</f>
        <v>0</v>
      </c>
      <c r="H147" s="196">
        <f>SUMIFS(TableauRecette[Proportion],TableauRecette[Recette],TableauRecette[[#This Row],[Recette]],TableauRecette[Conditionnement],TableauRecette[[#This Row],[Conditionnement]])</f>
        <v>30</v>
      </c>
      <c r="I147" s="196">
        <f ca="1">TableauRecette[[#This Row],[Proportion]]*TableauRecette[[#This Row],[Prix d''achat / kg]]/TableauRecette[[#This Row],[Total Proportion]]</f>
        <v>0</v>
      </c>
      <c r="J147" s="196"/>
      <c r="K147" s="741"/>
      <c r="L147" s="742">
        <f>_xlfn.XLOOKUP(TableauRecette[[#This Row],[ID]],TableauProduit[ID],TableauProduit[Total (kg) N1],0,0,1)*TableauRecette[[#This Row],[poids / unite]]</f>
        <v>0</v>
      </c>
      <c r="M147" s="743">
        <f>_xlfn.XLOOKUP(TableauRecette[[#This Row],[ID]],TableauProduit[ID],TableauProduit[Total (kg) N2],0,0,1)*TableauRecette[[#This Row],[poids / unite]]</f>
        <v>0</v>
      </c>
      <c r="N147" s="743">
        <f>_xlfn.XLOOKUP(TableauRecette[[#This Row],[ID]],TableauProduit[ID],TableauProduit[Total (kg) N3],0,0,1)*TableauRecette[[#This Row],[poids / unite]]</f>
        <v>0</v>
      </c>
      <c r="O147" s="743">
        <f>_xlfn.XLOOKUP(TableauRecette[[#This Row],[ID]],TableauProduit[ID],TableauProduit[Total (kg) N4],0,0,1)*TableauRecette[[#This Row],[poids / unite]]</f>
        <v>0</v>
      </c>
      <c r="P147" s="743">
        <f>_xlfn.XLOOKUP(TableauRecette[[#This Row],[ID]],TableauProduit[ID],TableauProduit[Total (kg) N5],0,0,1)*TableauRecette[[#This Row],[poids / unite]]</f>
        <v>0</v>
      </c>
      <c r="Q147" s="743">
        <f>_xlfn.XLOOKUP(TableauRecette[[#This Row],[ID]],TableauProduit[ID],TableauProduit[Total (kg) N6],0,0,1)*TableauRecette[[#This Row],[poids / unite]]</f>
        <v>0</v>
      </c>
      <c r="R147" s="743">
        <f>_xlfn.XLOOKUP(TableauRecette[[#This Row],[ID]],TableauProduit[ID],TableauProduit[Total (kg) N7],0,0,1)*TableauRecette[[#This Row],[poids / unite]]</f>
        <v>0</v>
      </c>
      <c r="S147" s="743">
        <f>_xlfn.XLOOKUP(TableauRecette[[#This Row],[ID]],TableauProduit[ID],TableauProduit[Total (kg) N8],0,0,1)*TableauRecette[[#This Row],[poids / unite]]</f>
        <v>0</v>
      </c>
      <c r="T147" s="743">
        <f>_xlfn.XLOOKUP(TableauRecette[[#This Row],[ID]],TableauProduit[ID],TableauProduit[Total (kg) N9],0,0,1)*TableauRecette[[#This Row],[poids / unite]]</f>
        <v>0</v>
      </c>
    </row>
    <row r="148" spans="1:20">
      <c r="A148" s="72" t="s">
        <v>696</v>
      </c>
      <c r="B148" s="72" t="str">
        <f>TableauRecette[[#This Row],[Recette]]&amp;TableauRecette[[#This Row],[Conditionnement]]</f>
        <v>epices poissons et fruits de merEpice 100ml</v>
      </c>
      <c r="C148" s="72" t="s">
        <v>303</v>
      </c>
      <c r="D148" s="196">
        <v>15</v>
      </c>
      <c r="E148" s="72" t="s">
        <v>55</v>
      </c>
      <c r="F148" s="196">
        <f>D148/SUMIFS(TableauRecette[Proportion],TableauRecette[Recette],TableauRecette[[#This Row],[Recette]],TableauRecette[Conditionnement],TableauRecette[[#This Row],[Conditionnement]])</f>
        <v>0.5</v>
      </c>
      <c r="G148" s="196">
        <f ca="1">_xlfn.XLOOKUP(TableauRecette[[#This Row],[Ingredients]],TableauIngredients[Ingredients],TableauIngredients[Prix d''achat (kg)],0)*TableauRecette[[#This Row],[poids / unite]]</f>
        <v>0.7</v>
      </c>
      <c r="H148" s="196">
        <f>SUMIFS(TableauRecette[Proportion],TableauRecette[Recette],TableauRecette[[#This Row],[Recette]],TableauRecette[Conditionnement],TableauRecette[[#This Row],[Conditionnement]])</f>
        <v>30</v>
      </c>
      <c r="I148" s="196">
        <f ca="1">TableauRecette[[#This Row],[Proportion]]*TableauRecette[[#This Row],[Prix d''achat / kg]]/TableauRecette[[#This Row],[Total Proportion]]</f>
        <v>0</v>
      </c>
      <c r="J148" s="196"/>
      <c r="K148" s="741"/>
      <c r="L148" s="742">
        <f>_xlfn.XLOOKUP(TableauRecette[[#This Row],[ID]],TableauProduit[ID],TableauProduit[Total (kg) N1],0,0,1)*TableauRecette[[#This Row],[poids / unite]]</f>
        <v>0</v>
      </c>
      <c r="M148" s="743">
        <f>_xlfn.XLOOKUP(TableauRecette[[#This Row],[ID]],TableauProduit[ID],TableauProduit[Total (kg) N2],0,0,1)*TableauRecette[[#This Row],[poids / unite]]</f>
        <v>0</v>
      </c>
      <c r="N148" s="743">
        <f>_xlfn.XLOOKUP(TableauRecette[[#This Row],[ID]],TableauProduit[ID],TableauProduit[Total (kg) N3],0,0,1)*TableauRecette[[#This Row],[poids / unite]]</f>
        <v>0</v>
      </c>
      <c r="O148" s="743">
        <f>_xlfn.XLOOKUP(TableauRecette[[#This Row],[ID]],TableauProduit[ID],TableauProduit[Total (kg) N4],0,0,1)*TableauRecette[[#This Row],[poids / unite]]</f>
        <v>0</v>
      </c>
      <c r="P148" s="743">
        <f>_xlfn.XLOOKUP(TableauRecette[[#This Row],[ID]],TableauProduit[ID],TableauProduit[Total (kg) N5],0,0,1)*TableauRecette[[#This Row],[poids / unite]]</f>
        <v>0</v>
      </c>
      <c r="Q148" s="743">
        <f>_xlfn.XLOOKUP(TableauRecette[[#This Row],[ID]],TableauProduit[ID],TableauProduit[Total (kg) N6],0,0,1)*TableauRecette[[#This Row],[poids / unite]]</f>
        <v>0</v>
      </c>
      <c r="R148" s="743">
        <f>_xlfn.XLOOKUP(TableauRecette[[#This Row],[ID]],TableauProduit[ID],TableauProduit[Total (kg) N7],0,0,1)*TableauRecette[[#This Row],[poids / unite]]</f>
        <v>0</v>
      </c>
      <c r="S148" s="743">
        <f>_xlfn.XLOOKUP(TableauRecette[[#This Row],[ID]],TableauProduit[ID],TableauProduit[Total (kg) N8],0,0,1)*TableauRecette[[#This Row],[poids / unite]]</f>
        <v>0</v>
      </c>
      <c r="T148" s="743">
        <f>_xlfn.XLOOKUP(TableauRecette[[#This Row],[ID]],TableauProduit[ID],TableauProduit[Total (kg) N9],0,0,1)*TableauRecette[[#This Row],[poids / unite]]</f>
        <v>0</v>
      </c>
    </row>
    <row r="149" spans="1:20">
      <c r="A149" s="72" t="s">
        <v>696</v>
      </c>
      <c r="B149" s="72" t="str">
        <f>TableauRecette[[#This Row],[Recette]]&amp;TableauRecette[[#This Row],[Conditionnement]]</f>
        <v>epices poissons et fruits de merEpice 100ml</v>
      </c>
      <c r="C149" s="72" t="s">
        <v>780</v>
      </c>
      <c r="D149" s="196">
        <v>6</v>
      </c>
      <c r="E149" s="72" t="s">
        <v>55</v>
      </c>
      <c r="F149" s="196">
        <f>D149/SUMIFS(TableauRecette[Proportion],TableauRecette[Recette],TableauRecette[[#This Row],[Recette]],TableauRecette[Conditionnement],TableauRecette[[#This Row],[Conditionnement]])</f>
        <v>0.2</v>
      </c>
      <c r="G149" s="196">
        <f ca="1">_xlfn.XLOOKUP(TableauRecette[[#This Row],[Ingredients]],TableauIngredients[Ingredients],TableauIngredients[Prix d''achat (kg)],0)*TableauRecette[[#This Row],[poids / unite]]</f>
        <v>0</v>
      </c>
      <c r="H149" s="196">
        <f>SUMIFS(TableauRecette[Proportion],TableauRecette[Recette],TableauRecette[[#This Row],[Recette]],TableauRecette[Conditionnement],TableauRecette[[#This Row],[Conditionnement]])</f>
        <v>30</v>
      </c>
      <c r="I149" s="196">
        <f ca="1">TableauRecette[[#This Row],[Proportion]]*TableauRecette[[#This Row],[Prix d''achat / kg]]/TableauRecette[[#This Row],[Total Proportion]]</f>
        <v>0</v>
      </c>
      <c r="J149" s="196"/>
      <c r="K149" s="741"/>
      <c r="L149" s="742">
        <f>_xlfn.XLOOKUP(TableauRecette[[#This Row],[ID]],TableauProduit[ID],TableauProduit[Total (kg) N1],0,0,1)*TableauRecette[[#This Row],[poids / unite]]</f>
        <v>0</v>
      </c>
      <c r="M149" s="743">
        <f>_xlfn.XLOOKUP(TableauRecette[[#This Row],[ID]],TableauProduit[ID],TableauProduit[Total (kg) N2],0,0,1)*TableauRecette[[#This Row],[poids / unite]]</f>
        <v>0</v>
      </c>
      <c r="N149" s="743">
        <f>_xlfn.XLOOKUP(TableauRecette[[#This Row],[ID]],TableauProduit[ID],TableauProduit[Total (kg) N3],0,0,1)*TableauRecette[[#This Row],[poids / unite]]</f>
        <v>0</v>
      </c>
      <c r="O149" s="743">
        <f>_xlfn.XLOOKUP(TableauRecette[[#This Row],[ID]],TableauProduit[ID],TableauProduit[Total (kg) N4],0,0,1)*TableauRecette[[#This Row],[poids / unite]]</f>
        <v>0</v>
      </c>
      <c r="P149" s="743">
        <f>_xlfn.XLOOKUP(TableauRecette[[#This Row],[ID]],TableauProduit[ID],TableauProduit[Total (kg) N5],0,0,1)*TableauRecette[[#This Row],[poids / unite]]</f>
        <v>0</v>
      </c>
      <c r="Q149" s="743">
        <f>_xlfn.XLOOKUP(TableauRecette[[#This Row],[ID]],TableauProduit[ID],TableauProduit[Total (kg) N6],0,0,1)*TableauRecette[[#This Row],[poids / unite]]</f>
        <v>0</v>
      </c>
      <c r="R149" s="743">
        <f>_xlfn.XLOOKUP(TableauRecette[[#This Row],[ID]],TableauProduit[ID],TableauProduit[Total (kg) N7],0,0,1)*TableauRecette[[#This Row],[poids / unite]]</f>
        <v>0</v>
      </c>
      <c r="S149" s="743">
        <f>_xlfn.XLOOKUP(TableauRecette[[#This Row],[ID]],TableauProduit[ID],TableauProduit[Total (kg) N8],0,0,1)*TableauRecette[[#This Row],[poids / unite]]</f>
        <v>0</v>
      </c>
      <c r="T149" s="743">
        <f>_xlfn.XLOOKUP(TableauRecette[[#This Row],[ID]],TableauProduit[ID],TableauProduit[Total (kg) N9],0,0,1)*TableauRecette[[#This Row],[poids / unite]]</f>
        <v>0</v>
      </c>
    </row>
    <row r="150" spans="1:20">
      <c r="A150" s="72" t="s">
        <v>696</v>
      </c>
      <c r="B150" s="72" t="str">
        <f>TableauRecette[[#This Row],[Recette]]&amp;TableauRecette[[#This Row],[Conditionnement]]</f>
        <v>epices poissons et fruits de merEpice 100ml</v>
      </c>
      <c r="C150" s="72" t="s">
        <v>305</v>
      </c>
      <c r="D150" s="196">
        <v>2</v>
      </c>
      <c r="E150" s="72" t="s">
        <v>55</v>
      </c>
      <c r="F150" s="196">
        <f>D150/SUMIFS(TableauRecette[Proportion],TableauRecette[Recette],TableauRecette[[#This Row],[Recette]],TableauRecette[Conditionnement],TableauRecette[[#This Row],[Conditionnement]])</f>
        <v>6.6666666666666666E-2</v>
      </c>
      <c r="G150" s="196">
        <f ca="1">_xlfn.XLOOKUP(TableauRecette[[#This Row],[Ingredients]],TableauIngredients[Ingredients],TableauIngredients[Prix d''achat (kg)],0)*TableauRecette[[#This Row],[poids / unite]]</f>
        <v>0</v>
      </c>
      <c r="H150" s="196">
        <f>SUMIFS(TableauRecette[Proportion],TableauRecette[Recette],TableauRecette[[#This Row],[Recette]],TableauRecette[Conditionnement],TableauRecette[[#This Row],[Conditionnement]])</f>
        <v>30</v>
      </c>
      <c r="I150" s="196">
        <f ca="1">TableauRecette[[#This Row],[Proportion]]*TableauRecette[[#This Row],[Prix d''achat / kg]]/TableauRecette[[#This Row],[Total Proportion]]</f>
        <v>0</v>
      </c>
      <c r="J150" s="196"/>
      <c r="K150" s="741"/>
      <c r="L150" s="742">
        <f>_xlfn.XLOOKUP(TableauRecette[[#This Row],[ID]],TableauProduit[ID],TableauProduit[Total (kg) N1],0,0,1)*TableauRecette[[#This Row],[poids / unite]]</f>
        <v>0</v>
      </c>
      <c r="M150" s="743">
        <f>_xlfn.XLOOKUP(TableauRecette[[#This Row],[ID]],TableauProduit[ID],TableauProduit[Total (kg) N2],0,0,1)*TableauRecette[[#This Row],[poids / unite]]</f>
        <v>0</v>
      </c>
      <c r="N150" s="743">
        <f>_xlfn.XLOOKUP(TableauRecette[[#This Row],[ID]],TableauProduit[ID],TableauProduit[Total (kg) N3],0,0,1)*TableauRecette[[#This Row],[poids / unite]]</f>
        <v>0</v>
      </c>
      <c r="O150" s="743">
        <f>_xlfn.XLOOKUP(TableauRecette[[#This Row],[ID]],TableauProduit[ID],TableauProduit[Total (kg) N4],0,0,1)*TableauRecette[[#This Row],[poids / unite]]</f>
        <v>0</v>
      </c>
      <c r="P150" s="743">
        <f>_xlfn.XLOOKUP(TableauRecette[[#This Row],[ID]],TableauProduit[ID],TableauProduit[Total (kg) N5],0,0,1)*TableauRecette[[#This Row],[poids / unite]]</f>
        <v>0</v>
      </c>
      <c r="Q150" s="743">
        <f>_xlfn.XLOOKUP(TableauRecette[[#This Row],[ID]],TableauProduit[ID],TableauProduit[Total (kg) N6],0,0,1)*TableauRecette[[#This Row],[poids / unite]]</f>
        <v>0</v>
      </c>
      <c r="R150" s="743">
        <f>_xlfn.XLOOKUP(TableauRecette[[#This Row],[ID]],TableauProduit[ID],TableauProduit[Total (kg) N7],0,0,1)*TableauRecette[[#This Row],[poids / unite]]</f>
        <v>0</v>
      </c>
      <c r="S150" s="743">
        <f>_xlfn.XLOOKUP(TableauRecette[[#This Row],[ID]],TableauProduit[ID],TableauProduit[Total (kg) N8],0,0,1)*TableauRecette[[#This Row],[poids / unite]]</f>
        <v>0</v>
      </c>
      <c r="T150" s="743">
        <f>_xlfn.XLOOKUP(TableauRecette[[#This Row],[ID]],TableauProduit[ID],TableauProduit[Total (kg) N9],0,0,1)*TableauRecette[[#This Row],[poids / unite]]</f>
        <v>0</v>
      </c>
    </row>
    <row r="151" spans="1:20">
      <c r="A151" s="72" t="s">
        <v>696</v>
      </c>
      <c r="B151" s="72" t="str">
        <f>TableauRecette[[#This Row],[Recette]]&amp;TableauRecette[[#This Row],[Conditionnement]]</f>
        <v>epices poissons et fruits de merEpice 100ml</v>
      </c>
      <c r="C151" s="72" t="s">
        <v>287</v>
      </c>
      <c r="D151" s="196">
        <v>1</v>
      </c>
      <c r="E151" s="72" t="s">
        <v>55</v>
      </c>
      <c r="F151" s="196">
        <f>D151/SUMIFS(TableauRecette[Proportion],TableauRecette[Recette],TableauRecette[[#This Row],[Recette]],TableauRecette[Conditionnement],TableauRecette[[#This Row],[Conditionnement]])</f>
        <v>3.3333333333333333E-2</v>
      </c>
      <c r="G151" s="196">
        <f ca="1">_xlfn.XLOOKUP(TableauRecette[[#This Row],[Ingredients]],TableauIngredients[Ingredients],TableauIngredients[Prix d''achat (kg)],0)*TableauRecette[[#This Row],[poids / unite]]</f>
        <v>1.2283333333333333</v>
      </c>
      <c r="H151" s="196">
        <f>SUMIFS(TableauRecette[Proportion],TableauRecette[Recette],TableauRecette[[#This Row],[Recette]],TableauRecette[Conditionnement],TableauRecette[[#This Row],[Conditionnement]])</f>
        <v>30</v>
      </c>
      <c r="I151" s="196">
        <f ca="1">TableauRecette[[#This Row],[Proportion]]*TableauRecette[[#This Row],[Prix d''achat / kg]]/TableauRecette[[#This Row],[Total Proportion]]</f>
        <v>0</v>
      </c>
      <c r="J151" s="196"/>
      <c r="K151" s="741"/>
      <c r="L151" s="742">
        <f>_xlfn.XLOOKUP(TableauRecette[[#This Row],[ID]],TableauProduit[ID],TableauProduit[Total (kg) N1],0,0,1)*TableauRecette[[#This Row],[poids / unite]]</f>
        <v>0</v>
      </c>
      <c r="M151" s="743">
        <f>_xlfn.XLOOKUP(TableauRecette[[#This Row],[ID]],TableauProduit[ID],TableauProduit[Total (kg) N2],0,0,1)*TableauRecette[[#This Row],[poids / unite]]</f>
        <v>0</v>
      </c>
      <c r="N151" s="743">
        <f>_xlfn.XLOOKUP(TableauRecette[[#This Row],[ID]],TableauProduit[ID],TableauProduit[Total (kg) N3],0,0,1)*TableauRecette[[#This Row],[poids / unite]]</f>
        <v>0</v>
      </c>
      <c r="O151" s="743">
        <f>_xlfn.XLOOKUP(TableauRecette[[#This Row],[ID]],TableauProduit[ID],TableauProduit[Total (kg) N4],0,0,1)*TableauRecette[[#This Row],[poids / unite]]</f>
        <v>0</v>
      </c>
      <c r="P151" s="743">
        <f>_xlfn.XLOOKUP(TableauRecette[[#This Row],[ID]],TableauProduit[ID],TableauProduit[Total (kg) N5],0,0,1)*TableauRecette[[#This Row],[poids / unite]]</f>
        <v>0</v>
      </c>
      <c r="Q151" s="743">
        <f>_xlfn.XLOOKUP(TableauRecette[[#This Row],[ID]],TableauProduit[ID],TableauProduit[Total (kg) N6],0,0,1)*TableauRecette[[#This Row],[poids / unite]]</f>
        <v>0</v>
      </c>
      <c r="R151" s="743">
        <f>_xlfn.XLOOKUP(TableauRecette[[#This Row],[ID]],TableauProduit[ID],TableauProduit[Total (kg) N7],0,0,1)*TableauRecette[[#This Row],[poids / unite]]</f>
        <v>0</v>
      </c>
      <c r="S151" s="743">
        <f>_xlfn.XLOOKUP(TableauRecette[[#This Row],[ID]],TableauProduit[ID],TableauProduit[Total (kg) N8],0,0,1)*TableauRecette[[#This Row],[poids / unite]]</f>
        <v>0</v>
      </c>
      <c r="T151" s="743">
        <f>_xlfn.XLOOKUP(TableauRecette[[#This Row],[ID]],TableauProduit[ID],TableauProduit[Total (kg) N9],0,0,1)*TableauRecette[[#This Row],[poids / unite]]</f>
        <v>0</v>
      </c>
    </row>
    <row r="152" spans="1:20">
      <c r="A152" s="72" t="s">
        <v>696</v>
      </c>
      <c r="B152" s="72" t="str">
        <f>TableauRecette[[#This Row],[Recette]]&amp;TableauRecette[[#This Row],[Conditionnement]]</f>
        <v>epices poissons et fruits de merEpice 100ml</v>
      </c>
      <c r="C152" s="72" t="s">
        <v>781</v>
      </c>
      <c r="D152" s="196">
        <v>1</v>
      </c>
      <c r="E152" s="72" t="s">
        <v>55</v>
      </c>
      <c r="F152" s="196">
        <f>D152/SUMIFS(TableauRecette[Proportion],TableauRecette[Recette],TableauRecette[[#This Row],[Recette]],TableauRecette[Conditionnement],TableauRecette[[#This Row],[Conditionnement]])</f>
        <v>3.3333333333333333E-2</v>
      </c>
      <c r="G152" s="196">
        <f ca="1">_xlfn.XLOOKUP(TableauRecette[[#This Row],[Ingredients]],TableauIngredients[Ingredients],TableauIngredients[Prix d''achat (kg)],0)*TableauRecette[[#This Row],[poids / unite]]</f>
        <v>0.63900000000000001</v>
      </c>
      <c r="H152" s="196">
        <f>SUMIFS(TableauRecette[Proportion],TableauRecette[Recette],TableauRecette[[#This Row],[Recette]],TableauRecette[Conditionnement],TableauRecette[[#This Row],[Conditionnement]])</f>
        <v>30</v>
      </c>
      <c r="I152" s="196">
        <f ca="1">TableauRecette[[#This Row],[Proportion]]*TableauRecette[[#This Row],[Prix d''achat / kg]]/TableauRecette[[#This Row],[Total Proportion]]</f>
        <v>0</v>
      </c>
      <c r="J152" s="196"/>
      <c r="K152" s="741"/>
      <c r="L152" s="742">
        <f>_xlfn.XLOOKUP(TableauRecette[[#This Row],[ID]],TableauProduit[ID],TableauProduit[Total (kg) N1],0,0,1)*TableauRecette[[#This Row],[poids / unite]]</f>
        <v>0</v>
      </c>
      <c r="M152" s="743">
        <f>_xlfn.XLOOKUP(TableauRecette[[#This Row],[ID]],TableauProduit[ID],TableauProduit[Total (kg) N2],0,0,1)*TableauRecette[[#This Row],[poids / unite]]</f>
        <v>0</v>
      </c>
      <c r="N152" s="743">
        <f>_xlfn.XLOOKUP(TableauRecette[[#This Row],[ID]],TableauProduit[ID],TableauProduit[Total (kg) N3],0,0,1)*TableauRecette[[#This Row],[poids / unite]]</f>
        <v>0</v>
      </c>
      <c r="O152" s="743">
        <f>_xlfn.XLOOKUP(TableauRecette[[#This Row],[ID]],TableauProduit[ID],TableauProduit[Total (kg) N4],0,0,1)*TableauRecette[[#This Row],[poids / unite]]</f>
        <v>0</v>
      </c>
      <c r="P152" s="743">
        <f>_xlfn.XLOOKUP(TableauRecette[[#This Row],[ID]],TableauProduit[ID],TableauProduit[Total (kg) N5],0,0,1)*TableauRecette[[#This Row],[poids / unite]]</f>
        <v>0</v>
      </c>
      <c r="Q152" s="743">
        <f>_xlfn.XLOOKUP(TableauRecette[[#This Row],[ID]],TableauProduit[ID],TableauProduit[Total (kg) N6],0,0,1)*TableauRecette[[#This Row],[poids / unite]]</f>
        <v>0</v>
      </c>
      <c r="R152" s="743">
        <f>_xlfn.XLOOKUP(TableauRecette[[#This Row],[ID]],TableauProduit[ID],TableauProduit[Total (kg) N7],0,0,1)*TableauRecette[[#This Row],[poids / unite]]</f>
        <v>0</v>
      </c>
      <c r="S152" s="743">
        <f>_xlfn.XLOOKUP(TableauRecette[[#This Row],[ID]],TableauProduit[ID],TableauProduit[Total (kg) N8],0,0,1)*TableauRecette[[#This Row],[poids / unite]]</f>
        <v>0</v>
      </c>
      <c r="T152" s="743">
        <f>_xlfn.XLOOKUP(TableauRecette[[#This Row],[ID]],TableauProduit[ID],TableauProduit[Total (kg) N9],0,0,1)*TableauRecette[[#This Row],[poids / unite]]</f>
        <v>0</v>
      </c>
    </row>
    <row r="153" spans="1:20">
      <c r="A153" s="72" t="s">
        <v>696</v>
      </c>
      <c r="B153" s="72" t="str">
        <f>TableauRecette[[#This Row],[Recette]]&amp;TableauRecette[[#This Row],[Conditionnement]]</f>
        <v>epices poissons et fruits de merEpice 100ml</v>
      </c>
      <c r="C153" s="668" t="s">
        <v>299</v>
      </c>
      <c r="D153" s="196">
        <v>1</v>
      </c>
      <c r="E153" s="72" t="s">
        <v>55</v>
      </c>
      <c r="F153" s="196">
        <f>D153/SUMIFS(TableauRecette[Proportion],TableauRecette[Recette],TableauRecette[[#This Row],[Recette]],TableauRecette[Conditionnement],TableauRecette[[#This Row],[Conditionnement]])</f>
        <v>3.3333333333333333E-2</v>
      </c>
      <c r="G153" s="196">
        <f ca="1">_xlfn.XLOOKUP(TableauRecette[[#This Row],[Ingredients]],TableauIngredients[Ingredients],TableauIngredients[Prix d''achat (kg)],0)*TableauRecette[[#This Row],[poids / unite]]</f>
        <v>0</v>
      </c>
      <c r="H153" s="196">
        <f>SUMIFS(TableauRecette[Proportion],TableauRecette[Recette],TableauRecette[[#This Row],[Recette]],TableauRecette[Conditionnement],TableauRecette[[#This Row],[Conditionnement]])</f>
        <v>30</v>
      </c>
      <c r="I153" s="196">
        <f ca="1">TableauRecette[[#This Row],[Proportion]]*TableauRecette[[#This Row],[Prix d''achat / kg]]/TableauRecette[[#This Row],[Total Proportion]]</f>
        <v>0</v>
      </c>
      <c r="J153" s="196"/>
      <c r="K153" s="741"/>
      <c r="L153" s="742">
        <f>_xlfn.XLOOKUP(TableauRecette[[#This Row],[ID]],TableauProduit[ID],TableauProduit[Total (kg) N1],0,0,1)*TableauRecette[[#This Row],[poids / unite]]</f>
        <v>0</v>
      </c>
      <c r="M153" s="743">
        <f>_xlfn.XLOOKUP(TableauRecette[[#This Row],[ID]],TableauProduit[ID],TableauProduit[Total (kg) N2],0,0,1)*TableauRecette[[#This Row],[poids / unite]]</f>
        <v>0</v>
      </c>
      <c r="N153" s="743">
        <f>_xlfn.XLOOKUP(TableauRecette[[#This Row],[ID]],TableauProduit[ID],TableauProduit[Total (kg) N3],0,0,1)*TableauRecette[[#This Row],[poids / unite]]</f>
        <v>0</v>
      </c>
      <c r="O153" s="743">
        <f>_xlfn.XLOOKUP(TableauRecette[[#This Row],[ID]],TableauProduit[ID],TableauProduit[Total (kg) N4],0,0,1)*TableauRecette[[#This Row],[poids / unite]]</f>
        <v>0</v>
      </c>
      <c r="P153" s="743">
        <f>_xlfn.XLOOKUP(TableauRecette[[#This Row],[ID]],TableauProduit[ID],TableauProduit[Total (kg) N5],0,0,1)*TableauRecette[[#This Row],[poids / unite]]</f>
        <v>0</v>
      </c>
      <c r="Q153" s="743">
        <f>_xlfn.XLOOKUP(TableauRecette[[#This Row],[ID]],TableauProduit[ID],TableauProduit[Total (kg) N6],0,0,1)*TableauRecette[[#This Row],[poids / unite]]</f>
        <v>0</v>
      </c>
      <c r="R153" s="743">
        <f>_xlfn.XLOOKUP(TableauRecette[[#This Row],[ID]],TableauProduit[ID],TableauProduit[Total (kg) N7],0,0,1)*TableauRecette[[#This Row],[poids / unite]]</f>
        <v>0</v>
      </c>
      <c r="S153" s="743">
        <f>_xlfn.XLOOKUP(TableauRecette[[#This Row],[ID]],TableauProduit[ID],TableauProduit[Total (kg) N8],0,0,1)*TableauRecette[[#This Row],[poids / unite]]</f>
        <v>0</v>
      </c>
      <c r="T153" s="743">
        <f>_xlfn.XLOOKUP(TableauRecette[[#This Row],[ID]],TableauProduit[ID],TableauProduit[Total (kg) N9],0,0,1)*TableauRecette[[#This Row],[poids / unite]]</f>
        <v>0</v>
      </c>
    </row>
    <row r="154" spans="1:20">
      <c r="A154" s="72" t="s">
        <v>696</v>
      </c>
      <c r="B154" s="72" t="str">
        <f>TableauRecette[[#This Row],[Recette]]&amp;TableauRecette[[#This Row],[Conditionnement]]</f>
        <v>epices poissons et fruits de merEpice 100ml</v>
      </c>
      <c r="C154" s="72" t="s">
        <v>285</v>
      </c>
      <c r="D154" s="196">
        <v>1</v>
      </c>
      <c r="E154" s="72" t="s">
        <v>55</v>
      </c>
      <c r="F154" s="196">
        <f>D154/SUMIFS(TableauRecette[Proportion],TableauRecette[Recette],TableauRecette[[#This Row],[Recette]],TableauRecette[Conditionnement],TableauRecette[[#This Row],[Conditionnement]])</f>
        <v>3.3333333333333333E-2</v>
      </c>
      <c r="G154" s="196">
        <f ca="1">_xlfn.XLOOKUP(TableauRecette[[#This Row],[Ingredients]],TableauIngredients[Ingredients],TableauIngredients[Prix d''achat (kg)],0)*TableauRecette[[#This Row],[poids / unite]]</f>
        <v>0.73333333333333328</v>
      </c>
      <c r="H154" s="196">
        <f>SUMIFS(TableauRecette[Proportion],TableauRecette[Recette],TableauRecette[[#This Row],[Recette]],TableauRecette[Conditionnement],TableauRecette[[#This Row],[Conditionnement]])</f>
        <v>30</v>
      </c>
      <c r="I154" s="196">
        <f ca="1">TableauRecette[[#This Row],[Proportion]]*TableauRecette[[#This Row],[Prix d''achat / kg]]/TableauRecette[[#This Row],[Total Proportion]]</f>
        <v>0</v>
      </c>
      <c r="J154" s="196"/>
      <c r="K154" s="741"/>
      <c r="L154" s="742">
        <f>_xlfn.XLOOKUP(TableauRecette[[#This Row],[ID]],TableauProduit[ID],TableauProduit[Total (kg) N1],0,0,1)*TableauRecette[[#This Row],[poids / unite]]</f>
        <v>0</v>
      </c>
      <c r="M154" s="743">
        <f>_xlfn.XLOOKUP(TableauRecette[[#This Row],[ID]],TableauProduit[ID],TableauProduit[Total (kg) N2],0,0,1)*TableauRecette[[#This Row],[poids / unite]]</f>
        <v>0</v>
      </c>
      <c r="N154" s="743">
        <f>_xlfn.XLOOKUP(TableauRecette[[#This Row],[ID]],TableauProduit[ID],TableauProduit[Total (kg) N3],0,0,1)*TableauRecette[[#This Row],[poids / unite]]</f>
        <v>0</v>
      </c>
      <c r="O154" s="743">
        <f>_xlfn.XLOOKUP(TableauRecette[[#This Row],[ID]],TableauProduit[ID],TableauProduit[Total (kg) N4],0,0,1)*TableauRecette[[#This Row],[poids / unite]]</f>
        <v>0</v>
      </c>
      <c r="P154" s="743">
        <f>_xlfn.XLOOKUP(TableauRecette[[#This Row],[ID]],TableauProduit[ID],TableauProduit[Total (kg) N5],0,0,1)*TableauRecette[[#This Row],[poids / unite]]</f>
        <v>0</v>
      </c>
      <c r="Q154" s="743">
        <f>_xlfn.XLOOKUP(TableauRecette[[#This Row],[ID]],TableauProduit[ID],TableauProduit[Total (kg) N6],0,0,1)*TableauRecette[[#This Row],[poids / unite]]</f>
        <v>0</v>
      </c>
      <c r="R154" s="743">
        <f>_xlfn.XLOOKUP(TableauRecette[[#This Row],[ID]],TableauProduit[ID],TableauProduit[Total (kg) N7],0,0,1)*TableauRecette[[#This Row],[poids / unite]]</f>
        <v>0</v>
      </c>
      <c r="S154" s="743">
        <f>_xlfn.XLOOKUP(TableauRecette[[#This Row],[ID]],TableauProduit[ID],TableauProduit[Total (kg) N8],0,0,1)*TableauRecette[[#This Row],[poids / unite]]</f>
        <v>0</v>
      </c>
      <c r="T154" s="743">
        <f>_xlfn.XLOOKUP(TableauRecette[[#This Row],[ID]],TableauProduit[ID],TableauProduit[Total (kg) N9],0,0,1)*TableauRecette[[#This Row],[poids / unite]]</f>
        <v>0</v>
      </c>
    </row>
    <row r="155" spans="1:20">
      <c r="A155" s="72" t="s">
        <v>696</v>
      </c>
      <c r="B155" s="72" t="str">
        <f>TableauRecette[[#This Row],[Recette]]&amp;TableauRecette[[#This Row],[Conditionnement]]</f>
        <v>epices poissons et fruits de merEpice 100ml</v>
      </c>
      <c r="C155" s="72" t="s">
        <v>288</v>
      </c>
      <c r="D155" s="196">
        <v>0.5</v>
      </c>
      <c r="E155" s="72" t="s">
        <v>55</v>
      </c>
      <c r="F155" s="196">
        <f>D155/SUMIFS(TableauRecette[Proportion],TableauRecette[Recette],TableauRecette[[#This Row],[Recette]],TableauRecette[Conditionnement],TableauRecette[[#This Row],[Conditionnement]])</f>
        <v>1.6666666666666666E-2</v>
      </c>
      <c r="G155" s="196">
        <f ca="1">_xlfn.XLOOKUP(TableauRecette[[#This Row],[Ingredients]],TableauIngredients[Ingredients],TableauIngredients[Prix d''achat (kg)],0)*TableauRecette[[#This Row],[poids / unite]]</f>
        <v>0.6</v>
      </c>
      <c r="H155" s="196">
        <f>SUMIFS(TableauRecette[Proportion],TableauRecette[Recette],TableauRecette[[#This Row],[Recette]],TableauRecette[Conditionnement],TableauRecette[[#This Row],[Conditionnement]])</f>
        <v>30</v>
      </c>
      <c r="I155" s="196">
        <f ca="1">TableauRecette[[#This Row],[Proportion]]*TableauRecette[[#This Row],[Prix d''achat / kg]]/TableauRecette[[#This Row],[Total Proportion]]</f>
        <v>0</v>
      </c>
      <c r="J155" s="196"/>
      <c r="K155" s="741"/>
      <c r="L155" s="742">
        <f>_xlfn.XLOOKUP(TableauRecette[[#This Row],[ID]],TableauProduit[ID],TableauProduit[Total (kg) N1],0,0,1)*TableauRecette[[#This Row],[poids / unite]]</f>
        <v>0</v>
      </c>
      <c r="M155" s="743">
        <f>_xlfn.XLOOKUP(TableauRecette[[#This Row],[ID]],TableauProduit[ID],TableauProduit[Total (kg) N2],0,0,1)*TableauRecette[[#This Row],[poids / unite]]</f>
        <v>0</v>
      </c>
      <c r="N155" s="743">
        <f>_xlfn.XLOOKUP(TableauRecette[[#This Row],[ID]],TableauProduit[ID],TableauProduit[Total (kg) N3],0,0,1)*TableauRecette[[#This Row],[poids / unite]]</f>
        <v>0</v>
      </c>
      <c r="O155" s="743">
        <f>_xlfn.XLOOKUP(TableauRecette[[#This Row],[ID]],TableauProduit[ID],TableauProduit[Total (kg) N4],0,0,1)*TableauRecette[[#This Row],[poids / unite]]</f>
        <v>0</v>
      </c>
      <c r="P155" s="743">
        <f>_xlfn.XLOOKUP(TableauRecette[[#This Row],[ID]],TableauProduit[ID],TableauProduit[Total (kg) N5],0,0,1)*TableauRecette[[#This Row],[poids / unite]]</f>
        <v>0</v>
      </c>
      <c r="Q155" s="743">
        <f>_xlfn.XLOOKUP(TableauRecette[[#This Row],[ID]],TableauProduit[ID],TableauProduit[Total (kg) N6],0,0,1)*TableauRecette[[#This Row],[poids / unite]]</f>
        <v>0</v>
      </c>
      <c r="R155" s="743">
        <f>_xlfn.XLOOKUP(TableauRecette[[#This Row],[ID]],TableauProduit[ID],TableauProduit[Total (kg) N7],0,0,1)*TableauRecette[[#This Row],[poids / unite]]</f>
        <v>0</v>
      </c>
      <c r="S155" s="743">
        <f>_xlfn.XLOOKUP(TableauRecette[[#This Row],[ID]],TableauProduit[ID],TableauProduit[Total (kg) N8],0,0,1)*TableauRecette[[#This Row],[poids / unite]]</f>
        <v>0</v>
      </c>
      <c r="T155" s="743">
        <f>_xlfn.XLOOKUP(TableauRecette[[#This Row],[ID]],TableauProduit[ID],TableauProduit[Total (kg) N9],0,0,1)*TableauRecette[[#This Row],[poids / unite]]</f>
        <v>0</v>
      </c>
    </row>
    <row r="156" spans="1:20">
      <c r="A156" s="72" t="s">
        <v>696</v>
      </c>
      <c r="B156" s="72" t="str">
        <f>TableauRecette[[#This Row],[Recette]]&amp;TableauRecette[[#This Row],[Conditionnement]]</f>
        <v>epices poissons et fruits de merEpice 100ml</v>
      </c>
      <c r="C156" s="72" t="s">
        <v>283</v>
      </c>
      <c r="D156" s="196">
        <v>0.5</v>
      </c>
      <c r="E156" s="72" t="s">
        <v>55</v>
      </c>
      <c r="F156" s="196">
        <f>D156/SUMIFS(TableauRecette[Proportion],TableauRecette[Recette],TableauRecette[[#This Row],[Recette]],TableauRecette[Conditionnement],TableauRecette[[#This Row],[Conditionnement]])</f>
        <v>1.6666666666666666E-2</v>
      </c>
      <c r="G156" s="196">
        <f ca="1">_xlfn.XLOOKUP(TableauRecette[[#This Row],[Ingredients]],TableauIngredients[Ingredients],TableauIngredients[Prix d''achat (kg)],0)*TableauRecette[[#This Row],[poids / unite]]</f>
        <v>1.9007583333333331</v>
      </c>
      <c r="H156" s="196">
        <f>SUMIFS(TableauRecette[Proportion],TableauRecette[Recette],TableauRecette[[#This Row],[Recette]],TableauRecette[Conditionnement],TableauRecette[[#This Row],[Conditionnement]])</f>
        <v>30</v>
      </c>
      <c r="I156" s="196">
        <f ca="1">TableauRecette[[#This Row],[Proportion]]*TableauRecette[[#This Row],[Prix d''achat / kg]]/TableauRecette[[#This Row],[Total Proportion]]</f>
        <v>0</v>
      </c>
      <c r="J156" s="196"/>
      <c r="K156" s="741"/>
      <c r="L156" s="742">
        <f>_xlfn.XLOOKUP(TableauRecette[[#This Row],[ID]],TableauProduit[ID],TableauProduit[Total (kg) N1],0,0,1)*TableauRecette[[#This Row],[poids / unite]]</f>
        <v>0</v>
      </c>
      <c r="M156" s="743">
        <f>_xlfn.XLOOKUP(TableauRecette[[#This Row],[ID]],TableauProduit[ID],TableauProduit[Total (kg) N2],0,0,1)*TableauRecette[[#This Row],[poids / unite]]</f>
        <v>0</v>
      </c>
      <c r="N156" s="743">
        <f>_xlfn.XLOOKUP(TableauRecette[[#This Row],[ID]],TableauProduit[ID],TableauProduit[Total (kg) N3],0,0,1)*TableauRecette[[#This Row],[poids / unite]]</f>
        <v>0</v>
      </c>
      <c r="O156" s="743">
        <f>_xlfn.XLOOKUP(TableauRecette[[#This Row],[ID]],TableauProduit[ID],TableauProduit[Total (kg) N4],0,0,1)*TableauRecette[[#This Row],[poids / unite]]</f>
        <v>0</v>
      </c>
      <c r="P156" s="743">
        <f>_xlfn.XLOOKUP(TableauRecette[[#This Row],[ID]],TableauProduit[ID],TableauProduit[Total (kg) N5],0,0,1)*TableauRecette[[#This Row],[poids / unite]]</f>
        <v>0</v>
      </c>
      <c r="Q156" s="743">
        <f>_xlfn.XLOOKUP(TableauRecette[[#This Row],[ID]],TableauProduit[ID],TableauProduit[Total (kg) N6],0,0,1)*TableauRecette[[#This Row],[poids / unite]]</f>
        <v>0</v>
      </c>
      <c r="R156" s="743">
        <f>_xlfn.XLOOKUP(TableauRecette[[#This Row],[ID]],TableauProduit[ID],TableauProduit[Total (kg) N7],0,0,1)*TableauRecette[[#This Row],[poids / unite]]</f>
        <v>0</v>
      </c>
      <c r="S156" s="743">
        <f>_xlfn.XLOOKUP(TableauRecette[[#This Row],[ID]],TableauProduit[ID],TableauProduit[Total (kg) N8],0,0,1)*TableauRecette[[#This Row],[poids / unite]]</f>
        <v>0</v>
      </c>
      <c r="T156" s="743">
        <f>_xlfn.XLOOKUP(TableauRecette[[#This Row],[ID]],TableauProduit[ID],TableauProduit[Total (kg) N9],0,0,1)*TableauRecette[[#This Row],[poids / unite]]</f>
        <v>0</v>
      </c>
    </row>
    <row r="157" spans="1:20">
      <c r="A157" s="73" t="s">
        <v>695</v>
      </c>
      <c r="B157" s="73" t="str">
        <f>TableauRecette[[#This Row],[Recette]]&amp;TableauRecette[[#This Row],[Conditionnement]]</f>
        <v>epices pour marinadeEpice 100ml</v>
      </c>
      <c r="C157" s="73" t="s">
        <v>305</v>
      </c>
      <c r="D157" s="197">
        <v>6</v>
      </c>
      <c r="E157" s="73" t="s">
        <v>55</v>
      </c>
      <c r="F157" s="197">
        <f>D157/SUMIFS(TableauRecette[Proportion],TableauRecette[Recette],TableauRecette[[#This Row],[Recette]],TableauRecette[Conditionnement],TableauRecette[[#This Row],[Conditionnement]])</f>
        <v>0.3592814371257485</v>
      </c>
      <c r="G157" s="197">
        <f ca="1">_xlfn.XLOOKUP(TableauRecette[[#This Row],[Ingredients]],TableauIngredients[Ingredients],TableauIngredients[Prix d''achat (kg)],0)*TableauRecette[[#This Row],[poids / unite]]</f>
        <v>0</v>
      </c>
      <c r="H157" s="197">
        <f>SUMIFS(TableauRecette[Proportion],TableauRecette[Recette],TableauRecette[[#This Row],[Recette]],TableauRecette[Conditionnement],TableauRecette[[#This Row],[Conditionnement]])</f>
        <v>16.7</v>
      </c>
      <c r="I157" s="197">
        <f ca="1">TableauRecette[[#This Row],[Proportion]]*TableauRecette[[#This Row],[Prix d''achat / kg]]/TableauRecette[[#This Row],[Total Proportion]]</f>
        <v>0</v>
      </c>
      <c r="J157" s="197"/>
      <c r="K157" s="744"/>
      <c r="L157" s="745">
        <f>_xlfn.XLOOKUP(TableauRecette[[#This Row],[ID]],TableauProduit[ID],TableauProduit[Total (kg) N1],0,0,1)*TableauRecette[[#This Row],[poids / unite]]</f>
        <v>0</v>
      </c>
      <c r="M157" s="746">
        <f>_xlfn.XLOOKUP(TableauRecette[[#This Row],[ID]],TableauProduit[ID],TableauProduit[Total (kg) N2],0,0,1)*TableauRecette[[#This Row],[poids / unite]]</f>
        <v>0</v>
      </c>
      <c r="N157" s="746">
        <f>_xlfn.XLOOKUP(TableauRecette[[#This Row],[ID]],TableauProduit[ID],TableauProduit[Total (kg) N3],0,0,1)*TableauRecette[[#This Row],[poids / unite]]</f>
        <v>0</v>
      </c>
      <c r="O157" s="746">
        <f>_xlfn.XLOOKUP(TableauRecette[[#This Row],[ID]],TableauProduit[ID],TableauProduit[Total (kg) N4],0,0,1)*TableauRecette[[#This Row],[poids / unite]]</f>
        <v>0</v>
      </c>
      <c r="P157" s="746">
        <f>_xlfn.XLOOKUP(TableauRecette[[#This Row],[ID]],TableauProduit[ID],TableauProduit[Total (kg) N5],0,0,1)*TableauRecette[[#This Row],[poids / unite]]</f>
        <v>0</v>
      </c>
      <c r="Q157" s="746">
        <f>_xlfn.XLOOKUP(TableauRecette[[#This Row],[ID]],TableauProduit[ID],TableauProduit[Total (kg) N6],0,0,1)*TableauRecette[[#This Row],[poids / unite]]</f>
        <v>0</v>
      </c>
      <c r="R157" s="746">
        <f>_xlfn.XLOOKUP(TableauRecette[[#This Row],[ID]],TableauProduit[ID],TableauProduit[Total (kg) N7],0,0,1)*TableauRecette[[#This Row],[poids / unite]]</f>
        <v>0</v>
      </c>
      <c r="S157" s="746">
        <f>_xlfn.XLOOKUP(TableauRecette[[#This Row],[ID]],TableauProduit[ID],TableauProduit[Total (kg) N8],0,0,1)*TableauRecette[[#This Row],[poids / unite]]</f>
        <v>0</v>
      </c>
      <c r="T157" s="746">
        <f>_xlfn.XLOOKUP(TableauRecette[[#This Row],[ID]],TableauProduit[ID],TableauProduit[Total (kg) N9],0,0,1)*TableauRecette[[#This Row],[poids / unite]]</f>
        <v>0</v>
      </c>
    </row>
    <row r="158" spans="1:20">
      <c r="A158" s="73" t="s">
        <v>695</v>
      </c>
      <c r="B158" s="73" t="str">
        <f>TableauRecette[[#This Row],[Recette]]&amp;TableauRecette[[#This Row],[Conditionnement]]</f>
        <v>epices pour marinadeEpice 100ml</v>
      </c>
      <c r="C158" s="73" t="s">
        <v>328</v>
      </c>
      <c r="D158" s="197">
        <v>3</v>
      </c>
      <c r="E158" s="73" t="s">
        <v>55</v>
      </c>
      <c r="F158" s="197">
        <f>D158/SUMIFS(TableauRecette[Proportion],TableauRecette[Recette],TableauRecette[[#This Row],[Recette]],TableauRecette[Conditionnement],TableauRecette[[#This Row],[Conditionnement]])</f>
        <v>0.17964071856287425</v>
      </c>
      <c r="G158" s="197">
        <f ca="1">_xlfn.XLOOKUP(TableauRecette[[#This Row],[Ingredients]],TableauIngredients[Ingredients],TableauIngredients[Prix d''achat (kg)],0)*TableauRecette[[#This Row],[poids / unite]]</f>
        <v>0</v>
      </c>
      <c r="H158" s="197">
        <f>SUMIFS(TableauRecette[Proportion],TableauRecette[Recette],TableauRecette[[#This Row],[Recette]],TableauRecette[Conditionnement],TableauRecette[[#This Row],[Conditionnement]])</f>
        <v>16.7</v>
      </c>
      <c r="I158" s="197">
        <f ca="1">TableauRecette[[#This Row],[Proportion]]*TableauRecette[[#This Row],[Prix d''achat / kg]]/TableauRecette[[#This Row],[Total Proportion]]</f>
        <v>0</v>
      </c>
      <c r="J158" s="197"/>
      <c r="K158" s="744"/>
      <c r="L158" s="745">
        <f>_xlfn.XLOOKUP(TableauRecette[[#This Row],[ID]],TableauProduit[ID],TableauProduit[Total (kg) N1],0,0,1)*TableauRecette[[#This Row],[poids / unite]]</f>
        <v>0</v>
      </c>
      <c r="M158" s="746">
        <f>_xlfn.XLOOKUP(TableauRecette[[#This Row],[ID]],TableauProduit[ID],TableauProduit[Total (kg) N2],0,0,1)*TableauRecette[[#This Row],[poids / unite]]</f>
        <v>0</v>
      </c>
      <c r="N158" s="746">
        <f>_xlfn.XLOOKUP(TableauRecette[[#This Row],[ID]],TableauProduit[ID],TableauProduit[Total (kg) N3],0,0,1)*TableauRecette[[#This Row],[poids / unite]]</f>
        <v>0</v>
      </c>
      <c r="O158" s="746">
        <f>_xlfn.XLOOKUP(TableauRecette[[#This Row],[ID]],TableauProduit[ID],TableauProduit[Total (kg) N4],0,0,1)*TableauRecette[[#This Row],[poids / unite]]</f>
        <v>0</v>
      </c>
      <c r="P158" s="746">
        <f>_xlfn.XLOOKUP(TableauRecette[[#This Row],[ID]],TableauProduit[ID],TableauProduit[Total (kg) N5],0,0,1)*TableauRecette[[#This Row],[poids / unite]]</f>
        <v>0</v>
      </c>
      <c r="Q158" s="746">
        <f>_xlfn.XLOOKUP(TableauRecette[[#This Row],[ID]],TableauProduit[ID],TableauProduit[Total (kg) N6],0,0,1)*TableauRecette[[#This Row],[poids / unite]]</f>
        <v>0</v>
      </c>
      <c r="R158" s="746">
        <f>_xlfn.XLOOKUP(TableauRecette[[#This Row],[ID]],TableauProduit[ID],TableauProduit[Total (kg) N7],0,0,1)*TableauRecette[[#This Row],[poids / unite]]</f>
        <v>0</v>
      </c>
      <c r="S158" s="746">
        <f>_xlfn.XLOOKUP(TableauRecette[[#This Row],[ID]],TableauProduit[ID],TableauProduit[Total (kg) N8],0,0,1)*TableauRecette[[#This Row],[poids / unite]]</f>
        <v>0</v>
      </c>
      <c r="T158" s="746">
        <f>_xlfn.XLOOKUP(TableauRecette[[#This Row],[ID]],TableauProduit[ID],TableauProduit[Total (kg) N9],0,0,1)*TableauRecette[[#This Row],[poids / unite]]</f>
        <v>0</v>
      </c>
    </row>
    <row r="159" spans="1:20">
      <c r="A159" s="73" t="s">
        <v>695</v>
      </c>
      <c r="B159" s="73" t="str">
        <f>TableauRecette[[#This Row],[Recette]]&amp;TableauRecette[[#This Row],[Conditionnement]]</f>
        <v>epices pour marinadeEpice 100ml</v>
      </c>
      <c r="C159" s="73" t="s">
        <v>289</v>
      </c>
      <c r="D159" s="197">
        <v>2</v>
      </c>
      <c r="E159" s="73" t="s">
        <v>55</v>
      </c>
      <c r="F159" s="197">
        <f>D159/SUMIFS(TableauRecette[Proportion],TableauRecette[Recette],TableauRecette[[#This Row],[Recette]],TableauRecette[Conditionnement],TableauRecette[[#This Row],[Conditionnement]])</f>
        <v>0.11976047904191617</v>
      </c>
      <c r="G159" s="197">
        <f ca="1">_xlfn.XLOOKUP(TableauRecette[[#This Row],[Ingredients]],TableauIngredients[Ingredients],TableauIngredients[Prix d''achat (kg)],0)*TableauRecette[[#This Row],[poids / unite]]</f>
        <v>0</v>
      </c>
      <c r="H159" s="197">
        <f>SUMIFS(TableauRecette[Proportion],TableauRecette[Recette],TableauRecette[[#This Row],[Recette]],TableauRecette[Conditionnement],TableauRecette[[#This Row],[Conditionnement]])</f>
        <v>16.7</v>
      </c>
      <c r="I159" s="197">
        <f ca="1">TableauRecette[[#This Row],[Proportion]]*TableauRecette[[#This Row],[Prix d''achat / kg]]/TableauRecette[[#This Row],[Total Proportion]]</f>
        <v>0</v>
      </c>
      <c r="J159" s="197"/>
      <c r="K159" s="744"/>
      <c r="L159" s="745">
        <f>_xlfn.XLOOKUP(TableauRecette[[#This Row],[ID]],TableauProduit[ID],TableauProduit[Total (kg) N1],0,0,1)*TableauRecette[[#This Row],[poids / unite]]</f>
        <v>0</v>
      </c>
      <c r="M159" s="746">
        <f>_xlfn.XLOOKUP(TableauRecette[[#This Row],[ID]],TableauProduit[ID],TableauProduit[Total (kg) N2],0,0,1)*TableauRecette[[#This Row],[poids / unite]]</f>
        <v>0</v>
      </c>
      <c r="N159" s="746">
        <f>_xlfn.XLOOKUP(TableauRecette[[#This Row],[ID]],TableauProduit[ID],TableauProduit[Total (kg) N3],0,0,1)*TableauRecette[[#This Row],[poids / unite]]</f>
        <v>0</v>
      </c>
      <c r="O159" s="746">
        <f>_xlfn.XLOOKUP(TableauRecette[[#This Row],[ID]],TableauProduit[ID],TableauProduit[Total (kg) N4],0,0,1)*TableauRecette[[#This Row],[poids / unite]]</f>
        <v>0</v>
      </c>
      <c r="P159" s="746">
        <f>_xlfn.XLOOKUP(TableauRecette[[#This Row],[ID]],TableauProduit[ID],TableauProduit[Total (kg) N5],0,0,1)*TableauRecette[[#This Row],[poids / unite]]</f>
        <v>0</v>
      </c>
      <c r="Q159" s="746">
        <f>_xlfn.XLOOKUP(TableauRecette[[#This Row],[ID]],TableauProduit[ID],TableauProduit[Total (kg) N6],0,0,1)*TableauRecette[[#This Row],[poids / unite]]</f>
        <v>0</v>
      </c>
      <c r="R159" s="746">
        <f>_xlfn.XLOOKUP(TableauRecette[[#This Row],[ID]],TableauProduit[ID],TableauProduit[Total (kg) N7],0,0,1)*TableauRecette[[#This Row],[poids / unite]]</f>
        <v>0</v>
      </c>
      <c r="S159" s="746">
        <f>_xlfn.XLOOKUP(TableauRecette[[#This Row],[ID]],TableauProduit[ID],TableauProduit[Total (kg) N8],0,0,1)*TableauRecette[[#This Row],[poids / unite]]</f>
        <v>0</v>
      </c>
      <c r="T159" s="746">
        <f>_xlfn.XLOOKUP(TableauRecette[[#This Row],[ID]],TableauProduit[ID],TableauProduit[Total (kg) N9],0,0,1)*TableauRecette[[#This Row],[poids / unite]]</f>
        <v>0</v>
      </c>
    </row>
    <row r="160" spans="1:20">
      <c r="A160" s="73" t="s">
        <v>695</v>
      </c>
      <c r="B160" s="73" t="str">
        <f>TableauRecette[[#This Row],[Recette]]&amp;TableauRecette[[#This Row],[Conditionnement]]</f>
        <v>epices pour marinadeEpice 100ml</v>
      </c>
      <c r="C160" s="73" t="s">
        <v>320</v>
      </c>
      <c r="D160" s="197">
        <v>1</v>
      </c>
      <c r="E160" s="73" t="s">
        <v>55</v>
      </c>
      <c r="F160" s="197">
        <f>D160/SUMIFS(TableauRecette[Proportion],TableauRecette[Recette],TableauRecette[[#This Row],[Recette]],TableauRecette[Conditionnement],TableauRecette[[#This Row],[Conditionnement]])</f>
        <v>5.9880239520958084E-2</v>
      </c>
      <c r="G160" s="197">
        <f ca="1">_xlfn.XLOOKUP(TableauRecette[[#This Row],[Ingredients]],TableauIngredients[Ingredients],TableauIngredients[Prix d''achat (kg)],0)*TableauRecette[[#This Row],[poids / unite]]</f>
        <v>0</v>
      </c>
      <c r="H160" s="197">
        <f>SUMIFS(TableauRecette[Proportion],TableauRecette[Recette],TableauRecette[[#This Row],[Recette]],TableauRecette[Conditionnement],TableauRecette[[#This Row],[Conditionnement]])</f>
        <v>16.7</v>
      </c>
      <c r="I160" s="197">
        <f ca="1">TableauRecette[[#This Row],[Proportion]]*TableauRecette[[#This Row],[Prix d''achat / kg]]/TableauRecette[[#This Row],[Total Proportion]]</f>
        <v>0</v>
      </c>
      <c r="J160" s="197"/>
      <c r="K160" s="744"/>
      <c r="L160" s="745">
        <f>_xlfn.XLOOKUP(TableauRecette[[#This Row],[ID]],TableauProduit[ID],TableauProduit[Total (kg) N1],0,0,1)*TableauRecette[[#This Row],[poids / unite]]</f>
        <v>0</v>
      </c>
      <c r="M160" s="746">
        <f>_xlfn.XLOOKUP(TableauRecette[[#This Row],[ID]],TableauProduit[ID],TableauProduit[Total (kg) N2],0,0,1)*TableauRecette[[#This Row],[poids / unite]]</f>
        <v>0</v>
      </c>
      <c r="N160" s="746">
        <f>_xlfn.XLOOKUP(TableauRecette[[#This Row],[ID]],TableauProduit[ID],TableauProduit[Total (kg) N3],0,0,1)*TableauRecette[[#This Row],[poids / unite]]</f>
        <v>0</v>
      </c>
      <c r="O160" s="746">
        <f>_xlfn.XLOOKUP(TableauRecette[[#This Row],[ID]],TableauProduit[ID],TableauProduit[Total (kg) N4],0,0,1)*TableauRecette[[#This Row],[poids / unite]]</f>
        <v>0</v>
      </c>
      <c r="P160" s="746">
        <f>_xlfn.XLOOKUP(TableauRecette[[#This Row],[ID]],TableauProduit[ID],TableauProduit[Total (kg) N5],0,0,1)*TableauRecette[[#This Row],[poids / unite]]</f>
        <v>0</v>
      </c>
      <c r="Q160" s="746">
        <f>_xlfn.XLOOKUP(TableauRecette[[#This Row],[ID]],TableauProduit[ID],TableauProduit[Total (kg) N6],0,0,1)*TableauRecette[[#This Row],[poids / unite]]</f>
        <v>0</v>
      </c>
      <c r="R160" s="746">
        <f>_xlfn.XLOOKUP(TableauRecette[[#This Row],[ID]],TableauProduit[ID],TableauProduit[Total (kg) N7],0,0,1)*TableauRecette[[#This Row],[poids / unite]]</f>
        <v>0</v>
      </c>
      <c r="S160" s="746">
        <f>_xlfn.XLOOKUP(TableauRecette[[#This Row],[ID]],TableauProduit[ID],TableauProduit[Total (kg) N8],0,0,1)*TableauRecette[[#This Row],[poids / unite]]</f>
        <v>0</v>
      </c>
      <c r="T160" s="746">
        <f>_xlfn.XLOOKUP(TableauRecette[[#This Row],[ID]],TableauProduit[ID],TableauProduit[Total (kg) N9],0,0,1)*TableauRecette[[#This Row],[poids / unite]]</f>
        <v>0</v>
      </c>
    </row>
    <row r="161" spans="1:20">
      <c r="A161" s="73" t="s">
        <v>695</v>
      </c>
      <c r="B161" s="73" t="str">
        <f>TableauRecette[[#This Row],[Recette]]&amp;TableauRecette[[#This Row],[Conditionnement]]</f>
        <v>epices pour marinadeEpice 100ml</v>
      </c>
      <c r="C161" s="659" t="s">
        <v>299</v>
      </c>
      <c r="D161" s="197">
        <v>0.5</v>
      </c>
      <c r="E161" s="73" t="s">
        <v>55</v>
      </c>
      <c r="F161" s="197">
        <f>D161/SUMIFS(TableauRecette[Proportion],TableauRecette[Recette],TableauRecette[[#This Row],[Recette]],TableauRecette[Conditionnement],TableauRecette[[#This Row],[Conditionnement]])</f>
        <v>2.9940119760479042E-2</v>
      </c>
      <c r="G161" s="197">
        <f ca="1">_xlfn.XLOOKUP(TableauRecette[[#This Row],[Ingredients]],TableauIngredients[Ingredients],TableauIngredients[Prix d''achat (kg)],0)*TableauRecette[[#This Row],[poids / unite]]</f>
        <v>0</v>
      </c>
      <c r="H161" s="197">
        <f>SUMIFS(TableauRecette[Proportion],TableauRecette[Recette],TableauRecette[[#This Row],[Recette]],TableauRecette[Conditionnement],TableauRecette[[#This Row],[Conditionnement]])</f>
        <v>16.7</v>
      </c>
      <c r="I161" s="197">
        <f ca="1">TableauRecette[[#This Row],[Proportion]]*TableauRecette[[#This Row],[Prix d''achat / kg]]/TableauRecette[[#This Row],[Total Proportion]]</f>
        <v>0</v>
      </c>
      <c r="J161" s="197"/>
      <c r="K161" s="744"/>
      <c r="L161" s="745">
        <f>_xlfn.XLOOKUP(TableauRecette[[#This Row],[ID]],TableauProduit[ID],TableauProduit[Total (kg) N1],0,0,1)*TableauRecette[[#This Row],[poids / unite]]</f>
        <v>0</v>
      </c>
      <c r="M161" s="746">
        <f>_xlfn.XLOOKUP(TableauRecette[[#This Row],[ID]],TableauProduit[ID],TableauProduit[Total (kg) N2],0,0,1)*TableauRecette[[#This Row],[poids / unite]]</f>
        <v>0</v>
      </c>
      <c r="N161" s="746">
        <f>_xlfn.XLOOKUP(TableauRecette[[#This Row],[ID]],TableauProduit[ID],TableauProduit[Total (kg) N3],0,0,1)*TableauRecette[[#This Row],[poids / unite]]</f>
        <v>0</v>
      </c>
      <c r="O161" s="746">
        <f>_xlfn.XLOOKUP(TableauRecette[[#This Row],[ID]],TableauProduit[ID],TableauProduit[Total (kg) N4],0,0,1)*TableauRecette[[#This Row],[poids / unite]]</f>
        <v>0</v>
      </c>
      <c r="P161" s="746">
        <f>_xlfn.XLOOKUP(TableauRecette[[#This Row],[ID]],TableauProduit[ID],TableauProduit[Total (kg) N5],0,0,1)*TableauRecette[[#This Row],[poids / unite]]</f>
        <v>0</v>
      </c>
      <c r="Q161" s="746">
        <f>_xlfn.XLOOKUP(TableauRecette[[#This Row],[ID]],TableauProduit[ID],TableauProduit[Total (kg) N6],0,0,1)*TableauRecette[[#This Row],[poids / unite]]</f>
        <v>0</v>
      </c>
      <c r="R161" s="746">
        <f>_xlfn.XLOOKUP(TableauRecette[[#This Row],[ID]],TableauProduit[ID],TableauProduit[Total (kg) N7],0,0,1)*TableauRecette[[#This Row],[poids / unite]]</f>
        <v>0</v>
      </c>
      <c r="S161" s="746">
        <f>_xlfn.XLOOKUP(TableauRecette[[#This Row],[ID]],TableauProduit[ID],TableauProduit[Total (kg) N8],0,0,1)*TableauRecette[[#This Row],[poids / unite]]</f>
        <v>0</v>
      </c>
      <c r="T161" s="746">
        <f>_xlfn.XLOOKUP(TableauRecette[[#This Row],[ID]],TableauProduit[ID],TableauProduit[Total (kg) N9],0,0,1)*TableauRecette[[#This Row],[poids / unite]]</f>
        <v>0</v>
      </c>
    </row>
    <row r="162" spans="1:20">
      <c r="A162" s="73" t="s">
        <v>695</v>
      </c>
      <c r="B162" s="73" t="str">
        <f>TableauRecette[[#This Row],[Recette]]&amp;TableauRecette[[#This Row],[Conditionnement]]</f>
        <v>epices pour marinadeEpice 100ml</v>
      </c>
      <c r="C162" s="73" t="s">
        <v>317</v>
      </c>
      <c r="D162" s="197">
        <v>0.2</v>
      </c>
      <c r="E162" s="73" t="s">
        <v>55</v>
      </c>
      <c r="F162" s="197">
        <f>D162/SUMIFS(TableauRecette[Proportion],TableauRecette[Recette],TableauRecette[[#This Row],[Recette]],TableauRecette[Conditionnement],TableauRecette[[#This Row],[Conditionnement]])</f>
        <v>1.1976047904191617E-2</v>
      </c>
      <c r="G162" s="197">
        <f ca="1">_xlfn.XLOOKUP(TableauRecette[[#This Row],[Ingredients]],TableauIngredients[Ingredients],TableauIngredients[Prix d''achat (kg)],0)*TableauRecette[[#This Row],[poids / unite]]</f>
        <v>0</v>
      </c>
      <c r="H162" s="197">
        <f>SUMIFS(TableauRecette[Proportion],TableauRecette[Recette],TableauRecette[[#This Row],[Recette]],TableauRecette[Conditionnement],TableauRecette[[#This Row],[Conditionnement]])</f>
        <v>16.7</v>
      </c>
      <c r="I162" s="197">
        <f ca="1">TableauRecette[[#This Row],[Proportion]]*TableauRecette[[#This Row],[Prix d''achat / kg]]/TableauRecette[[#This Row],[Total Proportion]]</f>
        <v>0</v>
      </c>
      <c r="J162" s="197"/>
      <c r="K162" s="744"/>
      <c r="L162" s="745">
        <f>_xlfn.XLOOKUP(TableauRecette[[#This Row],[ID]],TableauProduit[ID],TableauProduit[Total (kg) N1],0,0,1)*TableauRecette[[#This Row],[poids / unite]]</f>
        <v>0</v>
      </c>
      <c r="M162" s="746">
        <f>_xlfn.XLOOKUP(TableauRecette[[#This Row],[ID]],TableauProduit[ID],TableauProduit[Total (kg) N2],0,0,1)*TableauRecette[[#This Row],[poids / unite]]</f>
        <v>0</v>
      </c>
      <c r="N162" s="746">
        <f>_xlfn.XLOOKUP(TableauRecette[[#This Row],[ID]],TableauProduit[ID],TableauProduit[Total (kg) N3],0,0,1)*TableauRecette[[#This Row],[poids / unite]]</f>
        <v>0</v>
      </c>
      <c r="O162" s="746">
        <f>_xlfn.XLOOKUP(TableauRecette[[#This Row],[ID]],TableauProduit[ID],TableauProduit[Total (kg) N4],0,0,1)*TableauRecette[[#This Row],[poids / unite]]</f>
        <v>0</v>
      </c>
      <c r="P162" s="746">
        <f>_xlfn.XLOOKUP(TableauRecette[[#This Row],[ID]],TableauProduit[ID],TableauProduit[Total (kg) N5],0,0,1)*TableauRecette[[#This Row],[poids / unite]]</f>
        <v>0</v>
      </c>
      <c r="Q162" s="746">
        <f>_xlfn.XLOOKUP(TableauRecette[[#This Row],[ID]],TableauProduit[ID],TableauProduit[Total (kg) N6],0,0,1)*TableauRecette[[#This Row],[poids / unite]]</f>
        <v>0</v>
      </c>
      <c r="R162" s="746">
        <f>_xlfn.XLOOKUP(TableauRecette[[#This Row],[ID]],TableauProduit[ID],TableauProduit[Total (kg) N7],0,0,1)*TableauRecette[[#This Row],[poids / unite]]</f>
        <v>0</v>
      </c>
      <c r="S162" s="746">
        <f>_xlfn.XLOOKUP(TableauRecette[[#This Row],[ID]],TableauProduit[ID],TableauProduit[Total (kg) N8],0,0,1)*TableauRecette[[#This Row],[poids / unite]]</f>
        <v>0</v>
      </c>
      <c r="T162" s="746">
        <f>_xlfn.XLOOKUP(TableauRecette[[#This Row],[ID]],TableauProduit[ID],TableauProduit[Total (kg) N9],0,0,1)*TableauRecette[[#This Row],[poids / unite]]</f>
        <v>0</v>
      </c>
    </row>
    <row r="163" spans="1:20">
      <c r="A163" s="73" t="s">
        <v>695</v>
      </c>
      <c r="B163" s="73" t="str">
        <f>TableauRecette[[#This Row],[Recette]]&amp;TableauRecette[[#This Row],[Conditionnement]]</f>
        <v>epices pour marinadeEpice 100ml</v>
      </c>
      <c r="C163" s="73" t="s">
        <v>294</v>
      </c>
      <c r="D163" s="197">
        <v>4</v>
      </c>
      <c r="E163" s="73" t="s">
        <v>55</v>
      </c>
      <c r="F163" s="197">
        <f>D163/SUMIFS(TableauRecette[Proportion],TableauRecette[Recette],TableauRecette[[#This Row],[Recette]],TableauRecette[Conditionnement],TableauRecette[[#This Row],[Conditionnement]])</f>
        <v>0.23952095808383234</v>
      </c>
      <c r="G163" s="197">
        <f ca="1">_xlfn.XLOOKUP(TableauRecette[[#This Row],[Ingredients]],TableauIngredients[Ingredients],TableauIngredients[Prix d''achat (kg)],0)*TableauRecette[[#This Row],[poids / unite]]</f>
        <v>5.2694610778443112</v>
      </c>
      <c r="H163" s="197">
        <f>SUMIFS(TableauRecette[Proportion],TableauRecette[Recette],TableauRecette[[#This Row],[Recette]],TableauRecette[Conditionnement],TableauRecette[[#This Row],[Conditionnement]])</f>
        <v>16.7</v>
      </c>
      <c r="I163" s="197">
        <f ca="1">TableauRecette[[#This Row],[Proportion]]*TableauRecette[[#This Row],[Prix d''achat / kg]]/TableauRecette[[#This Row],[Total Proportion]]</f>
        <v>0</v>
      </c>
      <c r="J163" s="197"/>
      <c r="K163" s="744"/>
      <c r="L163" s="745">
        <f>_xlfn.XLOOKUP(TableauRecette[[#This Row],[ID]],TableauProduit[ID],TableauProduit[Total (kg) N1],0,0,1)*TableauRecette[[#This Row],[poids / unite]]</f>
        <v>0</v>
      </c>
      <c r="M163" s="746">
        <f>_xlfn.XLOOKUP(TableauRecette[[#This Row],[ID]],TableauProduit[ID],TableauProduit[Total (kg) N2],0,0,1)*TableauRecette[[#This Row],[poids / unite]]</f>
        <v>0</v>
      </c>
      <c r="N163" s="746">
        <f>_xlfn.XLOOKUP(TableauRecette[[#This Row],[ID]],TableauProduit[ID],TableauProduit[Total (kg) N3],0,0,1)*TableauRecette[[#This Row],[poids / unite]]</f>
        <v>0</v>
      </c>
      <c r="O163" s="746">
        <f>_xlfn.XLOOKUP(TableauRecette[[#This Row],[ID]],TableauProduit[ID],TableauProduit[Total (kg) N4],0,0,1)*TableauRecette[[#This Row],[poids / unite]]</f>
        <v>0</v>
      </c>
      <c r="P163" s="746">
        <f>_xlfn.XLOOKUP(TableauRecette[[#This Row],[ID]],TableauProduit[ID],TableauProduit[Total (kg) N5],0,0,1)*TableauRecette[[#This Row],[poids / unite]]</f>
        <v>0</v>
      </c>
      <c r="Q163" s="746">
        <f>_xlfn.XLOOKUP(TableauRecette[[#This Row],[ID]],TableauProduit[ID],TableauProduit[Total (kg) N6],0,0,1)*TableauRecette[[#This Row],[poids / unite]]</f>
        <v>0</v>
      </c>
      <c r="R163" s="746">
        <f>_xlfn.XLOOKUP(TableauRecette[[#This Row],[ID]],TableauProduit[ID],TableauProduit[Total (kg) N7],0,0,1)*TableauRecette[[#This Row],[poids / unite]]</f>
        <v>0</v>
      </c>
      <c r="S163" s="746">
        <f>_xlfn.XLOOKUP(TableauRecette[[#This Row],[ID]],TableauProduit[ID],TableauProduit[Total (kg) N8],0,0,1)*TableauRecette[[#This Row],[poids / unite]]</f>
        <v>0</v>
      </c>
      <c r="T163" s="746">
        <f>_xlfn.XLOOKUP(TableauRecette[[#This Row],[ID]],TableauProduit[ID],TableauProduit[Total (kg) N9],0,0,1)*TableauRecette[[#This Row],[poids / unite]]</f>
        <v>0</v>
      </c>
    </row>
    <row r="164" spans="1:20">
      <c r="A164" s="74" t="s">
        <v>693</v>
      </c>
      <c r="B164" s="74" t="str">
        <f>TableauRecette[[#This Row],[Recette]]&amp;TableauRecette[[#This Row],[Conditionnement]]</f>
        <v>epices tandooriEpice 100ml</v>
      </c>
      <c r="C164" s="74" t="s">
        <v>67</v>
      </c>
      <c r="D164" s="198">
        <v>3</v>
      </c>
      <c r="E164" s="74" t="s">
        <v>55</v>
      </c>
      <c r="F164" s="198">
        <f>D164/SUMIFS(TableauRecette[Proportion],TableauRecette[Recette],TableauRecette[[#This Row],[Recette]],TableauRecette[Conditionnement],TableauRecette[[#This Row],[Conditionnement]])</f>
        <v>6.4377682403433487E-2</v>
      </c>
      <c r="G164" s="198">
        <f ca="1">_xlfn.XLOOKUP(TableauRecette[[#This Row],[Ingredients]],TableauIngredients[Ingredients],TableauIngredients[Prix d''achat (kg)],0)*TableauRecette[[#This Row],[poids / unite]]</f>
        <v>0</v>
      </c>
      <c r="H164" s="198">
        <f>SUMIFS(TableauRecette[Proportion],TableauRecette[Recette],TableauRecette[[#This Row],[Recette]],TableauRecette[Conditionnement],TableauRecette[[#This Row],[Conditionnement]])</f>
        <v>46.599999999999994</v>
      </c>
      <c r="I164" s="198">
        <f ca="1">TableauRecette[[#This Row],[Proportion]]*TableauRecette[[#This Row],[Prix d''achat / kg]]/TableauRecette[[#This Row],[Total Proportion]]</f>
        <v>0</v>
      </c>
      <c r="J164" s="198"/>
      <c r="K164" s="747"/>
      <c r="L164" s="748">
        <f>_xlfn.XLOOKUP(TableauRecette[[#This Row],[ID]],TableauProduit[ID],TableauProduit[Total (kg) N1],0,0,1)*TableauRecette[[#This Row],[poids / unite]]</f>
        <v>0.57939914163090134</v>
      </c>
      <c r="M164" s="749">
        <f>_xlfn.XLOOKUP(TableauRecette[[#This Row],[ID]],TableauProduit[ID],TableauProduit[Total (kg) N2],0,0,1)*TableauRecette[[#This Row],[poids / unite]]</f>
        <v>0.57939914163090134</v>
      </c>
      <c r="N164" s="749">
        <f>_xlfn.XLOOKUP(TableauRecette[[#This Row],[ID]],TableauProduit[ID],TableauProduit[Total (kg) N3],0,0,1)*TableauRecette[[#This Row],[poids / unite]]</f>
        <v>0.57939914163090134</v>
      </c>
      <c r="O164" s="749">
        <f>_xlfn.XLOOKUP(TableauRecette[[#This Row],[ID]],TableauProduit[ID],TableauProduit[Total (kg) N4],0,0,1)*TableauRecette[[#This Row],[poids / unite]]</f>
        <v>0.57939914163090134</v>
      </c>
      <c r="P164" s="749">
        <f>_xlfn.XLOOKUP(TableauRecette[[#This Row],[ID]],TableauProduit[ID],TableauProduit[Total (kg) N5],0,0,1)*TableauRecette[[#This Row],[poids / unite]]</f>
        <v>0.57939914163090134</v>
      </c>
      <c r="Q164" s="749">
        <f>_xlfn.XLOOKUP(TableauRecette[[#This Row],[ID]],TableauProduit[ID],TableauProduit[Total (kg) N6],0,0,1)*TableauRecette[[#This Row],[poids / unite]]</f>
        <v>0.57939914163090134</v>
      </c>
      <c r="R164" s="749">
        <f>_xlfn.XLOOKUP(TableauRecette[[#This Row],[ID]],TableauProduit[ID],TableauProduit[Total (kg) N7],0,0,1)*TableauRecette[[#This Row],[poids / unite]]</f>
        <v>0.57939914163090134</v>
      </c>
      <c r="S164" s="749">
        <f>_xlfn.XLOOKUP(TableauRecette[[#This Row],[ID]],TableauProduit[ID],TableauProduit[Total (kg) N8],0,0,1)*TableauRecette[[#This Row],[poids / unite]]</f>
        <v>0.57939914163090134</v>
      </c>
      <c r="T164" s="749">
        <f>_xlfn.XLOOKUP(TableauRecette[[#This Row],[ID]],TableauProduit[ID],TableauProduit[Total (kg) N9],0,0,1)*TableauRecette[[#This Row],[poids / unite]]</f>
        <v>0.57939914163090134</v>
      </c>
    </row>
    <row r="165" spans="1:20">
      <c r="A165" s="74" t="s">
        <v>693</v>
      </c>
      <c r="B165" s="74" t="str">
        <f>TableauRecette[[#This Row],[Recette]]&amp;TableauRecette[[#This Row],[Conditionnement]]</f>
        <v>epices tandooriEpice 100ml</v>
      </c>
      <c r="C165" s="74" t="s">
        <v>284</v>
      </c>
      <c r="D165" s="198">
        <v>15</v>
      </c>
      <c r="E165" s="74" t="s">
        <v>55</v>
      </c>
      <c r="F165" s="198">
        <f>D165/SUMIFS(TableauRecette[Proportion],TableauRecette[Recette],TableauRecette[[#This Row],[Recette]],TableauRecette[Conditionnement],TableauRecette[[#This Row],[Conditionnement]])</f>
        <v>0.32188841201716745</v>
      </c>
      <c r="G165" s="198">
        <f ca="1">_xlfn.XLOOKUP(TableauRecette[[#This Row],[Ingredients]],TableauIngredients[Ingredients],TableauIngredients[Prix d''achat (kg)],0)*TableauRecette[[#This Row],[poids / unite]]</f>
        <v>0</v>
      </c>
      <c r="H165" s="198">
        <f>SUMIFS(TableauRecette[Proportion],TableauRecette[Recette],TableauRecette[[#This Row],[Recette]],TableauRecette[Conditionnement],TableauRecette[[#This Row],[Conditionnement]])</f>
        <v>46.599999999999994</v>
      </c>
      <c r="I165" s="198">
        <f ca="1">TableauRecette[[#This Row],[Proportion]]*TableauRecette[[#This Row],[Prix d''achat / kg]]/TableauRecette[[#This Row],[Total Proportion]]</f>
        <v>0</v>
      </c>
      <c r="J165" s="198"/>
      <c r="K165" s="747"/>
      <c r="L165" s="748">
        <f>_xlfn.XLOOKUP(TableauRecette[[#This Row],[ID]],TableauProduit[ID],TableauProduit[Total (kg) N1],0,0,1)*TableauRecette[[#This Row],[poids / unite]]</f>
        <v>2.896995708154507</v>
      </c>
      <c r="M165" s="749">
        <f>_xlfn.XLOOKUP(TableauRecette[[#This Row],[ID]],TableauProduit[ID],TableauProduit[Total (kg) N2],0,0,1)*TableauRecette[[#This Row],[poids / unite]]</f>
        <v>2.896995708154507</v>
      </c>
      <c r="N165" s="749">
        <f>_xlfn.XLOOKUP(TableauRecette[[#This Row],[ID]],TableauProduit[ID],TableauProduit[Total (kg) N3],0,0,1)*TableauRecette[[#This Row],[poids / unite]]</f>
        <v>2.896995708154507</v>
      </c>
      <c r="O165" s="749">
        <f>_xlfn.XLOOKUP(TableauRecette[[#This Row],[ID]],TableauProduit[ID],TableauProduit[Total (kg) N4],0,0,1)*TableauRecette[[#This Row],[poids / unite]]</f>
        <v>2.896995708154507</v>
      </c>
      <c r="P165" s="749">
        <f>_xlfn.XLOOKUP(TableauRecette[[#This Row],[ID]],TableauProduit[ID],TableauProduit[Total (kg) N5],0,0,1)*TableauRecette[[#This Row],[poids / unite]]</f>
        <v>2.896995708154507</v>
      </c>
      <c r="Q165" s="749">
        <f>_xlfn.XLOOKUP(TableauRecette[[#This Row],[ID]],TableauProduit[ID],TableauProduit[Total (kg) N6],0,0,1)*TableauRecette[[#This Row],[poids / unite]]</f>
        <v>2.896995708154507</v>
      </c>
      <c r="R165" s="749">
        <f>_xlfn.XLOOKUP(TableauRecette[[#This Row],[ID]],TableauProduit[ID],TableauProduit[Total (kg) N7],0,0,1)*TableauRecette[[#This Row],[poids / unite]]</f>
        <v>2.896995708154507</v>
      </c>
      <c r="S165" s="749">
        <f>_xlfn.XLOOKUP(TableauRecette[[#This Row],[ID]],TableauProduit[ID],TableauProduit[Total (kg) N8],0,0,1)*TableauRecette[[#This Row],[poids / unite]]</f>
        <v>2.896995708154507</v>
      </c>
      <c r="T165" s="749">
        <f>_xlfn.XLOOKUP(TableauRecette[[#This Row],[ID]],TableauProduit[ID],TableauProduit[Total (kg) N9],0,0,1)*TableauRecette[[#This Row],[poids / unite]]</f>
        <v>2.896995708154507</v>
      </c>
    </row>
    <row r="166" spans="1:20">
      <c r="A166" s="74" t="s">
        <v>693</v>
      </c>
      <c r="B166" s="74" t="str">
        <f>TableauRecette[[#This Row],[Recette]]&amp;TableauRecette[[#This Row],[Conditionnement]]</f>
        <v>epices tandooriEpice 100ml</v>
      </c>
      <c r="C166" s="74" t="s">
        <v>289</v>
      </c>
      <c r="D166" s="198">
        <v>15</v>
      </c>
      <c r="E166" s="74" t="s">
        <v>55</v>
      </c>
      <c r="F166" s="198">
        <f>D166/SUMIFS(TableauRecette[Proportion],TableauRecette[Recette],TableauRecette[[#This Row],[Recette]],TableauRecette[Conditionnement],TableauRecette[[#This Row],[Conditionnement]])</f>
        <v>0.32188841201716745</v>
      </c>
      <c r="G166" s="198">
        <f ca="1">_xlfn.XLOOKUP(TableauRecette[[#This Row],[Ingredients]],TableauIngredients[Ingredients],TableauIngredients[Prix d''achat (kg)],0)*TableauRecette[[#This Row],[poids / unite]]</f>
        <v>0</v>
      </c>
      <c r="H166" s="198">
        <f>SUMIFS(TableauRecette[Proportion],TableauRecette[Recette],TableauRecette[[#This Row],[Recette]],TableauRecette[Conditionnement],TableauRecette[[#This Row],[Conditionnement]])</f>
        <v>46.599999999999994</v>
      </c>
      <c r="I166" s="198">
        <f ca="1">TableauRecette[[#This Row],[Proportion]]*TableauRecette[[#This Row],[Prix d''achat / kg]]/TableauRecette[[#This Row],[Total Proportion]]</f>
        <v>0</v>
      </c>
      <c r="J166" s="198"/>
      <c r="K166" s="747"/>
      <c r="L166" s="748">
        <f>_xlfn.XLOOKUP(TableauRecette[[#This Row],[ID]],TableauProduit[ID],TableauProduit[Total (kg) N1],0,0,1)*TableauRecette[[#This Row],[poids / unite]]</f>
        <v>2.896995708154507</v>
      </c>
      <c r="M166" s="749">
        <f>_xlfn.XLOOKUP(TableauRecette[[#This Row],[ID]],TableauProduit[ID],TableauProduit[Total (kg) N2],0,0,1)*TableauRecette[[#This Row],[poids / unite]]</f>
        <v>2.896995708154507</v>
      </c>
      <c r="N166" s="749">
        <f>_xlfn.XLOOKUP(TableauRecette[[#This Row],[ID]],TableauProduit[ID],TableauProduit[Total (kg) N3],0,0,1)*TableauRecette[[#This Row],[poids / unite]]</f>
        <v>2.896995708154507</v>
      </c>
      <c r="O166" s="749">
        <f>_xlfn.XLOOKUP(TableauRecette[[#This Row],[ID]],TableauProduit[ID],TableauProduit[Total (kg) N4],0,0,1)*TableauRecette[[#This Row],[poids / unite]]</f>
        <v>2.896995708154507</v>
      </c>
      <c r="P166" s="749">
        <f>_xlfn.XLOOKUP(TableauRecette[[#This Row],[ID]],TableauProduit[ID],TableauProduit[Total (kg) N5],0,0,1)*TableauRecette[[#This Row],[poids / unite]]</f>
        <v>2.896995708154507</v>
      </c>
      <c r="Q166" s="749">
        <f>_xlfn.XLOOKUP(TableauRecette[[#This Row],[ID]],TableauProduit[ID],TableauProduit[Total (kg) N6],0,0,1)*TableauRecette[[#This Row],[poids / unite]]</f>
        <v>2.896995708154507</v>
      </c>
      <c r="R166" s="749">
        <f>_xlfn.XLOOKUP(TableauRecette[[#This Row],[ID]],TableauProduit[ID],TableauProduit[Total (kg) N7],0,0,1)*TableauRecette[[#This Row],[poids / unite]]</f>
        <v>2.896995708154507</v>
      </c>
      <c r="S166" s="749">
        <f>_xlfn.XLOOKUP(TableauRecette[[#This Row],[ID]],TableauProduit[ID],TableauProduit[Total (kg) N8],0,0,1)*TableauRecette[[#This Row],[poids / unite]]</f>
        <v>2.896995708154507</v>
      </c>
      <c r="T166" s="749">
        <f>_xlfn.XLOOKUP(TableauRecette[[#This Row],[ID]],TableauProduit[ID],TableauProduit[Total (kg) N9],0,0,1)*TableauRecette[[#This Row],[poids / unite]]</f>
        <v>2.896995708154507</v>
      </c>
    </row>
    <row r="167" spans="1:20">
      <c r="A167" s="74" t="s">
        <v>693</v>
      </c>
      <c r="B167" s="74" t="str">
        <f>TableauRecette[[#This Row],[Recette]]&amp;TableauRecette[[#This Row],[Conditionnement]]</f>
        <v>epices tandooriEpice 100ml</v>
      </c>
      <c r="C167" s="561" t="s">
        <v>299</v>
      </c>
      <c r="D167" s="198">
        <v>3</v>
      </c>
      <c r="E167" s="74" t="s">
        <v>55</v>
      </c>
      <c r="F167" s="198">
        <f>D167/SUMIFS(TableauRecette[Proportion],TableauRecette[Recette],TableauRecette[[#This Row],[Recette]],TableauRecette[Conditionnement],TableauRecette[[#This Row],[Conditionnement]])</f>
        <v>6.4377682403433487E-2</v>
      </c>
      <c r="G167" s="198">
        <f ca="1">_xlfn.XLOOKUP(TableauRecette[[#This Row],[Ingredients]],TableauIngredients[Ingredients],TableauIngredients[Prix d''achat (kg)],0)*TableauRecette[[#This Row],[poids / unite]]</f>
        <v>0</v>
      </c>
      <c r="H167" s="198">
        <f>SUMIFS(TableauRecette[Proportion],TableauRecette[Recette],TableauRecette[[#This Row],[Recette]],TableauRecette[Conditionnement],TableauRecette[[#This Row],[Conditionnement]])</f>
        <v>46.599999999999994</v>
      </c>
      <c r="I167" s="198">
        <f ca="1">TableauRecette[[#This Row],[Proportion]]*TableauRecette[[#This Row],[Prix d''achat / kg]]/TableauRecette[[#This Row],[Total Proportion]]</f>
        <v>0</v>
      </c>
      <c r="J167" s="198"/>
      <c r="K167" s="747"/>
      <c r="L167" s="748">
        <f>_xlfn.XLOOKUP(TableauRecette[[#This Row],[ID]],TableauProduit[ID],TableauProduit[Total (kg) N1],0,0,1)*TableauRecette[[#This Row],[poids / unite]]</f>
        <v>0.57939914163090134</v>
      </c>
      <c r="M167" s="749">
        <f>_xlfn.XLOOKUP(TableauRecette[[#This Row],[ID]],TableauProduit[ID],TableauProduit[Total (kg) N2],0,0,1)*TableauRecette[[#This Row],[poids / unite]]</f>
        <v>0.57939914163090134</v>
      </c>
      <c r="N167" s="749">
        <f>_xlfn.XLOOKUP(TableauRecette[[#This Row],[ID]],TableauProduit[ID],TableauProduit[Total (kg) N3],0,0,1)*TableauRecette[[#This Row],[poids / unite]]</f>
        <v>0.57939914163090134</v>
      </c>
      <c r="O167" s="749">
        <f>_xlfn.XLOOKUP(TableauRecette[[#This Row],[ID]],TableauProduit[ID],TableauProduit[Total (kg) N4],0,0,1)*TableauRecette[[#This Row],[poids / unite]]</f>
        <v>0.57939914163090134</v>
      </c>
      <c r="P167" s="749">
        <f>_xlfn.XLOOKUP(TableauRecette[[#This Row],[ID]],TableauProduit[ID],TableauProduit[Total (kg) N5],0,0,1)*TableauRecette[[#This Row],[poids / unite]]</f>
        <v>0.57939914163090134</v>
      </c>
      <c r="Q167" s="749">
        <f>_xlfn.XLOOKUP(TableauRecette[[#This Row],[ID]],TableauProduit[ID],TableauProduit[Total (kg) N6],0,0,1)*TableauRecette[[#This Row],[poids / unite]]</f>
        <v>0.57939914163090134</v>
      </c>
      <c r="R167" s="749">
        <f>_xlfn.XLOOKUP(TableauRecette[[#This Row],[ID]],TableauProduit[ID],TableauProduit[Total (kg) N7],0,0,1)*TableauRecette[[#This Row],[poids / unite]]</f>
        <v>0.57939914163090134</v>
      </c>
      <c r="S167" s="749">
        <f>_xlfn.XLOOKUP(TableauRecette[[#This Row],[ID]],TableauProduit[ID],TableauProduit[Total (kg) N8],0,0,1)*TableauRecette[[#This Row],[poids / unite]]</f>
        <v>0.57939914163090134</v>
      </c>
      <c r="T167" s="749">
        <f>_xlfn.XLOOKUP(TableauRecette[[#This Row],[ID]],TableauProduit[ID],TableauProduit[Total (kg) N9],0,0,1)*TableauRecette[[#This Row],[poids / unite]]</f>
        <v>0.57939914163090134</v>
      </c>
    </row>
    <row r="168" spans="1:20">
      <c r="A168" s="74" t="s">
        <v>693</v>
      </c>
      <c r="B168" s="74" t="str">
        <f>TableauRecette[[#This Row],[Recette]]&amp;TableauRecette[[#This Row],[Conditionnement]]</f>
        <v>epices tandooriEpice 100ml</v>
      </c>
      <c r="C168" s="74" t="s">
        <v>304</v>
      </c>
      <c r="D168" s="198">
        <v>3</v>
      </c>
      <c r="E168" s="74" t="s">
        <v>55</v>
      </c>
      <c r="F168" s="198">
        <f>D168/SUMIFS(TableauRecette[Proportion],TableauRecette[Recette],TableauRecette[[#This Row],[Recette]],TableauRecette[Conditionnement],TableauRecette[[#This Row],[Conditionnement]])</f>
        <v>6.4377682403433487E-2</v>
      </c>
      <c r="G168" s="198">
        <f ca="1">_xlfn.XLOOKUP(TableauRecette[[#This Row],[Ingredients]],TableauIngredients[Ingredients],TableauIngredients[Prix d''achat (kg)],0)*TableauRecette[[#This Row],[poids / unite]]</f>
        <v>0</v>
      </c>
      <c r="H168" s="198">
        <f>SUMIFS(TableauRecette[Proportion],TableauRecette[Recette],TableauRecette[[#This Row],[Recette]],TableauRecette[Conditionnement],TableauRecette[[#This Row],[Conditionnement]])</f>
        <v>46.599999999999994</v>
      </c>
      <c r="I168" s="198">
        <f ca="1">TableauRecette[[#This Row],[Proportion]]*TableauRecette[[#This Row],[Prix d''achat / kg]]/TableauRecette[[#This Row],[Total Proportion]]</f>
        <v>0</v>
      </c>
      <c r="J168" s="198"/>
      <c r="K168" s="747"/>
      <c r="L168" s="748">
        <f>_xlfn.XLOOKUP(TableauRecette[[#This Row],[ID]],TableauProduit[ID],TableauProduit[Total (kg) N1],0,0,1)*TableauRecette[[#This Row],[poids / unite]]</f>
        <v>0.57939914163090134</v>
      </c>
      <c r="M168" s="749">
        <f>_xlfn.XLOOKUP(TableauRecette[[#This Row],[ID]],TableauProduit[ID],TableauProduit[Total (kg) N2],0,0,1)*TableauRecette[[#This Row],[poids / unite]]</f>
        <v>0.57939914163090134</v>
      </c>
      <c r="N168" s="749">
        <f>_xlfn.XLOOKUP(TableauRecette[[#This Row],[ID]],TableauProduit[ID],TableauProduit[Total (kg) N3],0,0,1)*TableauRecette[[#This Row],[poids / unite]]</f>
        <v>0.57939914163090134</v>
      </c>
      <c r="O168" s="749">
        <f>_xlfn.XLOOKUP(TableauRecette[[#This Row],[ID]],TableauProduit[ID],TableauProduit[Total (kg) N4],0,0,1)*TableauRecette[[#This Row],[poids / unite]]</f>
        <v>0.57939914163090134</v>
      </c>
      <c r="P168" s="749">
        <f>_xlfn.XLOOKUP(TableauRecette[[#This Row],[ID]],TableauProduit[ID],TableauProduit[Total (kg) N5],0,0,1)*TableauRecette[[#This Row],[poids / unite]]</f>
        <v>0.57939914163090134</v>
      </c>
      <c r="Q168" s="749">
        <f>_xlfn.XLOOKUP(TableauRecette[[#This Row],[ID]],TableauProduit[ID],TableauProduit[Total (kg) N6],0,0,1)*TableauRecette[[#This Row],[poids / unite]]</f>
        <v>0.57939914163090134</v>
      </c>
      <c r="R168" s="749">
        <f>_xlfn.XLOOKUP(TableauRecette[[#This Row],[ID]],TableauProduit[ID],TableauProduit[Total (kg) N7],0,0,1)*TableauRecette[[#This Row],[poids / unite]]</f>
        <v>0.57939914163090134</v>
      </c>
      <c r="S168" s="749">
        <f>_xlfn.XLOOKUP(TableauRecette[[#This Row],[ID]],TableauProduit[ID],TableauProduit[Total (kg) N8],0,0,1)*TableauRecette[[#This Row],[poids / unite]]</f>
        <v>0.57939914163090134</v>
      </c>
      <c r="T168" s="749">
        <f>_xlfn.XLOOKUP(TableauRecette[[#This Row],[ID]],TableauProduit[ID],TableauProduit[Total (kg) N9],0,0,1)*TableauRecette[[#This Row],[poids / unite]]</f>
        <v>0.57939914163090134</v>
      </c>
    </row>
    <row r="169" spans="1:20">
      <c r="A169" s="74" t="s">
        <v>693</v>
      </c>
      <c r="B169" s="74" t="str">
        <f>TableauRecette[[#This Row],[Recette]]&amp;TableauRecette[[#This Row],[Conditionnement]]</f>
        <v>epices tandooriEpice 100ml</v>
      </c>
      <c r="C169" s="74" t="s">
        <v>288</v>
      </c>
      <c r="D169" s="198">
        <v>0.5</v>
      </c>
      <c r="E169" s="74" t="s">
        <v>55</v>
      </c>
      <c r="F169" s="198">
        <f>D169/SUMIFS(TableauRecette[Proportion],TableauRecette[Recette],TableauRecette[[#This Row],[Recette]],TableauRecette[Conditionnement],TableauRecette[[#This Row],[Conditionnement]])</f>
        <v>1.0729613733905581E-2</v>
      </c>
      <c r="G169" s="198">
        <f ca="1">_xlfn.XLOOKUP(TableauRecette[[#This Row],[Ingredients]],TableauIngredients[Ingredients],TableauIngredients[Prix d''achat (kg)],0)*TableauRecette[[#This Row],[poids / unite]]</f>
        <v>0.38626609442060089</v>
      </c>
      <c r="H169" s="198">
        <f>SUMIFS(TableauRecette[Proportion],TableauRecette[Recette],TableauRecette[[#This Row],[Recette]],TableauRecette[Conditionnement],TableauRecette[[#This Row],[Conditionnement]])</f>
        <v>46.599999999999994</v>
      </c>
      <c r="I169" s="198">
        <f ca="1">TableauRecette[[#This Row],[Proportion]]*TableauRecette[[#This Row],[Prix d''achat / kg]]/TableauRecette[[#This Row],[Total Proportion]]</f>
        <v>0</v>
      </c>
      <c r="J169" s="198"/>
      <c r="K169" s="747"/>
      <c r="L169" s="748">
        <f>_xlfn.XLOOKUP(TableauRecette[[#This Row],[ID]],TableauProduit[ID],TableauProduit[Total (kg) N1],0,0,1)*TableauRecette[[#This Row],[poids / unite]]</f>
        <v>9.6566523605150223E-2</v>
      </c>
      <c r="M169" s="749">
        <f>_xlfn.XLOOKUP(TableauRecette[[#This Row],[ID]],TableauProduit[ID],TableauProduit[Total (kg) N2],0,0,1)*TableauRecette[[#This Row],[poids / unite]]</f>
        <v>9.6566523605150223E-2</v>
      </c>
      <c r="N169" s="749">
        <f>_xlfn.XLOOKUP(TableauRecette[[#This Row],[ID]],TableauProduit[ID],TableauProduit[Total (kg) N3],0,0,1)*TableauRecette[[#This Row],[poids / unite]]</f>
        <v>9.6566523605150223E-2</v>
      </c>
      <c r="O169" s="749">
        <f>_xlfn.XLOOKUP(TableauRecette[[#This Row],[ID]],TableauProduit[ID],TableauProduit[Total (kg) N4],0,0,1)*TableauRecette[[#This Row],[poids / unite]]</f>
        <v>9.6566523605150223E-2</v>
      </c>
      <c r="P169" s="749">
        <f>_xlfn.XLOOKUP(TableauRecette[[#This Row],[ID]],TableauProduit[ID],TableauProduit[Total (kg) N5],0,0,1)*TableauRecette[[#This Row],[poids / unite]]</f>
        <v>9.6566523605150223E-2</v>
      </c>
      <c r="Q169" s="749">
        <f>_xlfn.XLOOKUP(TableauRecette[[#This Row],[ID]],TableauProduit[ID],TableauProduit[Total (kg) N6],0,0,1)*TableauRecette[[#This Row],[poids / unite]]</f>
        <v>9.6566523605150223E-2</v>
      </c>
      <c r="R169" s="749">
        <f>_xlfn.XLOOKUP(TableauRecette[[#This Row],[ID]],TableauProduit[ID],TableauProduit[Total (kg) N7],0,0,1)*TableauRecette[[#This Row],[poids / unite]]</f>
        <v>9.6566523605150223E-2</v>
      </c>
      <c r="S169" s="749">
        <f>_xlfn.XLOOKUP(TableauRecette[[#This Row],[ID]],TableauProduit[ID],TableauProduit[Total (kg) N8],0,0,1)*TableauRecette[[#This Row],[poids / unite]]</f>
        <v>9.6566523605150223E-2</v>
      </c>
      <c r="T169" s="749">
        <f>_xlfn.XLOOKUP(TableauRecette[[#This Row],[ID]],TableauProduit[ID],TableauProduit[Total (kg) N9],0,0,1)*TableauRecette[[#This Row],[poids / unite]]</f>
        <v>9.6566523605150223E-2</v>
      </c>
    </row>
    <row r="170" spans="1:20">
      <c r="A170" s="74" t="s">
        <v>693</v>
      </c>
      <c r="B170" s="74" t="str">
        <f>TableauRecette[[#This Row],[Recette]]&amp;TableauRecette[[#This Row],[Conditionnement]]</f>
        <v>epices tandooriEpice 100ml</v>
      </c>
      <c r="C170" s="74" t="s">
        <v>285</v>
      </c>
      <c r="D170" s="198">
        <v>1</v>
      </c>
      <c r="E170" s="74" t="s">
        <v>55</v>
      </c>
      <c r="F170" s="198">
        <f>D170/SUMIFS(TableauRecette[Proportion],TableauRecette[Recette],TableauRecette[[#This Row],[Recette]],TableauRecette[Conditionnement],TableauRecette[[#This Row],[Conditionnement]])</f>
        <v>2.1459227467811162E-2</v>
      </c>
      <c r="G170" s="198">
        <f ca="1">_xlfn.XLOOKUP(TableauRecette[[#This Row],[Ingredients]],TableauIngredients[Ingredients],TableauIngredients[Prix d''achat (kg)],0)*TableauRecette[[#This Row],[poids / unite]]</f>
        <v>0.4721030042918456</v>
      </c>
      <c r="H170" s="198">
        <f>SUMIFS(TableauRecette[Proportion],TableauRecette[Recette],TableauRecette[[#This Row],[Recette]],TableauRecette[Conditionnement],TableauRecette[[#This Row],[Conditionnement]])</f>
        <v>46.599999999999994</v>
      </c>
      <c r="I170" s="198">
        <f ca="1">TableauRecette[[#This Row],[Proportion]]*TableauRecette[[#This Row],[Prix d''achat / kg]]/TableauRecette[[#This Row],[Total Proportion]]</f>
        <v>0</v>
      </c>
      <c r="J170" s="198"/>
      <c r="K170" s="747"/>
      <c r="L170" s="748">
        <f>_xlfn.XLOOKUP(TableauRecette[[#This Row],[ID]],TableauProduit[ID],TableauProduit[Total (kg) N1],0,0,1)*TableauRecette[[#This Row],[poids / unite]]</f>
        <v>0.19313304721030045</v>
      </c>
      <c r="M170" s="749">
        <f>_xlfn.XLOOKUP(TableauRecette[[#This Row],[ID]],TableauProduit[ID],TableauProduit[Total (kg) N2],0,0,1)*TableauRecette[[#This Row],[poids / unite]]</f>
        <v>0.19313304721030045</v>
      </c>
      <c r="N170" s="749">
        <f>_xlfn.XLOOKUP(TableauRecette[[#This Row],[ID]],TableauProduit[ID],TableauProduit[Total (kg) N3],0,0,1)*TableauRecette[[#This Row],[poids / unite]]</f>
        <v>0.19313304721030045</v>
      </c>
      <c r="O170" s="749">
        <f>_xlfn.XLOOKUP(TableauRecette[[#This Row],[ID]],TableauProduit[ID],TableauProduit[Total (kg) N4],0,0,1)*TableauRecette[[#This Row],[poids / unite]]</f>
        <v>0.19313304721030045</v>
      </c>
      <c r="P170" s="749">
        <f>_xlfn.XLOOKUP(TableauRecette[[#This Row],[ID]],TableauProduit[ID],TableauProduit[Total (kg) N5],0,0,1)*TableauRecette[[#This Row],[poids / unite]]</f>
        <v>0.19313304721030045</v>
      </c>
      <c r="Q170" s="749">
        <f>_xlfn.XLOOKUP(TableauRecette[[#This Row],[ID]],TableauProduit[ID],TableauProduit[Total (kg) N6],0,0,1)*TableauRecette[[#This Row],[poids / unite]]</f>
        <v>0.19313304721030045</v>
      </c>
      <c r="R170" s="749">
        <f>_xlfn.XLOOKUP(TableauRecette[[#This Row],[ID]],TableauProduit[ID],TableauProduit[Total (kg) N7],0,0,1)*TableauRecette[[#This Row],[poids / unite]]</f>
        <v>0.19313304721030045</v>
      </c>
      <c r="S170" s="749">
        <f>_xlfn.XLOOKUP(TableauRecette[[#This Row],[ID]],TableauProduit[ID],TableauProduit[Total (kg) N8],0,0,1)*TableauRecette[[#This Row],[poids / unite]]</f>
        <v>0.19313304721030045</v>
      </c>
      <c r="T170" s="749">
        <f>_xlfn.XLOOKUP(TableauRecette[[#This Row],[ID]],TableauProduit[ID],TableauProduit[Total (kg) N9],0,0,1)*TableauRecette[[#This Row],[poids / unite]]</f>
        <v>0.19313304721030045</v>
      </c>
    </row>
    <row r="171" spans="1:20">
      <c r="A171" s="74" t="s">
        <v>693</v>
      </c>
      <c r="B171" s="74" t="str">
        <f>TableauRecette[[#This Row],[Recette]]&amp;TableauRecette[[#This Row],[Conditionnement]]</f>
        <v>epices tandooriEpice 100ml</v>
      </c>
      <c r="C171" s="74" t="s">
        <v>283</v>
      </c>
      <c r="D171" s="198">
        <v>0.8</v>
      </c>
      <c r="E171" s="74" t="s">
        <v>55</v>
      </c>
      <c r="F171" s="198">
        <f>D171/SUMIFS(TableauRecette[Proportion],TableauRecette[Recette],TableauRecette[[#This Row],[Recette]],TableauRecette[Conditionnement],TableauRecette[[#This Row],[Conditionnement]])</f>
        <v>1.716738197424893E-2</v>
      </c>
      <c r="G171" s="198">
        <f ca="1">_xlfn.XLOOKUP(TableauRecette[[#This Row],[Ingredients]],TableauIngredients[Ingredients],TableauIngredients[Prix d''achat (kg)],0)*TableauRecette[[#This Row],[poids / unite]]</f>
        <v>1.9578626609442062</v>
      </c>
      <c r="H171" s="198">
        <f>SUMIFS(TableauRecette[Proportion],TableauRecette[Recette],TableauRecette[[#This Row],[Recette]],TableauRecette[Conditionnement],TableauRecette[[#This Row],[Conditionnement]])</f>
        <v>46.599999999999994</v>
      </c>
      <c r="I171" s="198">
        <f ca="1">TableauRecette[[#This Row],[Proportion]]*TableauRecette[[#This Row],[Prix d''achat / kg]]/TableauRecette[[#This Row],[Total Proportion]]</f>
        <v>0</v>
      </c>
      <c r="J171" s="198"/>
      <c r="K171" s="747"/>
      <c r="L171" s="748">
        <f>_xlfn.XLOOKUP(TableauRecette[[#This Row],[ID]],TableauProduit[ID],TableauProduit[Total (kg) N1],0,0,1)*TableauRecette[[#This Row],[poids / unite]]</f>
        <v>0.15450643776824038</v>
      </c>
      <c r="M171" s="749">
        <f>_xlfn.XLOOKUP(TableauRecette[[#This Row],[ID]],TableauProduit[ID],TableauProduit[Total (kg) N2],0,0,1)*TableauRecette[[#This Row],[poids / unite]]</f>
        <v>0.15450643776824038</v>
      </c>
      <c r="N171" s="749">
        <f>_xlfn.XLOOKUP(TableauRecette[[#This Row],[ID]],TableauProduit[ID],TableauProduit[Total (kg) N3],0,0,1)*TableauRecette[[#This Row],[poids / unite]]</f>
        <v>0.15450643776824038</v>
      </c>
      <c r="O171" s="749">
        <f>_xlfn.XLOOKUP(TableauRecette[[#This Row],[ID]],TableauProduit[ID],TableauProduit[Total (kg) N4],0,0,1)*TableauRecette[[#This Row],[poids / unite]]</f>
        <v>0.15450643776824038</v>
      </c>
      <c r="P171" s="749">
        <f>_xlfn.XLOOKUP(TableauRecette[[#This Row],[ID]],TableauProduit[ID],TableauProduit[Total (kg) N5],0,0,1)*TableauRecette[[#This Row],[poids / unite]]</f>
        <v>0.15450643776824038</v>
      </c>
      <c r="Q171" s="749">
        <f>_xlfn.XLOOKUP(TableauRecette[[#This Row],[ID]],TableauProduit[ID],TableauProduit[Total (kg) N6],0,0,1)*TableauRecette[[#This Row],[poids / unite]]</f>
        <v>0.15450643776824038</v>
      </c>
      <c r="R171" s="749">
        <f>_xlfn.XLOOKUP(TableauRecette[[#This Row],[ID]],TableauProduit[ID],TableauProduit[Total (kg) N7],0,0,1)*TableauRecette[[#This Row],[poids / unite]]</f>
        <v>0.15450643776824038</v>
      </c>
      <c r="S171" s="749">
        <f>_xlfn.XLOOKUP(TableauRecette[[#This Row],[ID]],TableauProduit[ID],TableauProduit[Total (kg) N8],0,0,1)*TableauRecette[[#This Row],[poids / unite]]</f>
        <v>0.15450643776824038</v>
      </c>
      <c r="T171" s="749">
        <f>_xlfn.XLOOKUP(TableauRecette[[#This Row],[ID]],TableauProduit[ID],TableauProduit[Total (kg) N9],0,0,1)*TableauRecette[[#This Row],[poids / unite]]</f>
        <v>0.15450643776824038</v>
      </c>
    </row>
    <row r="172" spans="1:20">
      <c r="A172" s="74" t="s">
        <v>693</v>
      </c>
      <c r="B172" s="74" t="str">
        <f>TableauRecette[[#This Row],[Recette]]&amp;TableauRecette[[#This Row],[Conditionnement]]</f>
        <v>epices tandooriEpice 100ml</v>
      </c>
      <c r="C172" s="74" t="s">
        <v>287</v>
      </c>
      <c r="D172" s="198">
        <v>1</v>
      </c>
      <c r="E172" s="74" t="s">
        <v>55</v>
      </c>
      <c r="F172" s="198">
        <f>D172/SUMIFS(TableauRecette[Proportion],TableauRecette[Recette],TableauRecette[[#This Row],[Recette]],TableauRecette[Conditionnement],TableauRecette[[#This Row],[Conditionnement]])</f>
        <v>2.1459227467811162E-2</v>
      </c>
      <c r="G172" s="198">
        <f ca="1">_xlfn.XLOOKUP(TableauRecette[[#This Row],[Ingredients]],TableauIngredients[Ingredients],TableauIngredients[Prix d''achat (kg)],0)*TableauRecette[[#This Row],[poids / unite]]</f>
        <v>0.79077253218884136</v>
      </c>
      <c r="H172" s="198">
        <f>SUMIFS(TableauRecette[Proportion],TableauRecette[Recette],TableauRecette[[#This Row],[Recette]],TableauRecette[Conditionnement],TableauRecette[[#This Row],[Conditionnement]])</f>
        <v>46.599999999999994</v>
      </c>
      <c r="I172" s="198">
        <f ca="1">TableauRecette[[#This Row],[Proportion]]*TableauRecette[[#This Row],[Prix d''achat / kg]]/TableauRecette[[#This Row],[Total Proportion]]</f>
        <v>0</v>
      </c>
      <c r="J172" s="198"/>
      <c r="K172" s="747"/>
      <c r="L172" s="748">
        <f>_xlfn.XLOOKUP(TableauRecette[[#This Row],[ID]],TableauProduit[ID],TableauProduit[Total (kg) N1],0,0,1)*TableauRecette[[#This Row],[poids / unite]]</f>
        <v>0.19313304721030045</v>
      </c>
      <c r="M172" s="749">
        <f>_xlfn.XLOOKUP(TableauRecette[[#This Row],[ID]],TableauProduit[ID],TableauProduit[Total (kg) N2],0,0,1)*TableauRecette[[#This Row],[poids / unite]]</f>
        <v>0.19313304721030045</v>
      </c>
      <c r="N172" s="749">
        <f>_xlfn.XLOOKUP(TableauRecette[[#This Row],[ID]],TableauProduit[ID],TableauProduit[Total (kg) N3],0,0,1)*TableauRecette[[#This Row],[poids / unite]]</f>
        <v>0.19313304721030045</v>
      </c>
      <c r="O172" s="749">
        <f>_xlfn.XLOOKUP(TableauRecette[[#This Row],[ID]],TableauProduit[ID],TableauProduit[Total (kg) N4],0,0,1)*TableauRecette[[#This Row],[poids / unite]]</f>
        <v>0.19313304721030045</v>
      </c>
      <c r="P172" s="749">
        <f>_xlfn.XLOOKUP(TableauRecette[[#This Row],[ID]],TableauProduit[ID],TableauProduit[Total (kg) N5],0,0,1)*TableauRecette[[#This Row],[poids / unite]]</f>
        <v>0.19313304721030045</v>
      </c>
      <c r="Q172" s="749">
        <f>_xlfn.XLOOKUP(TableauRecette[[#This Row],[ID]],TableauProduit[ID],TableauProduit[Total (kg) N6],0,0,1)*TableauRecette[[#This Row],[poids / unite]]</f>
        <v>0.19313304721030045</v>
      </c>
      <c r="R172" s="749">
        <f>_xlfn.XLOOKUP(TableauRecette[[#This Row],[ID]],TableauProduit[ID],TableauProduit[Total (kg) N7],0,0,1)*TableauRecette[[#This Row],[poids / unite]]</f>
        <v>0.19313304721030045</v>
      </c>
      <c r="S172" s="749">
        <f>_xlfn.XLOOKUP(TableauRecette[[#This Row],[ID]],TableauProduit[ID],TableauProduit[Total (kg) N8],0,0,1)*TableauRecette[[#This Row],[poids / unite]]</f>
        <v>0.19313304721030045</v>
      </c>
      <c r="T172" s="749">
        <f>_xlfn.XLOOKUP(TableauRecette[[#This Row],[ID]],TableauProduit[ID],TableauProduit[Total (kg) N9],0,0,1)*TableauRecette[[#This Row],[poids / unite]]</f>
        <v>0.19313304721030045</v>
      </c>
    </row>
    <row r="173" spans="1:20">
      <c r="A173" s="74" t="s">
        <v>693</v>
      </c>
      <c r="B173" s="74" t="str">
        <f>TableauRecette[[#This Row],[Recette]]&amp;TableauRecette[[#This Row],[Conditionnement]]</f>
        <v>epices tandooriEpice 100ml</v>
      </c>
      <c r="C173" s="74" t="s">
        <v>303</v>
      </c>
      <c r="D173" s="198">
        <v>1</v>
      </c>
      <c r="E173" s="74" t="s">
        <v>55</v>
      </c>
      <c r="F173" s="198">
        <f>D173/SUMIFS(TableauRecette[Proportion],TableauRecette[Recette],TableauRecette[[#This Row],[Recette]],TableauRecette[Conditionnement],TableauRecette[[#This Row],[Conditionnement]])</f>
        <v>2.1459227467811162E-2</v>
      </c>
      <c r="G173" s="198">
        <f ca="1">_xlfn.XLOOKUP(TableauRecette[[#This Row],[Ingredients]],TableauIngredients[Ingredients],TableauIngredients[Prix d''achat (kg)],0)*TableauRecette[[#This Row],[poids / unite]]</f>
        <v>3.0042918454935626E-2</v>
      </c>
      <c r="H173" s="198">
        <f>SUMIFS(TableauRecette[Proportion],TableauRecette[Recette],TableauRecette[[#This Row],[Recette]],TableauRecette[Conditionnement],TableauRecette[[#This Row],[Conditionnement]])</f>
        <v>46.599999999999994</v>
      </c>
      <c r="I173" s="198">
        <f ca="1">TableauRecette[[#This Row],[Proportion]]*TableauRecette[[#This Row],[Prix d''achat / kg]]/TableauRecette[[#This Row],[Total Proportion]]</f>
        <v>0</v>
      </c>
      <c r="J173" s="198"/>
      <c r="K173" s="747"/>
      <c r="L173" s="748">
        <f>_xlfn.XLOOKUP(TableauRecette[[#This Row],[ID]],TableauProduit[ID],TableauProduit[Total (kg) N1],0,0,1)*TableauRecette[[#This Row],[poids / unite]]</f>
        <v>0.19313304721030045</v>
      </c>
      <c r="M173" s="749">
        <f>_xlfn.XLOOKUP(TableauRecette[[#This Row],[ID]],TableauProduit[ID],TableauProduit[Total (kg) N2],0,0,1)*TableauRecette[[#This Row],[poids / unite]]</f>
        <v>0.19313304721030045</v>
      </c>
      <c r="N173" s="749">
        <f>_xlfn.XLOOKUP(TableauRecette[[#This Row],[ID]],TableauProduit[ID],TableauProduit[Total (kg) N3],0,0,1)*TableauRecette[[#This Row],[poids / unite]]</f>
        <v>0.19313304721030045</v>
      </c>
      <c r="O173" s="749">
        <f>_xlfn.XLOOKUP(TableauRecette[[#This Row],[ID]],TableauProduit[ID],TableauProduit[Total (kg) N4],0,0,1)*TableauRecette[[#This Row],[poids / unite]]</f>
        <v>0.19313304721030045</v>
      </c>
      <c r="P173" s="749">
        <f>_xlfn.XLOOKUP(TableauRecette[[#This Row],[ID]],TableauProduit[ID],TableauProduit[Total (kg) N5],0,0,1)*TableauRecette[[#This Row],[poids / unite]]</f>
        <v>0.19313304721030045</v>
      </c>
      <c r="Q173" s="749">
        <f>_xlfn.XLOOKUP(TableauRecette[[#This Row],[ID]],TableauProduit[ID],TableauProduit[Total (kg) N6],0,0,1)*TableauRecette[[#This Row],[poids / unite]]</f>
        <v>0.19313304721030045</v>
      </c>
      <c r="R173" s="749">
        <f>_xlfn.XLOOKUP(TableauRecette[[#This Row],[ID]],TableauProduit[ID],TableauProduit[Total (kg) N7],0,0,1)*TableauRecette[[#This Row],[poids / unite]]</f>
        <v>0.19313304721030045</v>
      </c>
      <c r="S173" s="749">
        <f>_xlfn.XLOOKUP(TableauRecette[[#This Row],[ID]],TableauProduit[ID],TableauProduit[Total (kg) N8],0,0,1)*TableauRecette[[#This Row],[poids / unite]]</f>
        <v>0.19313304721030045</v>
      </c>
      <c r="T173" s="749">
        <f>_xlfn.XLOOKUP(TableauRecette[[#This Row],[ID]],TableauProduit[ID],TableauProduit[Total (kg) N9],0,0,1)*TableauRecette[[#This Row],[poids / unite]]</f>
        <v>0.19313304721030045</v>
      </c>
    </row>
    <row r="174" spans="1:20">
      <c r="A174" s="74" t="s">
        <v>693</v>
      </c>
      <c r="B174" s="74" t="str">
        <f>TableauRecette[[#This Row],[Recette]]&amp;TableauRecette[[#This Row],[Conditionnement]]</f>
        <v>epices tandooriEpice 100ml</v>
      </c>
      <c r="C174" s="74" t="s">
        <v>329</v>
      </c>
      <c r="D174" s="198">
        <v>0.3</v>
      </c>
      <c r="E174" s="74" t="s">
        <v>55</v>
      </c>
      <c r="F174" s="198">
        <f>D174/SUMIFS(TableauRecette[Proportion],TableauRecette[Recette],TableauRecette[[#This Row],[Recette]],TableauRecette[Conditionnement],TableauRecette[[#This Row],[Conditionnement]])</f>
        <v>6.4377682403433485E-3</v>
      </c>
      <c r="G174" s="198">
        <f ca="1">_xlfn.XLOOKUP(TableauRecette[[#This Row],[Ingredients]],TableauIngredients[Ingredients],TableauIngredients[Prix d''achat (kg)],0)*TableauRecette[[#This Row],[poids / unite]]</f>
        <v>0</v>
      </c>
      <c r="H174" s="198">
        <f>SUMIFS(TableauRecette[Proportion],TableauRecette[Recette],TableauRecette[[#This Row],[Recette]],TableauRecette[Conditionnement],TableauRecette[[#This Row],[Conditionnement]])</f>
        <v>46.599999999999994</v>
      </c>
      <c r="I174" s="198">
        <f ca="1">TableauRecette[[#This Row],[Proportion]]*TableauRecette[[#This Row],[Prix d''achat / kg]]/TableauRecette[[#This Row],[Total Proportion]]</f>
        <v>0</v>
      </c>
      <c r="J174" s="198"/>
      <c r="K174" s="747"/>
      <c r="L174" s="748">
        <f>_xlfn.XLOOKUP(TableauRecette[[#This Row],[ID]],TableauProduit[ID],TableauProduit[Total (kg) N1],0,0,1)*TableauRecette[[#This Row],[poids / unite]]</f>
        <v>5.7939914163090134E-2</v>
      </c>
      <c r="M174" s="749">
        <f>_xlfn.XLOOKUP(TableauRecette[[#This Row],[ID]],TableauProduit[ID],TableauProduit[Total (kg) N2],0,0,1)*TableauRecette[[#This Row],[poids / unite]]</f>
        <v>5.7939914163090134E-2</v>
      </c>
      <c r="N174" s="749">
        <f>_xlfn.XLOOKUP(TableauRecette[[#This Row],[ID]],TableauProduit[ID],TableauProduit[Total (kg) N3],0,0,1)*TableauRecette[[#This Row],[poids / unite]]</f>
        <v>5.7939914163090134E-2</v>
      </c>
      <c r="O174" s="749">
        <f>_xlfn.XLOOKUP(TableauRecette[[#This Row],[ID]],TableauProduit[ID],TableauProduit[Total (kg) N4],0,0,1)*TableauRecette[[#This Row],[poids / unite]]</f>
        <v>5.7939914163090134E-2</v>
      </c>
      <c r="P174" s="749">
        <f>_xlfn.XLOOKUP(TableauRecette[[#This Row],[ID]],TableauProduit[ID],TableauProduit[Total (kg) N5],0,0,1)*TableauRecette[[#This Row],[poids / unite]]</f>
        <v>5.7939914163090134E-2</v>
      </c>
      <c r="Q174" s="749">
        <f>_xlfn.XLOOKUP(TableauRecette[[#This Row],[ID]],TableauProduit[ID],TableauProduit[Total (kg) N6],0,0,1)*TableauRecette[[#This Row],[poids / unite]]</f>
        <v>5.7939914163090134E-2</v>
      </c>
      <c r="R174" s="749">
        <f>_xlfn.XLOOKUP(TableauRecette[[#This Row],[ID]],TableauProduit[ID],TableauProduit[Total (kg) N7],0,0,1)*TableauRecette[[#This Row],[poids / unite]]</f>
        <v>5.7939914163090134E-2</v>
      </c>
      <c r="S174" s="749">
        <f>_xlfn.XLOOKUP(TableauRecette[[#This Row],[ID]],TableauProduit[ID],TableauProduit[Total (kg) N8],0,0,1)*TableauRecette[[#This Row],[poids / unite]]</f>
        <v>5.7939914163090134E-2</v>
      </c>
      <c r="T174" s="749">
        <f>_xlfn.XLOOKUP(TableauRecette[[#This Row],[ID]],TableauProduit[ID],TableauProduit[Total (kg) N9],0,0,1)*TableauRecette[[#This Row],[poids / unite]]</f>
        <v>5.7939914163090134E-2</v>
      </c>
    </row>
    <row r="175" spans="1:20">
      <c r="A175" s="74" t="s">
        <v>693</v>
      </c>
      <c r="B175" s="74" t="str">
        <f>TableauRecette[[#This Row],[Recette]]&amp;TableauRecette[[#This Row],[Conditionnement]]</f>
        <v>epices tandooriEpice 100ml</v>
      </c>
      <c r="C175" s="74" t="s">
        <v>777</v>
      </c>
      <c r="D175" s="198">
        <v>3</v>
      </c>
      <c r="E175" s="74" t="s">
        <v>55</v>
      </c>
      <c r="F175" s="198">
        <f>D175/SUMIFS(TableauRecette[Proportion],TableauRecette[Recette],TableauRecette[[#This Row],[Recette]],TableauRecette[Conditionnement],TableauRecette[[#This Row],[Conditionnement]])</f>
        <v>6.4377682403433487E-2</v>
      </c>
      <c r="G175" s="198">
        <f ca="1">_xlfn.XLOOKUP(TableauRecette[[#This Row],[Ingredients]],TableauIngredients[Ingredients],TableauIngredients[Prix d''achat (kg)],0)*TableauRecette[[#This Row],[poids / unite]]</f>
        <v>0</v>
      </c>
      <c r="H175" s="198">
        <f>SUMIFS(TableauRecette[Proportion],TableauRecette[Recette],TableauRecette[[#This Row],[Recette]],TableauRecette[Conditionnement],TableauRecette[[#This Row],[Conditionnement]])</f>
        <v>46.599999999999994</v>
      </c>
      <c r="I175" s="198">
        <f ca="1">TableauRecette[[#This Row],[Proportion]]*TableauRecette[[#This Row],[Prix d''achat / kg]]/TableauRecette[[#This Row],[Total Proportion]]</f>
        <v>0</v>
      </c>
      <c r="J175" s="198"/>
      <c r="K175" s="747"/>
      <c r="L175" s="748">
        <f>_xlfn.XLOOKUP(TableauRecette[[#This Row],[ID]],TableauProduit[ID],TableauProduit[Total (kg) N1],0,0,1)*TableauRecette[[#This Row],[poids / unite]]</f>
        <v>0.57939914163090134</v>
      </c>
      <c r="M175" s="749">
        <f>_xlfn.XLOOKUP(TableauRecette[[#This Row],[ID]],TableauProduit[ID],TableauProduit[Total (kg) N2],0,0,1)*TableauRecette[[#This Row],[poids / unite]]</f>
        <v>0.57939914163090134</v>
      </c>
      <c r="N175" s="749">
        <f>_xlfn.XLOOKUP(TableauRecette[[#This Row],[ID]],TableauProduit[ID],TableauProduit[Total (kg) N3],0,0,1)*TableauRecette[[#This Row],[poids / unite]]</f>
        <v>0.57939914163090134</v>
      </c>
      <c r="O175" s="749">
        <f>_xlfn.XLOOKUP(TableauRecette[[#This Row],[ID]],TableauProduit[ID],TableauProduit[Total (kg) N4],0,0,1)*TableauRecette[[#This Row],[poids / unite]]</f>
        <v>0.57939914163090134</v>
      </c>
      <c r="P175" s="749">
        <f>_xlfn.XLOOKUP(TableauRecette[[#This Row],[ID]],TableauProduit[ID],TableauProduit[Total (kg) N5],0,0,1)*TableauRecette[[#This Row],[poids / unite]]</f>
        <v>0.57939914163090134</v>
      </c>
      <c r="Q175" s="749">
        <f>_xlfn.XLOOKUP(TableauRecette[[#This Row],[ID]],TableauProduit[ID],TableauProduit[Total (kg) N6],0,0,1)*TableauRecette[[#This Row],[poids / unite]]</f>
        <v>0.57939914163090134</v>
      </c>
      <c r="R175" s="749">
        <f>_xlfn.XLOOKUP(TableauRecette[[#This Row],[ID]],TableauProduit[ID],TableauProduit[Total (kg) N7],0,0,1)*TableauRecette[[#This Row],[poids / unite]]</f>
        <v>0.57939914163090134</v>
      </c>
      <c r="S175" s="749">
        <f>_xlfn.XLOOKUP(TableauRecette[[#This Row],[ID]],TableauProduit[ID],TableauProduit[Total (kg) N8],0,0,1)*TableauRecette[[#This Row],[poids / unite]]</f>
        <v>0.57939914163090134</v>
      </c>
      <c r="T175" s="749">
        <f>_xlfn.XLOOKUP(TableauRecette[[#This Row],[ID]],TableauProduit[ID],TableauProduit[Total (kg) N9],0,0,1)*TableauRecette[[#This Row],[poids / unite]]</f>
        <v>0.57939914163090134</v>
      </c>
    </row>
    <row r="176" spans="1:20">
      <c r="A176" s="75" t="s">
        <v>691</v>
      </c>
      <c r="B176" s="75" t="str">
        <f>TableauRecette[[#This Row],[Recette]]&amp;TableauRecette[[#This Row],[Conditionnement]]</f>
        <v>epices viandes rougesEpice 100ml</v>
      </c>
      <c r="C176" s="75" t="s">
        <v>312</v>
      </c>
      <c r="D176" s="199">
        <v>6</v>
      </c>
      <c r="E176" s="75" t="s">
        <v>55</v>
      </c>
      <c r="F176" s="199">
        <f>D176/SUMIFS(TableauRecette[Proportion],TableauRecette[Recette],TableauRecette[[#This Row],[Recette]],TableauRecette[Conditionnement],TableauRecette[[#This Row],[Conditionnement]])</f>
        <v>0.33149171270718231</v>
      </c>
      <c r="G176" s="199">
        <f ca="1">_xlfn.XLOOKUP(TableauRecette[[#This Row],[Ingredients]],TableauIngredients[Ingredients],TableauIngredients[Prix d''achat (kg)],0)*TableauRecette[[#This Row],[poids / unite]]</f>
        <v>0</v>
      </c>
      <c r="H176" s="199">
        <f>SUMIFS(TableauRecette[Proportion],TableauRecette[Recette],TableauRecette[[#This Row],[Recette]],TableauRecette[Conditionnement],TableauRecette[[#This Row],[Conditionnement]])</f>
        <v>18.100000000000001</v>
      </c>
      <c r="I176" s="199">
        <f ca="1">TableauRecette[[#This Row],[Proportion]]*TableauRecette[[#This Row],[Prix d''achat / kg]]/TableauRecette[[#This Row],[Total Proportion]]</f>
        <v>0</v>
      </c>
      <c r="J176" s="199"/>
      <c r="K176" s="750"/>
      <c r="L176" s="751">
        <f>_xlfn.XLOOKUP(TableauRecette[[#This Row],[ID]],TableauProduit[ID],TableauProduit[Total (kg) N1],0,0,1)*TableauRecette[[#This Row],[poids / unite]]</f>
        <v>6.9613259668508283</v>
      </c>
      <c r="M176" s="752">
        <f>_xlfn.XLOOKUP(TableauRecette[[#This Row],[ID]],TableauProduit[ID],TableauProduit[Total (kg) N2],0,0,1)*TableauRecette[[#This Row],[poids / unite]]</f>
        <v>6.9613259668508283</v>
      </c>
      <c r="N176" s="752">
        <f>_xlfn.XLOOKUP(TableauRecette[[#This Row],[ID]],TableauProduit[ID],TableauProduit[Total (kg) N3],0,0,1)*TableauRecette[[#This Row],[poids / unite]]</f>
        <v>6.9613259668508283</v>
      </c>
      <c r="O176" s="752">
        <f>_xlfn.XLOOKUP(TableauRecette[[#This Row],[ID]],TableauProduit[ID],TableauProduit[Total (kg) N4],0,0,1)*TableauRecette[[#This Row],[poids / unite]]</f>
        <v>6.9613259668508283</v>
      </c>
      <c r="P176" s="752">
        <f>_xlfn.XLOOKUP(TableauRecette[[#This Row],[ID]],TableauProduit[ID],TableauProduit[Total (kg) N5],0,0,1)*TableauRecette[[#This Row],[poids / unite]]</f>
        <v>6.9613259668508283</v>
      </c>
      <c r="Q176" s="752">
        <f>_xlfn.XLOOKUP(TableauRecette[[#This Row],[ID]],TableauProduit[ID],TableauProduit[Total (kg) N6],0,0,1)*TableauRecette[[#This Row],[poids / unite]]</f>
        <v>6.9613259668508283</v>
      </c>
      <c r="R176" s="752">
        <f>_xlfn.XLOOKUP(TableauRecette[[#This Row],[ID]],TableauProduit[ID],TableauProduit[Total (kg) N7],0,0,1)*TableauRecette[[#This Row],[poids / unite]]</f>
        <v>6.9613259668508283</v>
      </c>
      <c r="S176" s="752">
        <f>_xlfn.XLOOKUP(TableauRecette[[#This Row],[ID]],TableauProduit[ID],TableauProduit[Total (kg) N8],0,0,1)*TableauRecette[[#This Row],[poids / unite]]</f>
        <v>6.9613259668508283</v>
      </c>
      <c r="T176" s="752">
        <f>_xlfn.XLOOKUP(TableauRecette[[#This Row],[ID]],TableauProduit[ID],TableauProduit[Total (kg) N9],0,0,1)*TableauRecette[[#This Row],[poids / unite]]</f>
        <v>6.9613259668508283</v>
      </c>
    </row>
    <row r="177" spans="1:20">
      <c r="A177" s="75" t="s">
        <v>691</v>
      </c>
      <c r="B177" s="75" t="str">
        <f>TableauRecette[[#This Row],[Recette]]&amp;TableauRecette[[#This Row],[Conditionnement]]</f>
        <v>epices viandes rougesEpice 100ml</v>
      </c>
      <c r="C177" s="75" t="s">
        <v>290</v>
      </c>
      <c r="D177" s="199">
        <v>2</v>
      </c>
      <c r="E177" s="75" t="s">
        <v>55</v>
      </c>
      <c r="F177" s="199">
        <f>D177/SUMIFS(TableauRecette[Proportion],TableauRecette[Recette],TableauRecette[[#This Row],[Recette]],TableauRecette[Conditionnement],TableauRecette[[#This Row],[Conditionnement]])</f>
        <v>0.11049723756906077</v>
      </c>
      <c r="G177" s="199">
        <f ca="1">_xlfn.XLOOKUP(TableauRecette[[#This Row],[Ingredients]],TableauIngredients[Ingredients],TableauIngredients[Prix d''achat (kg)],0)*TableauRecette[[#This Row],[poids / unite]]</f>
        <v>0</v>
      </c>
      <c r="H177" s="199">
        <f>SUMIFS(TableauRecette[Proportion],TableauRecette[Recette],TableauRecette[[#This Row],[Recette]],TableauRecette[Conditionnement],TableauRecette[[#This Row],[Conditionnement]])</f>
        <v>18.100000000000001</v>
      </c>
      <c r="I177" s="199">
        <f ca="1">TableauRecette[[#This Row],[Proportion]]*TableauRecette[[#This Row],[Prix d''achat / kg]]/TableauRecette[[#This Row],[Total Proportion]]</f>
        <v>0</v>
      </c>
      <c r="J177" s="199"/>
      <c r="K177" s="750"/>
      <c r="L177" s="751">
        <f>_xlfn.XLOOKUP(TableauRecette[[#This Row],[ID]],TableauProduit[ID],TableauProduit[Total (kg) N1],0,0,1)*TableauRecette[[#This Row],[poids / unite]]</f>
        <v>2.3204419889502761</v>
      </c>
      <c r="M177" s="752">
        <f>_xlfn.XLOOKUP(TableauRecette[[#This Row],[ID]],TableauProduit[ID],TableauProduit[Total (kg) N2],0,0,1)*TableauRecette[[#This Row],[poids / unite]]</f>
        <v>2.3204419889502761</v>
      </c>
      <c r="N177" s="752">
        <f>_xlfn.XLOOKUP(TableauRecette[[#This Row],[ID]],TableauProduit[ID],TableauProduit[Total (kg) N3],0,0,1)*TableauRecette[[#This Row],[poids / unite]]</f>
        <v>2.3204419889502761</v>
      </c>
      <c r="O177" s="752">
        <f>_xlfn.XLOOKUP(TableauRecette[[#This Row],[ID]],TableauProduit[ID],TableauProduit[Total (kg) N4],0,0,1)*TableauRecette[[#This Row],[poids / unite]]</f>
        <v>2.3204419889502761</v>
      </c>
      <c r="P177" s="752">
        <f>_xlfn.XLOOKUP(TableauRecette[[#This Row],[ID]],TableauProduit[ID],TableauProduit[Total (kg) N5],0,0,1)*TableauRecette[[#This Row],[poids / unite]]</f>
        <v>2.3204419889502761</v>
      </c>
      <c r="Q177" s="752">
        <f>_xlfn.XLOOKUP(TableauRecette[[#This Row],[ID]],TableauProduit[ID],TableauProduit[Total (kg) N6],0,0,1)*TableauRecette[[#This Row],[poids / unite]]</f>
        <v>2.3204419889502761</v>
      </c>
      <c r="R177" s="752">
        <f>_xlfn.XLOOKUP(TableauRecette[[#This Row],[ID]],TableauProduit[ID],TableauProduit[Total (kg) N7],0,0,1)*TableauRecette[[#This Row],[poids / unite]]</f>
        <v>2.3204419889502761</v>
      </c>
      <c r="S177" s="752">
        <f>_xlfn.XLOOKUP(TableauRecette[[#This Row],[ID]],TableauProduit[ID],TableauProduit[Total (kg) N8],0,0,1)*TableauRecette[[#This Row],[poids / unite]]</f>
        <v>2.3204419889502761</v>
      </c>
      <c r="T177" s="752">
        <f>_xlfn.XLOOKUP(TableauRecette[[#This Row],[ID]],TableauProduit[ID],TableauProduit[Total (kg) N9],0,0,1)*TableauRecette[[#This Row],[poids / unite]]</f>
        <v>2.3204419889502761</v>
      </c>
    </row>
    <row r="178" spans="1:20">
      <c r="A178" s="75" t="s">
        <v>691</v>
      </c>
      <c r="B178" s="75" t="str">
        <f>TableauRecette[[#This Row],[Recette]]&amp;TableauRecette[[#This Row],[Conditionnement]]</f>
        <v>epices viandes rougesEpice 100ml</v>
      </c>
      <c r="C178" s="75" t="s">
        <v>326</v>
      </c>
      <c r="D178" s="199">
        <v>2</v>
      </c>
      <c r="E178" s="75" t="s">
        <v>55</v>
      </c>
      <c r="F178" s="199">
        <f>D178/SUMIFS(TableauRecette[Proportion],TableauRecette[Recette],TableauRecette[[#This Row],[Recette]],TableauRecette[Conditionnement],TableauRecette[[#This Row],[Conditionnement]])</f>
        <v>0.11049723756906077</v>
      </c>
      <c r="G178" s="199">
        <f ca="1">_xlfn.XLOOKUP(TableauRecette[[#This Row],[Ingredients]],TableauIngredients[Ingredients],TableauIngredients[Prix d''achat (kg)],0)*TableauRecette[[#This Row],[poids / unite]]</f>
        <v>0</v>
      </c>
      <c r="H178" s="199">
        <f>SUMIFS(TableauRecette[Proportion],TableauRecette[Recette],TableauRecette[[#This Row],[Recette]],TableauRecette[Conditionnement],TableauRecette[[#This Row],[Conditionnement]])</f>
        <v>18.100000000000001</v>
      </c>
      <c r="I178" s="199">
        <f ca="1">TableauRecette[[#This Row],[Proportion]]*TableauRecette[[#This Row],[Prix d''achat / kg]]/TableauRecette[[#This Row],[Total Proportion]]</f>
        <v>0</v>
      </c>
      <c r="J178" s="199"/>
      <c r="K178" s="750"/>
      <c r="L178" s="751">
        <f>_xlfn.XLOOKUP(TableauRecette[[#This Row],[ID]],TableauProduit[ID],TableauProduit[Total (kg) N1],0,0,1)*TableauRecette[[#This Row],[poids / unite]]</f>
        <v>2.3204419889502761</v>
      </c>
      <c r="M178" s="752">
        <f>_xlfn.XLOOKUP(TableauRecette[[#This Row],[ID]],TableauProduit[ID],TableauProduit[Total (kg) N2],0,0,1)*TableauRecette[[#This Row],[poids / unite]]</f>
        <v>2.3204419889502761</v>
      </c>
      <c r="N178" s="752">
        <f>_xlfn.XLOOKUP(TableauRecette[[#This Row],[ID]],TableauProduit[ID],TableauProduit[Total (kg) N3],0,0,1)*TableauRecette[[#This Row],[poids / unite]]</f>
        <v>2.3204419889502761</v>
      </c>
      <c r="O178" s="752">
        <f>_xlfn.XLOOKUP(TableauRecette[[#This Row],[ID]],TableauProduit[ID],TableauProduit[Total (kg) N4],0,0,1)*TableauRecette[[#This Row],[poids / unite]]</f>
        <v>2.3204419889502761</v>
      </c>
      <c r="P178" s="752">
        <f>_xlfn.XLOOKUP(TableauRecette[[#This Row],[ID]],TableauProduit[ID],TableauProduit[Total (kg) N5],0,0,1)*TableauRecette[[#This Row],[poids / unite]]</f>
        <v>2.3204419889502761</v>
      </c>
      <c r="Q178" s="752">
        <f>_xlfn.XLOOKUP(TableauRecette[[#This Row],[ID]],TableauProduit[ID],TableauProduit[Total (kg) N6],0,0,1)*TableauRecette[[#This Row],[poids / unite]]</f>
        <v>2.3204419889502761</v>
      </c>
      <c r="R178" s="752">
        <f>_xlfn.XLOOKUP(TableauRecette[[#This Row],[ID]],TableauProduit[ID],TableauProduit[Total (kg) N7],0,0,1)*TableauRecette[[#This Row],[poids / unite]]</f>
        <v>2.3204419889502761</v>
      </c>
      <c r="S178" s="752">
        <f>_xlfn.XLOOKUP(TableauRecette[[#This Row],[ID]],TableauProduit[ID],TableauProduit[Total (kg) N8],0,0,1)*TableauRecette[[#This Row],[poids / unite]]</f>
        <v>2.3204419889502761</v>
      </c>
      <c r="T178" s="752">
        <f>_xlfn.XLOOKUP(TableauRecette[[#This Row],[ID]],TableauProduit[ID],TableauProduit[Total (kg) N9],0,0,1)*TableauRecette[[#This Row],[poids / unite]]</f>
        <v>2.3204419889502761</v>
      </c>
    </row>
    <row r="179" spans="1:20">
      <c r="A179" s="75" t="s">
        <v>691</v>
      </c>
      <c r="B179" s="75" t="str">
        <f>TableauRecette[[#This Row],[Recette]]&amp;TableauRecette[[#This Row],[Conditionnement]]</f>
        <v>epices viandes rougesEpice 100ml</v>
      </c>
      <c r="C179" s="75" t="s">
        <v>305</v>
      </c>
      <c r="D179" s="199">
        <v>2</v>
      </c>
      <c r="E179" s="75" t="s">
        <v>55</v>
      </c>
      <c r="F179" s="199">
        <f>D179/SUMIFS(TableauRecette[Proportion],TableauRecette[Recette],TableauRecette[[#This Row],[Recette]],TableauRecette[Conditionnement],TableauRecette[[#This Row],[Conditionnement]])</f>
        <v>0.11049723756906077</v>
      </c>
      <c r="G179" s="199">
        <f ca="1">_xlfn.XLOOKUP(TableauRecette[[#This Row],[Ingredients]],TableauIngredients[Ingredients],TableauIngredients[Prix d''achat (kg)],0)*TableauRecette[[#This Row],[poids / unite]]</f>
        <v>0</v>
      </c>
      <c r="H179" s="199">
        <f>SUMIFS(TableauRecette[Proportion],TableauRecette[Recette],TableauRecette[[#This Row],[Recette]],TableauRecette[Conditionnement],TableauRecette[[#This Row],[Conditionnement]])</f>
        <v>18.100000000000001</v>
      </c>
      <c r="I179" s="199">
        <f ca="1">TableauRecette[[#This Row],[Proportion]]*TableauRecette[[#This Row],[Prix d''achat / kg]]/TableauRecette[[#This Row],[Total Proportion]]</f>
        <v>0</v>
      </c>
      <c r="J179" s="199"/>
      <c r="K179" s="750"/>
      <c r="L179" s="751">
        <f>_xlfn.XLOOKUP(TableauRecette[[#This Row],[ID]],TableauProduit[ID],TableauProduit[Total (kg) N1],0,0,1)*TableauRecette[[#This Row],[poids / unite]]</f>
        <v>2.3204419889502761</v>
      </c>
      <c r="M179" s="752">
        <f>_xlfn.XLOOKUP(TableauRecette[[#This Row],[ID]],TableauProduit[ID],TableauProduit[Total (kg) N2],0,0,1)*TableauRecette[[#This Row],[poids / unite]]</f>
        <v>2.3204419889502761</v>
      </c>
      <c r="N179" s="752">
        <f>_xlfn.XLOOKUP(TableauRecette[[#This Row],[ID]],TableauProduit[ID],TableauProduit[Total (kg) N3],0,0,1)*TableauRecette[[#This Row],[poids / unite]]</f>
        <v>2.3204419889502761</v>
      </c>
      <c r="O179" s="752">
        <f>_xlfn.XLOOKUP(TableauRecette[[#This Row],[ID]],TableauProduit[ID],TableauProduit[Total (kg) N4],0,0,1)*TableauRecette[[#This Row],[poids / unite]]</f>
        <v>2.3204419889502761</v>
      </c>
      <c r="P179" s="752">
        <f>_xlfn.XLOOKUP(TableauRecette[[#This Row],[ID]],TableauProduit[ID],TableauProduit[Total (kg) N5],0,0,1)*TableauRecette[[#This Row],[poids / unite]]</f>
        <v>2.3204419889502761</v>
      </c>
      <c r="Q179" s="752">
        <f>_xlfn.XLOOKUP(TableauRecette[[#This Row],[ID]],TableauProduit[ID],TableauProduit[Total (kg) N6],0,0,1)*TableauRecette[[#This Row],[poids / unite]]</f>
        <v>2.3204419889502761</v>
      </c>
      <c r="R179" s="752">
        <f>_xlfn.XLOOKUP(TableauRecette[[#This Row],[ID]],TableauProduit[ID],TableauProduit[Total (kg) N7],0,0,1)*TableauRecette[[#This Row],[poids / unite]]</f>
        <v>2.3204419889502761</v>
      </c>
      <c r="S179" s="752">
        <f>_xlfn.XLOOKUP(TableauRecette[[#This Row],[ID]],TableauProduit[ID],TableauProduit[Total (kg) N8],0,0,1)*TableauRecette[[#This Row],[poids / unite]]</f>
        <v>2.3204419889502761</v>
      </c>
      <c r="T179" s="752">
        <f>_xlfn.XLOOKUP(TableauRecette[[#This Row],[ID]],TableauProduit[ID],TableauProduit[Total (kg) N9],0,0,1)*TableauRecette[[#This Row],[poids / unite]]</f>
        <v>2.3204419889502761</v>
      </c>
    </row>
    <row r="180" spans="1:20">
      <c r="A180" s="75" t="s">
        <v>691</v>
      </c>
      <c r="B180" s="75" t="str">
        <f>TableauRecette[[#This Row],[Recette]]&amp;TableauRecette[[#This Row],[Conditionnement]]</f>
        <v>epices viandes rougesEpice 100ml</v>
      </c>
      <c r="C180" s="75" t="s">
        <v>316</v>
      </c>
      <c r="D180" s="199">
        <v>6</v>
      </c>
      <c r="E180" s="75" t="s">
        <v>55</v>
      </c>
      <c r="F180" s="199">
        <f>D180/SUMIFS(TableauRecette[Proportion],TableauRecette[Recette],TableauRecette[[#This Row],[Recette]],TableauRecette[Conditionnement],TableauRecette[[#This Row],[Conditionnement]])</f>
        <v>0.33149171270718231</v>
      </c>
      <c r="G180" s="199">
        <f ca="1">_xlfn.XLOOKUP(TableauRecette[[#This Row],[Ingredients]],TableauIngredients[Ingredients],TableauIngredients[Prix d''achat (kg)],0)*TableauRecette[[#This Row],[poids / unite]]</f>
        <v>0</v>
      </c>
      <c r="H180" s="199">
        <f>SUMIFS(TableauRecette[Proportion],TableauRecette[Recette],TableauRecette[[#This Row],[Recette]],TableauRecette[Conditionnement],TableauRecette[[#This Row],[Conditionnement]])</f>
        <v>18.100000000000001</v>
      </c>
      <c r="I180" s="199">
        <f ca="1">TableauRecette[[#This Row],[Proportion]]*TableauRecette[[#This Row],[Prix d''achat / kg]]/TableauRecette[[#This Row],[Total Proportion]]</f>
        <v>0</v>
      </c>
      <c r="J180" s="199"/>
      <c r="K180" s="750"/>
      <c r="L180" s="751">
        <f>_xlfn.XLOOKUP(TableauRecette[[#This Row],[ID]],TableauProduit[ID],TableauProduit[Total (kg) N1],0,0,1)*TableauRecette[[#This Row],[poids / unite]]</f>
        <v>6.9613259668508283</v>
      </c>
      <c r="M180" s="752">
        <f>_xlfn.XLOOKUP(TableauRecette[[#This Row],[ID]],TableauProduit[ID],TableauProduit[Total (kg) N2],0,0,1)*TableauRecette[[#This Row],[poids / unite]]</f>
        <v>6.9613259668508283</v>
      </c>
      <c r="N180" s="752">
        <f>_xlfn.XLOOKUP(TableauRecette[[#This Row],[ID]],TableauProduit[ID],TableauProduit[Total (kg) N3],0,0,1)*TableauRecette[[#This Row],[poids / unite]]</f>
        <v>6.9613259668508283</v>
      </c>
      <c r="O180" s="752">
        <f>_xlfn.XLOOKUP(TableauRecette[[#This Row],[ID]],TableauProduit[ID],TableauProduit[Total (kg) N4],0,0,1)*TableauRecette[[#This Row],[poids / unite]]</f>
        <v>6.9613259668508283</v>
      </c>
      <c r="P180" s="752">
        <f>_xlfn.XLOOKUP(TableauRecette[[#This Row],[ID]],TableauProduit[ID],TableauProduit[Total (kg) N5],0,0,1)*TableauRecette[[#This Row],[poids / unite]]</f>
        <v>6.9613259668508283</v>
      </c>
      <c r="Q180" s="752">
        <f>_xlfn.XLOOKUP(TableauRecette[[#This Row],[ID]],TableauProduit[ID],TableauProduit[Total (kg) N6],0,0,1)*TableauRecette[[#This Row],[poids / unite]]</f>
        <v>6.9613259668508283</v>
      </c>
      <c r="R180" s="752">
        <f>_xlfn.XLOOKUP(TableauRecette[[#This Row],[ID]],TableauProduit[ID],TableauProduit[Total (kg) N7],0,0,1)*TableauRecette[[#This Row],[poids / unite]]</f>
        <v>6.9613259668508283</v>
      </c>
      <c r="S180" s="752">
        <f>_xlfn.XLOOKUP(TableauRecette[[#This Row],[ID]],TableauProduit[ID],TableauProduit[Total (kg) N8],0,0,1)*TableauRecette[[#This Row],[poids / unite]]</f>
        <v>6.9613259668508283</v>
      </c>
      <c r="T180" s="752">
        <f>_xlfn.XLOOKUP(TableauRecette[[#This Row],[ID]],TableauProduit[ID],TableauProduit[Total (kg) N9],0,0,1)*TableauRecette[[#This Row],[poids / unite]]</f>
        <v>6.9613259668508283</v>
      </c>
    </row>
    <row r="181" spans="1:20">
      <c r="A181" s="75" t="s">
        <v>691</v>
      </c>
      <c r="B181" s="75" t="str">
        <f>TableauRecette[[#This Row],[Recette]]&amp;TableauRecette[[#This Row],[Conditionnement]]</f>
        <v>epices viandes rougesEpice 100ml</v>
      </c>
      <c r="C181" s="75" t="s">
        <v>330</v>
      </c>
      <c r="D181" s="199">
        <v>0.1</v>
      </c>
      <c r="E181" s="75" t="s">
        <v>55</v>
      </c>
      <c r="F181" s="199">
        <f>D181/SUMIFS(TableauRecette[Proportion],TableauRecette[Recette],TableauRecette[[#This Row],[Recette]],TableauRecette[Conditionnement],TableauRecette[[#This Row],[Conditionnement]])</f>
        <v>5.5248618784530384E-3</v>
      </c>
      <c r="G181" s="199">
        <f ca="1">_xlfn.XLOOKUP(TableauRecette[[#This Row],[Ingredients]],TableauIngredients[Ingredients],TableauIngredients[Prix d''achat (kg)],0)*TableauRecette[[#This Row],[poids / unite]]</f>
        <v>0</v>
      </c>
      <c r="H181" s="199">
        <f>SUMIFS(TableauRecette[Proportion],TableauRecette[Recette],TableauRecette[[#This Row],[Recette]],TableauRecette[Conditionnement],TableauRecette[[#This Row],[Conditionnement]])</f>
        <v>18.100000000000001</v>
      </c>
      <c r="I181" s="199">
        <f ca="1">TableauRecette[[#This Row],[Proportion]]*TableauRecette[[#This Row],[Prix d''achat / kg]]/TableauRecette[[#This Row],[Total Proportion]]</f>
        <v>0</v>
      </c>
      <c r="J181" s="199"/>
      <c r="K181" s="750"/>
      <c r="L181" s="751">
        <f>_xlfn.XLOOKUP(TableauRecette[[#This Row],[ID]],TableauProduit[ID],TableauProduit[Total (kg) N1],0,0,1)*TableauRecette[[#This Row],[poids / unite]]</f>
        <v>0.11602209944751381</v>
      </c>
      <c r="M181" s="752">
        <f>_xlfn.XLOOKUP(TableauRecette[[#This Row],[ID]],TableauProduit[ID],TableauProduit[Total (kg) N2],0,0,1)*TableauRecette[[#This Row],[poids / unite]]</f>
        <v>0.11602209944751381</v>
      </c>
      <c r="N181" s="752">
        <f>_xlfn.XLOOKUP(TableauRecette[[#This Row],[ID]],TableauProduit[ID],TableauProduit[Total (kg) N3],0,0,1)*TableauRecette[[#This Row],[poids / unite]]</f>
        <v>0.11602209944751381</v>
      </c>
      <c r="O181" s="752">
        <f>_xlfn.XLOOKUP(TableauRecette[[#This Row],[ID]],TableauProduit[ID],TableauProduit[Total (kg) N4],0,0,1)*TableauRecette[[#This Row],[poids / unite]]</f>
        <v>0.11602209944751381</v>
      </c>
      <c r="P181" s="752">
        <f>_xlfn.XLOOKUP(TableauRecette[[#This Row],[ID]],TableauProduit[ID],TableauProduit[Total (kg) N5],0,0,1)*TableauRecette[[#This Row],[poids / unite]]</f>
        <v>0.11602209944751381</v>
      </c>
      <c r="Q181" s="752">
        <f>_xlfn.XLOOKUP(TableauRecette[[#This Row],[ID]],TableauProduit[ID],TableauProduit[Total (kg) N6],0,0,1)*TableauRecette[[#This Row],[poids / unite]]</f>
        <v>0.11602209944751381</v>
      </c>
      <c r="R181" s="752">
        <f>_xlfn.XLOOKUP(TableauRecette[[#This Row],[ID]],TableauProduit[ID],TableauProduit[Total (kg) N7],0,0,1)*TableauRecette[[#This Row],[poids / unite]]</f>
        <v>0.11602209944751381</v>
      </c>
      <c r="S181" s="752">
        <f>_xlfn.XLOOKUP(TableauRecette[[#This Row],[ID]],TableauProduit[ID],TableauProduit[Total (kg) N8],0,0,1)*TableauRecette[[#This Row],[poids / unite]]</f>
        <v>0.11602209944751381</v>
      </c>
      <c r="T181" s="752">
        <f>_xlfn.XLOOKUP(TableauRecette[[#This Row],[ID]],TableauProduit[ID],TableauProduit[Total (kg) N9],0,0,1)*TableauRecette[[#This Row],[poids / unite]]</f>
        <v>0.11602209944751381</v>
      </c>
    </row>
    <row r="182" spans="1:20">
      <c r="A182" s="76" t="s">
        <v>110</v>
      </c>
      <c r="B182" s="76" t="str">
        <f>TableauRecette[[#This Row],[Recette]]&amp;TableauRecette[[#This Row],[Conditionnement]]</f>
        <v>Garam masalaEpice 100ml</v>
      </c>
      <c r="C182" s="76" t="s">
        <v>290</v>
      </c>
      <c r="D182" s="200">
        <v>4</v>
      </c>
      <c r="E182" s="76" t="s">
        <v>55</v>
      </c>
      <c r="F182" s="200">
        <f>D182/SUMIFS(TableauRecette[Proportion],TableauRecette[Recette],TableauRecette[[#This Row],[Recette]],TableauRecette[Conditionnement],TableauRecette[[#This Row],[Conditionnement]])</f>
        <v>0.23529411764705882</v>
      </c>
      <c r="G182" s="200">
        <f ca="1">_xlfn.XLOOKUP(TableauRecette[[#This Row],[Ingredients]],TableauIngredients[Ingredients],TableauIngredients[Prix d''achat (kg)],0)*TableauRecette[[#This Row],[poids / unite]]</f>
        <v>0</v>
      </c>
      <c r="H182" s="200">
        <f>SUMIFS(TableauRecette[Proportion],TableauRecette[Recette],TableauRecette[[#This Row],[Recette]],TableauRecette[Conditionnement],TableauRecette[[#This Row],[Conditionnement]])</f>
        <v>17</v>
      </c>
      <c r="I182" s="200">
        <f ca="1">TableauRecette[[#This Row],[Proportion]]*TableauRecette[[#This Row],[Prix d''achat / kg]]/TableauRecette[[#This Row],[Total Proportion]]</f>
        <v>0</v>
      </c>
      <c r="J182" s="200"/>
      <c r="K182" s="753"/>
      <c r="L182" s="754">
        <f>_xlfn.XLOOKUP(TableauRecette[[#This Row],[ID]],TableauProduit[ID],TableauProduit[Total (kg) N1],0,0,1)*TableauRecette[[#This Row],[poids / unite]]</f>
        <v>0</v>
      </c>
      <c r="M182" s="755">
        <f>_xlfn.XLOOKUP(TableauRecette[[#This Row],[ID]],TableauProduit[ID],TableauProduit[Total (kg) N2],0,0,1)*TableauRecette[[#This Row],[poids / unite]]</f>
        <v>0</v>
      </c>
      <c r="N182" s="755">
        <f>_xlfn.XLOOKUP(TableauRecette[[#This Row],[ID]],TableauProduit[ID],TableauProduit[Total (kg) N3],0,0,1)*TableauRecette[[#This Row],[poids / unite]]</f>
        <v>0</v>
      </c>
      <c r="O182" s="755">
        <f>_xlfn.XLOOKUP(TableauRecette[[#This Row],[ID]],TableauProduit[ID],TableauProduit[Total (kg) N4],0,0,1)*TableauRecette[[#This Row],[poids / unite]]</f>
        <v>0</v>
      </c>
      <c r="P182" s="755">
        <f>_xlfn.XLOOKUP(TableauRecette[[#This Row],[ID]],TableauProduit[ID],TableauProduit[Total (kg) N5],0,0,1)*TableauRecette[[#This Row],[poids / unite]]</f>
        <v>0</v>
      </c>
      <c r="Q182" s="755">
        <f>_xlfn.XLOOKUP(TableauRecette[[#This Row],[ID]],TableauProduit[ID],TableauProduit[Total (kg) N6],0,0,1)*TableauRecette[[#This Row],[poids / unite]]</f>
        <v>0</v>
      </c>
      <c r="R182" s="755">
        <f>_xlfn.XLOOKUP(TableauRecette[[#This Row],[ID]],TableauProduit[ID],TableauProduit[Total (kg) N7],0,0,1)*TableauRecette[[#This Row],[poids / unite]]</f>
        <v>0</v>
      </c>
      <c r="S182" s="755">
        <f>_xlfn.XLOOKUP(TableauRecette[[#This Row],[ID]],TableauProduit[ID],TableauProduit[Total (kg) N8],0,0,1)*TableauRecette[[#This Row],[poids / unite]]</f>
        <v>0</v>
      </c>
      <c r="T182" s="755">
        <f>_xlfn.XLOOKUP(TableauRecette[[#This Row],[ID]],TableauProduit[ID],TableauProduit[Total (kg) N9],0,0,1)*TableauRecette[[#This Row],[poids / unite]]</f>
        <v>0</v>
      </c>
    </row>
    <row r="183" spans="1:20">
      <c r="A183" s="76" t="s">
        <v>110</v>
      </c>
      <c r="B183" s="76" t="str">
        <f>TableauRecette[[#This Row],[Recette]]&amp;TableauRecette[[#This Row],[Conditionnement]]</f>
        <v>Garam masalaEpice 100ml</v>
      </c>
      <c r="C183" s="76" t="s">
        <v>311</v>
      </c>
      <c r="D183" s="200">
        <v>3</v>
      </c>
      <c r="E183" s="76" t="s">
        <v>55</v>
      </c>
      <c r="F183" s="200">
        <f>D183/SUMIFS(TableauRecette[Proportion],TableauRecette[Recette],TableauRecette[[#This Row],[Recette]],TableauRecette[Conditionnement],TableauRecette[[#This Row],[Conditionnement]])</f>
        <v>0.17647058823529413</v>
      </c>
      <c r="G183" s="200">
        <f ca="1">_xlfn.XLOOKUP(TableauRecette[[#This Row],[Ingredients]],TableauIngredients[Ingredients],TableauIngredients[Prix d''achat (kg)],0)*TableauRecette[[#This Row],[poids / unite]]</f>
        <v>0</v>
      </c>
      <c r="H183" s="200">
        <f>SUMIFS(TableauRecette[Proportion],TableauRecette[Recette],TableauRecette[[#This Row],[Recette]],TableauRecette[Conditionnement],TableauRecette[[#This Row],[Conditionnement]])</f>
        <v>17</v>
      </c>
      <c r="I183" s="200">
        <f ca="1">TableauRecette[[#This Row],[Proportion]]*TableauRecette[[#This Row],[Prix d''achat / kg]]/TableauRecette[[#This Row],[Total Proportion]]</f>
        <v>0</v>
      </c>
      <c r="J183" s="200"/>
      <c r="K183" s="753"/>
      <c r="L183" s="754">
        <f>_xlfn.XLOOKUP(TableauRecette[[#This Row],[ID]],TableauProduit[ID],TableauProduit[Total (kg) N1],0,0,1)*TableauRecette[[#This Row],[poids / unite]]</f>
        <v>0</v>
      </c>
      <c r="M183" s="755">
        <f>_xlfn.XLOOKUP(TableauRecette[[#This Row],[ID]],TableauProduit[ID],TableauProduit[Total (kg) N2],0,0,1)*TableauRecette[[#This Row],[poids / unite]]</f>
        <v>0</v>
      </c>
      <c r="N183" s="755">
        <f>_xlfn.XLOOKUP(TableauRecette[[#This Row],[ID]],TableauProduit[ID],TableauProduit[Total (kg) N3],0,0,1)*TableauRecette[[#This Row],[poids / unite]]</f>
        <v>0</v>
      </c>
      <c r="O183" s="755">
        <f>_xlfn.XLOOKUP(TableauRecette[[#This Row],[ID]],TableauProduit[ID],TableauProduit[Total (kg) N4],0,0,1)*TableauRecette[[#This Row],[poids / unite]]</f>
        <v>0</v>
      </c>
      <c r="P183" s="755">
        <f>_xlfn.XLOOKUP(TableauRecette[[#This Row],[ID]],TableauProduit[ID],TableauProduit[Total (kg) N5],0,0,1)*TableauRecette[[#This Row],[poids / unite]]</f>
        <v>0</v>
      </c>
      <c r="Q183" s="755">
        <f>_xlfn.XLOOKUP(TableauRecette[[#This Row],[ID]],TableauProduit[ID],TableauProduit[Total (kg) N6],0,0,1)*TableauRecette[[#This Row],[poids / unite]]</f>
        <v>0</v>
      </c>
      <c r="R183" s="755">
        <f>_xlfn.XLOOKUP(TableauRecette[[#This Row],[ID]],TableauProduit[ID],TableauProduit[Total (kg) N7],0,0,1)*TableauRecette[[#This Row],[poids / unite]]</f>
        <v>0</v>
      </c>
      <c r="S183" s="755">
        <f>_xlfn.XLOOKUP(TableauRecette[[#This Row],[ID]],TableauProduit[ID],TableauProduit[Total (kg) N8],0,0,1)*TableauRecette[[#This Row],[poids / unite]]</f>
        <v>0</v>
      </c>
      <c r="T183" s="755">
        <f>_xlfn.XLOOKUP(TableauRecette[[#This Row],[ID]],TableauProduit[ID],TableauProduit[Total (kg) N9],0,0,1)*TableauRecette[[#This Row],[poids / unite]]</f>
        <v>0</v>
      </c>
    </row>
    <row r="184" spans="1:20">
      <c r="A184" s="76" t="s">
        <v>110</v>
      </c>
      <c r="B184" s="76" t="str">
        <f>TableauRecette[[#This Row],[Recette]]&amp;TableauRecette[[#This Row],[Conditionnement]]</f>
        <v>Garam masalaEpice 100ml</v>
      </c>
      <c r="C184" s="76" t="s">
        <v>283</v>
      </c>
      <c r="D184" s="200">
        <v>3</v>
      </c>
      <c r="E184" s="76" t="s">
        <v>55</v>
      </c>
      <c r="F184" s="200">
        <f>D184/SUMIFS(TableauRecette[Proportion],TableauRecette[Recette],TableauRecette[[#This Row],[Recette]],TableauRecette[Conditionnement],TableauRecette[[#This Row],[Conditionnement]])</f>
        <v>0.17647058823529413</v>
      </c>
      <c r="G184" s="200">
        <f ca="1">_xlfn.XLOOKUP(TableauRecette[[#This Row],[Ingredients]],TableauIngredients[Ingredients],TableauIngredients[Prix d''achat (kg)],0)*TableauRecette[[#This Row],[poids / unite]]</f>
        <v>20.125676470588235</v>
      </c>
      <c r="H184" s="200">
        <f>SUMIFS(TableauRecette[Proportion],TableauRecette[Recette],TableauRecette[[#This Row],[Recette]],TableauRecette[Conditionnement],TableauRecette[[#This Row],[Conditionnement]])</f>
        <v>17</v>
      </c>
      <c r="I184" s="200">
        <f ca="1">TableauRecette[[#This Row],[Proportion]]*TableauRecette[[#This Row],[Prix d''achat / kg]]/TableauRecette[[#This Row],[Total Proportion]]</f>
        <v>0</v>
      </c>
      <c r="J184" s="200"/>
      <c r="K184" s="753"/>
      <c r="L184" s="754">
        <f>_xlfn.XLOOKUP(TableauRecette[[#This Row],[ID]],TableauProduit[ID],TableauProduit[Total (kg) N1],0,0,1)*TableauRecette[[#This Row],[poids / unite]]</f>
        <v>0</v>
      </c>
      <c r="M184" s="755">
        <f>_xlfn.XLOOKUP(TableauRecette[[#This Row],[ID]],TableauProduit[ID],TableauProduit[Total (kg) N2],0,0,1)*TableauRecette[[#This Row],[poids / unite]]</f>
        <v>0</v>
      </c>
      <c r="N184" s="755">
        <f>_xlfn.XLOOKUP(TableauRecette[[#This Row],[ID]],TableauProduit[ID],TableauProduit[Total (kg) N3],0,0,1)*TableauRecette[[#This Row],[poids / unite]]</f>
        <v>0</v>
      </c>
      <c r="O184" s="755">
        <f>_xlfn.XLOOKUP(TableauRecette[[#This Row],[ID]],TableauProduit[ID],TableauProduit[Total (kg) N4],0,0,1)*TableauRecette[[#This Row],[poids / unite]]</f>
        <v>0</v>
      </c>
      <c r="P184" s="755">
        <f>_xlfn.XLOOKUP(TableauRecette[[#This Row],[ID]],TableauProduit[ID],TableauProduit[Total (kg) N5],0,0,1)*TableauRecette[[#This Row],[poids / unite]]</f>
        <v>0</v>
      </c>
      <c r="Q184" s="755">
        <f>_xlfn.XLOOKUP(TableauRecette[[#This Row],[ID]],TableauProduit[ID],TableauProduit[Total (kg) N6],0,0,1)*TableauRecette[[#This Row],[poids / unite]]</f>
        <v>0</v>
      </c>
      <c r="R184" s="755">
        <f>_xlfn.XLOOKUP(TableauRecette[[#This Row],[ID]],TableauProduit[ID],TableauProduit[Total (kg) N7],0,0,1)*TableauRecette[[#This Row],[poids / unite]]</f>
        <v>0</v>
      </c>
      <c r="S184" s="755">
        <f>_xlfn.XLOOKUP(TableauRecette[[#This Row],[ID]],TableauProduit[ID],TableauProduit[Total (kg) N8],0,0,1)*TableauRecette[[#This Row],[poids / unite]]</f>
        <v>0</v>
      </c>
      <c r="T184" s="755">
        <f>_xlfn.XLOOKUP(TableauRecette[[#This Row],[ID]],TableauProduit[ID],TableauProduit[Total (kg) N9],0,0,1)*TableauRecette[[#This Row],[poids / unite]]</f>
        <v>0</v>
      </c>
    </row>
    <row r="185" spans="1:20">
      <c r="A185" s="76" t="s">
        <v>110</v>
      </c>
      <c r="B185" s="76" t="str">
        <f>TableauRecette[[#This Row],[Recette]]&amp;TableauRecette[[#This Row],[Conditionnement]]</f>
        <v>Garam masalaEpice 100ml</v>
      </c>
      <c r="C185" s="76" t="s">
        <v>287</v>
      </c>
      <c r="D185" s="200">
        <v>3</v>
      </c>
      <c r="E185" s="76" t="s">
        <v>55</v>
      </c>
      <c r="F185" s="200">
        <f>D185/SUMIFS(TableauRecette[Proportion],TableauRecette[Recette],TableauRecette[[#This Row],[Recette]],TableauRecette[Conditionnement],TableauRecette[[#This Row],[Conditionnement]])</f>
        <v>0.17647058823529413</v>
      </c>
      <c r="G185" s="200">
        <f ca="1">_xlfn.XLOOKUP(TableauRecette[[#This Row],[Ingredients]],TableauIngredients[Ingredients],TableauIngredients[Prix d''achat (kg)],0)*TableauRecette[[#This Row],[poids / unite]]</f>
        <v>6.5029411764705891</v>
      </c>
      <c r="H185" s="200">
        <f>SUMIFS(TableauRecette[Proportion],TableauRecette[Recette],TableauRecette[[#This Row],[Recette]],TableauRecette[Conditionnement],TableauRecette[[#This Row],[Conditionnement]])</f>
        <v>17</v>
      </c>
      <c r="I185" s="200">
        <f ca="1">TableauRecette[[#This Row],[Proportion]]*TableauRecette[[#This Row],[Prix d''achat / kg]]/TableauRecette[[#This Row],[Total Proportion]]</f>
        <v>0</v>
      </c>
      <c r="J185" s="200"/>
      <c r="K185" s="753"/>
      <c r="L185" s="754">
        <f>_xlfn.XLOOKUP(TableauRecette[[#This Row],[ID]],TableauProduit[ID],TableauProduit[Total (kg) N1],0,0,1)*TableauRecette[[#This Row],[poids / unite]]</f>
        <v>0</v>
      </c>
      <c r="M185" s="755">
        <f>_xlfn.XLOOKUP(TableauRecette[[#This Row],[ID]],TableauProduit[ID],TableauProduit[Total (kg) N2],0,0,1)*TableauRecette[[#This Row],[poids / unite]]</f>
        <v>0</v>
      </c>
      <c r="N185" s="755">
        <f>_xlfn.XLOOKUP(TableauRecette[[#This Row],[ID]],TableauProduit[ID],TableauProduit[Total (kg) N3],0,0,1)*TableauRecette[[#This Row],[poids / unite]]</f>
        <v>0</v>
      </c>
      <c r="O185" s="755">
        <f>_xlfn.XLOOKUP(TableauRecette[[#This Row],[ID]],TableauProduit[ID],TableauProduit[Total (kg) N4],0,0,1)*TableauRecette[[#This Row],[poids / unite]]</f>
        <v>0</v>
      </c>
      <c r="P185" s="755">
        <f>_xlfn.XLOOKUP(TableauRecette[[#This Row],[ID]],TableauProduit[ID],TableauProduit[Total (kg) N5],0,0,1)*TableauRecette[[#This Row],[poids / unite]]</f>
        <v>0</v>
      </c>
      <c r="Q185" s="755">
        <f>_xlfn.XLOOKUP(TableauRecette[[#This Row],[ID]],TableauProduit[ID],TableauProduit[Total (kg) N6],0,0,1)*TableauRecette[[#This Row],[poids / unite]]</f>
        <v>0</v>
      </c>
      <c r="R185" s="755">
        <f>_xlfn.XLOOKUP(TableauRecette[[#This Row],[ID]],TableauProduit[ID],TableauProduit[Total (kg) N7],0,0,1)*TableauRecette[[#This Row],[poids / unite]]</f>
        <v>0</v>
      </c>
      <c r="S185" s="755">
        <f>_xlfn.XLOOKUP(TableauRecette[[#This Row],[ID]],TableauProduit[ID],TableauProduit[Total (kg) N8],0,0,1)*TableauRecette[[#This Row],[poids / unite]]</f>
        <v>0</v>
      </c>
      <c r="T185" s="755">
        <f>_xlfn.XLOOKUP(TableauRecette[[#This Row],[ID]],TableauProduit[ID],TableauProduit[Total (kg) N9],0,0,1)*TableauRecette[[#This Row],[poids / unite]]</f>
        <v>0</v>
      </c>
    </row>
    <row r="186" spans="1:20">
      <c r="A186" s="76" t="s">
        <v>110</v>
      </c>
      <c r="B186" s="76" t="str">
        <f>TableauRecette[[#This Row],[Recette]]&amp;TableauRecette[[#This Row],[Conditionnement]]</f>
        <v>Garam masalaEpice 100ml</v>
      </c>
      <c r="C186" s="76" t="s">
        <v>285</v>
      </c>
      <c r="D186" s="200">
        <v>2</v>
      </c>
      <c r="E186" s="76" t="s">
        <v>55</v>
      </c>
      <c r="F186" s="200">
        <f>D186/SUMIFS(TableauRecette[Proportion],TableauRecette[Recette],TableauRecette[[#This Row],[Recette]],TableauRecette[Conditionnement],TableauRecette[[#This Row],[Conditionnement]])</f>
        <v>0.11764705882352941</v>
      </c>
      <c r="G186" s="200">
        <f ca="1">_xlfn.XLOOKUP(TableauRecette[[#This Row],[Ingredients]],TableauIngredients[Ingredients],TableauIngredients[Prix d''achat (kg)],0)*TableauRecette[[#This Row],[poids / unite]]</f>
        <v>2.5882352941176472</v>
      </c>
      <c r="H186" s="200">
        <f>SUMIFS(TableauRecette[Proportion],TableauRecette[Recette],TableauRecette[[#This Row],[Recette]],TableauRecette[Conditionnement],TableauRecette[[#This Row],[Conditionnement]])</f>
        <v>17</v>
      </c>
      <c r="I186" s="200">
        <f ca="1">TableauRecette[[#This Row],[Proportion]]*TableauRecette[[#This Row],[Prix d''achat / kg]]/TableauRecette[[#This Row],[Total Proportion]]</f>
        <v>0</v>
      </c>
      <c r="J186" s="200"/>
      <c r="K186" s="753"/>
      <c r="L186" s="754">
        <f>_xlfn.XLOOKUP(TableauRecette[[#This Row],[ID]],TableauProduit[ID],TableauProduit[Total (kg) N1],0,0,1)*TableauRecette[[#This Row],[poids / unite]]</f>
        <v>0</v>
      </c>
      <c r="M186" s="755">
        <f>_xlfn.XLOOKUP(TableauRecette[[#This Row],[ID]],TableauProduit[ID],TableauProduit[Total (kg) N2],0,0,1)*TableauRecette[[#This Row],[poids / unite]]</f>
        <v>0</v>
      </c>
      <c r="N186" s="755">
        <f>_xlfn.XLOOKUP(TableauRecette[[#This Row],[ID]],TableauProduit[ID],TableauProduit[Total (kg) N3],0,0,1)*TableauRecette[[#This Row],[poids / unite]]</f>
        <v>0</v>
      </c>
      <c r="O186" s="755">
        <f>_xlfn.XLOOKUP(TableauRecette[[#This Row],[ID]],TableauProduit[ID],TableauProduit[Total (kg) N4],0,0,1)*TableauRecette[[#This Row],[poids / unite]]</f>
        <v>0</v>
      </c>
      <c r="P186" s="755">
        <f>_xlfn.XLOOKUP(TableauRecette[[#This Row],[ID]],TableauProduit[ID],TableauProduit[Total (kg) N5],0,0,1)*TableauRecette[[#This Row],[poids / unite]]</f>
        <v>0</v>
      </c>
      <c r="Q186" s="755">
        <f>_xlfn.XLOOKUP(TableauRecette[[#This Row],[ID]],TableauProduit[ID],TableauProduit[Total (kg) N6],0,0,1)*TableauRecette[[#This Row],[poids / unite]]</f>
        <v>0</v>
      </c>
      <c r="R186" s="755">
        <f>_xlfn.XLOOKUP(TableauRecette[[#This Row],[ID]],TableauProduit[ID],TableauProduit[Total (kg) N7],0,0,1)*TableauRecette[[#This Row],[poids / unite]]</f>
        <v>0</v>
      </c>
      <c r="S186" s="755">
        <f>_xlfn.XLOOKUP(TableauRecette[[#This Row],[ID]],TableauProduit[ID],TableauProduit[Total (kg) N8],0,0,1)*TableauRecette[[#This Row],[poids / unite]]</f>
        <v>0</v>
      </c>
      <c r="T186" s="755">
        <f>_xlfn.XLOOKUP(TableauRecette[[#This Row],[ID]],TableauProduit[ID],TableauProduit[Total (kg) N9],0,0,1)*TableauRecette[[#This Row],[poids / unite]]</f>
        <v>0</v>
      </c>
    </row>
    <row r="187" spans="1:20">
      <c r="A187" s="76" t="s">
        <v>110</v>
      </c>
      <c r="B187" s="76" t="str">
        <f>TableauRecette[[#This Row],[Recette]]&amp;TableauRecette[[#This Row],[Conditionnement]]</f>
        <v>Garam masalaEpice 100ml</v>
      </c>
      <c r="C187" s="76" t="s">
        <v>288</v>
      </c>
      <c r="D187" s="200">
        <v>1</v>
      </c>
      <c r="E187" s="76" t="s">
        <v>55</v>
      </c>
      <c r="F187" s="200">
        <f>D187/SUMIFS(TableauRecette[Proportion],TableauRecette[Recette],TableauRecette[[#This Row],[Recette]],TableauRecette[Conditionnement],TableauRecette[[#This Row],[Conditionnement]])</f>
        <v>5.8823529411764705E-2</v>
      </c>
      <c r="G187" s="200">
        <f ca="1">_xlfn.XLOOKUP(TableauRecette[[#This Row],[Ingredients]],TableauIngredients[Ingredients],TableauIngredients[Prix d''achat (kg)],0)*TableauRecette[[#This Row],[poids / unite]]</f>
        <v>2.1176470588235294</v>
      </c>
      <c r="H187" s="200">
        <f>SUMIFS(TableauRecette[Proportion],TableauRecette[Recette],TableauRecette[[#This Row],[Recette]],TableauRecette[Conditionnement],TableauRecette[[#This Row],[Conditionnement]])</f>
        <v>17</v>
      </c>
      <c r="I187" s="200">
        <f ca="1">TableauRecette[[#This Row],[Proportion]]*TableauRecette[[#This Row],[Prix d''achat / kg]]/TableauRecette[[#This Row],[Total Proportion]]</f>
        <v>0</v>
      </c>
      <c r="J187" s="200"/>
      <c r="K187" s="753"/>
      <c r="L187" s="754">
        <f>_xlfn.XLOOKUP(TableauRecette[[#This Row],[ID]],TableauProduit[ID],TableauProduit[Total (kg) N1],0,0,1)*TableauRecette[[#This Row],[poids / unite]]</f>
        <v>0</v>
      </c>
      <c r="M187" s="755">
        <f>_xlfn.XLOOKUP(TableauRecette[[#This Row],[ID]],TableauProduit[ID],TableauProduit[Total (kg) N2],0,0,1)*TableauRecette[[#This Row],[poids / unite]]</f>
        <v>0</v>
      </c>
      <c r="N187" s="755">
        <f>_xlfn.XLOOKUP(TableauRecette[[#This Row],[ID]],TableauProduit[ID],TableauProduit[Total (kg) N3],0,0,1)*TableauRecette[[#This Row],[poids / unite]]</f>
        <v>0</v>
      </c>
      <c r="O187" s="755">
        <f>_xlfn.XLOOKUP(TableauRecette[[#This Row],[ID]],TableauProduit[ID],TableauProduit[Total (kg) N4],0,0,1)*TableauRecette[[#This Row],[poids / unite]]</f>
        <v>0</v>
      </c>
      <c r="P187" s="755">
        <f>_xlfn.XLOOKUP(TableauRecette[[#This Row],[ID]],TableauProduit[ID],TableauProduit[Total (kg) N5],0,0,1)*TableauRecette[[#This Row],[poids / unite]]</f>
        <v>0</v>
      </c>
      <c r="Q187" s="755">
        <f>_xlfn.XLOOKUP(TableauRecette[[#This Row],[ID]],TableauProduit[ID],TableauProduit[Total (kg) N6],0,0,1)*TableauRecette[[#This Row],[poids / unite]]</f>
        <v>0</v>
      </c>
      <c r="R187" s="755">
        <f>_xlfn.XLOOKUP(TableauRecette[[#This Row],[ID]],TableauProduit[ID],TableauProduit[Total (kg) N7],0,0,1)*TableauRecette[[#This Row],[poids / unite]]</f>
        <v>0</v>
      </c>
      <c r="S187" s="755">
        <f>_xlfn.XLOOKUP(TableauRecette[[#This Row],[ID]],TableauProduit[ID],TableauProduit[Total (kg) N8],0,0,1)*TableauRecette[[#This Row],[poids / unite]]</f>
        <v>0</v>
      </c>
      <c r="T187" s="755">
        <f>_xlfn.XLOOKUP(TableauRecette[[#This Row],[ID]],TableauProduit[ID],TableauProduit[Total (kg) N9],0,0,1)*TableauRecette[[#This Row],[poids / unite]]</f>
        <v>0</v>
      </c>
    </row>
    <row r="188" spans="1:20">
      <c r="A188" s="76" t="s">
        <v>110</v>
      </c>
      <c r="B188" s="76" t="str">
        <f>TableauRecette[[#This Row],[Recette]]&amp;TableauRecette[[#This Row],[Conditionnement]]</f>
        <v>Garam masalaEpice 100ml</v>
      </c>
      <c r="C188" s="76" t="s">
        <v>331</v>
      </c>
      <c r="D188" s="200">
        <v>1</v>
      </c>
      <c r="E188" s="76" t="s">
        <v>55</v>
      </c>
      <c r="F188" s="200">
        <f>D188/SUMIFS(TableauRecette[Proportion],TableauRecette[Recette],TableauRecette[[#This Row],[Recette]],TableauRecette[Conditionnement],TableauRecette[[#This Row],[Conditionnement]])</f>
        <v>5.8823529411764705E-2</v>
      </c>
      <c r="G188" s="200">
        <f ca="1">_xlfn.XLOOKUP(TableauRecette[[#This Row],[Ingredients]],TableauIngredients[Ingredients],TableauIngredients[Prix d''achat (kg)],0)*TableauRecette[[#This Row],[poids / unite]]</f>
        <v>3.5294117647058822</v>
      </c>
      <c r="H188" s="200">
        <f>SUMIFS(TableauRecette[Proportion],TableauRecette[Recette],TableauRecette[[#This Row],[Recette]],TableauRecette[Conditionnement],TableauRecette[[#This Row],[Conditionnement]])</f>
        <v>17</v>
      </c>
      <c r="I188" s="200">
        <f ca="1">TableauRecette[[#This Row],[Proportion]]*TableauRecette[[#This Row],[Prix d''achat / kg]]/TableauRecette[[#This Row],[Total Proportion]]</f>
        <v>0</v>
      </c>
      <c r="J188" s="200"/>
      <c r="K188" s="753"/>
      <c r="L188" s="754">
        <f>_xlfn.XLOOKUP(TableauRecette[[#This Row],[ID]],TableauProduit[ID],TableauProduit[Total (kg) N1],0,0,1)*TableauRecette[[#This Row],[poids / unite]]</f>
        <v>0</v>
      </c>
      <c r="M188" s="755">
        <f>_xlfn.XLOOKUP(TableauRecette[[#This Row],[ID]],TableauProduit[ID],TableauProduit[Total (kg) N2],0,0,1)*TableauRecette[[#This Row],[poids / unite]]</f>
        <v>0</v>
      </c>
      <c r="N188" s="755">
        <f>_xlfn.XLOOKUP(TableauRecette[[#This Row],[ID]],TableauProduit[ID],TableauProduit[Total (kg) N3],0,0,1)*TableauRecette[[#This Row],[poids / unite]]</f>
        <v>0</v>
      </c>
      <c r="O188" s="755">
        <f>_xlfn.XLOOKUP(TableauRecette[[#This Row],[ID]],TableauProduit[ID],TableauProduit[Total (kg) N4],0,0,1)*TableauRecette[[#This Row],[poids / unite]]</f>
        <v>0</v>
      </c>
      <c r="P188" s="755">
        <f>_xlfn.XLOOKUP(TableauRecette[[#This Row],[ID]],TableauProduit[ID],TableauProduit[Total (kg) N5],0,0,1)*TableauRecette[[#This Row],[poids / unite]]</f>
        <v>0</v>
      </c>
      <c r="Q188" s="755">
        <f>_xlfn.XLOOKUP(TableauRecette[[#This Row],[ID]],TableauProduit[ID],TableauProduit[Total (kg) N6],0,0,1)*TableauRecette[[#This Row],[poids / unite]]</f>
        <v>0</v>
      </c>
      <c r="R188" s="755">
        <f>_xlfn.XLOOKUP(TableauRecette[[#This Row],[ID]],TableauProduit[ID],TableauProduit[Total (kg) N7],0,0,1)*TableauRecette[[#This Row],[poids / unite]]</f>
        <v>0</v>
      </c>
      <c r="S188" s="755">
        <f>_xlfn.XLOOKUP(TableauRecette[[#This Row],[ID]],TableauProduit[ID],TableauProduit[Total (kg) N8],0,0,1)*TableauRecette[[#This Row],[poids / unite]]</f>
        <v>0</v>
      </c>
      <c r="T188" s="755">
        <f>_xlfn.XLOOKUP(TableauRecette[[#This Row],[ID]],TableauProduit[ID],TableauProduit[Total (kg) N9],0,0,1)*TableauRecette[[#This Row],[poids / unite]]</f>
        <v>0</v>
      </c>
    </row>
    <row r="189" spans="1:20">
      <c r="A189" s="77" t="s">
        <v>111</v>
      </c>
      <c r="B189" s="77" t="str">
        <f>TableauRecette[[#This Row],[Recette]]&amp;TableauRecette[[#This Row],[Conditionnement]]</f>
        <v>Garam maslaEpice 100ml</v>
      </c>
      <c r="C189" s="77" t="s">
        <v>283</v>
      </c>
      <c r="D189" s="201">
        <v>25</v>
      </c>
      <c r="E189" s="77" t="s">
        <v>55</v>
      </c>
      <c r="F189" s="201">
        <f>D189/SUMIFS(TableauRecette[Proportion],TableauRecette[Recette],TableauRecette[[#This Row],[Recette]],TableauRecette[Conditionnement],TableauRecette[[#This Row],[Conditionnement]])</f>
        <v>0.23809523809523808</v>
      </c>
      <c r="G189" s="201">
        <f ca="1">_xlfn.XLOOKUP(TableauRecette[[#This Row],[Ingredients]],TableauIngredients[Ingredients],TableauIngredients[Prix d''achat (kg)],0)*TableauRecette[[#This Row],[poids / unite]]</f>
        <v>27.153690476190473</v>
      </c>
      <c r="H189" s="201">
        <f>SUMIFS(TableauRecette[Proportion],TableauRecette[Recette],TableauRecette[[#This Row],[Recette]],TableauRecette[Conditionnement],TableauRecette[[#This Row],[Conditionnement]])</f>
        <v>105</v>
      </c>
      <c r="I189" s="201">
        <f ca="1">TableauRecette[[#This Row],[Proportion]]*TableauRecette[[#This Row],[Prix d''achat / kg]]/TableauRecette[[#This Row],[Total Proportion]]</f>
        <v>0</v>
      </c>
      <c r="J189" s="201" t="s">
        <v>324</v>
      </c>
      <c r="K189" s="756" t="s">
        <v>282</v>
      </c>
      <c r="L189" s="757">
        <f>_xlfn.XLOOKUP(TableauRecette[[#This Row],[ID]],TableauProduit[ID],TableauProduit[Total (kg) N1],0,0,1)*TableauRecette[[#This Row],[poids / unite]]</f>
        <v>0</v>
      </c>
      <c r="M189" s="758">
        <f>_xlfn.XLOOKUP(TableauRecette[[#This Row],[ID]],TableauProduit[ID],TableauProduit[Total (kg) N2],0,0,1)*TableauRecette[[#This Row],[poids / unite]]</f>
        <v>0</v>
      </c>
      <c r="N189" s="758">
        <f>_xlfn.XLOOKUP(TableauRecette[[#This Row],[ID]],TableauProduit[ID],TableauProduit[Total (kg) N3],0,0,1)*TableauRecette[[#This Row],[poids / unite]]</f>
        <v>0</v>
      </c>
      <c r="O189" s="758">
        <f>_xlfn.XLOOKUP(TableauRecette[[#This Row],[ID]],TableauProduit[ID],TableauProduit[Total (kg) N4],0,0,1)*TableauRecette[[#This Row],[poids / unite]]</f>
        <v>0</v>
      </c>
      <c r="P189" s="758">
        <f>_xlfn.XLOOKUP(TableauRecette[[#This Row],[ID]],TableauProduit[ID],TableauProduit[Total (kg) N5],0,0,1)*TableauRecette[[#This Row],[poids / unite]]</f>
        <v>0</v>
      </c>
      <c r="Q189" s="758">
        <f>_xlfn.XLOOKUP(TableauRecette[[#This Row],[ID]],TableauProduit[ID],TableauProduit[Total (kg) N6],0,0,1)*TableauRecette[[#This Row],[poids / unite]]</f>
        <v>0</v>
      </c>
      <c r="R189" s="758">
        <f>_xlfn.XLOOKUP(TableauRecette[[#This Row],[ID]],TableauProduit[ID],TableauProduit[Total (kg) N7],0,0,1)*TableauRecette[[#This Row],[poids / unite]]</f>
        <v>0</v>
      </c>
      <c r="S189" s="758">
        <f>_xlfn.XLOOKUP(TableauRecette[[#This Row],[ID]],TableauProduit[ID],TableauProduit[Total (kg) N8],0,0,1)*TableauRecette[[#This Row],[poids / unite]]</f>
        <v>0</v>
      </c>
      <c r="T189" s="758">
        <f>_xlfn.XLOOKUP(TableauRecette[[#This Row],[ID]],TableauProduit[ID],TableauProduit[Total (kg) N9],0,0,1)*TableauRecette[[#This Row],[poids / unite]]</f>
        <v>0</v>
      </c>
    </row>
    <row r="190" spans="1:20">
      <c r="A190" s="77" t="s">
        <v>111</v>
      </c>
      <c r="B190" s="77" t="str">
        <f>TableauRecette[[#This Row],[Recette]]&amp;TableauRecette[[#This Row],[Conditionnement]]</f>
        <v>Garam maslaEpice 100ml</v>
      </c>
      <c r="C190" s="77" t="s">
        <v>332</v>
      </c>
      <c r="D190" s="201">
        <v>25</v>
      </c>
      <c r="E190" s="77" t="s">
        <v>55</v>
      </c>
      <c r="F190" s="201">
        <f>D190/SUMIFS(TableauRecette[Proportion],TableauRecette[Recette],TableauRecette[[#This Row],[Recette]],TableauRecette[Conditionnement],TableauRecette[[#This Row],[Conditionnement]])</f>
        <v>0.23809523809523808</v>
      </c>
      <c r="G190" s="201">
        <f ca="1">_xlfn.XLOOKUP(TableauRecette[[#This Row],[Ingredients]],TableauIngredients[Ingredients],TableauIngredients[Prix d''achat (kg)],0)*TableauRecette[[#This Row],[poids / unite]]</f>
        <v>14.047619047619047</v>
      </c>
      <c r="H190" s="201">
        <f>SUMIFS(TableauRecette[Proportion],TableauRecette[Recette],TableauRecette[[#This Row],[Recette]],TableauRecette[Conditionnement],TableauRecette[[#This Row],[Conditionnement]])</f>
        <v>105</v>
      </c>
      <c r="I190" s="201">
        <f ca="1">TableauRecette[[#This Row],[Proportion]]*TableauRecette[[#This Row],[Prix d''achat / kg]]/TableauRecette[[#This Row],[Total Proportion]]</f>
        <v>0</v>
      </c>
      <c r="J190" s="201" t="s">
        <v>324</v>
      </c>
      <c r="K190" s="756" t="s">
        <v>282</v>
      </c>
      <c r="L190" s="757">
        <f>_xlfn.XLOOKUP(TableauRecette[[#This Row],[ID]],TableauProduit[ID],TableauProduit[Total (kg) N1],0,0,1)*TableauRecette[[#This Row],[poids / unite]]</f>
        <v>0</v>
      </c>
      <c r="M190" s="758">
        <f>_xlfn.XLOOKUP(TableauRecette[[#This Row],[ID]],TableauProduit[ID],TableauProduit[Total (kg) N2],0,0,1)*TableauRecette[[#This Row],[poids / unite]]</f>
        <v>0</v>
      </c>
      <c r="N190" s="758">
        <f>_xlfn.XLOOKUP(TableauRecette[[#This Row],[ID]],TableauProduit[ID],TableauProduit[Total (kg) N3],0,0,1)*TableauRecette[[#This Row],[poids / unite]]</f>
        <v>0</v>
      </c>
      <c r="O190" s="758">
        <f>_xlfn.XLOOKUP(TableauRecette[[#This Row],[ID]],TableauProduit[ID],TableauProduit[Total (kg) N4],0,0,1)*TableauRecette[[#This Row],[poids / unite]]</f>
        <v>0</v>
      </c>
      <c r="P190" s="758">
        <f>_xlfn.XLOOKUP(TableauRecette[[#This Row],[ID]],TableauProduit[ID],TableauProduit[Total (kg) N5],0,0,1)*TableauRecette[[#This Row],[poids / unite]]</f>
        <v>0</v>
      </c>
      <c r="Q190" s="758">
        <f>_xlfn.XLOOKUP(TableauRecette[[#This Row],[ID]],TableauProduit[ID],TableauProduit[Total (kg) N6],0,0,1)*TableauRecette[[#This Row],[poids / unite]]</f>
        <v>0</v>
      </c>
      <c r="R190" s="758">
        <f>_xlfn.XLOOKUP(TableauRecette[[#This Row],[ID]],TableauProduit[ID],TableauProduit[Total (kg) N7],0,0,1)*TableauRecette[[#This Row],[poids / unite]]</f>
        <v>0</v>
      </c>
      <c r="S190" s="758">
        <f>_xlfn.XLOOKUP(TableauRecette[[#This Row],[ID]],TableauProduit[ID],TableauProduit[Total (kg) N8],0,0,1)*TableauRecette[[#This Row],[poids / unite]]</f>
        <v>0</v>
      </c>
      <c r="T190" s="758">
        <f>_xlfn.XLOOKUP(TableauRecette[[#This Row],[ID]],TableauProduit[ID],TableauProduit[Total (kg) N9],0,0,1)*TableauRecette[[#This Row],[poids / unite]]</f>
        <v>0</v>
      </c>
    </row>
    <row r="191" spans="1:20">
      <c r="A191" s="77" t="s">
        <v>111</v>
      </c>
      <c r="B191" s="77" t="str">
        <f>TableauRecette[[#This Row],[Recette]]&amp;TableauRecette[[#This Row],[Conditionnement]]</f>
        <v>Garam maslaEpice 100ml</v>
      </c>
      <c r="C191" s="77" t="s">
        <v>333</v>
      </c>
      <c r="D191" s="201">
        <v>10</v>
      </c>
      <c r="E191" s="77" t="s">
        <v>55</v>
      </c>
      <c r="F191" s="201">
        <f>D191/SUMIFS(TableauRecette[Proportion],TableauRecette[Recette],TableauRecette[[#This Row],[Recette]],TableauRecette[Conditionnement],TableauRecette[[#This Row],[Conditionnement]])</f>
        <v>9.5238095238095233E-2</v>
      </c>
      <c r="G191" s="201">
        <f ca="1">_xlfn.XLOOKUP(TableauRecette[[#This Row],[Ingredients]],TableauIngredients[Ingredients],TableauIngredients[Prix d''achat (kg)],0)*TableauRecette[[#This Row],[poids / unite]]</f>
        <v>0</v>
      </c>
      <c r="H191" s="201">
        <f>SUMIFS(TableauRecette[Proportion],TableauRecette[Recette],TableauRecette[[#This Row],[Recette]],TableauRecette[Conditionnement],TableauRecette[[#This Row],[Conditionnement]])</f>
        <v>105</v>
      </c>
      <c r="I191" s="201">
        <f ca="1">TableauRecette[[#This Row],[Proportion]]*TableauRecette[[#This Row],[Prix d''achat / kg]]/TableauRecette[[#This Row],[Total Proportion]]</f>
        <v>0</v>
      </c>
      <c r="J191" s="201" t="s">
        <v>324</v>
      </c>
      <c r="K191" s="756" t="s">
        <v>282</v>
      </c>
      <c r="L191" s="757">
        <f>_xlfn.XLOOKUP(TableauRecette[[#This Row],[ID]],TableauProduit[ID],TableauProduit[Total (kg) N1],0,0,1)*TableauRecette[[#This Row],[poids / unite]]</f>
        <v>0</v>
      </c>
      <c r="M191" s="758">
        <f>_xlfn.XLOOKUP(TableauRecette[[#This Row],[ID]],TableauProduit[ID],TableauProduit[Total (kg) N2],0,0,1)*TableauRecette[[#This Row],[poids / unite]]</f>
        <v>0</v>
      </c>
      <c r="N191" s="758">
        <f>_xlfn.XLOOKUP(TableauRecette[[#This Row],[ID]],TableauProduit[ID],TableauProduit[Total (kg) N3],0,0,1)*TableauRecette[[#This Row],[poids / unite]]</f>
        <v>0</v>
      </c>
      <c r="O191" s="758">
        <f>_xlfn.XLOOKUP(TableauRecette[[#This Row],[ID]],TableauProduit[ID],TableauProduit[Total (kg) N4],0,0,1)*TableauRecette[[#This Row],[poids / unite]]</f>
        <v>0</v>
      </c>
      <c r="P191" s="758">
        <f>_xlfn.XLOOKUP(TableauRecette[[#This Row],[ID]],TableauProduit[ID],TableauProduit[Total (kg) N5],0,0,1)*TableauRecette[[#This Row],[poids / unite]]</f>
        <v>0</v>
      </c>
      <c r="Q191" s="758">
        <f>_xlfn.XLOOKUP(TableauRecette[[#This Row],[ID]],TableauProduit[ID],TableauProduit[Total (kg) N6],0,0,1)*TableauRecette[[#This Row],[poids / unite]]</f>
        <v>0</v>
      </c>
      <c r="R191" s="758">
        <f>_xlfn.XLOOKUP(TableauRecette[[#This Row],[ID]],TableauProduit[ID],TableauProduit[Total (kg) N7],0,0,1)*TableauRecette[[#This Row],[poids / unite]]</f>
        <v>0</v>
      </c>
      <c r="S191" s="758">
        <f>_xlfn.XLOOKUP(TableauRecette[[#This Row],[ID]],TableauProduit[ID],TableauProduit[Total (kg) N8],0,0,1)*TableauRecette[[#This Row],[poids / unite]]</f>
        <v>0</v>
      </c>
      <c r="T191" s="758">
        <f>_xlfn.XLOOKUP(TableauRecette[[#This Row],[ID]],TableauProduit[ID],TableauProduit[Total (kg) N9],0,0,1)*TableauRecette[[#This Row],[poids / unite]]</f>
        <v>0</v>
      </c>
    </row>
    <row r="192" spans="1:20">
      <c r="A192" s="77" t="s">
        <v>111</v>
      </c>
      <c r="B192" s="77" t="str">
        <f>TableauRecette[[#This Row],[Recette]]&amp;TableauRecette[[#This Row],[Conditionnement]]</f>
        <v>Garam maslaEpice 100ml</v>
      </c>
      <c r="C192" s="77" t="s">
        <v>287</v>
      </c>
      <c r="D192" s="201">
        <v>25</v>
      </c>
      <c r="E192" s="77" t="s">
        <v>55</v>
      </c>
      <c r="F192" s="201">
        <f>D192/SUMIFS(TableauRecette[Proportion],TableauRecette[Recette],TableauRecette[[#This Row],[Recette]],TableauRecette[Conditionnement],TableauRecette[[#This Row],[Conditionnement]])</f>
        <v>0.23809523809523808</v>
      </c>
      <c r="G192" s="201">
        <f ca="1">_xlfn.XLOOKUP(TableauRecette[[#This Row],[Ingredients]],TableauIngredients[Ingredients],TableauIngredients[Prix d''achat (kg)],0)*TableauRecette[[#This Row],[poids / unite]]</f>
        <v>8.7738095238095237</v>
      </c>
      <c r="H192" s="201">
        <f>SUMIFS(TableauRecette[Proportion],TableauRecette[Recette],TableauRecette[[#This Row],[Recette]],TableauRecette[Conditionnement],TableauRecette[[#This Row],[Conditionnement]])</f>
        <v>105</v>
      </c>
      <c r="I192" s="201">
        <f ca="1">TableauRecette[[#This Row],[Proportion]]*TableauRecette[[#This Row],[Prix d''achat / kg]]/TableauRecette[[#This Row],[Total Proportion]]</f>
        <v>0</v>
      </c>
      <c r="J192" s="201" t="s">
        <v>334</v>
      </c>
      <c r="K192" s="756" t="s">
        <v>282</v>
      </c>
      <c r="L192" s="757">
        <f>_xlfn.XLOOKUP(TableauRecette[[#This Row],[ID]],TableauProduit[ID],TableauProduit[Total (kg) N1],0,0,1)*TableauRecette[[#This Row],[poids / unite]]</f>
        <v>0</v>
      </c>
      <c r="M192" s="758">
        <f>_xlfn.XLOOKUP(TableauRecette[[#This Row],[ID]],TableauProduit[ID],TableauProduit[Total (kg) N2],0,0,1)*TableauRecette[[#This Row],[poids / unite]]</f>
        <v>0</v>
      </c>
      <c r="N192" s="758">
        <f>_xlfn.XLOOKUP(TableauRecette[[#This Row],[ID]],TableauProduit[ID],TableauProduit[Total (kg) N3],0,0,1)*TableauRecette[[#This Row],[poids / unite]]</f>
        <v>0</v>
      </c>
      <c r="O192" s="758">
        <f>_xlfn.XLOOKUP(TableauRecette[[#This Row],[ID]],TableauProduit[ID],TableauProduit[Total (kg) N4],0,0,1)*TableauRecette[[#This Row],[poids / unite]]</f>
        <v>0</v>
      </c>
      <c r="P192" s="758">
        <f>_xlfn.XLOOKUP(TableauRecette[[#This Row],[ID]],TableauProduit[ID],TableauProduit[Total (kg) N5],0,0,1)*TableauRecette[[#This Row],[poids / unite]]</f>
        <v>0</v>
      </c>
      <c r="Q192" s="758">
        <f>_xlfn.XLOOKUP(TableauRecette[[#This Row],[ID]],TableauProduit[ID],TableauProduit[Total (kg) N6],0,0,1)*TableauRecette[[#This Row],[poids / unite]]</f>
        <v>0</v>
      </c>
      <c r="R192" s="758">
        <f>_xlfn.XLOOKUP(TableauRecette[[#This Row],[ID]],TableauProduit[ID],TableauProduit[Total (kg) N7],0,0,1)*TableauRecette[[#This Row],[poids / unite]]</f>
        <v>0</v>
      </c>
      <c r="S192" s="758">
        <f>_xlfn.XLOOKUP(TableauRecette[[#This Row],[ID]],TableauProduit[ID],TableauProduit[Total (kg) N8],0,0,1)*TableauRecette[[#This Row],[poids / unite]]</f>
        <v>0</v>
      </c>
      <c r="T192" s="758">
        <f>_xlfn.XLOOKUP(TableauRecette[[#This Row],[ID]],TableauProduit[ID],TableauProduit[Total (kg) N9],0,0,1)*TableauRecette[[#This Row],[poids / unite]]</f>
        <v>0</v>
      </c>
    </row>
    <row r="193" spans="1:20">
      <c r="A193" s="77" t="s">
        <v>111</v>
      </c>
      <c r="B193" s="77" t="str">
        <f>TableauRecette[[#This Row],[Recette]]&amp;TableauRecette[[#This Row],[Conditionnement]]</f>
        <v>Garam maslaEpice 100ml</v>
      </c>
      <c r="C193" s="77" t="s">
        <v>335</v>
      </c>
      <c r="D193" s="201">
        <v>7</v>
      </c>
      <c r="E193" s="77" t="s">
        <v>55</v>
      </c>
      <c r="F193" s="201">
        <f>D193/SUMIFS(TableauRecette[Proportion],TableauRecette[Recette],TableauRecette[[#This Row],[Recette]],TableauRecette[Conditionnement],TableauRecette[[#This Row],[Conditionnement]])</f>
        <v>6.6666666666666666E-2</v>
      </c>
      <c r="G193" s="201">
        <f ca="1">_xlfn.XLOOKUP(TableauRecette[[#This Row],[Ingredients]],TableauIngredients[Ingredients],TableauIngredients[Prix d''achat (kg)],0)*TableauRecette[[#This Row],[poids / unite]]</f>
        <v>33.333333333333336</v>
      </c>
      <c r="H193" s="201">
        <f>SUMIFS(TableauRecette[Proportion],TableauRecette[Recette],TableauRecette[[#This Row],[Recette]],TableauRecette[Conditionnement],TableauRecette[[#This Row],[Conditionnement]])</f>
        <v>105</v>
      </c>
      <c r="I193" s="201">
        <f ca="1">TableauRecette[[#This Row],[Proportion]]*TableauRecette[[#This Row],[Prix d''achat / kg]]/TableauRecette[[#This Row],[Total Proportion]]</f>
        <v>0</v>
      </c>
      <c r="J193" s="201" t="s">
        <v>334</v>
      </c>
      <c r="K193" s="756" t="s">
        <v>282</v>
      </c>
      <c r="L193" s="757">
        <f>_xlfn.XLOOKUP(TableauRecette[[#This Row],[ID]],TableauProduit[ID],TableauProduit[Total (kg) N1],0,0,1)*TableauRecette[[#This Row],[poids / unite]]</f>
        <v>0</v>
      </c>
      <c r="M193" s="758">
        <f>_xlfn.XLOOKUP(TableauRecette[[#This Row],[ID]],TableauProduit[ID],TableauProduit[Total (kg) N2],0,0,1)*TableauRecette[[#This Row],[poids / unite]]</f>
        <v>0</v>
      </c>
      <c r="N193" s="758">
        <f>_xlfn.XLOOKUP(TableauRecette[[#This Row],[ID]],TableauProduit[ID],TableauProduit[Total (kg) N3],0,0,1)*TableauRecette[[#This Row],[poids / unite]]</f>
        <v>0</v>
      </c>
      <c r="O193" s="758">
        <f>_xlfn.XLOOKUP(TableauRecette[[#This Row],[ID]],TableauProduit[ID],TableauProduit[Total (kg) N4],0,0,1)*TableauRecette[[#This Row],[poids / unite]]</f>
        <v>0</v>
      </c>
      <c r="P193" s="758">
        <f>_xlfn.XLOOKUP(TableauRecette[[#This Row],[ID]],TableauProduit[ID],TableauProduit[Total (kg) N5],0,0,1)*TableauRecette[[#This Row],[poids / unite]]</f>
        <v>0</v>
      </c>
      <c r="Q193" s="758">
        <f>_xlfn.XLOOKUP(TableauRecette[[#This Row],[ID]],TableauProduit[ID],TableauProduit[Total (kg) N6],0,0,1)*TableauRecette[[#This Row],[poids / unite]]</f>
        <v>0</v>
      </c>
      <c r="R193" s="758">
        <f>_xlfn.XLOOKUP(TableauRecette[[#This Row],[ID]],TableauProduit[ID],TableauProduit[Total (kg) N7],0,0,1)*TableauRecette[[#This Row],[poids / unite]]</f>
        <v>0</v>
      </c>
      <c r="S193" s="758">
        <f>_xlfn.XLOOKUP(TableauRecette[[#This Row],[ID]],TableauProduit[ID],TableauProduit[Total (kg) N8],0,0,1)*TableauRecette[[#This Row],[poids / unite]]</f>
        <v>0</v>
      </c>
      <c r="T193" s="758">
        <f>_xlfn.XLOOKUP(TableauRecette[[#This Row],[ID]],TableauProduit[ID],TableauProduit[Total (kg) N9],0,0,1)*TableauRecette[[#This Row],[poids / unite]]</f>
        <v>0</v>
      </c>
    </row>
    <row r="194" spans="1:20">
      <c r="A194" s="77" t="s">
        <v>111</v>
      </c>
      <c r="B194" s="77" t="str">
        <f>TableauRecette[[#This Row],[Recette]]&amp;TableauRecette[[#This Row],[Conditionnement]]</f>
        <v>Garam maslaEpice 100ml</v>
      </c>
      <c r="C194" s="77" t="s">
        <v>288</v>
      </c>
      <c r="D194" s="201">
        <v>10</v>
      </c>
      <c r="E194" s="77" t="s">
        <v>55</v>
      </c>
      <c r="F194" s="201">
        <f>D194/SUMIFS(TableauRecette[Proportion],TableauRecette[Recette],TableauRecette[[#This Row],[Recette]],TableauRecette[Conditionnement],TableauRecette[[#This Row],[Conditionnement]])</f>
        <v>9.5238095238095233E-2</v>
      </c>
      <c r="G194" s="201">
        <f ca="1">_xlfn.XLOOKUP(TableauRecette[[#This Row],[Ingredients]],TableauIngredients[Ingredients],TableauIngredients[Prix d''achat (kg)],0)*TableauRecette[[#This Row],[poids / unite]]</f>
        <v>3.4285714285714284</v>
      </c>
      <c r="H194" s="201">
        <f>SUMIFS(TableauRecette[Proportion],TableauRecette[Recette],TableauRecette[[#This Row],[Recette]],TableauRecette[Conditionnement],TableauRecette[[#This Row],[Conditionnement]])</f>
        <v>105</v>
      </c>
      <c r="I194" s="201">
        <f ca="1">TableauRecette[[#This Row],[Proportion]]*TableauRecette[[#This Row],[Prix d''achat / kg]]/TableauRecette[[#This Row],[Total Proportion]]</f>
        <v>0</v>
      </c>
      <c r="J194" s="201" t="s">
        <v>334</v>
      </c>
      <c r="K194" s="756" t="s">
        <v>282</v>
      </c>
      <c r="L194" s="757">
        <f>_xlfn.XLOOKUP(TableauRecette[[#This Row],[ID]],TableauProduit[ID],TableauProduit[Total (kg) N1],0,0,1)*TableauRecette[[#This Row],[poids / unite]]</f>
        <v>0</v>
      </c>
      <c r="M194" s="758">
        <f>_xlfn.XLOOKUP(TableauRecette[[#This Row],[ID]],TableauProduit[ID],TableauProduit[Total (kg) N2],0,0,1)*TableauRecette[[#This Row],[poids / unite]]</f>
        <v>0</v>
      </c>
      <c r="N194" s="758">
        <f>_xlfn.XLOOKUP(TableauRecette[[#This Row],[ID]],TableauProduit[ID],TableauProduit[Total (kg) N3],0,0,1)*TableauRecette[[#This Row],[poids / unite]]</f>
        <v>0</v>
      </c>
      <c r="O194" s="758">
        <f>_xlfn.XLOOKUP(TableauRecette[[#This Row],[ID]],TableauProduit[ID],TableauProduit[Total (kg) N4],0,0,1)*TableauRecette[[#This Row],[poids / unite]]</f>
        <v>0</v>
      </c>
      <c r="P194" s="758">
        <f>_xlfn.XLOOKUP(TableauRecette[[#This Row],[ID]],TableauProduit[ID],TableauProduit[Total (kg) N5],0,0,1)*TableauRecette[[#This Row],[poids / unite]]</f>
        <v>0</v>
      </c>
      <c r="Q194" s="758">
        <f>_xlfn.XLOOKUP(TableauRecette[[#This Row],[ID]],TableauProduit[ID],TableauProduit[Total (kg) N6],0,0,1)*TableauRecette[[#This Row],[poids / unite]]</f>
        <v>0</v>
      </c>
      <c r="R194" s="758">
        <f>_xlfn.XLOOKUP(TableauRecette[[#This Row],[ID]],TableauProduit[ID],TableauProduit[Total (kg) N7],0,0,1)*TableauRecette[[#This Row],[poids / unite]]</f>
        <v>0</v>
      </c>
      <c r="S194" s="758">
        <f>_xlfn.XLOOKUP(TableauRecette[[#This Row],[ID]],TableauProduit[ID],TableauProduit[Total (kg) N8],0,0,1)*TableauRecette[[#This Row],[poids / unite]]</f>
        <v>0</v>
      </c>
      <c r="T194" s="758">
        <f>_xlfn.XLOOKUP(TableauRecette[[#This Row],[ID]],TableauProduit[ID],TableauProduit[Total (kg) N9],0,0,1)*TableauRecette[[#This Row],[poids / unite]]</f>
        <v>0</v>
      </c>
    </row>
    <row r="195" spans="1:20">
      <c r="A195" s="77" t="s">
        <v>111</v>
      </c>
      <c r="B195" s="77" t="str">
        <f>TableauRecette[[#This Row],[Recette]]&amp;TableauRecette[[#This Row],[Conditionnement]]</f>
        <v>Garam maslaEpice 100ml</v>
      </c>
      <c r="C195" s="77" t="s">
        <v>291</v>
      </c>
      <c r="D195" s="201">
        <v>3</v>
      </c>
      <c r="E195" s="77" t="s">
        <v>55</v>
      </c>
      <c r="F195" s="201">
        <f>D195/SUMIFS(TableauRecette[Proportion],TableauRecette[Recette],TableauRecette[[#This Row],[Recette]],TableauRecette[Conditionnement],TableauRecette[[#This Row],[Conditionnement]])</f>
        <v>2.8571428571428571E-2</v>
      </c>
      <c r="G195" s="201">
        <f ca="1">_xlfn.XLOOKUP(TableauRecette[[#This Row],[Ingredients]],TableauIngredients[Ingredients],TableauIngredients[Prix d''achat (kg)],0)*TableauRecette[[#This Row],[poids / unite]]</f>
        <v>1.7142857142857142</v>
      </c>
      <c r="H195" s="201">
        <f>SUMIFS(TableauRecette[Proportion],TableauRecette[Recette],TableauRecette[[#This Row],[Recette]],TableauRecette[Conditionnement],TableauRecette[[#This Row],[Conditionnement]])</f>
        <v>105</v>
      </c>
      <c r="I195" s="201">
        <f ca="1">TableauRecette[[#This Row],[Proportion]]*TableauRecette[[#This Row],[Prix d''achat / kg]]/TableauRecette[[#This Row],[Total Proportion]]</f>
        <v>0</v>
      </c>
      <c r="J195" s="201" t="s">
        <v>334</v>
      </c>
      <c r="K195" s="756" t="s">
        <v>282</v>
      </c>
      <c r="L195" s="757">
        <f>_xlfn.XLOOKUP(TableauRecette[[#This Row],[ID]],TableauProduit[ID],TableauProduit[Total (kg) N1],0,0,1)*TableauRecette[[#This Row],[poids / unite]]</f>
        <v>0</v>
      </c>
      <c r="M195" s="758">
        <f>_xlfn.XLOOKUP(TableauRecette[[#This Row],[ID]],TableauProduit[ID],TableauProduit[Total (kg) N2],0,0,1)*TableauRecette[[#This Row],[poids / unite]]</f>
        <v>0</v>
      </c>
      <c r="N195" s="758">
        <f>_xlfn.XLOOKUP(TableauRecette[[#This Row],[ID]],TableauProduit[ID],TableauProduit[Total (kg) N3],0,0,1)*TableauRecette[[#This Row],[poids / unite]]</f>
        <v>0</v>
      </c>
      <c r="O195" s="758">
        <f>_xlfn.XLOOKUP(TableauRecette[[#This Row],[ID]],TableauProduit[ID],TableauProduit[Total (kg) N4],0,0,1)*TableauRecette[[#This Row],[poids / unite]]</f>
        <v>0</v>
      </c>
      <c r="P195" s="758">
        <f>_xlfn.XLOOKUP(TableauRecette[[#This Row],[ID]],TableauProduit[ID],TableauProduit[Total (kg) N5],0,0,1)*TableauRecette[[#This Row],[poids / unite]]</f>
        <v>0</v>
      </c>
      <c r="Q195" s="758">
        <f>_xlfn.XLOOKUP(TableauRecette[[#This Row],[ID]],TableauProduit[ID],TableauProduit[Total (kg) N6],0,0,1)*TableauRecette[[#This Row],[poids / unite]]</f>
        <v>0</v>
      </c>
      <c r="R195" s="758">
        <f>_xlfn.XLOOKUP(TableauRecette[[#This Row],[ID]],TableauProduit[ID],TableauProduit[Total (kg) N7],0,0,1)*TableauRecette[[#This Row],[poids / unite]]</f>
        <v>0</v>
      </c>
      <c r="S195" s="758">
        <f>_xlfn.XLOOKUP(TableauRecette[[#This Row],[ID]],TableauProduit[ID],TableauProduit[Total (kg) N8],0,0,1)*TableauRecette[[#This Row],[poids / unite]]</f>
        <v>0</v>
      </c>
      <c r="T195" s="758">
        <f>_xlfn.XLOOKUP(TableauRecette[[#This Row],[ID]],TableauProduit[ID],TableauProduit[Total (kg) N9],0,0,1)*TableauRecette[[#This Row],[poids / unite]]</f>
        <v>0</v>
      </c>
    </row>
    <row r="196" spans="1:20">
      <c r="A196" s="78" t="s">
        <v>109</v>
      </c>
      <c r="B196" s="78" t="str">
        <f>TableauRecette[[#This Row],[Recette]]&amp;TableauRecette[[#This Row],[Conditionnement]]</f>
        <v>Garam masla birmanEpice 100ml</v>
      </c>
      <c r="C196" s="78" t="s">
        <v>289</v>
      </c>
      <c r="D196" s="202">
        <v>1</v>
      </c>
      <c r="E196" s="78" t="s">
        <v>55</v>
      </c>
      <c r="F196" s="202">
        <f>D196/SUMIFS(TableauRecette[Proportion],TableauRecette[Recette],TableauRecette[[#This Row],[Recette]],TableauRecette[Conditionnement],TableauRecette[[#This Row],[Conditionnement]])</f>
        <v>0.11764705882352941</v>
      </c>
      <c r="G196" s="202">
        <f ca="1">_xlfn.XLOOKUP(TableauRecette[[#This Row],[Ingredients]],TableauIngredients[Ingredients],TableauIngredients[Prix d''achat (kg)],0)*TableauRecette[[#This Row],[poids / unite]]</f>
        <v>0</v>
      </c>
      <c r="H196" s="202">
        <f>SUMIFS(TableauRecette[Proportion],TableauRecette[Recette],TableauRecette[[#This Row],[Recette]],TableauRecette[Conditionnement],TableauRecette[[#This Row],[Conditionnement]])</f>
        <v>8.5</v>
      </c>
      <c r="I196" s="202">
        <f ca="1">TableauRecette[[#This Row],[Proportion]]*TableauRecette[[#This Row],[Prix d''achat / kg]]/TableauRecette[[#This Row],[Total Proportion]]</f>
        <v>0</v>
      </c>
      <c r="J196" s="202" t="s">
        <v>336</v>
      </c>
      <c r="K196" s="759" t="s">
        <v>282</v>
      </c>
      <c r="L196" s="760">
        <f>_xlfn.XLOOKUP(TableauRecette[[#This Row],[ID]],TableauProduit[ID],TableauProduit[Total (kg) N1],0,0,1)*TableauRecette[[#This Row],[poids / unite]]</f>
        <v>0</v>
      </c>
      <c r="M196" s="761">
        <f>_xlfn.XLOOKUP(TableauRecette[[#This Row],[ID]],TableauProduit[ID],TableauProduit[Total (kg) N2],0,0,1)*TableauRecette[[#This Row],[poids / unite]]</f>
        <v>0</v>
      </c>
      <c r="N196" s="761">
        <f>_xlfn.XLOOKUP(TableauRecette[[#This Row],[ID]],TableauProduit[ID],TableauProduit[Total (kg) N3],0,0,1)*TableauRecette[[#This Row],[poids / unite]]</f>
        <v>0</v>
      </c>
      <c r="O196" s="761">
        <f>_xlfn.XLOOKUP(TableauRecette[[#This Row],[ID]],TableauProduit[ID],TableauProduit[Total (kg) N4],0,0,1)*TableauRecette[[#This Row],[poids / unite]]</f>
        <v>0</v>
      </c>
      <c r="P196" s="761">
        <f>_xlfn.XLOOKUP(TableauRecette[[#This Row],[ID]],TableauProduit[ID],TableauProduit[Total (kg) N5],0,0,1)*TableauRecette[[#This Row],[poids / unite]]</f>
        <v>0</v>
      </c>
      <c r="Q196" s="761">
        <f>_xlfn.XLOOKUP(TableauRecette[[#This Row],[ID]],TableauProduit[ID],TableauProduit[Total (kg) N6],0,0,1)*TableauRecette[[#This Row],[poids / unite]]</f>
        <v>0</v>
      </c>
      <c r="R196" s="761">
        <f>_xlfn.XLOOKUP(TableauRecette[[#This Row],[ID]],TableauProduit[ID],TableauProduit[Total (kg) N7],0,0,1)*TableauRecette[[#This Row],[poids / unite]]</f>
        <v>0</v>
      </c>
      <c r="S196" s="761">
        <f>_xlfn.XLOOKUP(TableauRecette[[#This Row],[ID]],TableauProduit[ID],TableauProduit[Total (kg) N8],0,0,1)*TableauRecette[[#This Row],[poids / unite]]</f>
        <v>0</v>
      </c>
      <c r="T196" s="761">
        <f>_xlfn.XLOOKUP(TableauRecette[[#This Row],[ID]],TableauProduit[ID],TableauProduit[Total (kg) N9],0,0,1)*TableauRecette[[#This Row],[poids / unite]]</f>
        <v>0</v>
      </c>
    </row>
    <row r="197" spans="1:20">
      <c r="A197" s="78" t="s">
        <v>109</v>
      </c>
      <c r="B197" s="78" t="str">
        <f>TableauRecette[[#This Row],[Recette]]&amp;TableauRecette[[#This Row],[Conditionnement]]</f>
        <v>Garam masla birmanEpice 100ml</v>
      </c>
      <c r="C197" s="78" t="s">
        <v>287</v>
      </c>
      <c r="D197" s="202">
        <v>1</v>
      </c>
      <c r="E197" s="78" t="s">
        <v>55</v>
      </c>
      <c r="F197" s="202">
        <f>D197/SUMIFS(TableauRecette[Proportion],TableauRecette[Recette],TableauRecette[[#This Row],[Recette]],TableauRecette[Conditionnement],TableauRecette[[#This Row],[Conditionnement]])</f>
        <v>0.11764705882352941</v>
      </c>
      <c r="G197" s="202">
        <f ca="1">_xlfn.XLOOKUP(TableauRecette[[#This Row],[Ingredients]],TableauIngredients[Ingredients],TableauIngredients[Prix d''achat (kg)],0)*TableauRecette[[#This Row],[poids / unite]]</f>
        <v>4.3352941176470585</v>
      </c>
      <c r="H197" s="202">
        <f>SUMIFS(TableauRecette[Proportion],TableauRecette[Recette],TableauRecette[[#This Row],[Recette]],TableauRecette[Conditionnement],TableauRecette[[#This Row],[Conditionnement]])</f>
        <v>8.5</v>
      </c>
      <c r="I197" s="202">
        <f ca="1">TableauRecette[[#This Row],[Proportion]]*TableauRecette[[#This Row],[Prix d''achat / kg]]/TableauRecette[[#This Row],[Total Proportion]]</f>
        <v>0</v>
      </c>
      <c r="J197" s="202" t="s">
        <v>336</v>
      </c>
      <c r="K197" s="759" t="s">
        <v>282</v>
      </c>
      <c r="L197" s="760">
        <f>_xlfn.XLOOKUP(TableauRecette[[#This Row],[ID]],TableauProduit[ID],TableauProduit[Total (kg) N1],0,0,1)*TableauRecette[[#This Row],[poids / unite]]</f>
        <v>0</v>
      </c>
      <c r="M197" s="761">
        <f>_xlfn.XLOOKUP(TableauRecette[[#This Row],[ID]],TableauProduit[ID],TableauProduit[Total (kg) N2],0,0,1)*TableauRecette[[#This Row],[poids / unite]]</f>
        <v>0</v>
      </c>
      <c r="N197" s="761">
        <f>_xlfn.XLOOKUP(TableauRecette[[#This Row],[ID]],TableauProduit[ID],TableauProduit[Total (kg) N3],0,0,1)*TableauRecette[[#This Row],[poids / unite]]</f>
        <v>0</v>
      </c>
      <c r="O197" s="761">
        <f>_xlfn.XLOOKUP(TableauRecette[[#This Row],[ID]],TableauProduit[ID],TableauProduit[Total (kg) N4],0,0,1)*TableauRecette[[#This Row],[poids / unite]]</f>
        <v>0</v>
      </c>
      <c r="P197" s="761">
        <f>_xlfn.XLOOKUP(TableauRecette[[#This Row],[ID]],TableauProduit[ID],TableauProduit[Total (kg) N5],0,0,1)*TableauRecette[[#This Row],[poids / unite]]</f>
        <v>0</v>
      </c>
      <c r="Q197" s="761">
        <f>_xlfn.XLOOKUP(TableauRecette[[#This Row],[ID]],TableauProduit[ID],TableauProduit[Total (kg) N6],0,0,1)*TableauRecette[[#This Row],[poids / unite]]</f>
        <v>0</v>
      </c>
      <c r="R197" s="761">
        <f>_xlfn.XLOOKUP(TableauRecette[[#This Row],[ID]],TableauProduit[ID],TableauProduit[Total (kg) N7],0,0,1)*TableauRecette[[#This Row],[poids / unite]]</f>
        <v>0</v>
      </c>
      <c r="S197" s="761">
        <f>_xlfn.XLOOKUP(TableauRecette[[#This Row],[ID]],TableauProduit[ID],TableauProduit[Total (kg) N8],0,0,1)*TableauRecette[[#This Row],[poids / unite]]</f>
        <v>0</v>
      </c>
      <c r="T197" s="761">
        <f>_xlfn.XLOOKUP(TableauRecette[[#This Row],[ID]],TableauProduit[ID],TableauProduit[Total (kg) N9],0,0,1)*TableauRecette[[#This Row],[poids / unite]]</f>
        <v>0</v>
      </c>
    </row>
    <row r="198" spans="1:20">
      <c r="A198" s="78" t="s">
        <v>109</v>
      </c>
      <c r="B198" s="78" t="str">
        <f>TableauRecette[[#This Row],[Recette]]&amp;TableauRecette[[#This Row],[Conditionnement]]</f>
        <v>Garam masla birmanEpice 100ml</v>
      </c>
      <c r="C198" s="78" t="s">
        <v>284</v>
      </c>
      <c r="D198" s="202">
        <v>1</v>
      </c>
      <c r="E198" s="78" t="s">
        <v>55</v>
      </c>
      <c r="F198" s="202">
        <f>D198/SUMIFS(TableauRecette[Proportion],TableauRecette[Recette],TableauRecette[[#This Row],[Recette]],TableauRecette[Conditionnement],TableauRecette[[#This Row],[Conditionnement]])</f>
        <v>0.11764705882352941</v>
      </c>
      <c r="G198" s="202">
        <f ca="1">_xlfn.XLOOKUP(TableauRecette[[#This Row],[Ingredients]],TableauIngredients[Ingredients],TableauIngredients[Prix d''achat (kg)],0)*TableauRecette[[#This Row],[poids / unite]]</f>
        <v>0</v>
      </c>
      <c r="H198" s="202">
        <f>SUMIFS(TableauRecette[Proportion],TableauRecette[Recette],TableauRecette[[#This Row],[Recette]],TableauRecette[Conditionnement],TableauRecette[[#This Row],[Conditionnement]])</f>
        <v>8.5</v>
      </c>
      <c r="I198" s="202">
        <f ca="1">TableauRecette[[#This Row],[Proportion]]*TableauRecette[[#This Row],[Prix d''achat / kg]]/TableauRecette[[#This Row],[Total Proportion]]</f>
        <v>0</v>
      </c>
      <c r="J198" s="202" t="s">
        <v>336</v>
      </c>
      <c r="K198" s="759" t="s">
        <v>282</v>
      </c>
      <c r="L198" s="760">
        <f>_xlfn.XLOOKUP(TableauRecette[[#This Row],[ID]],TableauProduit[ID],TableauProduit[Total (kg) N1],0,0,1)*TableauRecette[[#This Row],[poids / unite]]</f>
        <v>0</v>
      </c>
      <c r="M198" s="761">
        <f>_xlfn.XLOOKUP(TableauRecette[[#This Row],[ID]],TableauProduit[ID],TableauProduit[Total (kg) N2],0,0,1)*TableauRecette[[#This Row],[poids / unite]]</f>
        <v>0</v>
      </c>
      <c r="N198" s="761">
        <f>_xlfn.XLOOKUP(TableauRecette[[#This Row],[ID]],TableauProduit[ID],TableauProduit[Total (kg) N3],0,0,1)*TableauRecette[[#This Row],[poids / unite]]</f>
        <v>0</v>
      </c>
      <c r="O198" s="761">
        <f>_xlfn.XLOOKUP(TableauRecette[[#This Row],[ID]],TableauProduit[ID],TableauProduit[Total (kg) N4],0,0,1)*TableauRecette[[#This Row],[poids / unite]]</f>
        <v>0</v>
      </c>
      <c r="P198" s="761">
        <f>_xlfn.XLOOKUP(TableauRecette[[#This Row],[ID]],TableauProduit[ID],TableauProduit[Total (kg) N5],0,0,1)*TableauRecette[[#This Row],[poids / unite]]</f>
        <v>0</v>
      </c>
      <c r="Q198" s="761">
        <f>_xlfn.XLOOKUP(TableauRecette[[#This Row],[ID]],TableauProduit[ID],TableauProduit[Total (kg) N6],0,0,1)*TableauRecette[[#This Row],[poids / unite]]</f>
        <v>0</v>
      </c>
      <c r="R198" s="761">
        <f>_xlfn.XLOOKUP(TableauRecette[[#This Row],[ID]],TableauProduit[ID],TableauProduit[Total (kg) N7],0,0,1)*TableauRecette[[#This Row],[poids / unite]]</f>
        <v>0</v>
      </c>
      <c r="S198" s="761">
        <f>_xlfn.XLOOKUP(TableauRecette[[#This Row],[ID]],TableauProduit[ID],TableauProduit[Total (kg) N8],0,0,1)*TableauRecette[[#This Row],[poids / unite]]</f>
        <v>0</v>
      </c>
      <c r="T198" s="761">
        <f>_xlfn.XLOOKUP(TableauRecette[[#This Row],[ID]],TableauProduit[ID],TableauProduit[Total (kg) N9],0,0,1)*TableauRecette[[#This Row],[poids / unite]]</f>
        <v>0</v>
      </c>
    </row>
    <row r="199" spans="1:20">
      <c r="A199" s="78" t="s">
        <v>109</v>
      </c>
      <c r="B199" s="78" t="str">
        <f>TableauRecette[[#This Row],[Recette]]&amp;TableauRecette[[#This Row],[Conditionnement]]</f>
        <v>Garam masla birmanEpice 100ml</v>
      </c>
      <c r="C199" s="78" t="s">
        <v>317</v>
      </c>
      <c r="D199" s="202">
        <v>0.5</v>
      </c>
      <c r="E199" s="78" t="s">
        <v>55</v>
      </c>
      <c r="F199" s="202">
        <f>D199/SUMIFS(TableauRecette[Proportion],TableauRecette[Recette],TableauRecette[[#This Row],[Recette]],TableauRecette[Conditionnement],TableauRecette[[#This Row],[Conditionnement]])</f>
        <v>5.8823529411764705E-2</v>
      </c>
      <c r="G199" s="202">
        <f ca="1">_xlfn.XLOOKUP(TableauRecette[[#This Row],[Ingredients]],TableauIngredients[Ingredients],TableauIngredients[Prix d''achat (kg)],0)*TableauRecette[[#This Row],[poids / unite]]</f>
        <v>0</v>
      </c>
      <c r="H199" s="202">
        <f>SUMIFS(TableauRecette[Proportion],TableauRecette[Recette],TableauRecette[[#This Row],[Recette]],TableauRecette[Conditionnement],TableauRecette[[#This Row],[Conditionnement]])</f>
        <v>8.5</v>
      </c>
      <c r="I199" s="202">
        <f ca="1">TableauRecette[[#This Row],[Proportion]]*TableauRecette[[#This Row],[Prix d''achat / kg]]/TableauRecette[[#This Row],[Total Proportion]]</f>
        <v>0</v>
      </c>
      <c r="J199" s="202" t="s">
        <v>336</v>
      </c>
      <c r="K199" s="759" t="s">
        <v>282</v>
      </c>
      <c r="L199" s="760">
        <f>_xlfn.XLOOKUP(TableauRecette[[#This Row],[ID]],TableauProduit[ID],TableauProduit[Total (kg) N1],0,0,1)*TableauRecette[[#This Row],[poids / unite]]</f>
        <v>0</v>
      </c>
      <c r="M199" s="761">
        <f>_xlfn.XLOOKUP(TableauRecette[[#This Row],[ID]],TableauProduit[ID],TableauProduit[Total (kg) N2],0,0,1)*TableauRecette[[#This Row],[poids / unite]]</f>
        <v>0</v>
      </c>
      <c r="N199" s="761">
        <f>_xlfn.XLOOKUP(TableauRecette[[#This Row],[ID]],TableauProduit[ID],TableauProduit[Total (kg) N3],0,0,1)*TableauRecette[[#This Row],[poids / unite]]</f>
        <v>0</v>
      </c>
      <c r="O199" s="761">
        <f>_xlfn.XLOOKUP(TableauRecette[[#This Row],[ID]],TableauProduit[ID],TableauProduit[Total (kg) N4],0,0,1)*TableauRecette[[#This Row],[poids / unite]]</f>
        <v>0</v>
      </c>
      <c r="P199" s="761">
        <f>_xlfn.XLOOKUP(TableauRecette[[#This Row],[ID]],TableauProduit[ID],TableauProduit[Total (kg) N5],0,0,1)*TableauRecette[[#This Row],[poids / unite]]</f>
        <v>0</v>
      </c>
      <c r="Q199" s="761">
        <f>_xlfn.XLOOKUP(TableauRecette[[#This Row],[ID]],TableauProduit[ID],TableauProduit[Total (kg) N6],0,0,1)*TableauRecette[[#This Row],[poids / unite]]</f>
        <v>0</v>
      </c>
      <c r="R199" s="761">
        <f>_xlfn.XLOOKUP(TableauRecette[[#This Row],[ID]],TableauProduit[ID],TableauProduit[Total (kg) N7],0,0,1)*TableauRecette[[#This Row],[poids / unite]]</f>
        <v>0</v>
      </c>
      <c r="S199" s="761">
        <f>_xlfn.XLOOKUP(TableauRecette[[#This Row],[ID]],TableauProduit[ID],TableauProduit[Total (kg) N8],0,0,1)*TableauRecette[[#This Row],[poids / unite]]</f>
        <v>0</v>
      </c>
      <c r="T199" s="761">
        <f>_xlfn.XLOOKUP(TableauRecette[[#This Row],[ID]],TableauProduit[ID],TableauProduit[Total (kg) N9],0,0,1)*TableauRecette[[#This Row],[poids / unite]]</f>
        <v>0</v>
      </c>
    </row>
    <row r="200" spans="1:20">
      <c r="A200" s="78" t="s">
        <v>109</v>
      </c>
      <c r="B200" s="78" t="str">
        <f>TableauRecette[[#This Row],[Recette]]&amp;TableauRecette[[#This Row],[Conditionnement]]</f>
        <v>Garam masla birmanEpice 100ml</v>
      </c>
      <c r="C200" s="78" t="s">
        <v>283</v>
      </c>
      <c r="D200" s="202">
        <v>1</v>
      </c>
      <c r="E200" s="78" t="s">
        <v>55</v>
      </c>
      <c r="F200" s="202">
        <f>D200/SUMIFS(TableauRecette[Proportion],TableauRecette[Recette],TableauRecette[[#This Row],[Recette]],TableauRecette[Conditionnement],TableauRecette[[#This Row],[Conditionnement]])</f>
        <v>0.11764705882352941</v>
      </c>
      <c r="G200" s="202">
        <f ca="1">_xlfn.XLOOKUP(TableauRecette[[#This Row],[Ingredients]],TableauIngredients[Ingredients],TableauIngredients[Prix d''achat (kg)],0)*TableauRecette[[#This Row],[poids / unite]]</f>
        <v>13.417117647058822</v>
      </c>
      <c r="H200" s="202">
        <f>SUMIFS(TableauRecette[Proportion],TableauRecette[Recette],TableauRecette[[#This Row],[Recette]],TableauRecette[Conditionnement],TableauRecette[[#This Row],[Conditionnement]])</f>
        <v>8.5</v>
      </c>
      <c r="I200" s="202">
        <f ca="1">TableauRecette[[#This Row],[Proportion]]*TableauRecette[[#This Row],[Prix d''achat / kg]]/TableauRecette[[#This Row],[Total Proportion]]</f>
        <v>0</v>
      </c>
      <c r="J200" s="202" t="s">
        <v>336</v>
      </c>
      <c r="K200" s="759" t="s">
        <v>282</v>
      </c>
      <c r="L200" s="760">
        <f>_xlfn.XLOOKUP(TableauRecette[[#This Row],[ID]],TableauProduit[ID],TableauProduit[Total (kg) N1],0,0,1)*TableauRecette[[#This Row],[poids / unite]]</f>
        <v>0</v>
      </c>
      <c r="M200" s="761">
        <f>_xlfn.XLOOKUP(TableauRecette[[#This Row],[ID]],TableauProduit[ID],TableauProduit[Total (kg) N2],0,0,1)*TableauRecette[[#This Row],[poids / unite]]</f>
        <v>0</v>
      </c>
      <c r="N200" s="761">
        <f>_xlfn.XLOOKUP(TableauRecette[[#This Row],[ID]],TableauProduit[ID],TableauProduit[Total (kg) N3],0,0,1)*TableauRecette[[#This Row],[poids / unite]]</f>
        <v>0</v>
      </c>
      <c r="O200" s="761">
        <f>_xlfn.XLOOKUP(TableauRecette[[#This Row],[ID]],TableauProduit[ID],TableauProduit[Total (kg) N4],0,0,1)*TableauRecette[[#This Row],[poids / unite]]</f>
        <v>0</v>
      </c>
      <c r="P200" s="761">
        <f>_xlfn.XLOOKUP(TableauRecette[[#This Row],[ID]],TableauProduit[ID],TableauProduit[Total (kg) N5],0,0,1)*TableauRecette[[#This Row],[poids / unite]]</f>
        <v>0</v>
      </c>
      <c r="Q200" s="761">
        <f>_xlfn.XLOOKUP(TableauRecette[[#This Row],[ID]],TableauProduit[ID],TableauProduit[Total (kg) N6],0,0,1)*TableauRecette[[#This Row],[poids / unite]]</f>
        <v>0</v>
      </c>
      <c r="R200" s="761">
        <f>_xlfn.XLOOKUP(TableauRecette[[#This Row],[ID]],TableauProduit[ID],TableauProduit[Total (kg) N7],0,0,1)*TableauRecette[[#This Row],[poids / unite]]</f>
        <v>0</v>
      </c>
      <c r="S200" s="761">
        <f>_xlfn.XLOOKUP(TableauRecette[[#This Row],[ID]],TableauProduit[ID],TableauProduit[Total (kg) N8],0,0,1)*TableauRecette[[#This Row],[poids / unite]]</f>
        <v>0</v>
      </c>
      <c r="T200" s="761">
        <f>_xlfn.XLOOKUP(TableauRecette[[#This Row],[ID]],TableauProduit[ID],TableauProduit[Total (kg) N9],0,0,1)*TableauRecette[[#This Row],[poids / unite]]</f>
        <v>0</v>
      </c>
    </row>
    <row r="201" spans="1:20">
      <c r="A201" s="78" t="s">
        <v>109</v>
      </c>
      <c r="B201" s="78" t="str">
        <f>TableauRecette[[#This Row],[Recette]]&amp;TableauRecette[[#This Row],[Conditionnement]]</f>
        <v>Garam masla birmanEpice 100ml</v>
      </c>
      <c r="C201" s="78" t="s">
        <v>288</v>
      </c>
      <c r="D201" s="202">
        <v>1</v>
      </c>
      <c r="E201" s="78" t="s">
        <v>55</v>
      </c>
      <c r="F201" s="202">
        <f>D201/SUMIFS(TableauRecette[Proportion],TableauRecette[Recette],TableauRecette[[#This Row],[Recette]],TableauRecette[Conditionnement],TableauRecette[[#This Row],[Conditionnement]])</f>
        <v>0.11764705882352941</v>
      </c>
      <c r="G201" s="202">
        <f ca="1">_xlfn.XLOOKUP(TableauRecette[[#This Row],[Ingredients]],TableauIngredients[Ingredients],TableauIngredients[Prix d''achat (kg)],0)*TableauRecette[[#This Row],[poids / unite]]</f>
        <v>4.2352941176470589</v>
      </c>
      <c r="H201" s="202">
        <f>SUMIFS(TableauRecette[Proportion],TableauRecette[Recette],TableauRecette[[#This Row],[Recette]],TableauRecette[Conditionnement],TableauRecette[[#This Row],[Conditionnement]])</f>
        <v>8.5</v>
      </c>
      <c r="I201" s="202">
        <f ca="1">TableauRecette[[#This Row],[Proportion]]*TableauRecette[[#This Row],[Prix d''achat / kg]]/TableauRecette[[#This Row],[Total Proportion]]</f>
        <v>0</v>
      </c>
      <c r="J201" s="202" t="s">
        <v>336</v>
      </c>
      <c r="K201" s="759" t="s">
        <v>282</v>
      </c>
      <c r="L201" s="760">
        <f>_xlfn.XLOOKUP(TableauRecette[[#This Row],[ID]],TableauProduit[ID],TableauProduit[Total (kg) N1],0,0,1)*TableauRecette[[#This Row],[poids / unite]]</f>
        <v>0</v>
      </c>
      <c r="M201" s="761">
        <f>_xlfn.XLOOKUP(TableauRecette[[#This Row],[ID]],TableauProduit[ID],TableauProduit[Total (kg) N2],0,0,1)*TableauRecette[[#This Row],[poids / unite]]</f>
        <v>0</v>
      </c>
      <c r="N201" s="761">
        <f>_xlfn.XLOOKUP(TableauRecette[[#This Row],[ID]],TableauProduit[ID],TableauProduit[Total (kg) N3],0,0,1)*TableauRecette[[#This Row],[poids / unite]]</f>
        <v>0</v>
      </c>
      <c r="O201" s="761">
        <f>_xlfn.XLOOKUP(TableauRecette[[#This Row],[ID]],TableauProduit[ID],TableauProduit[Total (kg) N4],0,0,1)*TableauRecette[[#This Row],[poids / unite]]</f>
        <v>0</v>
      </c>
      <c r="P201" s="761">
        <f>_xlfn.XLOOKUP(TableauRecette[[#This Row],[ID]],TableauProduit[ID],TableauProduit[Total (kg) N5],0,0,1)*TableauRecette[[#This Row],[poids / unite]]</f>
        <v>0</v>
      </c>
      <c r="Q201" s="761">
        <f>_xlfn.XLOOKUP(TableauRecette[[#This Row],[ID]],TableauProduit[ID],TableauProduit[Total (kg) N6],0,0,1)*TableauRecette[[#This Row],[poids / unite]]</f>
        <v>0</v>
      </c>
      <c r="R201" s="761">
        <f>_xlfn.XLOOKUP(TableauRecette[[#This Row],[ID]],TableauProduit[ID],TableauProduit[Total (kg) N7],0,0,1)*TableauRecette[[#This Row],[poids / unite]]</f>
        <v>0</v>
      </c>
      <c r="S201" s="761">
        <f>_xlfn.XLOOKUP(TableauRecette[[#This Row],[ID]],TableauProduit[ID],TableauProduit[Total (kg) N8],0,0,1)*TableauRecette[[#This Row],[poids / unite]]</f>
        <v>0</v>
      </c>
      <c r="T201" s="761">
        <f>_xlfn.XLOOKUP(TableauRecette[[#This Row],[ID]],TableauProduit[ID],TableauProduit[Total (kg) N9],0,0,1)*TableauRecette[[#This Row],[poids / unite]]</f>
        <v>0</v>
      </c>
    </row>
    <row r="202" spans="1:20">
      <c r="A202" s="78" t="s">
        <v>109</v>
      </c>
      <c r="B202" s="78" t="str">
        <f>TableauRecette[[#This Row],[Recette]]&amp;TableauRecette[[#This Row],[Conditionnement]]</f>
        <v>Garam masla birmanEpice 100ml</v>
      </c>
      <c r="C202" s="78" t="s">
        <v>337</v>
      </c>
      <c r="D202" s="202">
        <v>1</v>
      </c>
      <c r="E202" s="78" t="s">
        <v>55</v>
      </c>
      <c r="F202" s="202">
        <f>D202/SUMIFS(TableauRecette[Proportion],TableauRecette[Recette],TableauRecette[[#This Row],[Recette]],TableauRecette[Conditionnement],TableauRecette[[#This Row],[Conditionnement]])</f>
        <v>0.11764705882352941</v>
      </c>
      <c r="G202" s="202">
        <f ca="1">_xlfn.XLOOKUP(TableauRecette[[#This Row],[Ingredients]],TableauIngredients[Ingredients],TableauIngredients[Prix d''achat (kg)],0)*TableauRecette[[#This Row],[poids / unite]]</f>
        <v>2.5882352941176472</v>
      </c>
      <c r="H202" s="202">
        <f>SUMIFS(TableauRecette[Proportion],TableauRecette[Recette],TableauRecette[[#This Row],[Recette]],TableauRecette[Conditionnement],TableauRecette[[#This Row],[Conditionnement]])</f>
        <v>8.5</v>
      </c>
      <c r="I202" s="202">
        <f ca="1">TableauRecette[[#This Row],[Proportion]]*TableauRecette[[#This Row],[Prix d''achat / kg]]/TableauRecette[[#This Row],[Total Proportion]]</f>
        <v>0</v>
      </c>
      <c r="J202" s="202" t="s">
        <v>336</v>
      </c>
      <c r="K202" s="759" t="s">
        <v>282</v>
      </c>
      <c r="L202" s="760">
        <f>_xlfn.XLOOKUP(TableauRecette[[#This Row],[ID]],TableauProduit[ID],TableauProduit[Total (kg) N1],0,0,1)*TableauRecette[[#This Row],[poids / unite]]</f>
        <v>0</v>
      </c>
      <c r="M202" s="761">
        <f>_xlfn.XLOOKUP(TableauRecette[[#This Row],[ID]],TableauProduit[ID],TableauProduit[Total (kg) N2],0,0,1)*TableauRecette[[#This Row],[poids / unite]]</f>
        <v>0</v>
      </c>
      <c r="N202" s="761">
        <f>_xlfn.XLOOKUP(TableauRecette[[#This Row],[ID]],TableauProduit[ID],TableauProduit[Total (kg) N3],0,0,1)*TableauRecette[[#This Row],[poids / unite]]</f>
        <v>0</v>
      </c>
      <c r="O202" s="761">
        <f>_xlfn.XLOOKUP(TableauRecette[[#This Row],[ID]],TableauProduit[ID],TableauProduit[Total (kg) N4],0,0,1)*TableauRecette[[#This Row],[poids / unite]]</f>
        <v>0</v>
      </c>
      <c r="P202" s="761">
        <f>_xlfn.XLOOKUP(TableauRecette[[#This Row],[ID]],TableauProduit[ID],TableauProduit[Total (kg) N5],0,0,1)*TableauRecette[[#This Row],[poids / unite]]</f>
        <v>0</v>
      </c>
      <c r="Q202" s="761">
        <f>_xlfn.XLOOKUP(TableauRecette[[#This Row],[ID]],TableauProduit[ID],TableauProduit[Total (kg) N6],0,0,1)*TableauRecette[[#This Row],[poids / unite]]</f>
        <v>0</v>
      </c>
      <c r="R202" s="761">
        <f>_xlfn.XLOOKUP(TableauRecette[[#This Row],[ID]],TableauProduit[ID],TableauProduit[Total (kg) N7],0,0,1)*TableauRecette[[#This Row],[poids / unite]]</f>
        <v>0</v>
      </c>
      <c r="S202" s="761">
        <f>_xlfn.XLOOKUP(TableauRecette[[#This Row],[ID]],TableauProduit[ID],TableauProduit[Total (kg) N8],0,0,1)*TableauRecette[[#This Row],[poids / unite]]</f>
        <v>0</v>
      </c>
      <c r="T202" s="761">
        <f>_xlfn.XLOOKUP(TableauRecette[[#This Row],[ID]],TableauProduit[ID],TableauProduit[Total (kg) N9],0,0,1)*TableauRecette[[#This Row],[poids / unite]]</f>
        <v>0</v>
      </c>
    </row>
    <row r="203" spans="1:20">
      <c r="A203" s="78" t="s">
        <v>109</v>
      </c>
      <c r="B203" s="78" t="str">
        <f>TableauRecette[[#This Row],[Recette]]&amp;TableauRecette[[#This Row],[Conditionnement]]</f>
        <v>Garam masla birmanEpice 100ml</v>
      </c>
      <c r="C203" s="78" t="s">
        <v>308</v>
      </c>
      <c r="D203" s="202">
        <v>2</v>
      </c>
      <c r="E203" s="78" t="s">
        <v>55</v>
      </c>
      <c r="F203" s="202">
        <f>D203/SUMIFS(TableauRecette[Proportion],TableauRecette[Recette],TableauRecette[[#This Row],[Recette]],TableauRecette[Conditionnement],TableauRecette[[#This Row],[Conditionnement]])</f>
        <v>0.23529411764705882</v>
      </c>
      <c r="G203" s="202">
        <f ca="1">_xlfn.XLOOKUP(TableauRecette[[#This Row],[Ingredients]],TableauIngredients[Ingredients],TableauIngredients[Prix d''achat (kg)],0)*TableauRecette[[#This Row],[poids / unite]]</f>
        <v>7.5294117647058822</v>
      </c>
      <c r="H203" s="202">
        <f>SUMIFS(TableauRecette[Proportion],TableauRecette[Recette],TableauRecette[[#This Row],[Recette]],TableauRecette[Conditionnement],TableauRecette[[#This Row],[Conditionnement]])</f>
        <v>8.5</v>
      </c>
      <c r="I203" s="202">
        <f ca="1">TableauRecette[[#This Row],[Proportion]]*TableauRecette[[#This Row],[Prix d''achat / kg]]/TableauRecette[[#This Row],[Total Proportion]]</f>
        <v>0</v>
      </c>
      <c r="J203" s="202" t="s">
        <v>336</v>
      </c>
      <c r="K203" s="759" t="s">
        <v>282</v>
      </c>
      <c r="L203" s="760">
        <f>_xlfn.XLOOKUP(TableauRecette[[#This Row],[ID]],TableauProduit[ID],TableauProduit[Total (kg) N1],0,0,1)*TableauRecette[[#This Row],[poids / unite]]</f>
        <v>0</v>
      </c>
      <c r="M203" s="761">
        <f>_xlfn.XLOOKUP(TableauRecette[[#This Row],[ID]],TableauProduit[ID],TableauProduit[Total (kg) N2],0,0,1)*TableauRecette[[#This Row],[poids / unite]]</f>
        <v>0</v>
      </c>
      <c r="N203" s="761">
        <f>_xlfn.XLOOKUP(TableauRecette[[#This Row],[ID]],TableauProduit[ID],TableauProduit[Total (kg) N3],0,0,1)*TableauRecette[[#This Row],[poids / unite]]</f>
        <v>0</v>
      </c>
      <c r="O203" s="761">
        <f>_xlfn.XLOOKUP(TableauRecette[[#This Row],[ID]],TableauProduit[ID],TableauProduit[Total (kg) N4],0,0,1)*TableauRecette[[#This Row],[poids / unite]]</f>
        <v>0</v>
      </c>
      <c r="P203" s="761">
        <f>_xlfn.XLOOKUP(TableauRecette[[#This Row],[ID]],TableauProduit[ID],TableauProduit[Total (kg) N5],0,0,1)*TableauRecette[[#This Row],[poids / unite]]</f>
        <v>0</v>
      </c>
      <c r="Q203" s="761">
        <f>_xlfn.XLOOKUP(TableauRecette[[#This Row],[ID]],TableauProduit[ID],TableauProduit[Total (kg) N6],0,0,1)*TableauRecette[[#This Row],[poids / unite]]</f>
        <v>0</v>
      </c>
      <c r="R203" s="761">
        <f>_xlfn.XLOOKUP(TableauRecette[[#This Row],[ID]],TableauProduit[ID],TableauProduit[Total (kg) N7],0,0,1)*TableauRecette[[#This Row],[poids / unite]]</f>
        <v>0</v>
      </c>
      <c r="S203" s="761">
        <f>_xlfn.XLOOKUP(TableauRecette[[#This Row],[ID]],TableauProduit[ID],TableauProduit[Total (kg) N8],0,0,1)*TableauRecette[[#This Row],[poids / unite]]</f>
        <v>0</v>
      </c>
      <c r="T203" s="761">
        <f>_xlfn.XLOOKUP(TableauRecette[[#This Row],[ID]],TableauProduit[ID],TableauProduit[Total (kg) N9],0,0,1)*TableauRecette[[#This Row],[poids / unite]]</f>
        <v>0</v>
      </c>
    </row>
    <row r="204" spans="1:20">
      <c r="A204" s="79" t="s">
        <v>57</v>
      </c>
      <c r="B204" s="79" t="str">
        <f>TableauRecette[[#This Row],[Recette]]&amp;TableauRecette[[#This Row],[Conditionnement]]</f>
        <v>GingembreEpice 100ml</v>
      </c>
      <c r="C204" s="79" t="s">
        <v>299</v>
      </c>
      <c r="D204" s="203">
        <v>1</v>
      </c>
      <c r="E204" s="79" t="s">
        <v>55</v>
      </c>
      <c r="F204" s="203">
        <f>D204/SUMIFS(TableauRecette[Proportion],TableauRecette[Recette],TableauRecette[[#This Row],[Recette]],TableauRecette[Conditionnement],TableauRecette[[#This Row],[Conditionnement]])</f>
        <v>1</v>
      </c>
      <c r="G204" s="203">
        <f ca="1">_xlfn.XLOOKUP(TableauRecette[[#This Row],[Ingredients]],TableauIngredients[Ingredients],TableauIngredients[Prix d''achat (kg)],0)*TableauRecette[[#This Row],[poids / unite]]</f>
        <v>0</v>
      </c>
      <c r="H204" s="203">
        <f>SUMIFS(TableauRecette[Proportion],TableauRecette[Recette],TableauRecette[[#This Row],[Recette]],TableauRecette[Conditionnement],TableauRecette[[#This Row],[Conditionnement]])</f>
        <v>1</v>
      </c>
      <c r="I204" s="203">
        <f ca="1">TableauRecette[[#This Row],[Proportion]]*TableauRecette[[#This Row],[Prix d''achat / kg]]/TableauRecette[[#This Row],[Total Proportion]]</f>
        <v>0</v>
      </c>
      <c r="J204" s="203" t="s">
        <v>338</v>
      </c>
      <c r="K204" s="762" t="s">
        <v>282</v>
      </c>
      <c r="L204" s="763">
        <f>_xlfn.XLOOKUP(TableauRecette[[#This Row],[ID]],TableauProduit[ID],TableauProduit[Total (kg) N1],0,0,1)*TableauRecette[[#This Row],[poids / unite]]</f>
        <v>25.2</v>
      </c>
      <c r="M204" s="764">
        <f>_xlfn.XLOOKUP(TableauRecette[[#This Row],[ID]],TableauProduit[ID],TableauProduit[Total (kg) N2],0,0,1)*TableauRecette[[#This Row],[poids / unite]]</f>
        <v>25.2</v>
      </c>
      <c r="N204" s="764">
        <f>_xlfn.XLOOKUP(TableauRecette[[#This Row],[ID]],TableauProduit[ID],TableauProduit[Total (kg) N3],0,0,1)*TableauRecette[[#This Row],[poids / unite]]</f>
        <v>25.2</v>
      </c>
      <c r="O204" s="764">
        <f>_xlfn.XLOOKUP(TableauRecette[[#This Row],[ID]],TableauProduit[ID],TableauProduit[Total (kg) N4],0,0,1)*TableauRecette[[#This Row],[poids / unite]]</f>
        <v>25.2</v>
      </c>
      <c r="P204" s="764">
        <f>_xlfn.XLOOKUP(TableauRecette[[#This Row],[ID]],TableauProduit[ID],TableauProduit[Total (kg) N5],0,0,1)*TableauRecette[[#This Row],[poids / unite]]</f>
        <v>25.2</v>
      </c>
      <c r="Q204" s="764">
        <f>_xlfn.XLOOKUP(TableauRecette[[#This Row],[ID]],TableauProduit[ID],TableauProduit[Total (kg) N6],0,0,1)*TableauRecette[[#This Row],[poids / unite]]</f>
        <v>25.2</v>
      </c>
      <c r="R204" s="764">
        <f>_xlfn.XLOOKUP(TableauRecette[[#This Row],[ID]],TableauProduit[ID],TableauProduit[Total (kg) N7],0,0,1)*TableauRecette[[#This Row],[poids / unite]]</f>
        <v>25.2</v>
      </c>
      <c r="S204" s="764">
        <f>_xlfn.XLOOKUP(TableauRecette[[#This Row],[ID]],TableauProduit[ID],TableauProduit[Total (kg) N8],0,0,1)*TableauRecette[[#This Row],[poids / unite]]</f>
        <v>25.2</v>
      </c>
      <c r="T204" s="764">
        <f>_xlfn.XLOOKUP(TableauRecette[[#This Row],[ID]],TableauProduit[ID],TableauProduit[Total (kg) N9],0,0,1)*TableauRecette[[#This Row],[poids / unite]]</f>
        <v>25.2</v>
      </c>
    </row>
    <row r="205" spans="1:20">
      <c r="A205" s="80" t="s">
        <v>86</v>
      </c>
      <c r="B205" s="80" t="str">
        <f>TableauRecette[[#This Row],[Recette]]&amp;TableauRecette[[#This Row],[Conditionnement]]</f>
        <v>Gomasio maisonEpice 100ml</v>
      </c>
      <c r="C205" s="80" t="s">
        <v>782</v>
      </c>
      <c r="D205" s="204">
        <v>90</v>
      </c>
      <c r="E205" s="80" t="s">
        <v>55</v>
      </c>
      <c r="F205" s="204">
        <f>D205/SUMIFS(TableauRecette[Proportion],TableauRecette[Recette],TableauRecette[[#This Row],[Recette]],TableauRecette[Conditionnement],TableauRecette[[#This Row],[Conditionnement]])</f>
        <v>0.9</v>
      </c>
      <c r="G205" s="204">
        <f ca="1">_xlfn.XLOOKUP(TableauRecette[[#This Row],[Ingredients]],TableauIngredients[Ingredients],TableauIngredients[Prix d''achat (kg)],0)*TableauRecette[[#This Row],[poids / unite]]</f>
        <v>0</v>
      </c>
      <c r="H205" s="204">
        <f>SUMIFS(TableauRecette[Proportion],TableauRecette[Recette],TableauRecette[[#This Row],[Recette]],TableauRecette[Conditionnement],TableauRecette[[#This Row],[Conditionnement]])</f>
        <v>100</v>
      </c>
      <c r="I205" s="204">
        <f ca="1">TableauRecette[[#This Row],[Proportion]]*TableauRecette[[#This Row],[Prix d''achat / kg]]/TableauRecette[[#This Row],[Total Proportion]]</f>
        <v>0</v>
      </c>
      <c r="J205" s="204"/>
      <c r="K205" s="765"/>
      <c r="L205" s="766">
        <f>_xlfn.XLOOKUP(TableauRecette[[#This Row],[ID]],TableauProduit[ID],TableauProduit[Total (kg) N1],0,0,1)*TableauRecette[[#This Row],[poids / unite]]</f>
        <v>0</v>
      </c>
      <c r="M205" s="767">
        <f>_xlfn.XLOOKUP(TableauRecette[[#This Row],[ID]],TableauProduit[ID],TableauProduit[Total (kg) N2],0,0,1)*TableauRecette[[#This Row],[poids / unite]]</f>
        <v>0</v>
      </c>
      <c r="N205" s="767">
        <f>_xlfn.XLOOKUP(TableauRecette[[#This Row],[ID]],TableauProduit[ID],TableauProduit[Total (kg) N3],0,0,1)*TableauRecette[[#This Row],[poids / unite]]</f>
        <v>0</v>
      </c>
      <c r="O205" s="767">
        <f>_xlfn.XLOOKUP(TableauRecette[[#This Row],[ID]],TableauProduit[ID],TableauProduit[Total (kg) N4],0,0,1)*TableauRecette[[#This Row],[poids / unite]]</f>
        <v>0</v>
      </c>
      <c r="P205" s="767">
        <f>_xlfn.XLOOKUP(TableauRecette[[#This Row],[ID]],TableauProduit[ID],TableauProduit[Total (kg) N5],0,0,1)*TableauRecette[[#This Row],[poids / unite]]</f>
        <v>0</v>
      </c>
      <c r="Q205" s="767">
        <f>_xlfn.XLOOKUP(TableauRecette[[#This Row],[ID]],TableauProduit[ID],TableauProduit[Total (kg) N6],0,0,1)*TableauRecette[[#This Row],[poids / unite]]</f>
        <v>0</v>
      </c>
      <c r="R205" s="767">
        <f>_xlfn.XLOOKUP(TableauRecette[[#This Row],[ID]],TableauProduit[ID],TableauProduit[Total (kg) N7],0,0,1)*TableauRecette[[#This Row],[poids / unite]]</f>
        <v>0</v>
      </c>
      <c r="S205" s="767">
        <f>_xlfn.XLOOKUP(TableauRecette[[#This Row],[ID]],TableauProduit[ID],TableauProduit[Total (kg) N8],0,0,1)*TableauRecette[[#This Row],[poids / unite]]</f>
        <v>0</v>
      </c>
      <c r="T205" s="767">
        <f>_xlfn.XLOOKUP(TableauRecette[[#This Row],[ID]],TableauProduit[ID],TableauProduit[Total (kg) N9],0,0,1)*TableauRecette[[#This Row],[poids / unite]]</f>
        <v>0</v>
      </c>
    </row>
    <row r="206" spans="1:20">
      <c r="A206" s="80" t="s">
        <v>86</v>
      </c>
      <c r="B206" s="80" t="str">
        <f>TableauRecette[[#This Row],[Recette]]&amp;TableauRecette[[#This Row],[Conditionnement]]</f>
        <v>Gomasio maisonEpice 100ml</v>
      </c>
      <c r="C206" s="80" t="s">
        <v>303</v>
      </c>
      <c r="D206" s="204">
        <v>10</v>
      </c>
      <c r="E206" s="80" t="s">
        <v>55</v>
      </c>
      <c r="F206" s="204">
        <f>D206/SUMIFS(TableauRecette[Proportion],TableauRecette[Recette],TableauRecette[[#This Row],[Recette]],TableauRecette[Conditionnement],TableauRecette[[#This Row],[Conditionnement]])</f>
        <v>0.1</v>
      </c>
      <c r="G206" s="204">
        <f ca="1">_xlfn.XLOOKUP(TableauRecette[[#This Row],[Ingredients]],TableauIngredients[Ingredients],TableauIngredients[Prix d''achat (kg)],0)*TableauRecette[[#This Row],[poids / unite]]</f>
        <v>0.13999999999999999</v>
      </c>
      <c r="H206" s="204">
        <f>SUMIFS(TableauRecette[Proportion],TableauRecette[Recette],TableauRecette[[#This Row],[Recette]],TableauRecette[Conditionnement],TableauRecette[[#This Row],[Conditionnement]])</f>
        <v>100</v>
      </c>
      <c r="I206" s="204">
        <f ca="1">TableauRecette[[#This Row],[Proportion]]*TableauRecette[[#This Row],[Prix d''achat / kg]]/TableauRecette[[#This Row],[Total Proportion]]</f>
        <v>0</v>
      </c>
      <c r="J206" s="204"/>
      <c r="K206" s="765"/>
      <c r="L206" s="766">
        <f>_xlfn.XLOOKUP(TableauRecette[[#This Row],[ID]],TableauProduit[ID],TableauProduit[Total (kg) N1],0,0,1)*TableauRecette[[#This Row],[poids / unite]]</f>
        <v>0</v>
      </c>
      <c r="M206" s="767">
        <f>_xlfn.XLOOKUP(TableauRecette[[#This Row],[ID]],TableauProduit[ID],TableauProduit[Total (kg) N2],0,0,1)*TableauRecette[[#This Row],[poids / unite]]</f>
        <v>0</v>
      </c>
      <c r="N206" s="767">
        <f>_xlfn.XLOOKUP(TableauRecette[[#This Row],[ID]],TableauProduit[ID],TableauProduit[Total (kg) N3],0,0,1)*TableauRecette[[#This Row],[poids / unite]]</f>
        <v>0</v>
      </c>
      <c r="O206" s="767">
        <f>_xlfn.XLOOKUP(TableauRecette[[#This Row],[ID]],TableauProduit[ID],TableauProduit[Total (kg) N4],0,0,1)*TableauRecette[[#This Row],[poids / unite]]</f>
        <v>0</v>
      </c>
      <c r="P206" s="767">
        <f>_xlfn.XLOOKUP(TableauRecette[[#This Row],[ID]],TableauProduit[ID],TableauProduit[Total (kg) N5],0,0,1)*TableauRecette[[#This Row],[poids / unite]]</f>
        <v>0</v>
      </c>
      <c r="Q206" s="767">
        <f>_xlfn.XLOOKUP(TableauRecette[[#This Row],[ID]],TableauProduit[ID],TableauProduit[Total (kg) N6],0,0,1)*TableauRecette[[#This Row],[poids / unite]]</f>
        <v>0</v>
      </c>
      <c r="R206" s="767">
        <f>_xlfn.XLOOKUP(TableauRecette[[#This Row],[ID]],TableauProduit[ID],TableauProduit[Total (kg) N7],0,0,1)*TableauRecette[[#This Row],[poids / unite]]</f>
        <v>0</v>
      </c>
      <c r="S206" s="767">
        <f>_xlfn.XLOOKUP(TableauRecette[[#This Row],[ID]],TableauProduit[ID],TableauProduit[Total (kg) N8],0,0,1)*TableauRecette[[#This Row],[poids / unite]]</f>
        <v>0</v>
      </c>
      <c r="T206" s="767">
        <f>_xlfn.XLOOKUP(TableauRecette[[#This Row],[ID]],TableauProduit[ID],TableauProduit[Total (kg) N9],0,0,1)*TableauRecette[[#This Row],[poids / unite]]</f>
        <v>0</v>
      </c>
    </row>
    <row r="207" spans="1:20">
      <c r="A207" s="81" t="s">
        <v>88</v>
      </c>
      <c r="B207" s="81" t="str">
        <f>TableauRecette[[#This Row],[Recette]]&amp;TableauRecette[[#This Row],[Conditionnement]]</f>
        <v>HarissaEpice 100ml</v>
      </c>
      <c r="C207" s="81" t="s">
        <v>339</v>
      </c>
      <c r="D207" s="205">
        <v>21</v>
      </c>
      <c r="E207" s="81" t="s">
        <v>55</v>
      </c>
      <c r="F207" s="205">
        <f>D207/SUMIFS(TableauRecette[Proportion],TableauRecette[Recette],TableauRecette[[#This Row],[Recette]],TableauRecette[Conditionnement],TableauRecette[[#This Row],[Conditionnement]])</f>
        <v>0.11797752808988764</v>
      </c>
      <c r="G207" s="205">
        <f ca="1">_xlfn.XLOOKUP(TableauRecette[[#This Row],[Ingredients]],TableauIngredients[Ingredients],TableauIngredients[Prix d''achat (kg)],0)*TableauRecette[[#This Row],[poids / unite]]</f>
        <v>0</v>
      </c>
      <c r="H207" s="205">
        <f>SUMIFS(TableauRecette[Proportion],TableauRecette[Recette],TableauRecette[[#This Row],[Recette]],TableauRecette[Conditionnement],TableauRecette[[#This Row],[Conditionnement]])</f>
        <v>178</v>
      </c>
      <c r="I207" s="205">
        <f ca="1">TableauRecette[[#This Row],[Proportion]]*TableauRecette[[#This Row],[Prix d''achat / kg]]/TableauRecette[[#This Row],[Total Proportion]]</f>
        <v>0</v>
      </c>
      <c r="J207" s="205" t="s">
        <v>338</v>
      </c>
      <c r="K207" s="768" t="s">
        <v>282</v>
      </c>
      <c r="L207" s="769">
        <f>_xlfn.XLOOKUP(TableauRecette[[#This Row],[ID]],TableauProduit[ID],TableauProduit[Total (kg) N1],0,0,1)*TableauRecette[[#This Row],[poids / unite]]</f>
        <v>0</v>
      </c>
      <c r="M207" s="770">
        <f>_xlfn.XLOOKUP(TableauRecette[[#This Row],[ID]],TableauProduit[ID],TableauProduit[Total (kg) N2],0,0,1)*TableauRecette[[#This Row],[poids / unite]]</f>
        <v>0</v>
      </c>
      <c r="N207" s="770">
        <f>_xlfn.XLOOKUP(TableauRecette[[#This Row],[ID]],TableauProduit[ID],TableauProduit[Total (kg) N3],0,0,1)*TableauRecette[[#This Row],[poids / unite]]</f>
        <v>0</v>
      </c>
      <c r="O207" s="770">
        <f>_xlfn.XLOOKUP(TableauRecette[[#This Row],[ID]],TableauProduit[ID],TableauProduit[Total (kg) N4],0,0,1)*TableauRecette[[#This Row],[poids / unite]]</f>
        <v>0</v>
      </c>
      <c r="P207" s="770">
        <f>_xlfn.XLOOKUP(TableauRecette[[#This Row],[ID]],TableauProduit[ID],TableauProduit[Total (kg) N5],0,0,1)*TableauRecette[[#This Row],[poids / unite]]</f>
        <v>0</v>
      </c>
      <c r="Q207" s="770">
        <f>_xlfn.XLOOKUP(TableauRecette[[#This Row],[ID]],TableauProduit[ID],TableauProduit[Total (kg) N6],0,0,1)*TableauRecette[[#This Row],[poids / unite]]</f>
        <v>0</v>
      </c>
      <c r="R207" s="770">
        <f>_xlfn.XLOOKUP(TableauRecette[[#This Row],[ID]],TableauProduit[ID],TableauProduit[Total (kg) N7],0,0,1)*TableauRecette[[#This Row],[poids / unite]]</f>
        <v>0</v>
      </c>
      <c r="S207" s="770">
        <f>_xlfn.XLOOKUP(TableauRecette[[#This Row],[ID]],TableauProduit[ID],TableauProduit[Total (kg) N8],0,0,1)*TableauRecette[[#This Row],[poids / unite]]</f>
        <v>0</v>
      </c>
      <c r="T207" s="770">
        <f>_xlfn.XLOOKUP(TableauRecette[[#This Row],[ID]],TableauProduit[ID],TableauProduit[Total (kg) N9],0,0,1)*TableauRecette[[#This Row],[poids / unite]]</f>
        <v>0</v>
      </c>
    </row>
    <row r="208" spans="1:20">
      <c r="A208" s="81" t="s">
        <v>88</v>
      </c>
      <c r="B208" s="81" t="str">
        <f>TableauRecette[[#This Row],[Recette]]&amp;TableauRecette[[#This Row],[Conditionnement]]</f>
        <v>HarissaEpice 100ml</v>
      </c>
      <c r="C208" s="81" t="s">
        <v>329</v>
      </c>
      <c r="D208" s="205">
        <v>100</v>
      </c>
      <c r="E208" s="81" t="s">
        <v>55</v>
      </c>
      <c r="F208" s="205">
        <f>D208/SUMIFS(TableauRecette[Proportion],TableauRecette[Recette],TableauRecette[[#This Row],[Recette]],TableauRecette[Conditionnement],TableauRecette[[#This Row],[Conditionnement]])</f>
        <v>0.5617977528089888</v>
      </c>
      <c r="G208" s="205">
        <f ca="1">_xlfn.XLOOKUP(TableauRecette[[#This Row],[Ingredients]],TableauIngredients[Ingredients],TableauIngredients[Prix d''achat (kg)],0)*TableauRecette[[#This Row],[poids / unite]]</f>
        <v>0</v>
      </c>
      <c r="H208" s="205">
        <f>SUMIFS(TableauRecette[Proportion],TableauRecette[Recette],TableauRecette[[#This Row],[Recette]],TableauRecette[Conditionnement],TableauRecette[[#This Row],[Conditionnement]])</f>
        <v>178</v>
      </c>
      <c r="I208" s="205">
        <f ca="1">TableauRecette[[#This Row],[Proportion]]*TableauRecette[[#This Row],[Prix d''achat / kg]]/TableauRecette[[#This Row],[Total Proportion]]</f>
        <v>0</v>
      </c>
      <c r="J208" s="205" t="s">
        <v>338</v>
      </c>
      <c r="K208" s="768" t="s">
        <v>282</v>
      </c>
      <c r="L208" s="769">
        <f>_xlfn.XLOOKUP(TableauRecette[[#This Row],[ID]],TableauProduit[ID],TableauProduit[Total (kg) N1],0,0,1)*TableauRecette[[#This Row],[poids / unite]]</f>
        <v>0</v>
      </c>
      <c r="M208" s="770">
        <f>_xlfn.XLOOKUP(TableauRecette[[#This Row],[ID]],TableauProduit[ID],TableauProduit[Total (kg) N2],0,0,1)*TableauRecette[[#This Row],[poids / unite]]</f>
        <v>0</v>
      </c>
      <c r="N208" s="770">
        <f>_xlfn.XLOOKUP(TableauRecette[[#This Row],[ID]],TableauProduit[ID],TableauProduit[Total (kg) N3],0,0,1)*TableauRecette[[#This Row],[poids / unite]]</f>
        <v>0</v>
      </c>
      <c r="O208" s="770">
        <f>_xlfn.XLOOKUP(TableauRecette[[#This Row],[ID]],TableauProduit[ID],TableauProduit[Total (kg) N4],0,0,1)*TableauRecette[[#This Row],[poids / unite]]</f>
        <v>0</v>
      </c>
      <c r="P208" s="770">
        <f>_xlfn.XLOOKUP(TableauRecette[[#This Row],[ID]],TableauProduit[ID],TableauProduit[Total (kg) N5],0,0,1)*TableauRecette[[#This Row],[poids / unite]]</f>
        <v>0</v>
      </c>
      <c r="Q208" s="770">
        <f>_xlfn.XLOOKUP(TableauRecette[[#This Row],[ID]],TableauProduit[ID],TableauProduit[Total (kg) N6],0,0,1)*TableauRecette[[#This Row],[poids / unite]]</f>
        <v>0</v>
      </c>
      <c r="R208" s="770">
        <f>_xlfn.XLOOKUP(TableauRecette[[#This Row],[ID]],TableauProduit[ID],TableauProduit[Total (kg) N7],0,0,1)*TableauRecette[[#This Row],[poids / unite]]</f>
        <v>0</v>
      </c>
      <c r="S208" s="770">
        <f>_xlfn.XLOOKUP(TableauRecette[[#This Row],[ID]],TableauProduit[ID],TableauProduit[Total (kg) N8],0,0,1)*TableauRecette[[#This Row],[poids / unite]]</f>
        <v>0</v>
      </c>
      <c r="T208" s="770">
        <f>_xlfn.XLOOKUP(TableauRecette[[#This Row],[ID]],TableauProduit[ID],TableauProduit[Total (kg) N9],0,0,1)*TableauRecette[[#This Row],[poids / unite]]</f>
        <v>0</v>
      </c>
    </row>
    <row r="209" spans="1:20">
      <c r="A209" s="81" t="s">
        <v>88</v>
      </c>
      <c r="B209" s="81" t="str">
        <f>TableauRecette[[#This Row],[Recette]]&amp;TableauRecette[[#This Row],[Conditionnement]]</f>
        <v>HarissaEpice 100ml</v>
      </c>
      <c r="C209" s="81" t="s">
        <v>303</v>
      </c>
      <c r="D209" s="205">
        <v>7</v>
      </c>
      <c r="E209" s="81" t="s">
        <v>55</v>
      </c>
      <c r="F209" s="205">
        <f>D209/SUMIFS(TableauRecette[Proportion],TableauRecette[Recette],TableauRecette[[#This Row],[Recette]],TableauRecette[Conditionnement],TableauRecette[[#This Row],[Conditionnement]])</f>
        <v>3.9325842696629212E-2</v>
      </c>
      <c r="G209" s="205">
        <f ca="1">_xlfn.XLOOKUP(TableauRecette[[#This Row],[Ingredients]],TableauIngredients[Ingredients],TableauIngredients[Prix d''achat (kg)],0)*TableauRecette[[#This Row],[poids / unite]]</f>
        <v>5.5056179775280892E-2</v>
      </c>
      <c r="H209" s="205">
        <f>SUMIFS(TableauRecette[Proportion],TableauRecette[Recette],TableauRecette[[#This Row],[Recette]],TableauRecette[Conditionnement],TableauRecette[[#This Row],[Conditionnement]])</f>
        <v>178</v>
      </c>
      <c r="I209" s="205">
        <f ca="1">TableauRecette[[#This Row],[Proportion]]*TableauRecette[[#This Row],[Prix d''achat / kg]]/TableauRecette[[#This Row],[Total Proportion]]</f>
        <v>0</v>
      </c>
      <c r="J209" s="205" t="s">
        <v>338</v>
      </c>
      <c r="K209" s="768" t="s">
        <v>282</v>
      </c>
      <c r="L209" s="769">
        <f>_xlfn.XLOOKUP(TableauRecette[[#This Row],[ID]],TableauProduit[ID],TableauProduit[Total (kg) N1],0,0,1)*TableauRecette[[#This Row],[poids / unite]]</f>
        <v>0</v>
      </c>
      <c r="M209" s="770">
        <f>_xlfn.XLOOKUP(TableauRecette[[#This Row],[ID]],TableauProduit[ID],TableauProduit[Total (kg) N2],0,0,1)*TableauRecette[[#This Row],[poids / unite]]</f>
        <v>0</v>
      </c>
      <c r="N209" s="770">
        <f>_xlfn.XLOOKUP(TableauRecette[[#This Row],[ID]],TableauProduit[ID],TableauProduit[Total (kg) N3],0,0,1)*TableauRecette[[#This Row],[poids / unite]]</f>
        <v>0</v>
      </c>
      <c r="O209" s="770">
        <f>_xlfn.XLOOKUP(TableauRecette[[#This Row],[ID]],TableauProduit[ID],TableauProduit[Total (kg) N4],0,0,1)*TableauRecette[[#This Row],[poids / unite]]</f>
        <v>0</v>
      </c>
      <c r="P209" s="770">
        <f>_xlfn.XLOOKUP(TableauRecette[[#This Row],[ID]],TableauProduit[ID],TableauProduit[Total (kg) N5],0,0,1)*TableauRecette[[#This Row],[poids / unite]]</f>
        <v>0</v>
      </c>
      <c r="Q209" s="770">
        <f>_xlfn.XLOOKUP(TableauRecette[[#This Row],[ID]],TableauProduit[ID],TableauProduit[Total (kg) N6],0,0,1)*TableauRecette[[#This Row],[poids / unite]]</f>
        <v>0</v>
      </c>
      <c r="R209" s="770">
        <f>_xlfn.XLOOKUP(TableauRecette[[#This Row],[ID]],TableauProduit[ID],TableauProduit[Total (kg) N7],0,0,1)*TableauRecette[[#This Row],[poids / unite]]</f>
        <v>0</v>
      </c>
      <c r="S209" s="770">
        <f>_xlfn.XLOOKUP(TableauRecette[[#This Row],[ID]],TableauProduit[ID],TableauProduit[Total (kg) N8],0,0,1)*TableauRecette[[#This Row],[poids / unite]]</f>
        <v>0</v>
      </c>
      <c r="T209" s="770">
        <f>_xlfn.XLOOKUP(TableauRecette[[#This Row],[ID]],TableauProduit[ID],TableauProduit[Total (kg) N9],0,0,1)*TableauRecette[[#This Row],[poids / unite]]</f>
        <v>0</v>
      </c>
    </row>
    <row r="210" spans="1:20">
      <c r="A210" s="81" t="s">
        <v>88</v>
      </c>
      <c r="B210" s="81" t="str">
        <f>TableauRecette[[#This Row],[Recette]]&amp;TableauRecette[[#This Row],[Conditionnement]]</f>
        <v>HarissaEpice 100ml</v>
      </c>
      <c r="C210" s="81" t="s">
        <v>340</v>
      </c>
      <c r="D210" s="205">
        <v>12</v>
      </c>
      <c r="E210" s="81" t="s">
        <v>55</v>
      </c>
      <c r="F210" s="205">
        <f>D210/SUMIFS(TableauRecette[Proportion],TableauRecette[Recette],TableauRecette[[#This Row],[Recette]],TableauRecette[Conditionnement],TableauRecette[[#This Row],[Conditionnement]])</f>
        <v>6.741573033707865E-2</v>
      </c>
      <c r="G210" s="205">
        <f ca="1">_xlfn.XLOOKUP(TableauRecette[[#This Row],[Ingredients]],TableauIngredients[Ingredients],TableauIngredients[Prix d''achat (kg)],0)*TableauRecette[[#This Row],[poids / unite]]</f>
        <v>0.8089887640449438</v>
      </c>
      <c r="H210" s="205">
        <f>SUMIFS(TableauRecette[Proportion],TableauRecette[Recette],TableauRecette[[#This Row],[Recette]],TableauRecette[Conditionnement],TableauRecette[[#This Row],[Conditionnement]])</f>
        <v>178</v>
      </c>
      <c r="I210" s="205">
        <f ca="1">TableauRecette[[#This Row],[Proportion]]*TableauRecette[[#This Row],[Prix d''achat / kg]]/TableauRecette[[#This Row],[Total Proportion]]</f>
        <v>0</v>
      </c>
      <c r="J210" s="205" t="s">
        <v>338</v>
      </c>
      <c r="K210" s="768" t="s">
        <v>282</v>
      </c>
      <c r="L210" s="769">
        <f>_xlfn.XLOOKUP(TableauRecette[[#This Row],[ID]],TableauProduit[ID],TableauProduit[Total (kg) N1],0,0,1)*TableauRecette[[#This Row],[poids / unite]]</f>
        <v>0</v>
      </c>
      <c r="M210" s="770">
        <f>_xlfn.XLOOKUP(TableauRecette[[#This Row],[ID]],TableauProduit[ID],TableauProduit[Total (kg) N2],0,0,1)*TableauRecette[[#This Row],[poids / unite]]</f>
        <v>0</v>
      </c>
      <c r="N210" s="770">
        <f>_xlfn.XLOOKUP(TableauRecette[[#This Row],[ID]],TableauProduit[ID],TableauProduit[Total (kg) N3],0,0,1)*TableauRecette[[#This Row],[poids / unite]]</f>
        <v>0</v>
      </c>
      <c r="O210" s="770">
        <f>_xlfn.XLOOKUP(TableauRecette[[#This Row],[ID]],TableauProduit[ID],TableauProduit[Total (kg) N4],0,0,1)*TableauRecette[[#This Row],[poids / unite]]</f>
        <v>0</v>
      </c>
      <c r="P210" s="770">
        <f>_xlfn.XLOOKUP(TableauRecette[[#This Row],[ID]],TableauProduit[ID],TableauProduit[Total (kg) N5],0,0,1)*TableauRecette[[#This Row],[poids / unite]]</f>
        <v>0</v>
      </c>
      <c r="Q210" s="770">
        <f>_xlfn.XLOOKUP(TableauRecette[[#This Row],[ID]],TableauProduit[ID],TableauProduit[Total (kg) N6],0,0,1)*TableauRecette[[#This Row],[poids / unite]]</f>
        <v>0</v>
      </c>
      <c r="R210" s="770">
        <f>_xlfn.XLOOKUP(TableauRecette[[#This Row],[ID]],TableauProduit[ID],TableauProduit[Total (kg) N7],0,0,1)*TableauRecette[[#This Row],[poids / unite]]</f>
        <v>0</v>
      </c>
      <c r="S210" s="770">
        <f>_xlfn.XLOOKUP(TableauRecette[[#This Row],[ID]],TableauProduit[ID],TableauProduit[Total (kg) N8],0,0,1)*TableauRecette[[#This Row],[poids / unite]]</f>
        <v>0</v>
      </c>
      <c r="T210" s="770">
        <f>_xlfn.XLOOKUP(TableauRecette[[#This Row],[ID]],TableauProduit[ID],TableauProduit[Total (kg) N9],0,0,1)*TableauRecette[[#This Row],[poids / unite]]</f>
        <v>0</v>
      </c>
    </row>
    <row r="211" spans="1:20">
      <c r="A211" s="658" t="s">
        <v>88</v>
      </c>
      <c r="B211" s="81" t="str">
        <f>TableauRecette[[#This Row],[Recette]]&amp;TableauRecette[[#This Row],[Conditionnement]]</f>
        <v>HarissaEpice 100ml</v>
      </c>
      <c r="C211" s="81" t="s">
        <v>290</v>
      </c>
      <c r="D211" s="205">
        <v>4</v>
      </c>
      <c r="E211" s="81" t="s">
        <v>55</v>
      </c>
      <c r="F211" s="205">
        <f>D211/SUMIFS(TableauRecette[Proportion],TableauRecette[Recette],TableauRecette[[#This Row],[Recette]],TableauRecette[Conditionnement],TableauRecette[[#This Row],[Conditionnement]])</f>
        <v>2.247191011235955E-2</v>
      </c>
      <c r="G211" s="205">
        <f ca="1">_xlfn.XLOOKUP(TableauRecette[[#This Row],[Ingredients]],TableauIngredients[Ingredients],TableauIngredients[Prix d''achat (kg)],0)*TableauRecette[[#This Row],[poids / unite]]</f>
        <v>0</v>
      </c>
      <c r="H211" s="205">
        <f>SUMIFS(TableauRecette[Proportion],TableauRecette[Recette],TableauRecette[[#This Row],[Recette]],TableauRecette[Conditionnement],TableauRecette[[#This Row],[Conditionnement]])</f>
        <v>178</v>
      </c>
      <c r="I211" s="205">
        <f ca="1">TableauRecette[[#This Row],[Proportion]]*TableauRecette[[#This Row],[Prix d''achat / kg]]/TableauRecette[[#This Row],[Total Proportion]]</f>
        <v>0</v>
      </c>
      <c r="J211" s="205"/>
      <c r="K211" s="768"/>
      <c r="L211" s="769">
        <f>_xlfn.XLOOKUP(TableauRecette[[#This Row],[ID]],TableauProduit[ID],TableauProduit[Total (kg) N1],0,0,1)*TableauRecette[[#This Row],[poids / unite]]</f>
        <v>0</v>
      </c>
      <c r="M211" s="770">
        <f>_xlfn.XLOOKUP(TableauRecette[[#This Row],[ID]],TableauProduit[ID],TableauProduit[Total (kg) N2],0,0,1)*TableauRecette[[#This Row],[poids / unite]]</f>
        <v>0</v>
      </c>
      <c r="N211" s="770">
        <f>_xlfn.XLOOKUP(TableauRecette[[#This Row],[ID]],TableauProduit[ID],TableauProduit[Total (kg) N3],0,0,1)*TableauRecette[[#This Row],[poids / unite]]</f>
        <v>0</v>
      </c>
      <c r="O211" s="770">
        <f>_xlfn.XLOOKUP(TableauRecette[[#This Row],[ID]],TableauProduit[ID],TableauProduit[Total (kg) N4],0,0,1)*TableauRecette[[#This Row],[poids / unite]]</f>
        <v>0</v>
      </c>
      <c r="P211" s="770">
        <f>_xlfn.XLOOKUP(TableauRecette[[#This Row],[ID]],TableauProduit[ID],TableauProduit[Total (kg) N5],0,0,1)*TableauRecette[[#This Row],[poids / unite]]</f>
        <v>0</v>
      </c>
      <c r="Q211" s="770">
        <f>_xlfn.XLOOKUP(TableauRecette[[#This Row],[ID]],TableauProduit[ID],TableauProduit[Total (kg) N6],0,0,1)*TableauRecette[[#This Row],[poids / unite]]</f>
        <v>0</v>
      </c>
      <c r="R211" s="770">
        <f>_xlfn.XLOOKUP(TableauRecette[[#This Row],[ID]],TableauProduit[ID],TableauProduit[Total (kg) N7],0,0,1)*TableauRecette[[#This Row],[poids / unite]]</f>
        <v>0</v>
      </c>
      <c r="S211" s="770">
        <f>_xlfn.XLOOKUP(TableauRecette[[#This Row],[ID]],TableauProduit[ID],TableauProduit[Total (kg) N8],0,0,1)*TableauRecette[[#This Row],[poids / unite]]</f>
        <v>0</v>
      </c>
      <c r="T211" s="770">
        <f>_xlfn.XLOOKUP(TableauRecette[[#This Row],[ID]],TableauProduit[ID],TableauProduit[Total (kg) N9],0,0,1)*TableauRecette[[#This Row],[poids / unite]]</f>
        <v>0</v>
      </c>
    </row>
    <row r="212" spans="1:20">
      <c r="A212" s="81" t="s">
        <v>88</v>
      </c>
      <c r="B212" s="81" t="str">
        <f>TableauRecette[[#This Row],[Recette]]&amp;TableauRecette[[#This Row],[Conditionnement]]</f>
        <v>HarissaEpice 100ml</v>
      </c>
      <c r="C212" s="81" t="s">
        <v>296</v>
      </c>
      <c r="D212" s="205">
        <v>4</v>
      </c>
      <c r="E212" s="81" t="s">
        <v>55</v>
      </c>
      <c r="F212" s="205">
        <f>D212/SUMIFS(TableauRecette[Proportion],TableauRecette[Recette],TableauRecette[[#This Row],[Recette]],TableauRecette[Conditionnement],TableauRecette[[#This Row],[Conditionnement]])</f>
        <v>2.247191011235955E-2</v>
      </c>
      <c r="G212" s="205">
        <f ca="1">_xlfn.XLOOKUP(TableauRecette[[#This Row],[Ingredients]],TableauIngredients[Ingredients],TableauIngredients[Prix d''achat (kg)],0)*TableauRecette[[#This Row],[poids / unite]]</f>
        <v>0</v>
      </c>
      <c r="H212" s="205">
        <f>SUMIFS(TableauRecette[Proportion],TableauRecette[Recette],TableauRecette[[#This Row],[Recette]],TableauRecette[Conditionnement],TableauRecette[[#This Row],[Conditionnement]])</f>
        <v>178</v>
      </c>
      <c r="I212" s="205">
        <f ca="1">TableauRecette[[#This Row],[Proportion]]*TableauRecette[[#This Row],[Prix d''achat / kg]]/TableauRecette[[#This Row],[Total Proportion]]</f>
        <v>0</v>
      </c>
      <c r="J212" s="205"/>
      <c r="K212" s="768"/>
      <c r="L212" s="769">
        <f>_xlfn.XLOOKUP(TableauRecette[[#This Row],[ID]],TableauProduit[ID],TableauProduit[Total (kg) N1],0,0,1)*TableauRecette[[#This Row],[poids / unite]]</f>
        <v>0</v>
      </c>
      <c r="M212" s="770">
        <f>_xlfn.XLOOKUP(TableauRecette[[#This Row],[ID]],TableauProduit[ID],TableauProduit[Total (kg) N2],0,0,1)*TableauRecette[[#This Row],[poids / unite]]</f>
        <v>0</v>
      </c>
      <c r="N212" s="770">
        <f>_xlfn.XLOOKUP(TableauRecette[[#This Row],[ID]],TableauProduit[ID],TableauProduit[Total (kg) N3],0,0,1)*TableauRecette[[#This Row],[poids / unite]]</f>
        <v>0</v>
      </c>
      <c r="O212" s="770">
        <f>_xlfn.XLOOKUP(TableauRecette[[#This Row],[ID]],TableauProduit[ID],TableauProduit[Total (kg) N4],0,0,1)*TableauRecette[[#This Row],[poids / unite]]</f>
        <v>0</v>
      </c>
      <c r="P212" s="770">
        <f>_xlfn.XLOOKUP(TableauRecette[[#This Row],[ID]],TableauProduit[ID],TableauProduit[Total (kg) N5],0,0,1)*TableauRecette[[#This Row],[poids / unite]]</f>
        <v>0</v>
      </c>
      <c r="Q212" s="770">
        <f>_xlfn.XLOOKUP(TableauRecette[[#This Row],[ID]],TableauProduit[ID],TableauProduit[Total (kg) N6],0,0,1)*TableauRecette[[#This Row],[poids / unite]]</f>
        <v>0</v>
      </c>
      <c r="R212" s="770">
        <f>_xlfn.XLOOKUP(TableauRecette[[#This Row],[ID]],TableauProduit[ID],TableauProduit[Total (kg) N7],0,0,1)*TableauRecette[[#This Row],[poids / unite]]</f>
        <v>0</v>
      </c>
      <c r="S212" s="770">
        <f>_xlfn.XLOOKUP(TableauRecette[[#This Row],[ID]],TableauProduit[ID],TableauProduit[Total (kg) N8],0,0,1)*TableauRecette[[#This Row],[poids / unite]]</f>
        <v>0</v>
      </c>
      <c r="T212" s="770">
        <f>_xlfn.XLOOKUP(TableauRecette[[#This Row],[ID]],TableauProduit[ID],TableauProduit[Total (kg) N9],0,0,1)*TableauRecette[[#This Row],[poids / unite]]</f>
        <v>0</v>
      </c>
    </row>
    <row r="213" spans="1:20">
      <c r="A213" s="81" t="s">
        <v>88</v>
      </c>
      <c r="B213" s="81" t="str">
        <f>TableauRecette[[#This Row],[Recette]]&amp;TableauRecette[[#This Row],[Conditionnement]]</f>
        <v>HarissaEpice 100ml</v>
      </c>
      <c r="C213" s="81" t="s">
        <v>289</v>
      </c>
      <c r="D213" s="205">
        <v>6</v>
      </c>
      <c r="E213" s="81" t="s">
        <v>55</v>
      </c>
      <c r="F213" s="205">
        <f>D213/SUMIFS(TableauRecette[Proportion],TableauRecette[Recette],TableauRecette[[#This Row],[Recette]],TableauRecette[Conditionnement],TableauRecette[[#This Row],[Conditionnement]])</f>
        <v>3.3707865168539325E-2</v>
      </c>
      <c r="G213" s="205">
        <f ca="1">_xlfn.XLOOKUP(TableauRecette[[#This Row],[Ingredients]],TableauIngredients[Ingredients],TableauIngredients[Prix d''achat (kg)],0)*TableauRecette[[#This Row],[poids / unite]]</f>
        <v>0</v>
      </c>
      <c r="H213" s="205">
        <f>SUMIFS(TableauRecette[Proportion],TableauRecette[Recette],TableauRecette[[#This Row],[Recette]],TableauRecette[Conditionnement],TableauRecette[[#This Row],[Conditionnement]])</f>
        <v>178</v>
      </c>
      <c r="I213" s="205">
        <f ca="1">TableauRecette[[#This Row],[Proportion]]*TableauRecette[[#This Row],[Prix d''achat / kg]]/TableauRecette[[#This Row],[Total Proportion]]</f>
        <v>0</v>
      </c>
      <c r="J213" s="205"/>
      <c r="K213" s="768"/>
      <c r="L213" s="769">
        <f>_xlfn.XLOOKUP(TableauRecette[[#This Row],[ID]],TableauProduit[ID],TableauProduit[Total (kg) N1],0,0,1)*TableauRecette[[#This Row],[poids / unite]]</f>
        <v>0</v>
      </c>
      <c r="M213" s="770">
        <f>_xlfn.XLOOKUP(TableauRecette[[#This Row],[ID]],TableauProduit[ID],TableauProduit[Total (kg) N2],0,0,1)*TableauRecette[[#This Row],[poids / unite]]</f>
        <v>0</v>
      </c>
      <c r="N213" s="770">
        <f>_xlfn.XLOOKUP(TableauRecette[[#This Row],[ID]],TableauProduit[ID],TableauProduit[Total (kg) N3],0,0,1)*TableauRecette[[#This Row],[poids / unite]]</f>
        <v>0</v>
      </c>
      <c r="O213" s="770">
        <f>_xlfn.XLOOKUP(TableauRecette[[#This Row],[ID]],TableauProduit[ID],TableauProduit[Total (kg) N4],0,0,1)*TableauRecette[[#This Row],[poids / unite]]</f>
        <v>0</v>
      </c>
      <c r="P213" s="770">
        <f>_xlfn.XLOOKUP(TableauRecette[[#This Row],[ID]],TableauProduit[ID],TableauProduit[Total (kg) N5],0,0,1)*TableauRecette[[#This Row],[poids / unite]]</f>
        <v>0</v>
      </c>
      <c r="Q213" s="770">
        <f>_xlfn.XLOOKUP(TableauRecette[[#This Row],[ID]],TableauProduit[ID],TableauProduit[Total (kg) N6],0,0,1)*TableauRecette[[#This Row],[poids / unite]]</f>
        <v>0</v>
      </c>
      <c r="R213" s="770">
        <f>_xlfn.XLOOKUP(TableauRecette[[#This Row],[ID]],TableauProduit[ID],TableauProduit[Total (kg) N7],0,0,1)*TableauRecette[[#This Row],[poids / unite]]</f>
        <v>0</v>
      </c>
      <c r="S213" s="770">
        <f>_xlfn.XLOOKUP(TableauRecette[[#This Row],[ID]],TableauProduit[ID],TableauProduit[Total (kg) N8],0,0,1)*TableauRecette[[#This Row],[poids / unite]]</f>
        <v>0</v>
      </c>
      <c r="T213" s="770">
        <f>_xlfn.XLOOKUP(TableauRecette[[#This Row],[ID]],TableauProduit[ID],TableauProduit[Total (kg) N9],0,0,1)*TableauRecette[[#This Row],[poids / unite]]</f>
        <v>0</v>
      </c>
    </row>
    <row r="214" spans="1:20">
      <c r="A214" s="81" t="s">
        <v>88</v>
      </c>
      <c r="B214" s="81" t="str">
        <f>TableauRecette[[#This Row],[Recette]]&amp;TableauRecette[[#This Row],[Conditionnement]]</f>
        <v>HarissaEpice 100ml</v>
      </c>
      <c r="C214" s="81" t="s">
        <v>341</v>
      </c>
      <c r="D214" s="205">
        <v>24</v>
      </c>
      <c r="E214" s="81" t="s">
        <v>55</v>
      </c>
      <c r="F214" s="205">
        <f>D214/SUMIFS(TableauRecette[Proportion],TableauRecette[Recette],TableauRecette[[#This Row],[Recette]],TableauRecette[Conditionnement],TableauRecette[[#This Row],[Conditionnement]])</f>
        <v>0.1348314606741573</v>
      </c>
      <c r="G214" s="205">
        <f ca="1">_xlfn.XLOOKUP(TableauRecette[[#This Row],[Ingredients]],TableauIngredients[Ingredients],TableauIngredients[Prix d''achat (kg)],0)*TableauRecette[[#This Row],[poids / unite]]</f>
        <v>1.0786516853932584</v>
      </c>
      <c r="H214" s="205">
        <f>SUMIFS(TableauRecette[Proportion],TableauRecette[Recette],TableauRecette[[#This Row],[Recette]],TableauRecette[Conditionnement],TableauRecette[[#This Row],[Conditionnement]])</f>
        <v>178</v>
      </c>
      <c r="I214" s="205">
        <f ca="1">TableauRecette[[#This Row],[Proportion]]*TableauRecette[[#This Row],[Prix d''achat / kg]]/TableauRecette[[#This Row],[Total Proportion]]</f>
        <v>0</v>
      </c>
      <c r="J214" s="205"/>
      <c r="K214" s="768"/>
      <c r="L214" s="769">
        <f>_xlfn.XLOOKUP(TableauRecette[[#This Row],[ID]],TableauProduit[ID],TableauProduit[Total (kg) N1],0,0,1)*TableauRecette[[#This Row],[poids / unite]]</f>
        <v>0</v>
      </c>
      <c r="M214" s="770">
        <f>_xlfn.XLOOKUP(TableauRecette[[#This Row],[ID]],TableauProduit[ID],TableauProduit[Total (kg) N2],0,0,1)*TableauRecette[[#This Row],[poids / unite]]</f>
        <v>0</v>
      </c>
      <c r="N214" s="770">
        <f>_xlfn.XLOOKUP(TableauRecette[[#This Row],[ID]],TableauProduit[ID],TableauProduit[Total (kg) N3],0,0,1)*TableauRecette[[#This Row],[poids / unite]]</f>
        <v>0</v>
      </c>
      <c r="O214" s="770">
        <f>_xlfn.XLOOKUP(TableauRecette[[#This Row],[ID]],TableauProduit[ID],TableauProduit[Total (kg) N4],0,0,1)*TableauRecette[[#This Row],[poids / unite]]</f>
        <v>0</v>
      </c>
      <c r="P214" s="770">
        <f>_xlfn.XLOOKUP(TableauRecette[[#This Row],[ID]],TableauProduit[ID],TableauProduit[Total (kg) N5],0,0,1)*TableauRecette[[#This Row],[poids / unite]]</f>
        <v>0</v>
      </c>
      <c r="Q214" s="770">
        <f>_xlfn.XLOOKUP(TableauRecette[[#This Row],[ID]],TableauProduit[ID],TableauProduit[Total (kg) N6],0,0,1)*TableauRecette[[#This Row],[poids / unite]]</f>
        <v>0</v>
      </c>
      <c r="R214" s="770">
        <f>_xlfn.XLOOKUP(TableauRecette[[#This Row],[ID]],TableauProduit[ID],TableauProduit[Total (kg) N7],0,0,1)*TableauRecette[[#This Row],[poids / unite]]</f>
        <v>0</v>
      </c>
      <c r="S214" s="770">
        <f>_xlfn.XLOOKUP(TableauRecette[[#This Row],[ID]],TableauProduit[ID],TableauProduit[Total (kg) N8],0,0,1)*TableauRecette[[#This Row],[poids / unite]]</f>
        <v>0</v>
      </c>
      <c r="T214" s="770">
        <f>_xlfn.XLOOKUP(TableauRecette[[#This Row],[ID]],TableauProduit[ID],TableauProduit[Total (kg) N9],0,0,1)*TableauRecette[[#This Row],[poids / unite]]</f>
        <v>0</v>
      </c>
    </row>
    <row r="215" spans="1:20">
      <c r="A215" s="82" t="s">
        <v>103</v>
      </c>
      <c r="B215" s="82" t="str">
        <f>TableauRecette[[#This Row],[Recette]]&amp;TableauRecette[[#This Row],[Conditionnement]]</f>
        <v>HawaijEpice 100ml</v>
      </c>
      <c r="C215" s="82" t="s">
        <v>287</v>
      </c>
      <c r="D215" s="206">
        <v>3</v>
      </c>
      <c r="E215" s="82" t="s">
        <v>55</v>
      </c>
      <c r="F215" s="206">
        <f>D215/SUMIFS(TableauRecette[Proportion],TableauRecette[Recette],TableauRecette[[#This Row],[Recette]],TableauRecette[Conditionnement],TableauRecette[[#This Row],[Conditionnement]])</f>
        <v>0.13636363636363635</v>
      </c>
      <c r="G215" s="206">
        <f ca="1">_xlfn.XLOOKUP(TableauRecette[[#This Row],[Ingredients]],TableauIngredients[Ingredients],TableauIngredients[Prix d''achat (kg)],0)*TableauRecette[[#This Row],[poids / unite]]</f>
        <v>5.0249999999999995</v>
      </c>
      <c r="H215" s="206">
        <f>SUMIFS(TableauRecette[Proportion],TableauRecette[Recette],TableauRecette[[#This Row],[Recette]],TableauRecette[Conditionnement],TableauRecette[[#This Row],[Conditionnement]])</f>
        <v>22</v>
      </c>
      <c r="I215" s="206">
        <f ca="1">TableauRecette[[#This Row],[Proportion]]*TableauRecette[[#This Row],[Prix d''achat / kg]]/TableauRecette[[#This Row],[Total Proportion]]</f>
        <v>0</v>
      </c>
      <c r="J215" s="206"/>
      <c r="K215" s="771"/>
      <c r="L215" s="772">
        <f>_xlfn.XLOOKUP(TableauRecette[[#This Row],[ID]],TableauProduit[ID],TableauProduit[Total (kg) N1],0,0,1)*TableauRecette[[#This Row],[poids / unite]]</f>
        <v>0</v>
      </c>
      <c r="M215" s="773">
        <f>_xlfn.XLOOKUP(TableauRecette[[#This Row],[ID]],TableauProduit[ID],TableauProduit[Total (kg) N2],0,0,1)*TableauRecette[[#This Row],[poids / unite]]</f>
        <v>0</v>
      </c>
      <c r="N215" s="773">
        <f>_xlfn.XLOOKUP(TableauRecette[[#This Row],[ID]],TableauProduit[ID],TableauProduit[Total (kg) N3],0,0,1)*TableauRecette[[#This Row],[poids / unite]]</f>
        <v>0</v>
      </c>
      <c r="O215" s="773">
        <f>_xlfn.XLOOKUP(TableauRecette[[#This Row],[ID]],TableauProduit[ID],TableauProduit[Total (kg) N4],0,0,1)*TableauRecette[[#This Row],[poids / unite]]</f>
        <v>0</v>
      </c>
      <c r="P215" s="773">
        <f>_xlfn.XLOOKUP(TableauRecette[[#This Row],[ID]],TableauProduit[ID],TableauProduit[Total (kg) N5],0,0,1)*TableauRecette[[#This Row],[poids / unite]]</f>
        <v>0</v>
      </c>
      <c r="Q215" s="773">
        <f>_xlfn.XLOOKUP(TableauRecette[[#This Row],[ID]],TableauProduit[ID],TableauProduit[Total (kg) N6],0,0,1)*TableauRecette[[#This Row],[poids / unite]]</f>
        <v>0</v>
      </c>
      <c r="R215" s="773">
        <f>_xlfn.XLOOKUP(TableauRecette[[#This Row],[ID]],TableauProduit[ID],TableauProduit[Total (kg) N7],0,0,1)*TableauRecette[[#This Row],[poids / unite]]</f>
        <v>0</v>
      </c>
      <c r="S215" s="773">
        <f>_xlfn.XLOOKUP(TableauRecette[[#This Row],[ID]],TableauProduit[ID],TableauProduit[Total (kg) N8],0,0,1)*TableauRecette[[#This Row],[poids / unite]]</f>
        <v>0</v>
      </c>
      <c r="T215" s="773">
        <f>_xlfn.XLOOKUP(TableauRecette[[#This Row],[ID]],TableauProduit[ID],TableauProduit[Total (kg) N9],0,0,1)*TableauRecette[[#This Row],[poids / unite]]</f>
        <v>0</v>
      </c>
    </row>
    <row r="216" spans="1:20">
      <c r="A216" s="82" t="s">
        <v>103</v>
      </c>
      <c r="B216" s="82" t="str">
        <f>TableauRecette[[#This Row],[Recette]]&amp;TableauRecette[[#This Row],[Conditionnement]]</f>
        <v>HawaijEpice 100ml</v>
      </c>
      <c r="C216" s="82" t="s">
        <v>284</v>
      </c>
      <c r="D216" s="206">
        <v>7</v>
      </c>
      <c r="E216" s="82" t="s">
        <v>55</v>
      </c>
      <c r="F216" s="206">
        <f>D216/SUMIFS(TableauRecette[Proportion],TableauRecette[Recette],TableauRecette[[#This Row],[Recette]],TableauRecette[Conditionnement],TableauRecette[[#This Row],[Conditionnement]])</f>
        <v>0.31818181818181818</v>
      </c>
      <c r="G216" s="206">
        <f ca="1">_xlfn.XLOOKUP(TableauRecette[[#This Row],[Ingredients]],TableauIngredients[Ingredients],TableauIngredients[Prix d''achat (kg)],0)*TableauRecette[[#This Row],[poids / unite]]</f>
        <v>0</v>
      </c>
      <c r="H216" s="206">
        <f>SUMIFS(TableauRecette[Proportion],TableauRecette[Recette],TableauRecette[[#This Row],[Recette]],TableauRecette[Conditionnement],TableauRecette[[#This Row],[Conditionnement]])</f>
        <v>22</v>
      </c>
      <c r="I216" s="206">
        <f ca="1">TableauRecette[[#This Row],[Proportion]]*TableauRecette[[#This Row],[Prix d''achat / kg]]/TableauRecette[[#This Row],[Total Proportion]]</f>
        <v>0</v>
      </c>
      <c r="J216" s="206"/>
      <c r="K216" s="771"/>
      <c r="L216" s="772">
        <f>_xlfn.XLOOKUP(TableauRecette[[#This Row],[ID]],TableauProduit[ID],TableauProduit[Total (kg) N1],0,0,1)*TableauRecette[[#This Row],[poids / unite]]</f>
        <v>0</v>
      </c>
      <c r="M216" s="773">
        <f>_xlfn.XLOOKUP(TableauRecette[[#This Row],[ID]],TableauProduit[ID],TableauProduit[Total (kg) N2],0,0,1)*TableauRecette[[#This Row],[poids / unite]]</f>
        <v>0</v>
      </c>
      <c r="N216" s="773">
        <f>_xlfn.XLOOKUP(TableauRecette[[#This Row],[ID]],TableauProduit[ID],TableauProduit[Total (kg) N3],0,0,1)*TableauRecette[[#This Row],[poids / unite]]</f>
        <v>0</v>
      </c>
      <c r="O216" s="773">
        <f>_xlfn.XLOOKUP(TableauRecette[[#This Row],[ID]],TableauProduit[ID],TableauProduit[Total (kg) N4],0,0,1)*TableauRecette[[#This Row],[poids / unite]]</f>
        <v>0</v>
      </c>
      <c r="P216" s="773">
        <f>_xlfn.XLOOKUP(TableauRecette[[#This Row],[ID]],TableauProduit[ID],TableauProduit[Total (kg) N5],0,0,1)*TableauRecette[[#This Row],[poids / unite]]</f>
        <v>0</v>
      </c>
      <c r="Q216" s="773">
        <f>_xlfn.XLOOKUP(TableauRecette[[#This Row],[ID]],TableauProduit[ID],TableauProduit[Total (kg) N6],0,0,1)*TableauRecette[[#This Row],[poids / unite]]</f>
        <v>0</v>
      </c>
      <c r="R216" s="773">
        <f>_xlfn.XLOOKUP(TableauRecette[[#This Row],[ID]],TableauProduit[ID],TableauProduit[Total (kg) N7],0,0,1)*TableauRecette[[#This Row],[poids / unite]]</f>
        <v>0</v>
      </c>
      <c r="S216" s="773">
        <f>_xlfn.XLOOKUP(TableauRecette[[#This Row],[ID]],TableauProduit[ID],TableauProduit[Total (kg) N8],0,0,1)*TableauRecette[[#This Row],[poids / unite]]</f>
        <v>0</v>
      </c>
      <c r="T216" s="773">
        <f>_xlfn.XLOOKUP(TableauRecette[[#This Row],[ID]],TableauProduit[ID],TableauProduit[Total (kg) N9],0,0,1)*TableauRecette[[#This Row],[poids / unite]]</f>
        <v>0</v>
      </c>
    </row>
    <row r="217" spans="1:20">
      <c r="A217" s="82" t="s">
        <v>103</v>
      </c>
      <c r="B217" s="82" t="str">
        <f>TableauRecette[[#This Row],[Recette]]&amp;TableauRecette[[#This Row],[Conditionnement]]</f>
        <v>HawaijEpice 100ml</v>
      </c>
      <c r="C217" s="82" t="s">
        <v>283</v>
      </c>
      <c r="D217" s="206">
        <v>3</v>
      </c>
      <c r="E217" s="82" t="s">
        <v>55</v>
      </c>
      <c r="F217" s="206">
        <f>D217/SUMIFS(TableauRecette[Proportion],TableauRecette[Recette],TableauRecette[[#This Row],[Recette]],TableauRecette[Conditionnement],TableauRecette[[#This Row],[Conditionnement]])</f>
        <v>0.13636363636363635</v>
      </c>
      <c r="G217" s="206">
        <f ca="1">_xlfn.XLOOKUP(TableauRecette[[#This Row],[Ingredients]],TableauIngredients[Ingredients],TableauIngredients[Prix d''achat (kg)],0)*TableauRecette[[#This Row],[poids / unite]]</f>
        <v>15.551659090909089</v>
      </c>
      <c r="H217" s="206">
        <f>SUMIFS(TableauRecette[Proportion],TableauRecette[Recette],TableauRecette[[#This Row],[Recette]],TableauRecette[Conditionnement],TableauRecette[[#This Row],[Conditionnement]])</f>
        <v>22</v>
      </c>
      <c r="I217" s="206">
        <f ca="1">TableauRecette[[#This Row],[Proportion]]*TableauRecette[[#This Row],[Prix d''achat / kg]]/TableauRecette[[#This Row],[Total Proportion]]</f>
        <v>0</v>
      </c>
      <c r="J217" s="206"/>
      <c r="K217" s="771"/>
      <c r="L217" s="772">
        <f>_xlfn.XLOOKUP(TableauRecette[[#This Row],[ID]],TableauProduit[ID],TableauProduit[Total (kg) N1],0,0,1)*TableauRecette[[#This Row],[poids / unite]]</f>
        <v>0</v>
      </c>
      <c r="M217" s="773">
        <f>_xlfn.XLOOKUP(TableauRecette[[#This Row],[ID]],TableauProduit[ID],TableauProduit[Total (kg) N2],0,0,1)*TableauRecette[[#This Row],[poids / unite]]</f>
        <v>0</v>
      </c>
      <c r="N217" s="773">
        <f>_xlfn.XLOOKUP(TableauRecette[[#This Row],[ID]],TableauProduit[ID],TableauProduit[Total (kg) N3],0,0,1)*TableauRecette[[#This Row],[poids / unite]]</f>
        <v>0</v>
      </c>
      <c r="O217" s="773">
        <f>_xlfn.XLOOKUP(TableauRecette[[#This Row],[ID]],TableauProduit[ID],TableauProduit[Total (kg) N4],0,0,1)*TableauRecette[[#This Row],[poids / unite]]</f>
        <v>0</v>
      </c>
      <c r="P217" s="773">
        <f>_xlfn.XLOOKUP(TableauRecette[[#This Row],[ID]],TableauProduit[ID],TableauProduit[Total (kg) N5],0,0,1)*TableauRecette[[#This Row],[poids / unite]]</f>
        <v>0</v>
      </c>
      <c r="Q217" s="773">
        <f>_xlfn.XLOOKUP(TableauRecette[[#This Row],[ID]],TableauProduit[ID],TableauProduit[Total (kg) N6],0,0,1)*TableauRecette[[#This Row],[poids / unite]]</f>
        <v>0</v>
      </c>
      <c r="R217" s="773">
        <f>_xlfn.XLOOKUP(TableauRecette[[#This Row],[ID]],TableauProduit[ID],TableauProduit[Total (kg) N7],0,0,1)*TableauRecette[[#This Row],[poids / unite]]</f>
        <v>0</v>
      </c>
      <c r="S217" s="773">
        <f>_xlfn.XLOOKUP(TableauRecette[[#This Row],[ID]],TableauProduit[ID],TableauProduit[Total (kg) N8],0,0,1)*TableauRecette[[#This Row],[poids / unite]]</f>
        <v>0</v>
      </c>
      <c r="T217" s="773">
        <f>_xlfn.XLOOKUP(TableauRecette[[#This Row],[ID]],TableauProduit[ID],TableauProduit[Total (kg) N9],0,0,1)*TableauRecette[[#This Row],[poids / unite]]</f>
        <v>0</v>
      </c>
    </row>
    <row r="218" spans="1:20">
      <c r="A218" s="82" t="s">
        <v>103</v>
      </c>
      <c r="B218" s="82" t="str">
        <f>TableauRecette[[#This Row],[Recette]]&amp;TableauRecette[[#This Row],[Conditionnement]]</f>
        <v>HawaijEpice 100ml</v>
      </c>
      <c r="C218" s="82" t="s">
        <v>289</v>
      </c>
      <c r="D218" s="206">
        <v>3</v>
      </c>
      <c r="E218" s="82" t="s">
        <v>55</v>
      </c>
      <c r="F218" s="206">
        <f>D218/SUMIFS(TableauRecette[Proportion],TableauRecette[Recette],TableauRecette[[#This Row],[Recette]],TableauRecette[Conditionnement],TableauRecette[[#This Row],[Conditionnement]])</f>
        <v>0.13636363636363635</v>
      </c>
      <c r="G218" s="206">
        <f ca="1">_xlfn.XLOOKUP(TableauRecette[[#This Row],[Ingredients]],TableauIngredients[Ingredients],TableauIngredients[Prix d''achat (kg)],0)*TableauRecette[[#This Row],[poids / unite]]</f>
        <v>0</v>
      </c>
      <c r="H218" s="206">
        <f>SUMIFS(TableauRecette[Proportion],TableauRecette[Recette],TableauRecette[[#This Row],[Recette]],TableauRecette[Conditionnement],TableauRecette[[#This Row],[Conditionnement]])</f>
        <v>22</v>
      </c>
      <c r="I218" s="206">
        <f ca="1">TableauRecette[[#This Row],[Proportion]]*TableauRecette[[#This Row],[Prix d''achat / kg]]/TableauRecette[[#This Row],[Total Proportion]]</f>
        <v>0</v>
      </c>
      <c r="J218" s="206"/>
      <c r="K218" s="771"/>
      <c r="L218" s="772">
        <f>_xlfn.XLOOKUP(TableauRecette[[#This Row],[ID]],TableauProduit[ID],TableauProduit[Total (kg) N1],0,0,1)*TableauRecette[[#This Row],[poids / unite]]</f>
        <v>0</v>
      </c>
      <c r="M218" s="773">
        <f>_xlfn.XLOOKUP(TableauRecette[[#This Row],[ID]],TableauProduit[ID],TableauProduit[Total (kg) N2],0,0,1)*TableauRecette[[#This Row],[poids / unite]]</f>
        <v>0</v>
      </c>
      <c r="N218" s="773">
        <f>_xlfn.XLOOKUP(TableauRecette[[#This Row],[ID]],TableauProduit[ID],TableauProduit[Total (kg) N3],0,0,1)*TableauRecette[[#This Row],[poids / unite]]</f>
        <v>0</v>
      </c>
      <c r="O218" s="773">
        <f>_xlfn.XLOOKUP(TableauRecette[[#This Row],[ID]],TableauProduit[ID],TableauProduit[Total (kg) N4],0,0,1)*TableauRecette[[#This Row],[poids / unite]]</f>
        <v>0</v>
      </c>
      <c r="P218" s="773">
        <f>_xlfn.XLOOKUP(TableauRecette[[#This Row],[ID]],TableauProduit[ID],TableauProduit[Total (kg) N5],0,0,1)*TableauRecette[[#This Row],[poids / unite]]</f>
        <v>0</v>
      </c>
      <c r="Q218" s="773">
        <f>_xlfn.XLOOKUP(TableauRecette[[#This Row],[ID]],TableauProduit[ID],TableauProduit[Total (kg) N6],0,0,1)*TableauRecette[[#This Row],[poids / unite]]</f>
        <v>0</v>
      </c>
      <c r="R218" s="773">
        <f>_xlfn.XLOOKUP(TableauRecette[[#This Row],[ID]],TableauProduit[ID],TableauProduit[Total (kg) N7],0,0,1)*TableauRecette[[#This Row],[poids / unite]]</f>
        <v>0</v>
      </c>
      <c r="S218" s="773">
        <f>_xlfn.XLOOKUP(TableauRecette[[#This Row],[ID]],TableauProduit[ID],TableauProduit[Total (kg) N8],0,0,1)*TableauRecette[[#This Row],[poids / unite]]</f>
        <v>0</v>
      </c>
      <c r="T218" s="773">
        <f>_xlfn.XLOOKUP(TableauRecette[[#This Row],[ID]],TableauProduit[ID],TableauProduit[Total (kg) N9],0,0,1)*TableauRecette[[#This Row],[poids / unite]]</f>
        <v>0</v>
      </c>
    </row>
    <row r="219" spans="1:20">
      <c r="A219" s="82" t="s">
        <v>103</v>
      </c>
      <c r="B219" s="82" t="str">
        <f>TableauRecette[[#This Row],[Recette]]&amp;TableauRecette[[#This Row],[Conditionnement]]</f>
        <v>HawaijEpice 100ml</v>
      </c>
      <c r="C219" s="82" t="s">
        <v>304</v>
      </c>
      <c r="D219" s="206">
        <v>6</v>
      </c>
      <c r="E219" s="82" t="s">
        <v>55</v>
      </c>
      <c r="F219" s="206">
        <f>D219/SUMIFS(TableauRecette[Proportion],TableauRecette[Recette],TableauRecette[[#This Row],[Recette]],TableauRecette[Conditionnement],TableauRecette[[#This Row],[Conditionnement]])</f>
        <v>0.27272727272727271</v>
      </c>
      <c r="G219" s="206">
        <f ca="1">_xlfn.XLOOKUP(TableauRecette[[#This Row],[Ingredients]],TableauIngredients[Ingredients],TableauIngredients[Prix d''achat (kg)],0)*TableauRecette[[#This Row],[poids / unite]]</f>
        <v>0</v>
      </c>
      <c r="H219" s="206">
        <f>SUMIFS(TableauRecette[Proportion],TableauRecette[Recette],TableauRecette[[#This Row],[Recette]],TableauRecette[Conditionnement],TableauRecette[[#This Row],[Conditionnement]])</f>
        <v>22</v>
      </c>
      <c r="I219" s="206">
        <f ca="1">TableauRecette[[#This Row],[Proportion]]*TableauRecette[[#This Row],[Prix d''achat / kg]]/TableauRecette[[#This Row],[Total Proportion]]</f>
        <v>0</v>
      </c>
      <c r="J219" s="206"/>
      <c r="K219" s="771"/>
      <c r="L219" s="772">
        <f>_xlfn.XLOOKUP(TableauRecette[[#This Row],[ID]],TableauProduit[ID],TableauProduit[Total (kg) N1],0,0,1)*TableauRecette[[#This Row],[poids / unite]]</f>
        <v>0</v>
      </c>
      <c r="M219" s="773">
        <f>_xlfn.XLOOKUP(TableauRecette[[#This Row],[ID]],TableauProduit[ID],TableauProduit[Total (kg) N2],0,0,1)*TableauRecette[[#This Row],[poids / unite]]</f>
        <v>0</v>
      </c>
      <c r="N219" s="773">
        <f>_xlfn.XLOOKUP(TableauRecette[[#This Row],[ID]],TableauProduit[ID],TableauProduit[Total (kg) N3],0,0,1)*TableauRecette[[#This Row],[poids / unite]]</f>
        <v>0</v>
      </c>
      <c r="O219" s="773">
        <f>_xlfn.XLOOKUP(TableauRecette[[#This Row],[ID]],TableauProduit[ID],TableauProduit[Total (kg) N4],0,0,1)*TableauRecette[[#This Row],[poids / unite]]</f>
        <v>0</v>
      </c>
      <c r="P219" s="773">
        <f>_xlfn.XLOOKUP(TableauRecette[[#This Row],[ID]],TableauProduit[ID],TableauProduit[Total (kg) N5],0,0,1)*TableauRecette[[#This Row],[poids / unite]]</f>
        <v>0</v>
      </c>
      <c r="Q219" s="773">
        <f>_xlfn.XLOOKUP(TableauRecette[[#This Row],[ID]],TableauProduit[ID],TableauProduit[Total (kg) N6],0,0,1)*TableauRecette[[#This Row],[poids / unite]]</f>
        <v>0</v>
      </c>
      <c r="R219" s="773">
        <f>_xlfn.XLOOKUP(TableauRecette[[#This Row],[ID]],TableauProduit[ID],TableauProduit[Total (kg) N7],0,0,1)*TableauRecette[[#This Row],[poids / unite]]</f>
        <v>0</v>
      </c>
      <c r="S219" s="773">
        <f>_xlfn.XLOOKUP(TableauRecette[[#This Row],[ID]],TableauProduit[ID],TableauProduit[Total (kg) N8],0,0,1)*TableauRecette[[#This Row],[poids / unite]]</f>
        <v>0</v>
      </c>
      <c r="T219" s="773">
        <f>_xlfn.XLOOKUP(TableauRecette[[#This Row],[ID]],TableauProduit[ID],TableauProduit[Total (kg) N9],0,0,1)*TableauRecette[[#This Row],[poids / unite]]</f>
        <v>0</v>
      </c>
    </row>
    <row r="220" spans="1:20">
      <c r="A220" s="83" t="s">
        <v>46</v>
      </c>
      <c r="B220" s="83" t="str">
        <f>TableauRecette[[#This Row],[Recette]]&amp;TableauRecette[[#This Row],[Conditionnement]]</f>
        <v>Herbe de provenceEpice 100ml</v>
      </c>
      <c r="C220" s="672" t="s">
        <v>342</v>
      </c>
      <c r="D220" s="207">
        <v>26</v>
      </c>
      <c r="E220" s="83" t="s">
        <v>55</v>
      </c>
      <c r="F220" s="207">
        <f>D220/SUMIFS(TableauRecette[Proportion],TableauRecette[Recette],TableauRecette[[#This Row],[Recette]],TableauRecette[Conditionnement],TableauRecette[[#This Row],[Conditionnement]])</f>
        <v>0.26</v>
      </c>
      <c r="G220" s="207">
        <f ca="1">_xlfn.XLOOKUP(TableauRecette[[#This Row],[Ingredients]],TableauIngredients[Ingredients],TableauIngredients[Prix d''achat (kg)],0)*TableauRecette[[#This Row],[poids / unite]]</f>
        <v>0</v>
      </c>
      <c r="H220" s="207">
        <f>SUMIFS(TableauRecette[Proportion],TableauRecette[Recette],TableauRecette[[#This Row],[Recette]],TableauRecette[Conditionnement],TableauRecette[[#This Row],[Conditionnement]])</f>
        <v>100</v>
      </c>
      <c r="I220" s="207">
        <f ca="1">TableauRecette[[#This Row],[Proportion]]*TableauRecette[[#This Row],[Prix d''achat / kg]]/TableauRecette[[#This Row],[Total Proportion]]</f>
        <v>0</v>
      </c>
      <c r="J220" s="207"/>
      <c r="K220" s="774"/>
      <c r="L220" s="775">
        <f>_xlfn.XLOOKUP(TableauRecette[[#This Row],[ID]],TableauProduit[ID],TableauProduit[Total (kg) N1],0,0,1)*TableauRecette[[#This Row],[poids / unite]]</f>
        <v>0</v>
      </c>
      <c r="M220" s="776">
        <f>_xlfn.XLOOKUP(TableauRecette[[#This Row],[ID]],TableauProduit[ID],TableauProduit[Total (kg) N2],0,0,1)*TableauRecette[[#This Row],[poids / unite]]</f>
        <v>0</v>
      </c>
      <c r="N220" s="776">
        <f>_xlfn.XLOOKUP(TableauRecette[[#This Row],[ID]],TableauProduit[ID],TableauProduit[Total (kg) N3],0,0,1)*TableauRecette[[#This Row],[poids / unite]]</f>
        <v>0</v>
      </c>
      <c r="O220" s="776">
        <f>_xlfn.XLOOKUP(TableauRecette[[#This Row],[ID]],TableauProduit[ID],TableauProduit[Total (kg) N4],0,0,1)*TableauRecette[[#This Row],[poids / unite]]</f>
        <v>0</v>
      </c>
      <c r="P220" s="776">
        <f>_xlfn.XLOOKUP(TableauRecette[[#This Row],[ID]],TableauProduit[ID],TableauProduit[Total (kg) N5],0,0,1)*TableauRecette[[#This Row],[poids / unite]]</f>
        <v>0</v>
      </c>
      <c r="Q220" s="776">
        <f>_xlfn.XLOOKUP(TableauRecette[[#This Row],[ID]],TableauProduit[ID],TableauProduit[Total (kg) N6],0,0,1)*TableauRecette[[#This Row],[poids / unite]]</f>
        <v>0</v>
      </c>
      <c r="R220" s="776">
        <f>_xlfn.XLOOKUP(TableauRecette[[#This Row],[ID]],TableauProduit[ID],TableauProduit[Total (kg) N7],0,0,1)*TableauRecette[[#This Row],[poids / unite]]</f>
        <v>0</v>
      </c>
      <c r="S220" s="776">
        <f>_xlfn.XLOOKUP(TableauRecette[[#This Row],[ID]],TableauProduit[ID],TableauProduit[Total (kg) N8],0,0,1)*TableauRecette[[#This Row],[poids / unite]]</f>
        <v>0</v>
      </c>
      <c r="T220" s="776">
        <f>_xlfn.XLOOKUP(TableauRecette[[#This Row],[ID]],TableauProduit[ID],TableauProduit[Total (kg) N9],0,0,1)*TableauRecette[[#This Row],[poids / unite]]</f>
        <v>0</v>
      </c>
    </row>
    <row r="221" spans="1:20">
      <c r="A221" s="83" t="s">
        <v>46</v>
      </c>
      <c r="B221" s="83" t="str">
        <f>TableauRecette[[#This Row],[Recette]]&amp;TableauRecette[[#This Row],[Conditionnement]]</f>
        <v>Herbe de provenceEpice 100ml</v>
      </c>
      <c r="C221" s="83" t="s">
        <v>343</v>
      </c>
      <c r="D221" s="207">
        <v>26</v>
      </c>
      <c r="E221" s="83" t="s">
        <v>55</v>
      </c>
      <c r="F221" s="207">
        <f>D221/SUMIFS(TableauRecette[Proportion],TableauRecette[Recette],TableauRecette[[#This Row],[Recette]],TableauRecette[Conditionnement],TableauRecette[[#This Row],[Conditionnement]])</f>
        <v>0.26</v>
      </c>
      <c r="G221" s="207">
        <f ca="1">_xlfn.XLOOKUP(TableauRecette[[#This Row],[Ingredients]],TableauIngredients[Ingredients],TableauIngredients[Prix d''achat (kg)],0)*TableauRecette[[#This Row],[poids / unite]]</f>
        <v>0</v>
      </c>
      <c r="H221" s="207">
        <f>SUMIFS(TableauRecette[Proportion],TableauRecette[Recette],TableauRecette[[#This Row],[Recette]],TableauRecette[Conditionnement],TableauRecette[[#This Row],[Conditionnement]])</f>
        <v>100</v>
      </c>
      <c r="I221" s="207">
        <f ca="1">TableauRecette[[#This Row],[Proportion]]*TableauRecette[[#This Row],[Prix d''achat / kg]]/TableauRecette[[#This Row],[Total Proportion]]</f>
        <v>0</v>
      </c>
      <c r="J221" s="207"/>
      <c r="K221" s="774"/>
      <c r="L221" s="775">
        <f>_xlfn.XLOOKUP(TableauRecette[[#This Row],[ID]],TableauProduit[ID],TableauProduit[Total (kg) N1],0,0,1)*TableauRecette[[#This Row],[poids / unite]]</f>
        <v>0</v>
      </c>
      <c r="M221" s="776">
        <f>_xlfn.XLOOKUP(TableauRecette[[#This Row],[ID]],TableauProduit[ID],TableauProduit[Total (kg) N2],0,0,1)*TableauRecette[[#This Row],[poids / unite]]</f>
        <v>0</v>
      </c>
      <c r="N221" s="776">
        <f>_xlfn.XLOOKUP(TableauRecette[[#This Row],[ID]],TableauProduit[ID],TableauProduit[Total (kg) N3],0,0,1)*TableauRecette[[#This Row],[poids / unite]]</f>
        <v>0</v>
      </c>
      <c r="O221" s="776">
        <f>_xlfn.XLOOKUP(TableauRecette[[#This Row],[ID]],TableauProduit[ID],TableauProduit[Total (kg) N4],0,0,1)*TableauRecette[[#This Row],[poids / unite]]</f>
        <v>0</v>
      </c>
      <c r="P221" s="776">
        <f>_xlfn.XLOOKUP(TableauRecette[[#This Row],[ID]],TableauProduit[ID],TableauProduit[Total (kg) N5],0,0,1)*TableauRecette[[#This Row],[poids / unite]]</f>
        <v>0</v>
      </c>
      <c r="Q221" s="776">
        <f>_xlfn.XLOOKUP(TableauRecette[[#This Row],[ID]],TableauProduit[ID],TableauProduit[Total (kg) N6],0,0,1)*TableauRecette[[#This Row],[poids / unite]]</f>
        <v>0</v>
      </c>
      <c r="R221" s="776">
        <f>_xlfn.XLOOKUP(TableauRecette[[#This Row],[ID]],TableauProduit[ID],TableauProduit[Total (kg) N7],0,0,1)*TableauRecette[[#This Row],[poids / unite]]</f>
        <v>0</v>
      </c>
      <c r="S221" s="776">
        <f>_xlfn.XLOOKUP(TableauRecette[[#This Row],[ID]],TableauProduit[ID],TableauProduit[Total (kg) N8],0,0,1)*TableauRecette[[#This Row],[poids / unite]]</f>
        <v>0</v>
      </c>
      <c r="T221" s="776">
        <f>_xlfn.XLOOKUP(TableauRecette[[#This Row],[ID]],TableauProduit[ID],TableauProduit[Total (kg) N9],0,0,1)*TableauRecette[[#This Row],[poids / unite]]</f>
        <v>0</v>
      </c>
    </row>
    <row r="222" spans="1:20">
      <c r="A222" s="83" t="s">
        <v>46</v>
      </c>
      <c r="B222" s="83" t="str">
        <f>TableauRecette[[#This Row],[Recette]]&amp;TableauRecette[[#This Row],[Conditionnement]]</f>
        <v>Herbe de provenceEpice 100ml</v>
      </c>
      <c r="C222" s="83" t="s">
        <v>326</v>
      </c>
      <c r="D222" s="207">
        <v>26</v>
      </c>
      <c r="E222" s="83" t="s">
        <v>55</v>
      </c>
      <c r="F222" s="207">
        <f>D222/SUMIFS(TableauRecette[Proportion],TableauRecette[Recette],TableauRecette[[#This Row],[Recette]],TableauRecette[Conditionnement],TableauRecette[[#This Row],[Conditionnement]])</f>
        <v>0.26</v>
      </c>
      <c r="G222" s="207">
        <f ca="1">_xlfn.XLOOKUP(TableauRecette[[#This Row],[Ingredients]],TableauIngredients[Ingredients],TableauIngredients[Prix d''achat (kg)],0)*TableauRecette[[#This Row],[poids / unite]]</f>
        <v>0</v>
      </c>
      <c r="H222" s="207">
        <f>SUMIFS(TableauRecette[Proportion],TableauRecette[Recette],TableauRecette[[#This Row],[Recette]],TableauRecette[Conditionnement],TableauRecette[[#This Row],[Conditionnement]])</f>
        <v>100</v>
      </c>
      <c r="I222" s="207">
        <f ca="1">TableauRecette[[#This Row],[Proportion]]*TableauRecette[[#This Row],[Prix d''achat / kg]]/TableauRecette[[#This Row],[Total Proportion]]</f>
        <v>0</v>
      </c>
      <c r="J222" s="207"/>
      <c r="K222" s="774"/>
      <c r="L222" s="775">
        <f>_xlfn.XLOOKUP(TableauRecette[[#This Row],[ID]],TableauProduit[ID],TableauProduit[Total (kg) N1],0,0,1)*TableauRecette[[#This Row],[poids / unite]]</f>
        <v>0</v>
      </c>
      <c r="M222" s="776">
        <f>_xlfn.XLOOKUP(TableauRecette[[#This Row],[ID]],TableauProduit[ID],TableauProduit[Total (kg) N2],0,0,1)*TableauRecette[[#This Row],[poids / unite]]</f>
        <v>0</v>
      </c>
      <c r="N222" s="776">
        <f>_xlfn.XLOOKUP(TableauRecette[[#This Row],[ID]],TableauProduit[ID],TableauProduit[Total (kg) N3],0,0,1)*TableauRecette[[#This Row],[poids / unite]]</f>
        <v>0</v>
      </c>
      <c r="O222" s="776">
        <f>_xlfn.XLOOKUP(TableauRecette[[#This Row],[ID]],TableauProduit[ID],TableauProduit[Total (kg) N4],0,0,1)*TableauRecette[[#This Row],[poids / unite]]</f>
        <v>0</v>
      </c>
      <c r="P222" s="776">
        <f>_xlfn.XLOOKUP(TableauRecette[[#This Row],[ID]],TableauProduit[ID],TableauProduit[Total (kg) N5],0,0,1)*TableauRecette[[#This Row],[poids / unite]]</f>
        <v>0</v>
      </c>
      <c r="Q222" s="776">
        <f>_xlfn.XLOOKUP(TableauRecette[[#This Row],[ID]],TableauProduit[ID],TableauProduit[Total (kg) N6],0,0,1)*TableauRecette[[#This Row],[poids / unite]]</f>
        <v>0</v>
      </c>
      <c r="R222" s="776">
        <f>_xlfn.XLOOKUP(TableauRecette[[#This Row],[ID]],TableauProduit[ID],TableauProduit[Total (kg) N7],0,0,1)*TableauRecette[[#This Row],[poids / unite]]</f>
        <v>0</v>
      </c>
      <c r="S222" s="776">
        <f>_xlfn.XLOOKUP(TableauRecette[[#This Row],[ID]],TableauProduit[ID],TableauProduit[Total (kg) N8],0,0,1)*TableauRecette[[#This Row],[poids / unite]]</f>
        <v>0</v>
      </c>
      <c r="T222" s="776">
        <f>_xlfn.XLOOKUP(TableauRecette[[#This Row],[ID]],TableauProduit[ID],TableauProduit[Total (kg) N9],0,0,1)*TableauRecette[[#This Row],[poids / unite]]</f>
        <v>0</v>
      </c>
    </row>
    <row r="223" spans="1:20">
      <c r="A223" s="83" t="s">
        <v>46</v>
      </c>
      <c r="B223" s="83" t="str">
        <f>TableauRecette[[#This Row],[Recette]]&amp;TableauRecette[[#This Row],[Conditionnement]]</f>
        <v>Herbe de provenceEpice 100ml</v>
      </c>
      <c r="C223" s="83" t="s">
        <v>316</v>
      </c>
      <c r="D223" s="207">
        <v>19</v>
      </c>
      <c r="E223" s="83" t="s">
        <v>55</v>
      </c>
      <c r="F223" s="207">
        <f>D223/SUMIFS(TableauRecette[Proportion],TableauRecette[Recette],TableauRecette[[#This Row],[Recette]],TableauRecette[Conditionnement],TableauRecette[[#This Row],[Conditionnement]])</f>
        <v>0.19</v>
      </c>
      <c r="G223" s="207">
        <f ca="1">_xlfn.XLOOKUP(TableauRecette[[#This Row],[Ingredients]],TableauIngredients[Ingredients],TableauIngredients[Prix d''achat (kg)],0)*TableauRecette[[#This Row],[poids / unite]]</f>
        <v>0</v>
      </c>
      <c r="H223" s="207">
        <f>SUMIFS(TableauRecette[Proportion],TableauRecette[Recette],TableauRecette[[#This Row],[Recette]],TableauRecette[Conditionnement],TableauRecette[[#This Row],[Conditionnement]])</f>
        <v>100</v>
      </c>
      <c r="I223" s="207">
        <f ca="1">TableauRecette[[#This Row],[Proportion]]*TableauRecette[[#This Row],[Prix d''achat / kg]]/TableauRecette[[#This Row],[Total Proportion]]</f>
        <v>0</v>
      </c>
      <c r="J223" s="207"/>
      <c r="K223" s="774"/>
      <c r="L223" s="775">
        <f>_xlfn.XLOOKUP(TableauRecette[[#This Row],[ID]],TableauProduit[ID],TableauProduit[Total (kg) N1],0,0,1)*TableauRecette[[#This Row],[poids / unite]]</f>
        <v>0</v>
      </c>
      <c r="M223" s="776">
        <f>_xlfn.XLOOKUP(TableauRecette[[#This Row],[ID]],TableauProduit[ID],TableauProduit[Total (kg) N2],0,0,1)*TableauRecette[[#This Row],[poids / unite]]</f>
        <v>0</v>
      </c>
      <c r="N223" s="776">
        <f>_xlfn.XLOOKUP(TableauRecette[[#This Row],[ID]],TableauProduit[ID],TableauProduit[Total (kg) N3],0,0,1)*TableauRecette[[#This Row],[poids / unite]]</f>
        <v>0</v>
      </c>
      <c r="O223" s="776">
        <f>_xlfn.XLOOKUP(TableauRecette[[#This Row],[ID]],TableauProduit[ID],TableauProduit[Total (kg) N4],0,0,1)*TableauRecette[[#This Row],[poids / unite]]</f>
        <v>0</v>
      </c>
      <c r="P223" s="776">
        <f>_xlfn.XLOOKUP(TableauRecette[[#This Row],[ID]],TableauProduit[ID],TableauProduit[Total (kg) N5],0,0,1)*TableauRecette[[#This Row],[poids / unite]]</f>
        <v>0</v>
      </c>
      <c r="Q223" s="776">
        <f>_xlfn.XLOOKUP(TableauRecette[[#This Row],[ID]],TableauProduit[ID],TableauProduit[Total (kg) N6],0,0,1)*TableauRecette[[#This Row],[poids / unite]]</f>
        <v>0</v>
      </c>
      <c r="R223" s="776">
        <f>_xlfn.XLOOKUP(TableauRecette[[#This Row],[ID]],TableauProduit[ID],TableauProduit[Total (kg) N7],0,0,1)*TableauRecette[[#This Row],[poids / unite]]</f>
        <v>0</v>
      </c>
      <c r="S223" s="776">
        <f>_xlfn.XLOOKUP(TableauRecette[[#This Row],[ID]],TableauProduit[ID],TableauProduit[Total (kg) N8],0,0,1)*TableauRecette[[#This Row],[poids / unite]]</f>
        <v>0</v>
      </c>
      <c r="T223" s="776">
        <f>_xlfn.XLOOKUP(TableauRecette[[#This Row],[ID]],TableauProduit[ID],TableauProduit[Total (kg) N9],0,0,1)*TableauRecette[[#This Row],[poids / unite]]</f>
        <v>0</v>
      </c>
    </row>
    <row r="224" spans="1:20">
      <c r="A224" s="83" t="s">
        <v>46</v>
      </c>
      <c r="B224" s="83" t="str">
        <f>TableauRecette[[#This Row],[Recette]]&amp;TableauRecette[[#This Row],[Conditionnement]]</f>
        <v>Herbe de provenceEpice 100ml</v>
      </c>
      <c r="C224" s="83" t="s">
        <v>344</v>
      </c>
      <c r="D224" s="207">
        <v>3</v>
      </c>
      <c r="E224" s="83" t="s">
        <v>55</v>
      </c>
      <c r="F224" s="207">
        <f>D224/SUMIFS(TableauRecette[Proportion],TableauRecette[Recette],TableauRecette[[#This Row],[Recette]],TableauRecette[Conditionnement],TableauRecette[[#This Row],[Conditionnement]])</f>
        <v>0.03</v>
      </c>
      <c r="G224" s="207">
        <f ca="1">_xlfn.XLOOKUP(TableauRecette[[#This Row],[Ingredients]],TableauIngredients[Ingredients],TableauIngredients[Prix d''achat (kg)],0)*TableauRecette[[#This Row],[poids / unite]]</f>
        <v>0</v>
      </c>
      <c r="H224" s="207">
        <f>SUMIFS(TableauRecette[Proportion],TableauRecette[Recette],TableauRecette[[#This Row],[Recette]],TableauRecette[Conditionnement],TableauRecette[[#This Row],[Conditionnement]])</f>
        <v>100</v>
      </c>
      <c r="I224" s="207">
        <f ca="1">TableauRecette[[#This Row],[Proportion]]*TableauRecette[[#This Row],[Prix d''achat / kg]]/TableauRecette[[#This Row],[Total Proportion]]</f>
        <v>0</v>
      </c>
      <c r="J224" s="207"/>
      <c r="K224" s="774"/>
      <c r="L224" s="775">
        <f>_xlfn.XLOOKUP(TableauRecette[[#This Row],[ID]],TableauProduit[ID],TableauProduit[Total (kg) N1],0,0,1)*TableauRecette[[#This Row],[poids / unite]]</f>
        <v>0</v>
      </c>
      <c r="M224" s="776">
        <f>_xlfn.XLOOKUP(TableauRecette[[#This Row],[ID]],TableauProduit[ID],TableauProduit[Total (kg) N2],0,0,1)*TableauRecette[[#This Row],[poids / unite]]</f>
        <v>0</v>
      </c>
      <c r="N224" s="776">
        <f>_xlfn.XLOOKUP(TableauRecette[[#This Row],[ID]],TableauProduit[ID],TableauProduit[Total (kg) N3],0,0,1)*TableauRecette[[#This Row],[poids / unite]]</f>
        <v>0</v>
      </c>
      <c r="O224" s="776">
        <f>_xlfn.XLOOKUP(TableauRecette[[#This Row],[ID]],TableauProduit[ID],TableauProduit[Total (kg) N4],0,0,1)*TableauRecette[[#This Row],[poids / unite]]</f>
        <v>0</v>
      </c>
      <c r="P224" s="776">
        <f>_xlfn.XLOOKUP(TableauRecette[[#This Row],[ID]],TableauProduit[ID],TableauProduit[Total (kg) N5],0,0,1)*TableauRecette[[#This Row],[poids / unite]]</f>
        <v>0</v>
      </c>
      <c r="Q224" s="776">
        <f>_xlfn.XLOOKUP(TableauRecette[[#This Row],[ID]],TableauProduit[ID],TableauProduit[Total (kg) N6],0,0,1)*TableauRecette[[#This Row],[poids / unite]]</f>
        <v>0</v>
      </c>
      <c r="R224" s="776">
        <f>_xlfn.XLOOKUP(TableauRecette[[#This Row],[ID]],TableauProduit[ID],TableauProduit[Total (kg) N7],0,0,1)*TableauRecette[[#This Row],[poids / unite]]</f>
        <v>0</v>
      </c>
      <c r="S224" s="776">
        <f>_xlfn.XLOOKUP(TableauRecette[[#This Row],[ID]],TableauProduit[ID],TableauProduit[Total (kg) N8],0,0,1)*TableauRecette[[#This Row],[poids / unite]]</f>
        <v>0</v>
      </c>
      <c r="T224" s="776">
        <f>_xlfn.XLOOKUP(TableauRecette[[#This Row],[ID]],TableauProduit[ID],TableauProduit[Total (kg) N9],0,0,1)*TableauRecette[[#This Row],[poids / unite]]</f>
        <v>0</v>
      </c>
    </row>
    <row r="225" spans="1:20">
      <c r="A225" s="84" t="s">
        <v>96</v>
      </c>
      <c r="B225" s="84" t="str">
        <f>TableauRecette[[#This Row],[Recette]]&amp;TableauRecette[[#This Row],[Conditionnement]]</f>
        <v>Huile massage anti-arthriteEpice 100ml</v>
      </c>
      <c r="C225" s="84" t="s">
        <v>345</v>
      </c>
      <c r="D225" s="208">
        <v>1</v>
      </c>
      <c r="E225" s="84" t="s">
        <v>55</v>
      </c>
      <c r="F225" s="208">
        <f>D225/SUMIFS(TableauRecette[Proportion],TableauRecette[Recette],TableauRecette[[#This Row],[Recette]],TableauRecette[Conditionnement],TableauRecette[[#This Row],[Conditionnement]])</f>
        <v>3.7593984962406013E-3</v>
      </c>
      <c r="G225" s="208">
        <f ca="1">_xlfn.XLOOKUP(TableauRecette[[#This Row],[Ingredients]],TableauIngredients[Ingredients],TableauIngredients[Prix d''achat (kg)],0)*TableauRecette[[#This Row],[poids / unite]]</f>
        <v>0</v>
      </c>
      <c r="H225" s="208">
        <f>SUMIFS(TableauRecette[Proportion],TableauRecette[Recette],TableauRecette[[#This Row],[Recette]],TableauRecette[Conditionnement],TableauRecette[[#This Row],[Conditionnement]])</f>
        <v>266</v>
      </c>
      <c r="I225" s="208">
        <f ca="1">TableauRecette[[#This Row],[Proportion]]*TableauRecette[[#This Row],[Prix d''achat / kg]]/TableauRecette[[#This Row],[Total Proportion]]</f>
        <v>0</v>
      </c>
      <c r="J225" s="208"/>
      <c r="K225" s="777"/>
      <c r="L225" s="778">
        <f>_xlfn.XLOOKUP(TableauRecette[[#This Row],[ID]],TableauProduit[ID],TableauProduit[Total (kg) N1],0,0,1)*TableauRecette[[#This Row],[poids / unite]]</f>
        <v>0</v>
      </c>
      <c r="M225" s="779">
        <f>_xlfn.XLOOKUP(TableauRecette[[#This Row],[ID]],TableauProduit[ID],TableauProduit[Total (kg) N2],0,0,1)*TableauRecette[[#This Row],[poids / unite]]</f>
        <v>0</v>
      </c>
      <c r="N225" s="779">
        <f>_xlfn.XLOOKUP(TableauRecette[[#This Row],[ID]],TableauProduit[ID],TableauProduit[Total (kg) N3],0,0,1)*TableauRecette[[#This Row],[poids / unite]]</f>
        <v>0</v>
      </c>
      <c r="O225" s="779">
        <f>_xlfn.XLOOKUP(TableauRecette[[#This Row],[ID]],TableauProduit[ID],TableauProduit[Total (kg) N4],0,0,1)*TableauRecette[[#This Row],[poids / unite]]</f>
        <v>0</v>
      </c>
      <c r="P225" s="779">
        <f>_xlfn.XLOOKUP(TableauRecette[[#This Row],[ID]],TableauProduit[ID],TableauProduit[Total (kg) N5],0,0,1)*TableauRecette[[#This Row],[poids / unite]]</f>
        <v>0</v>
      </c>
      <c r="Q225" s="779">
        <f>_xlfn.XLOOKUP(TableauRecette[[#This Row],[ID]],TableauProduit[ID],TableauProduit[Total (kg) N6],0,0,1)*TableauRecette[[#This Row],[poids / unite]]</f>
        <v>0</v>
      </c>
      <c r="R225" s="779">
        <f>_xlfn.XLOOKUP(TableauRecette[[#This Row],[ID]],TableauProduit[ID],TableauProduit[Total (kg) N7],0,0,1)*TableauRecette[[#This Row],[poids / unite]]</f>
        <v>0</v>
      </c>
      <c r="S225" s="779">
        <f>_xlfn.XLOOKUP(TableauRecette[[#This Row],[ID]],TableauProduit[ID],TableauProduit[Total (kg) N8],0,0,1)*TableauRecette[[#This Row],[poids / unite]]</f>
        <v>0</v>
      </c>
      <c r="T225" s="779">
        <f>_xlfn.XLOOKUP(TableauRecette[[#This Row],[ID]],TableauProduit[ID],TableauProduit[Total (kg) N9],0,0,1)*TableauRecette[[#This Row],[poids / unite]]</f>
        <v>0</v>
      </c>
    </row>
    <row r="226" spans="1:20">
      <c r="A226" s="84" t="s">
        <v>96</v>
      </c>
      <c r="B226" s="84" t="str">
        <f>TableauRecette[[#This Row],[Recette]]&amp;TableauRecette[[#This Row],[Conditionnement]]</f>
        <v>Huile massage anti-arthriteEpice 100ml</v>
      </c>
      <c r="C226" s="84" t="s">
        <v>346</v>
      </c>
      <c r="D226" s="208">
        <v>2</v>
      </c>
      <c r="E226" s="84" t="s">
        <v>55</v>
      </c>
      <c r="F226" s="208">
        <f>D226/SUMIFS(TableauRecette[Proportion],TableauRecette[Recette],TableauRecette[[#This Row],[Recette]],TableauRecette[Conditionnement],TableauRecette[[#This Row],[Conditionnement]])</f>
        <v>7.5187969924812026E-3</v>
      </c>
      <c r="G226" s="208">
        <f ca="1">_xlfn.XLOOKUP(TableauRecette[[#This Row],[Ingredients]],TableauIngredients[Ingredients],TableauIngredients[Prix d''achat (kg)],0)*TableauRecette[[#This Row],[poids / unite]]</f>
        <v>0.27932330827067664</v>
      </c>
      <c r="H226" s="208">
        <f>SUMIFS(TableauRecette[Proportion],TableauRecette[Recette],TableauRecette[[#This Row],[Recette]],TableauRecette[Conditionnement],TableauRecette[[#This Row],[Conditionnement]])</f>
        <v>266</v>
      </c>
      <c r="I226" s="208">
        <f ca="1">TableauRecette[[#This Row],[Proportion]]*TableauRecette[[#This Row],[Prix d''achat / kg]]/TableauRecette[[#This Row],[Total Proportion]]</f>
        <v>0</v>
      </c>
      <c r="J226" s="208"/>
      <c r="K226" s="777"/>
      <c r="L226" s="778">
        <f>_xlfn.XLOOKUP(TableauRecette[[#This Row],[ID]],TableauProduit[ID],TableauProduit[Total (kg) N1],0,0,1)*TableauRecette[[#This Row],[poids / unite]]</f>
        <v>0</v>
      </c>
      <c r="M226" s="779">
        <f>_xlfn.XLOOKUP(TableauRecette[[#This Row],[ID]],TableauProduit[ID],TableauProduit[Total (kg) N2],0,0,1)*TableauRecette[[#This Row],[poids / unite]]</f>
        <v>0</v>
      </c>
      <c r="N226" s="779">
        <f>_xlfn.XLOOKUP(TableauRecette[[#This Row],[ID]],TableauProduit[ID],TableauProduit[Total (kg) N3],0,0,1)*TableauRecette[[#This Row],[poids / unite]]</f>
        <v>0</v>
      </c>
      <c r="O226" s="779">
        <f>_xlfn.XLOOKUP(TableauRecette[[#This Row],[ID]],TableauProduit[ID],TableauProduit[Total (kg) N4],0,0,1)*TableauRecette[[#This Row],[poids / unite]]</f>
        <v>0</v>
      </c>
      <c r="P226" s="779">
        <f>_xlfn.XLOOKUP(TableauRecette[[#This Row],[ID]],TableauProduit[ID],TableauProduit[Total (kg) N5],0,0,1)*TableauRecette[[#This Row],[poids / unite]]</f>
        <v>0</v>
      </c>
      <c r="Q226" s="779">
        <f>_xlfn.XLOOKUP(TableauRecette[[#This Row],[ID]],TableauProduit[ID],TableauProduit[Total (kg) N6],0,0,1)*TableauRecette[[#This Row],[poids / unite]]</f>
        <v>0</v>
      </c>
      <c r="R226" s="779">
        <f>_xlfn.XLOOKUP(TableauRecette[[#This Row],[ID]],TableauProduit[ID],TableauProduit[Total (kg) N7],0,0,1)*TableauRecette[[#This Row],[poids / unite]]</f>
        <v>0</v>
      </c>
      <c r="S226" s="779">
        <f>_xlfn.XLOOKUP(TableauRecette[[#This Row],[ID]],TableauProduit[ID],TableauProduit[Total (kg) N8],0,0,1)*TableauRecette[[#This Row],[poids / unite]]</f>
        <v>0</v>
      </c>
      <c r="T226" s="779">
        <f>_xlfn.XLOOKUP(TableauRecette[[#This Row],[ID]],TableauProduit[ID],TableauProduit[Total (kg) N9],0,0,1)*TableauRecette[[#This Row],[poids / unite]]</f>
        <v>0</v>
      </c>
    </row>
    <row r="227" spans="1:20">
      <c r="A227" s="84" t="s">
        <v>96</v>
      </c>
      <c r="B227" s="84" t="str">
        <f>TableauRecette[[#This Row],[Recette]]&amp;TableauRecette[[#This Row],[Conditionnement]]</f>
        <v>Huile massage anti-arthriteEpice 100ml</v>
      </c>
      <c r="C227" s="84" t="s">
        <v>304</v>
      </c>
      <c r="D227" s="208">
        <v>2</v>
      </c>
      <c r="E227" s="84" t="s">
        <v>55</v>
      </c>
      <c r="F227" s="208">
        <f>D227/SUMIFS(TableauRecette[Proportion],TableauRecette[Recette],TableauRecette[[#This Row],[Recette]],TableauRecette[Conditionnement],TableauRecette[[#This Row],[Conditionnement]])</f>
        <v>7.5187969924812026E-3</v>
      </c>
      <c r="G227" s="208">
        <f ca="1">_xlfn.XLOOKUP(TableauRecette[[#This Row],[Ingredients]],TableauIngredients[Ingredients],TableauIngredients[Prix d''achat (kg)],0)*TableauRecette[[#This Row],[poids / unite]]</f>
        <v>0</v>
      </c>
      <c r="H227" s="208">
        <f>SUMIFS(TableauRecette[Proportion],TableauRecette[Recette],TableauRecette[[#This Row],[Recette]],TableauRecette[Conditionnement],TableauRecette[[#This Row],[Conditionnement]])</f>
        <v>266</v>
      </c>
      <c r="I227" s="208">
        <f ca="1">TableauRecette[[#This Row],[Proportion]]*TableauRecette[[#This Row],[Prix d''achat / kg]]/TableauRecette[[#This Row],[Total Proportion]]</f>
        <v>0</v>
      </c>
      <c r="J227" s="208"/>
      <c r="K227" s="777"/>
      <c r="L227" s="778">
        <f>_xlfn.XLOOKUP(TableauRecette[[#This Row],[ID]],TableauProduit[ID],TableauProduit[Total (kg) N1],0,0,1)*TableauRecette[[#This Row],[poids / unite]]</f>
        <v>0</v>
      </c>
      <c r="M227" s="779">
        <f>_xlfn.XLOOKUP(TableauRecette[[#This Row],[ID]],TableauProduit[ID],TableauProduit[Total (kg) N2],0,0,1)*TableauRecette[[#This Row],[poids / unite]]</f>
        <v>0</v>
      </c>
      <c r="N227" s="779">
        <f>_xlfn.XLOOKUP(TableauRecette[[#This Row],[ID]],TableauProduit[ID],TableauProduit[Total (kg) N3],0,0,1)*TableauRecette[[#This Row],[poids / unite]]</f>
        <v>0</v>
      </c>
      <c r="O227" s="779">
        <f>_xlfn.XLOOKUP(TableauRecette[[#This Row],[ID]],TableauProduit[ID],TableauProduit[Total (kg) N4],0,0,1)*TableauRecette[[#This Row],[poids / unite]]</f>
        <v>0</v>
      </c>
      <c r="P227" s="779">
        <f>_xlfn.XLOOKUP(TableauRecette[[#This Row],[ID]],TableauProduit[ID],TableauProduit[Total (kg) N5],0,0,1)*TableauRecette[[#This Row],[poids / unite]]</f>
        <v>0</v>
      </c>
      <c r="Q227" s="779">
        <f>_xlfn.XLOOKUP(TableauRecette[[#This Row],[ID]],TableauProduit[ID],TableauProduit[Total (kg) N6],0,0,1)*TableauRecette[[#This Row],[poids / unite]]</f>
        <v>0</v>
      </c>
      <c r="R227" s="779">
        <f>_xlfn.XLOOKUP(TableauRecette[[#This Row],[ID]],TableauProduit[ID],TableauProduit[Total (kg) N7],0,0,1)*TableauRecette[[#This Row],[poids / unite]]</f>
        <v>0</v>
      </c>
      <c r="S227" s="779">
        <f>_xlfn.XLOOKUP(TableauRecette[[#This Row],[ID]],TableauProduit[ID],TableauProduit[Total (kg) N8],0,0,1)*TableauRecette[[#This Row],[poids / unite]]</f>
        <v>0</v>
      </c>
      <c r="T227" s="779">
        <f>_xlfn.XLOOKUP(TableauRecette[[#This Row],[ID]],TableauProduit[ID],TableauProduit[Total (kg) N9],0,0,1)*TableauRecette[[#This Row],[poids / unite]]</f>
        <v>0</v>
      </c>
    </row>
    <row r="228" spans="1:20">
      <c r="A228" s="84" t="s">
        <v>96</v>
      </c>
      <c r="B228" s="84" t="str">
        <f>TableauRecette[[#This Row],[Recette]]&amp;TableauRecette[[#This Row],[Conditionnement]]</f>
        <v>Huile massage anti-arthriteEpice 100ml</v>
      </c>
      <c r="C228" s="84" t="s">
        <v>347</v>
      </c>
      <c r="D228" s="208">
        <v>2</v>
      </c>
      <c r="E228" s="84" t="s">
        <v>55</v>
      </c>
      <c r="F228" s="208">
        <f>D228/SUMIFS(TableauRecette[Proportion],TableauRecette[Recette],TableauRecette[[#This Row],[Recette]],TableauRecette[Conditionnement],TableauRecette[[#This Row],[Conditionnement]])</f>
        <v>7.5187969924812026E-3</v>
      </c>
      <c r="G228" s="208">
        <f ca="1">_xlfn.XLOOKUP(TableauRecette[[#This Row],[Ingredients]],TableauIngredients[Ingredients],TableauIngredients[Prix d''achat (kg)],0)*TableauRecette[[#This Row],[poids / unite]]</f>
        <v>0</v>
      </c>
      <c r="H228" s="208">
        <f>SUMIFS(TableauRecette[Proportion],TableauRecette[Recette],TableauRecette[[#This Row],[Recette]],TableauRecette[Conditionnement],TableauRecette[[#This Row],[Conditionnement]])</f>
        <v>266</v>
      </c>
      <c r="I228" s="208">
        <f ca="1">TableauRecette[[#This Row],[Proportion]]*TableauRecette[[#This Row],[Prix d''achat / kg]]/TableauRecette[[#This Row],[Total Proportion]]</f>
        <v>0</v>
      </c>
      <c r="J228" s="208"/>
      <c r="K228" s="777"/>
      <c r="L228" s="778">
        <f>_xlfn.XLOOKUP(TableauRecette[[#This Row],[ID]],TableauProduit[ID],TableauProduit[Total (kg) N1],0,0,1)*TableauRecette[[#This Row],[poids / unite]]</f>
        <v>0</v>
      </c>
      <c r="M228" s="779">
        <f>_xlfn.XLOOKUP(TableauRecette[[#This Row],[ID]],TableauProduit[ID],TableauProduit[Total (kg) N2],0,0,1)*TableauRecette[[#This Row],[poids / unite]]</f>
        <v>0</v>
      </c>
      <c r="N228" s="779">
        <f>_xlfn.XLOOKUP(TableauRecette[[#This Row],[ID]],TableauProduit[ID],TableauProduit[Total (kg) N3],0,0,1)*TableauRecette[[#This Row],[poids / unite]]</f>
        <v>0</v>
      </c>
      <c r="O228" s="779">
        <f>_xlfn.XLOOKUP(TableauRecette[[#This Row],[ID]],TableauProduit[ID],TableauProduit[Total (kg) N4],0,0,1)*TableauRecette[[#This Row],[poids / unite]]</f>
        <v>0</v>
      </c>
      <c r="P228" s="779">
        <f>_xlfn.XLOOKUP(TableauRecette[[#This Row],[ID]],TableauProduit[ID],TableauProduit[Total (kg) N5],0,0,1)*TableauRecette[[#This Row],[poids / unite]]</f>
        <v>0</v>
      </c>
      <c r="Q228" s="779">
        <f>_xlfn.XLOOKUP(TableauRecette[[#This Row],[ID]],TableauProduit[ID],TableauProduit[Total (kg) N6],0,0,1)*TableauRecette[[#This Row],[poids / unite]]</f>
        <v>0</v>
      </c>
      <c r="R228" s="779">
        <f>_xlfn.XLOOKUP(TableauRecette[[#This Row],[ID]],TableauProduit[ID],TableauProduit[Total (kg) N7],0,0,1)*TableauRecette[[#This Row],[poids / unite]]</f>
        <v>0</v>
      </c>
      <c r="S228" s="779">
        <f>_xlfn.XLOOKUP(TableauRecette[[#This Row],[ID]],TableauProduit[ID],TableauProduit[Total (kg) N8],0,0,1)*TableauRecette[[#This Row],[poids / unite]]</f>
        <v>0</v>
      </c>
      <c r="T228" s="779">
        <f>_xlfn.XLOOKUP(TableauRecette[[#This Row],[ID]],TableauProduit[ID],TableauProduit[Total (kg) N9],0,0,1)*TableauRecette[[#This Row],[poids / unite]]</f>
        <v>0</v>
      </c>
    </row>
    <row r="229" spans="1:20">
      <c r="A229" s="84" t="s">
        <v>96</v>
      </c>
      <c r="B229" s="84" t="str">
        <f>TableauRecette[[#This Row],[Recette]]&amp;TableauRecette[[#This Row],[Conditionnement]]</f>
        <v>Huile massage anti-arthriteEpice 100ml</v>
      </c>
      <c r="C229" s="84" t="s">
        <v>316</v>
      </c>
      <c r="D229" s="208">
        <v>3</v>
      </c>
      <c r="E229" s="84" t="s">
        <v>55</v>
      </c>
      <c r="F229" s="208">
        <f>D229/SUMIFS(TableauRecette[Proportion],TableauRecette[Recette],TableauRecette[[#This Row],[Recette]],TableauRecette[Conditionnement],TableauRecette[[#This Row],[Conditionnement]])</f>
        <v>1.1278195488721804E-2</v>
      </c>
      <c r="G229" s="208">
        <f ca="1">_xlfn.XLOOKUP(TableauRecette[[#This Row],[Ingredients]],TableauIngredients[Ingredients],TableauIngredients[Prix d''achat (kg)],0)*TableauRecette[[#This Row],[poids / unite]]</f>
        <v>0</v>
      </c>
      <c r="H229" s="208">
        <f>SUMIFS(TableauRecette[Proportion],TableauRecette[Recette],TableauRecette[[#This Row],[Recette]],TableauRecette[Conditionnement],TableauRecette[[#This Row],[Conditionnement]])</f>
        <v>266</v>
      </c>
      <c r="I229" s="208">
        <f ca="1">TableauRecette[[#This Row],[Proportion]]*TableauRecette[[#This Row],[Prix d''achat / kg]]/TableauRecette[[#This Row],[Total Proportion]]</f>
        <v>0</v>
      </c>
      <c r="J229" s="208"/>
      <c r="K229" s="777"/>
      <c r="L229" s="778">
        <f>_xlfn.XLOOKUP(TableauRecette[[#This Row],[ID]],TableauProduit[ID],TableauProduit[Total (kg) N1],0,0,1)*TableauRecette[[#This Row],[poids / unite]]</f>
        <v>0</v>
      </c>
      <c r="M229" s="779">
        <f>_xlfn.XLOOKUP(TableauRecette[[#This Row],[ID]],TableauProduit[ID],TableauProduit[Total (kg) N2],0,0,1)*TableauRecette[[#This Row],[poids / unite]]</f>
        <v>0</v>
      </c>
      <c r="N229" s="779">
        <f>_xlfn.XLOOKUP(TableauRecette[[#This Row],[ID]],TableauProduit[ID],TableauProduit[Total (kg) N3],0,0,1)*TableauRecette[[#This Row],[poids / unite]]</f>
        <v>0</v>
      </c>
      <c r="O229" s="779">
        <f>_xlfn.XLOOKUP(TableauRecette[[#This Row],[ID]],TableauProduit[ID],TableauProduit[Total (kg) N4],0,0,1)*TableauRecette[[#This Row],[poids / unite]]</f>
        <v>0</v>
      </c>
      <c r="P229" s="779">
        <f>_xlfn.XLOOKUP(TableauRecette[[#This Row],[ID]],TableauProduit[ID],TableauProduit[Total (kg) N5],0,0,1)*TableauRecette[[#This Row],[poids / unite]]</f>
        <v>0</v>
      </c>
      <c r="Q229" s="779">
        <f>_xlfn.XLOOKUP(TableauRecette[[#This Row],[ID]],TableauProduit[ID],TableauProduit[Total (kg) N6],0,0,1)*TableauRecette[[#This Row],[poids / unite]]</f>
        <v>0</v>
      </c>
      <c r="R229" s="779">
        <f>_xlfn.XLOOKUP(TableauRecette[[#This Row],[ID]],TableauProduit[ID],TableauProduit[Total (kg) N7],0,0,1)*TableauRecette[[#This Row],[poids / unite]]</f>
        <v>0</v>
      </c>
      <c r="S229" s="779">
        <f>_xlfn.XLOOKUP(TableauRecette[[#This Row],[ID]],TableauProduit[ID],TableauProduit[Total (kg) N8],0,0,1)*TableauRecette[[#This Row],[poids / unite]]</f>
        <v>0</v>
      </c>
      <c r="T229" s="779">
        <f>_xlfn.XLOOKUP(TableauRecette[[#This Row],[ID]],TableauProduit[ID],TableauProduit[Total (kg) N9],0,0,1)*TableauRecette[[#This Row],[poids / unite]]</f>
        <v>0</v>
      </c>
    </row>
    <row r="230" spans="1:20">
      <c r="A230" s="84" t="s">
        <v>96</v>
      </c>
      <c r="B230" s="84" t="str">
        <f>TableauRecette[[#This Row],[Recette]]&amp;TableauRecette[[#This Row],[Conditionnement]]</f>
        <v>Huile massage anti-arthriteEpice 100ml</v>
      </c>
      <c r="C230" s="84" t="s">
        <v>348</v>
      </c>
      <c r="D230" s="208">
        <v>4</v>
      </c>
      <c r="E230" s="84" t="s">
        <v>55</v>
      </c>
      <c r="F230" s="208">
        <f>D230/SUMIFS(TableauRecette[Proportion],TableauRecette[Recette],TableauRecette[[#This Row],[Recette]],TableauRecette[Conditionnement],TableauRecette[[#This Row],[Conditionnement]])</f>
        <v>1.5037593984962405E-2</v>
      </c>
      <c r="G230" s="208">
        <f ca="1">_xlfn.XLOOKUP(TableauRecette[[#This Row],[Ingredients]],TableauIngredients[Ingredients],TableauIngredients[Prix d''achat (kg)],0)*TableauRecette[[#This Row],[poids / unite]]</f>
        <v>0</v>
      </c>
      <c r="H230" s="208">
        <f>SUMIFS(TableauRecette[Proportion],TableauRecette[Recette],TableauRecette[[#This Row],[Recette]],TableauRecette[Conditionnement],TableauRecette[[#This Row],[Conditionnement]])</f>
        <v>266</v>
      </c>
      <c r="I230" s="208">
        <f ca="1">TableauRecette[[#This Row],[Proportion]]*TableauRecette[[#This Row],[Prix d''achat / kg]]/TableauRecette[[#This Row],[Total Proportion]]</f>
        <v>0</v>
      </c>
      <c r="J230" s="208"/>
      <c r="K230" s="777"/>
      <c r="L230" s="778">
        <f>_xlfn.XLOOKUP(TableauRecette[[#This Row],[ID]],TableauProduit[ID],TableauProduit[Total (kg) N1],0,0,1)*TableauRecette[[#This Row],[poids / unite]]</f>
        <v>0</v>
      </c>
      <c r="M230" s="779">
        <f>_xlfn.XLOOKUP(TableauRecette[[#This Row],[ID]],TableauProduit[ID],TableauProduit[Total (kg) N2],0,0,1)*TableauRecette[[#This Row],[poids / unite]]</f>
        <v>0</v>
      </c>
      <c r="N230" s="779">
        <f>_xlfn.XLOOKUP(TableauRecette[[#This Row],[ID]],TableauProduit[ID],TableauProduit[Total (kg) N3],0,0,1)*TableauRecette[[#This Row],[poids / unite]]</f>
        <v>0</v>
      </c>
      <c r="O230" s="779">
        <f>_xlfn.XLOOKUP(TableauRecette[[#This Row],[ID]],TableauProduit[ID],TableauProduit[Total (kg) N4],0,0,1)*TableauRecette[[#This Row],[poids / unite]]</f>
        <v>0</v>
      </c>
      <c r="P230" s="779">
        <f>_xlfn.XLOOKUP(TableauRecette[[#This Row],[ID]],TableauProduit[ID],TableauProduit[Total (kg) N5],0,0,1)*TableauRecette[[#This Row],[poids / unite]]</f>
        <v>0</v>
      </c>
      <c r="Q230" s="779">
        <f>_xlfn.XLOOKUP(TableauRecette[[#This Row],[ID]],TableauProduit[ID],TableauProduit[Total (kg) N6],0,0,1)*TableauRecette[[#This Row],[poids / unite]]</f>
        <v>0</v>
      </c>
      <c r="R230" s="779">
        <f>_xlfn.XLOOKUP(TableauRecette[[#This Row],[ID]],TableauProduit[ID],TableauProduit[Total (kg) N7],0,0,1)*TableauRecette[[#This Row],[poids / unite]]</f>
        <v>0</v>
      </c>
      <c r="S230" s="779">
        <f>_xlfn.XLOOKUP(TableauRecette[[#This Row],[ID]],TableauProduit[ID],TableauProduit[Total (kg) N8],0,0,1)*TableauRecette[[#This Row],[poids / unite]]</f>
        <v>0</v>
      </c>
      <c r="T230" s="779">
        <f>_xlfn.XLOOKUP(TableauRecette[[#This Row],[ID]],TableauProduit[ID],TableauProduit[Total (kg) N9],0,0,1)*TableauRecette[[#This Row],[poids / unite]]</f>
        <v>0</v>
      </c>
    </row>
    <row r="231" spans="1:20">
      <c r="A231" s="84" t="s">
        <v>96</v>
      </c>
      <c r="B231" s="84" t="str">
        <f>TableauRecette[[#This Row],[Recette]]&amp;TableauRecette[[#This Row],[Conditionnement]]</f>
        <v>Huile massage anti-arthriteEpice 100ml</v>
      </c>
      <c r="C231" s="84" t="s">
        <v>783</v>
      </c>
      <c r="D231" s="208">
        <v>2</v>
      </c>
      <c r="E231" s="84" t="s">
        <v>55</v>
      </c>
      <c r="F231" s="208">
        <f>D231/SUMIFS(TableauRecette[Proportion],TableauRecette[Recette],TableauRecette[[#This Row],[Recette]],TableauRecette[Conditionnement],TableauRecette[[#This Row],[Conditionnement]])</f>
        <v>7.5187969924812026E-3</v>
      </c>
      <c r="G231" s="208">
        <f ca="1">_xlfn.XLOOKUP(TableauRecette[[#This Row],[Ingredients]],TableauIngredients[Ingredients],TableauIngredients[Prix d''achat (kg)],0)*TableauRecette[[#This Row],[poids / unite]]</f>
        <v>0</v>
      </c>
      <c r="H231" s="208">
        <f>SUMIFS(TableauRecette[Proportion],TableauRecette[Recette],TableauRecette[[#This Row],[Recette]],TableauRecette[Conditionnement],TableauRecette[[#This Row],[Conditionnement]])</f>
        <v>266</v>
      </c>
      <c r="I231" s="208">
        <f ca="1">TableauRecette[[#This Row],[Proportion]]*TableauRecette[[#This Row],[Prix d''achat / kg]]/TableauRecette[[#This Row],[Total Proportion]]</f>
        <v>0</v>
      </c>
      <c r="J231" s="208"/>
      <c r="K231" s="777"/>
      <c r="L231" s="778">
        <f>_xlfn.XLOOKUP(TableauRecette[[#This Row],[ID]],TableauProduit[ID],TableauProduit[Total (kg) N1],0,0,1)*TableauRecette[[#This Row],[poids / unite]]</f>
        <v>0</v>
      </c>
      <c r="M231" s="779">
        <f>_xlfn.XLOOKUP(TableauRecette[[#This Row],[ID]],TableauProduit[ID],TableauProduit[Total (kg) N2],0,0,1)*TableauRecette[[#This Row],[poids / unite]]</f>
        <v>0</v>
      </c>
      <c r="N231" s="779">
        <f>_xlfn.XLOOKUP(TableauRecette[[#This Row],[ID]],TableauProduit[ID],TableauProduit[Total (kg) N3],0,0,1)*TableauRecette[[#This Row],[poids / unite]]</f>
        <v>0</v>
      </c>
      <c r="O231" s="779">
        <f>_xlfn.XLOOKUP(TableauRecette[[#This Row],[ID]],TableauProduit[ID],TableauProduit[Total (kg) N4],0,0,1)*TableauRecette[[#This Row],[poids / unite]]</f>
        <v>0</v>
      </c>
      <c r="P231" s="779">
        <f>_xlfn.XLOOKUP(TableauRecette[[#This Row],[ID]],TableauProduit[ID],TableauProduit[Total (kg) N5],0,0,1)*TableauRecette[[#This Row],[poids / unite]]</f>
        <v>0</v>
      </c>
      <c r="Q231" s="779">
        <f>_xlfn.XLOOKUP(TableauRecette[[#This Row],[ID]],TableauProduit[ID],TableauProduit[Total (kg) N6],0,0,1)*TableauRecette[[#This Row],[poids / unite]]</f>
        <v>0</v>
      </c>
      <c r="R231" s="779">
        <f>_xlfn.XLOOKUP(TableauRecette[[#This Row],[ID]],TableauProduit[ID],TableauProduit[Total (kg) N7],0,0,1)*TableauRecette[[#This Row],[poids / unite]]</f>
        <v>0</v>
      </c>
      <c r="S231" s="779">
        <f>_xlfn.XLOOKUP(TableauRecette[[#This Row],[ID]],TableauProduit[ID],TableauProduit[Total (kg) N8],0,0,1)*TableauRecette[[#This Row],[poids / unite]]</f>
        <v>0</v>
      </c>
      <c r="T231" s="779">
        <f>_xlfn.XLOOKUP(TableauRecette[[#This Row],[ID]],TableauProduit[ID],TableauProduit[Total (kg) N9],0,0,1)*TableauRecette[[#This Row],[poids / unite]]</f>
        <v>0</v>
      </c>
    </row>
    <row r="232" spans="1:20">
      <c r="A232" s="84" t="s">
        <v>96</v>
      </c>
      <c r="B232" s="84" t="str">
        <f>TableauRecette[[#This Row],[Recette]]&amp;TableauRecette[[#This Row],[Conditionnement]]</f>
        <v>Huile massage anti-arthriteEpice 100ml</v>
      </c>
      <c r="C232" s="84" t="s">
        <v>322</v>
      </c>
      <c r="D232" s="208">
        <v>100</v>
      </c>
      <c r="E232" s="84" t="s">
        <v>55</v>
      </c>
      <c r="F232" s="208">
        <f>D232/SUMIFS(TableauRecette[Proportion],TableauRecette[Recette],TableauRecette[[#This Row],[Recette]],TableauRecette[Conditionnement],TableauRecette[[#This Row],[Conditionnement]])</f>
        <v>0.37593984962406013</v>
      </c>
      <c r="G232" s="208">
        <f ca="1">_xlfn.XLOOKUP(TableauRecette[[#This Row],[Ingredients]],TableauIngredients[Ingredients],TableauIngredients[Prix d''achat (kg)],0)*TableauRecette[[#This Row],[poids / unite]]</f>
        <v>8.3308270676691727</v>
      </c>
      <c r="H232" s="208">
        <f>SUMIFS(TableauRecette[Proportion],TableauRecette[Recette],TableauRecette[[#This Row],[Recette]],TableauRecette[Conditionnement],TableauRecette[[#This Row],[Conditionnement]])</f>
        <v>266</v>
      </c>
      <c r="I232" s="208">
        <f ca="1">TableauRecette[[#This Row],[Proportion]]*TableauRecette[[#This Row],[Prix d''achat / kg]]/TableauRecette[[#This Row],[Total Proportion]]</f>
        <v>0</v>
      </c>
      <c r="J232" s="208"/>
      <c r="K232" s="777"/>
      <c r="L232" s="778">
        <f>_xlfn.XLOOKUP(TableauRecette[[#This Row],[ID]],TableauProduit[ID],TableauProduit[Total (kg) N1],0,0,1)*TableauRecette[[#This Row],[poids / unite]]</f>
        <v>0</v>
      </c>
      <c r="M232" s="779">
        <f>_xlfn.XLOOKUP(TableauRecette[[#This Row],[ID]],TableauProduit[ID],TableauProduit[Total (kg) N2],0,0,1)*TableauRecette[[#This Row],[poids / unite]]</f>
        <v>0</v>
      </c>
      <c r="N232" s="779">
        <f>_xlfn.XLOOKUP(TableauRecette[[#This Row],[ID]],TableauProduit[ID],TableauProduit[Total (kg) N3],0,0,1)*TableauRecette[[#This Row],[poids / unite]]</f>
        <v>0</v>
      </c>
      <c r="O232" s="779">
        <f>_xlfn.XLOOKUP(TableauRecette[[#This Row],[ID]],TableauProduit[ID],TableauProduit[Total (kg) N4],0,0,1)*TableauRecette[[#This Row],[poids / unite]]</f>
        <v>0</v>
      </c>
      <c r="P232" s="779">
        <f>_xlfn.XLOOKUP(TableauRecette[[#This Row],[ID]],TableauProduit[ID],TableauProduit[Total (kg) N5],0,0,1)*TableauRecette[[#This Row],[poids / unite]]</f>
        <v>0</v>
      </c>
      <c r="Q232" s="779">
        <f>_xlfn.XLOOKUP(TableauRecette[[#This Row],[ID]],TableauProduit[ID],TableauProduit[Total (kg) N6],0,0,1)*TableauRecette[[#This Row],[poids / unite]]</f>
        <v>0</v>
      </c>
      <c r="R232" s="779">
        <f>_xlfn.XLOOKUP(TableauRecette[[#This Row],[ID]],TableauProduit[ID],TableauProduit[Total (kg) N7],0,0,1)*TableauRecette[[#This Row],[poids / unite]]</f>
        <v>0</v>
      </c>
      <c r="S232" s="779">
        <f>_xlfn.XLOOKUP(TableauRecette[[#This Row],[ID]],TableauProduit[ID],TableauProduit[Total (kg) N8],0,0,1)*TableauRecette[[#This Row],[poids / unite]]</f>
        <v>0</v>
      </c>
      <c r="T232" s="779">
        <f>_xlfn.XLOOKUP(TableauRecette[[#This Row],[ID]],TableauProduit[ID],TableauProduit[Total (kg) N9],0,0,1)*TableauRecette[[#This Row],[poids / unite]]</f>
        <v>0</v>
      </c>
    </row>
    <row r="233" spans="1:20">
      <c r="A233" s="84" t="s">
        <v>96</v>
      </c>
      <c r="B233" s="84" t="str">
        <f>TableauRecette[[#This Row],[Recette]]&amp;TableauRecette[[#This Row],[Conditionnement]]</f>
        <v>Huile massage anti-arthriteEpice 100ml</v>
      </c>
      <c r="C233" s="84" t="s">
        <v>349</v>
      </c>
      <c r="D233" s="208">
        <v>150</v>
      </c>
      <c r="E233" s="84" t="s">
        <v>55</v>
      </c>
      <c r="F233" s="208">
        <f>D233/SUMIFS(TableauRecette[Proportion],TableauRecette[Recette],TableauRecette[[#This Row],[Recette]],TableauRecette[Conditionnement],TableauRecette[[#This Row],[Conditionnement]])</f>
        <v>0.56390977443609025</v>
      </c>
      <c r="G233" s="208">
        <f ca="1">_xlfn.XLOOKUP(TableauRecette[[#This Row],[Ingredients]],TableauIngredients[Ingredients],TableauIngredients[Prix d''achat (kg)],0)*TableauRecette[[#This Row],[poids / unite]]</f>
        <v>0.84586466165413543</v>
      </c>
      <c r="H233" s="208">
        <f>SUMIFS(TableauRecette[Proportion],TableauRecette[Recette],TableauRecette[[#This Row],[Recette]],TableauRecette[Conditionnement],TableauRecette[[#This Row],[Conditionnement]])</f>
        <v>266</v>
      </c>
      <c r="I233" s="208">
        <f ca="1">TableauRecette[[#This Row],[Proportion]]*TableauRecette[[#This Row],[Prix d''achat / kg]]/TableauRecette[[#This Row],[Total Proportion]]</f>
        <v>0</v>
      </c>
      <c r="J233" s="208"/>
      <c r="K233" s="777"/>
      <c r="L233" s="778">
        <f>_xlfn.XLOOKUP(TableauRecette[[#This Row],[ID]],TableauProduit[ID],TableauProduit[Total (kg) N1],0,0,1)*TableauRecette[[#This Row],[poids / unite]]</f>
        <v>0</v>
      </c>
      <c r="M233" s="779">
        <f>_xlfn.XLOOKUP(TableauRecette[[#This Row],[ID]],TableauProduit[ID],TableauProduit[Total (kg) N2],0,0,1)*TableauRecette[[#This Row],[poids / unite]]</f>
        <v>0</v>
      </c>
      <c r="N233" s="779">
        <f>_xlfn.XLOOKUP(TableauRecette[[#This Row],[ID]],TableauProduit[ID],TableauProduit[Total (kg) N3],0,0,1)*TableauRecette[[#This Row],[poids / unite]]</f>
        <v>0</v>
      </c>
      <c r="O233" s="779">
        <f>_xlfn.XLOOKUP(TableauRecette[[#This Row],[ID]],TableauProduit[ID],TableauProduit[Total (kg) N4],0,0,1)*TableauRecette[[#This Row],[poids / unite]]</f>
        <v>0</v>
      </c>
      <c r="P233" s="779">
        <f>_xlfn.XLOOKUP(TableauRecette[[#This Row],[ID]],TableauProduit[ID],TableauProduit[Total (kg) N5],0,0,1)*TableauRecette[[#This Row],[poids / unite]]</f>
        <v>0</v>
      </c>
      <c r="Q233" s="779">
        <f>_xlfn.XLOOKUP(TableauRecette[[#This Row],[ID]],TableauProduit[ID],TableauProduit[Total (kg) N6],0,0,1)*TableauRecette[[#This Row],[poids / unite]]</f>
        <v>0</v>
      </c>
      <c r="R233" s="779">
        <f>_xlfn.XLOOKUP(TableauRecette[[#This Row],[ID]],TableauProduit[ID],TableauProduit[Total (kg) N7],0,0,1)*TableauRecette[[#This Row],[poids / unite]]</f>
        <v>0</v>
      </c>
      <c r="S233" s="779">
        <f>_xlfn.XLOOKUP(TableauRecette[[#This Row],[ID]],TableauProduit[ID],TableauProduit[Total (kg) N8],0,0,1)*TableauRecette[[#This Row],[poids / unite]]</f>
        <v>0</v>
      </c>
      <c r="T233" s="779">
        <f>_xlfn.XLOOKUP(TableauRecette[[#This Row],[ID]],TableauProduit[ID],TableauProduit[Total (kg) N9],0,0,1)*TableauRecette[[#This Row],[poids / unite]]</f>
        <v>0</v>
      </c>
    </row>
    <row r="234" spans="1:20">
      <c r="A234" s="444" t="s">
        <v>350</v>
      </c>
      <c r="B234" s="444" t="str">
        <f>TableauRecette[[#This Row],[Recette]]&amp;TableauRecette[[#This Row],[Conditionnement]]</f>
        <v>Huile massage musculairePiment liquide 100ml</v>
      </c>
      <c r="C234" s="444" t="s">
        <v>351</v>
      </c>
      <c r="D234" s="445">
        <v>1</v>
      </c>
      <c r="E234" s="444" t="s">
        <v>352</v>
      </c>
      <c r="F234" s="445">
        <f>D234/SUMIFS(TableauRecette[Proportion],TableauRecette[Recette],TableauRecette[[#This Row],[Recette]],TableauRecette[Conditionnement],TableauRecette[[#This Row],[Conditionnement]])</f>
        <v>1</v>
      </c>
      <c r="G234" s="445">
        <f ca="1">_xlfn.XLOOKUP(TableauRecette[[#This Row],[Ingredients]],TableauIngredients[Ingredients],TableauIngredients[Prix d''achat (kg)],0)*TableauRecette[[#This Row],[poids / unite]]</f>
        <v>150</v>
      </c>
      <c r="H234" s="445">
        <f>SUMIFS(TableauRecette[Proportion],TableauRecette[Recette],TableauRecette[[#This Row],[Recette]],TableauRecette[Conditionnement],TableauRecette[[#This Row],[Conditionnement]])</f>
        <v>1</v>
      </c>
      <c r="I234" s="445">
        <f ca="1">TableauRecette[[#This Row],[Proportion]]*TableauRecette[[#This Row],[Prix d''achat / kg]]/TableauRecette[[#This Row],[Total Proportion]]</f>
        <v>0</v>
      </c>
      <c r="J234" s="445"/>
      <c r="K234" s="780"/>
      <c r="L234" s="781">
        <f>_xlfn.XLOOKUP(TableauRecette[[#This Row],[ID]],TableauProduit[ID],TableauProduit[Total (kg) N1],0,0,1)*TableauRecette[[#This Row],[poids / unite]]</f>
        <v>0</v>
      </c>
      <c r="M234" s="782">
        <f>_xlfn.XLOOKUP(TableauRecette[[#This Row],[ID]],TableauProduit[ID],TableauProduit[Total (kg) N2],0,0,1)*TableauRecette[[#This Row],[poids / unite]]</f>
        <v>0</v>
      </c>
      <c r="N234" s="782">
        <f>_xlfn.XLOOKUP(TableauRecette[[#This Row],[ID]],TableauProduit[ID],TableauProduit[Total (kg) N3],0,0,1)*TableauRecette[[#This Row],[poids / unite]]</f>
        <v>0</v>
      </c>
      <c r="O234" s="782">
        <f>_xlfn.XLOOKUP(TableauRecette[[#This Row],[ID]],TableauProduit[ID],TableauProduit[Total (kg) N4],0,0,1)*TableauRecette[[#This Row],[poids / unite]]</f>
        <v>0</v>
      </c>
      <c r="P234" s="782">
        <f>_xlfn.XLOOKUP(TableauRecette[[#This Row],[ID]],TableauProduit[ID],TableauProduit[Total (kg) N5],0,0,1)*TableauRecette[[#This Row],[poids / unite]]</f>
        <v>0</v>
      </c>
      <c r="Q234" s="782">
        <f>_xlfn.XLOOKUP(TableauRecette[[#This Row],[ID]],TableauProduit[ID],TableauProduit[Total (kg) N6],0,0,1)*TableauRecette[[#This Row],[poids / unite]]</f>
        <v>0</v>
      </c>
      <c r="R234" s="782">
        <f>_xlfn.XLOOKUP(TableauRecette[[#This Row],[ID]],TableauProduit[ID],TableauProduit[Total (kg) N7],0,0,1)*TableauRecette[[#This Row],[poids / unite]]</f>
        <v>0</v>
      </c>
      <c r="S234" s="782">
        <f>_xlfn.XLOOKUP(TableauRecette[[#This Row],[ID]],TableauProduit[ID],TableauProduit[Total (kg) N8],0,0,1)*TableauRecette[[#This Row],[poids / unite]]</f>
        <v>0</v>
      </c>
      <c r="T234" s="782">
        <f>_xlfn.XLOOKUP(TableauRecette[[#This Row],[ID]],TableauProduit[ID],TableauProduit[Total (kg) N9],0,0,1)*TableauRecette[[#This Row],[poids / unite]]</f>
        <v>0</v>
      </c>
    </row>
    <row r="235" spans="1:20">
      <c r="A235" s="85" t="s">
        <v>99</v>
      </c>
      <c r="B235" s="85" t="str">
        <f>TableauRecette[[#This Row],[Recette]]&amp;TableauRecette[[#This Row],[Conditionnement]]</f>
        <v>Jamaican JerkEpice 100ml</v>
      </c>
      <c r="C235" s="85" t="s">
        <v>303</v>
      </c>
      <c r="D235" s="209">
        <v>2</v>
      </c>
      <c r="E235" s="85" t="s">
        <v>55</v>
      </c>
      <c r="F235" s="209">
        <f>D235/SUMIFS(TableauRecette[Proportion],TableauRecette[Recette],TableauRecette[[#This Row],[Recette]],TableauRecette[Conditionnement],TableauRecette[[#This Row],[Conditionnement]])</f>
        <v>0.125</v>
      </c>
      <c r="G235" s="209">
        <f ca="1">_xlfn.XLOOKUP(TableauRecette[[#This Row],[Ingredients]],TableauIngredients[Ingredients],TableauIngredients[Prix d''achat (kg)],0)*TableauRecette[[#This Row],[poids / unite]]</f>
        <v>0.17499999999999999</v>
      </c>
      <c r="H235" s="209">
        <f>SUMIFS(TableauRecette[Proportion],TableauRecette[Recette],TableauRecette[[#This Row],[Recette]],TableauRecette[Conditionnement],TableauRecette[[#This Row],[Conditionnement]])</f>
        <v>16</v>
      </c>
      <c r="I235" s="209">
        <f ca="1">TableauRecette[[#This Row],[Proportion]]*TableauRecette[[#This Row],[Prix d''achat / kg]]/TableauRecette[[#This Row],[Total Proportion]]</f>
        <v>0</v>
      </c>
      <c r="J235" s="209"/>
      <c r="K235" s="783"/>
      <c r="L235" s="784">
        <f>_xlfn.XLOOKUP(TableauRecette[[#This Row],[ID]],TableauProduit[ID],TableauProduit[Total (kg) N1],0,0,1)*TableauRecette[[#This Row],[poids / unite]]</f>
        <v>0</v>
      </c>
      <c r="M235" s="785">
        <f>_xlfn.XLOOKUP(TableauRecette[[#This Row],[ID]],TableauProduit[ID],TableauProduit[Total (kg) N2],0,0,1)*TableauRecette[[#This Row],[poids / unite]]</f>
        <v>0</v>
      </c>
      <c r="N235" s="785">
        <f>_xlfn.XLOOKUP(TableauRecette[[#This Row],[ID]],TableauProduit[ID],TableauProduit[Total (kg) N3],0,0,1)*TableauRecette[[#This Row],[poids / unite]]</f>
        <v>0</v>
      </c>
      <c r="O235" s="785">
        <f>_xlfn.XLOOKUP(TableauRecette[[#This Row],[ID]],TableauProduit[ID],TableauProduit[Total (kg) N4],0,0,1)*TableauRecette[[#This Row],[poids / unite]]</f>
        <v>0</v>
      </c>
      <c r="P235" s="785">
        <f>_xlfn.XLOOKUP(TableauRecette[[#This Row],[ID]],TableauProduit[ID],TableauProduit[Total (kg) N5],0,0,1)*TableauRecette[[#This Row],[poids / unite]]</f>
        <v>0</v>
      </c>
      <c r="Q235" s="785">
        <f>_xlfn.XLOOKUP(TableauRecette[[#This Row],[ID]],TableauProduit[ID],TableauProduit[Total (kg) N6],0,0,1)*TableauRecette[[#This Row],[poids / unite]]</f>
        <v>0</v>
      </c>
      <c r="R235" s="785">
        <f>_xlfn.XLOOKUP(TableauRecette[[#This Row],[ID]],TableauProduit[ID],TableauProduit[Total (kg) N7],0,0,1)*TableauRecette[[#This Row],[poids / unite]]</f>
        <v>0</v>
      </c>
      <c r="S235" s="785">
        <f>_xlfn.XLOOKUP(TableauRecette[[#This Row],[ID]],TableauProduit[ID],TableauProduit[Total (kg) N8],0,0,1)*TableauRecette[[#This Row],[poids / unite]]</f>
        <v>0</v>
      </c>
      <c r="T235" s="785">
        <f>_xlfn.XLOOKUP(TableauRecette[[#This Row],[ID]],TableauProduit[ID],TableauProduit[Total (kg) N9],0,0,1)*TableauRecette[[#This Row],[poids / unite]]</f>
        <v>0</v>
      </c>
    </row>
    <row r="236" spans="1:20">
      <c r="A236" s="85" t="s">
        <v>99</v>
      </c>
      <c r="B236" s="85" t="str">
        <f>TableauRecette[[#This Row],[Recette]]&amp;TableauRecette[[#This Row],[Conditionnement]]</f>
        <v>Jamaican JerkEpice 100ml</v>
      </c>
      <c r="C236" s="85" t="s">
        <v>353</v>
      </c>
      <c r="D236" s="209">
        <v>2</v>
      </c>
      <c r="E236" s="85" t="s">
        <v>55</v>
      </c>
      <c r="F236" s="209">
        <f>D236/SUMIFS(TableauRecette[Proportion],TableauRecette[Recette],TableauRecette[[#This Row],[Recette]],TableauRecette[Conditionnement],TableauRecette[[#This Row],[Conditionnement]])</f>
        <v>0.125</v>
      </c>
      <c r="G236" s="209">
        <f ca="1">_xlfn.XLOOKUP(TableauRecette[[#This Row],[Ingredients]],TableauIngredients[Ingredients],TableauIngredients[Prix d''achat (kg)],0)*TableauRecette[[#This Row],[poids / unite]]</f>
        <v>0</v>
      </c>
      <c r="H236" s="209">
        <f>SUMIFS(TableauRecette[Proportion],TableauRecette[Recette],TableauRecette[[#This Row],[Recette]],TableauRecette[Conditionnement],TableauRecette[[#This Row],[Conditionnement]])</f>
        <v>16</v>
      </c>
      <c r="I236" s="209">
        <f ca="1">TableauRecette[[#This Row],[Proportion]]*TableauRecette[[#This Row],[Prix d''achat / kg]]/TableauRecette[[#This Row],[Total Proportion]]</f>
        <v>0</v>
      </c>
      <c r="J236" s="209"/>
      <c r="K236" s="783"/>
      <c r="L236" s="784">
        <f>_xlfn.XLOOKUP(TableauRecette[[#This Row],[ID]],TableauProduit[ID],TableauProduit[Total (kg) N1],0,0,1)*TableauRecette[[#This Row],[poids / unite]]</f>
        <v>0</v>
      </c>
      <c r="M236" s="785">
        <f>_xlfn.XLOOKUP(TableauRecette[[#This Row],[ID]],TableauProduit[ID],TableauProduit[Total (kg) N2],0,0,1)*TableauRecette[[#This Row],[poids / unite]]</f>
        <v>0</v>
      </c>
      <c r="N236" s="785">
        <f>_xlfn.XLOOKUP(TableauRecette[[#This Row],[ID]],TableauProduit[ID],TableauProduit[Total (kg) N3],0,0,1)*TableauRecette[[#This Row],[poids / unite]]</f>
        <v>0</v>
      </c>
      <c r="O236" s="785">
        <f>_xlfn.XLOOKUP(TableauRecette[[#This Row],[ID]],TableauProduit[ID],TableauProduit[Total (kg) N4],0,0,1)*TableauRecette[[#This Row],[poids / unite]]</f>
        <v>0</v>
      </c>
      <c r="P236" s="785">
        <f>_xlfn.XLOOKUP(TableauRecette[[#This Row],[ID]],TableauProduit[ID],TableauProduit[Total (kg) N5],0,0,1)*TableauRecette[[#This Row],[poids / unite]]</f>
        <v>0</v>
      </c>
      <c r="Q236" s="785">
        <f>_xlfn.XLOOKUP(TableauRecette[[#This Row],[ID]],TableauProduit[ID],TableauProduit[Total (kg) N6],0,0,1)*TableauRecette[[#This Row],[poids / unite]]</f>
        <v>0</v>
      </c>
      <c r="R236" s="785">
        <f>_xlfn.XLOOKUP(TableauRecette[[#This Row],[ID]],TableauProduit[ID],TableauProduit[Total (kg) N7],0,0,1)*TableauRecette[[#This Row],[poids / unite]]</f>
        <v>0</v>
      </c>
      <c r="S236" s="785">
        <f>_xlfn.XLOOKUP(TableauRecette[[#This Row],[ID]],TableauProduit[ID],TableauProduit[Total (kg) N8],0,0,1)*TableauRecette[[#This Row],[poids / unite]]</f>
        <v>0</v>
      </c>
      <c r="T236" s="785">
        <f>_xlfn.XLOOKUP(TableauRecette[[#This Row],[ID]],TableauProduit[ID],TableauProduit[Total (kg) N9],0,0,1)*TableauRecette[[#This Row],[poids / unite]]</f>
        <v>0</v>
      </c>
    </row>
    <row r="237" spans="1:20">
      <c r="A237" s="85" t="s">
        <v>99</v>
      </c>
      <c r="B237" s="85" t="str">
        <f>TableauRecette[[#This Row],[Recette]]&amp;TableauRecette[[#This Row],[Conditionnement]]</f>
        <v>Jamaican JerkEpice 100ml</v>
      </c>
      <c r="C237" s="85" t="s">
        <v>319</v>
      </c>
      <c r="D237" s="209">
        <v>2</v>
      </c>
      <c r="E237" s="85" t="s">
        <v>55</v>
      </c>
      <c r="F237" s="209">
        <f>D237/SUMIFS(TableauRecette[Proportion],TableauRecette[Recette],TableauRecette[[#This Row],[Recette]],TableauRecette[Conditionnement],TableauRecette[[#This Row],[Conditionnement]])</f>
        <v>0.125</v>
      </c>
      <c r="G237" s="209">
        <f ca="1">_xlfn.XLOOKUP(TableauRecette[[#This Row],[Ingredients]],TableauIngredients[Ingredients],TableauIngredients[Prix d''achat (kg)],0)*TableauRecette[[#This Row],[poids / unite]]</f>
        <v>0</v>
      </c>
      <c r="H237" s="209">
        <f>SUMIFS(TableauRecette[Proportion],TableauRecette[Recette],TableauRecette[[#This Row],[Recette]],TableauRecette[Conditionnement],TableauRecette[[#This Row],[Conditionnement]])</f>
        <v>16</v>
      </c>
      <c r="I237" s="209">
        <f ca="1">TableauRecette[[#This Row],[Proportion]]*TableauRecette[[#This Row],[Prix d''achat / kg]]/TableauRecette[[#This Row],[Total Proportion]]</f>
        <v>0</v>
      </c>
      <c r="J237" s="209"/>
      <c r="K237" s="783"/>
      <c r="L237" s="784">
        <f>_xlfn.XLOOKUP(TableauRecette[[#This Row],[ID]],TableauProduit[ID],TableauProduit[Total (kg) N1],0,0,1)*TableauRecette[[#This Row],[poids / unite]]</f>
        <v>0</v>
      </c>
      <c r="M237" s="785">
        <f>_xlfn.XLOOKUP(TableauRecette[[#This Row],[ID]],TableauProduit[ID],TableauProduit[Total (kg) N2],0,0,1)*TableauRecette[[#This Row],[poids / unite]]</f>
        <v>0</v>
      </c>
      <c r="N237" s="785">
        <f>_xlfn.XLOOKUP(TableauRecette[[#This Row],[ID]],TableauProduit[ID],TableauProduit[Total (kg) N3],0,0,1)*TableauRecette[[#This Row],[poids / unite]]</f>
        <v>0</v>
      </c>
      <c r="O237" s="785">
        <f>_xlfn.XLOOKUP(TableauRecette[[#This Row],[ID]],TableauProduit[ID],TableauProduit[Total (kg) N4],0,0,1)*TableauRecette[[#This Row],[poids / unite]]</f>
        <v>0</v>
      </c>
      <c r="P237" s="785">
        <f>_xlfn.XLOOKUP(TableauRecette[[#This Row],[ID]],TableauProduit[ID],TableauProduit[Total (kg) N5],0,0,1)*TableauRecette[[#This Row],[poids / unite]]</f>
        <v>0</v>
      </c>
      <c r="Q237" s="785">
        <f>_xlfn.XLOOKUP(TableauRecette[[#This Row],[ID]],TableauProduit[ID],TableauProduit[Total (kg) N6],0,0,1)*TableauRecette[[#This Row],[poids / unite]]</f>
        <v>0</v>
      </c>
      <c r="R237" s="785">
        <f>_xlfn.XLOOKUP(TableauRecette[[#This Row],[ID]],TableauProduit[ID],TableauProduit[Total (kg) N7],0,0,1)*TableauRecette[[#This Row],[poids / unite]]</f>
        <v>0</v>
      </c>
      <c r="S237" s="785">
        <f>_xlfn.XLOOKUP(TableauRecette[[#This Row],[ID]],TableauProduit[ID],TableauProduit[Total (kg) N8],0,0,1)*TableauRecette[[#This Row],[poids / unite]]</f>
        <v>0</v>
      </c>
      <c r="T237" s="785">
        <f>_xlfn.XLOOKUP(TableauRecette[[#This Row],[ID]],TableauProduit[ID],TableauProduit[Total (kg) N9],0,0,1)*TableauRecette[[#This Row],[poids / unite]]</f>
        <v>0</v>
      </c>
    </row>
    <row r="238" spans="1:20">
      <c r="A238" s="85" t="s">
        <v>99</v>
      </c>
      <c r="B238" s="85" t="str">
        <f>TableauRecette[[#This Row],[Recette]]&amp;TableauRecette[[#This Row],[Conditionnement]]</f>
        <v>Jamaican JerkEpice 100ml</v>
      </c>
      <c r="C238" s="85" t="s">
        <v>291</v>
      </c>
      <c r="D238" s="209">
        <v>1.5</v>
      </c>
      <c r="E238" s="85" t="s">
        <v>55</v>
      </c>
      <c r="F238" s="209">
        <f>D238/SUMIFS(TableauRecette[Proportion],TableauRecette[Recette],TableauRecette[[#This Row],[Recette]],TableauRecette[Conditionnement],TableauRecette[[#This Row],[Conditionnement]])</f>
        <v>9.375E-2</v>
      </c>
      <c r="G238" s="209">
        <f ca="1">_xlfn.XLOOKUP(TableauRecette[[#This Row],[Ingredients]],TableauIngredients[Ingredients],TableauIngredients[Prix d''achat (kg)],0)*TableauRecette[[#This Row],[poids / unite]]</f>
        <v>5.625</v>
      </c>
      <c r="H238" s="209">
        <f>SUMIFS(TableauRecette[Proportion],TableauRecette[Recette],TableauRecette[[#This Row],[Recette]],TableauRecette[Conditionnement],TableauRecette[[#This Row],[Conditionnement]])</f>
        <v>16</v>
      </c>
      <c r="I238" s="209">
        <f ca="1">TableauRecette[[#This Row],[Proportion]]*TableauRecette[[#This Row],[Prix d''achat / kg]]/TableauRecette[[#This Row],[Total Proportion]]</f>
        <v>0</v>
      </c>
      <c r="J238" s="209"/>
      <c r="K238" s="783"/>
      <c r="L238" s="784">
        <f>_xlfn.XLOOKUP(TableauRecette[[#This Row],[ID]],TableauProduit[ID],TableauProduit[Total (kg) N1],0,0,1)*TableauRecette[[#This Row],[poids / unite]]</f>
        <v>0</v>
      </c>
      <c r="M238" s="785">
        <f>_xlfn.XLOOKUP(TableauRecette[[#This Row],[ID]],TableauProduit[ID],TableauProduit[Total (kg) N2],0,0,1)*TableauRecette[[#This Row],[poids / unite]]</f>
        <v>0</v>
      </c>
      <c r="N238" s="785">
        <f>_xlfn.XLOOKUP(TableauRecette[[#This Row],[ID]],TableauProduit[ID],TableauProduit[Total (kg) N3],0,0,1)*TableauRecette[[#This Row],[poids / unite]]</f>
        <v>0</v>
      </c>
      <c r="O238" s="785">
        <f>_xlfn.XLOOKUP(TableauRecette[[#This Row],[ID]],TableauProduit[ID],TableauProduit[Total (kg) N4],0,0,1)*TableauRecette[[#This Row],[poids / unite]]</f>
        <v>0</v>
      </c>
      <c r="P238" s="785">
        <f>_xlfn.XLOOKUP(TableauRecette[[#This Row],[ID]],TableauProduit[ID],TableauProduit[Total (kg) N5],0,0,1)*TableauRecette[[#This Row],[poids / unite]]</f>
        <v>0</v>
      </c>
      <c r="Q238" s="785">
        <f>_xlfn.XLOOKUP(TableauRecette[[#This Row],[ID]],TableauProduit[ID],TableauProduit[Total (kg) N6],0,0,1)*TableauRecette[[#This Row],[poids / unite]]</f>
        <v>0</v>
      </c>
      <c r="R238" s="785">
        <f>_xlfn.XLOOKUP(TableauRecette[[#This Row],[ID]],TableauProduit[ID],TableauProduit[Total (kg) N7],0,0,1)*TableauRecette[[#This Row],[poids / unite]]</f>
        <v>0</v>
      </c>
      <c r="S238" s="785">
        <f>_xlfn.XLOOKUP(TableauRecette[[#This Row],[ID]],TableauProduit[ID],TableauProduit[Total (kg) N8],0,0,1)*TableauRecette[[#This Row],[poids / unite]]</f>
        <v>0</v>
      </c>
      <c r="T238" s="785">
        <f>_xlfn.XLOOKUP(TableauRecette[[#This Row],[ID]],TableauProduit[ID],TableauProduit[Total (kg) N9],0,0,1)*TableauRecette[[#This Row],[poids / unite]]</f>
        <v>0</v>
      </c>
    </row>
    <row r="239" spans="1:20">
      <c r="A239" s="85" t="s">
        <v>99</v>
      </c>
      <c r="B239" s="85" t="str">
        <f>TableauRecette[[#This Row],[Recette]]&amp;TableauRecette[[#This Row],[Conditionnement]]</f>
        <v>Jamaican JerkEpice 100ml</v>
      </c>
      <c r="C239" s="85" t="s">
        <v>287</v>
      </c>
      <c r="D239" s="209">
        <v>1.5</v>
      </c>
      <c r="E239" s="85" t="s">
        <v>55</v>
      </c>
      <c r="F239" s="209">
        <f>D239/SUMIFS(TableauRecette[Proportion],TableauRecette[Recette],TableauRecette[[#This Row],[Recette]],TableauRecette[Conditionnement],TableauRecette[[#This Row],[Conditionnement]])</f>
        <v>9.375E-2</v>
      </c>
      <c r="G239" s="209">
        <f ca="1">_xlfn.XLOOKUP(TableauRecette[[#This Row],[Ingredients]],TableauIngredients[Ingredients],TableauIngredients[Prix d''achat (kg)],0)*TableauRecette[[#This Row],[poids / unite]]</f>
        <v>3.4546875000000004</v>
      </c>
      <c r="H239" s="209">
        <f>SUMIFS(TableauRecette[Proportion],TableauRecette[Recette],TableauRecette[[#This Row],[Recette]],TableauRecette[Conditionnement],TableauRecette[[#This Row],[Conditionnement]])</f>
        <v>16</v>
      </c>
      <c r="I239" s="209">
        <f ca="1">TableauRecette[[#This Row],[Proportion]]*TableauRecette[[#This Row],[Prix d''achat / kg]]/TableauRecette[[#This Row],[Total Proportion]]</f>
        <v>0</v>
      </c>
      <c r="J239" s="209"/>
      <c r="K239" s="786"/>
      <c r="L239" s="784">
        <f>_xlfn.XLOOKUP(TableauRecette[[#This Row],[ID]],TableauProduit[ID],TableauProduit[Total (kg) N1],0,0,1)*TableauRecette[[#This Row],[poids / unite]]</f>
        <v>0</v>
      </c>
      <c r="M239" s="785">
        <f>_xlfn.XLOOKUP(TableauRecette[[#This Row],[ID]],TableauProduit[ID],TableauProduit[Total (kg) N2],0,0,1)*TableauRecette[[#This Row],[poids / unite]]</f>
        <v>0</v>
      </c>
      <c r="N239" s="785">
        <f>_xlfn.XLOOKUP(TableauRecette[[#This Row],[ID]],TableauProduit[ID],TableauProduit[Total (kg) N3],0,0,1)*TableauRecette[[#This Row],[poids / unite]]</f>
        <v>0</v>
      </c>
      <c r="O239" s="785">
        <f>_xlfn.XLOOKUP(TableauRecette[[#This Row],[ID]],TableauProduit[ID],TableauProduit[Total (kg) N4],0,0,1)*TableauRecette[[#This Row],[poids / unite]]</f>
        <v>0</v>
      </c>
      <c r="P239" s="785">
        <f>_xlfn.XLOOKUP(TableauRecette[[#This Row],[ID]],TableauProduit[ID],TableauProduit[Total (kg) N5],0,0,1)*TableauRecette[[#This Row],[poids / unite]]</f>
        <v>0</v>
      </c>
      <c r="Q239" s="785">
        <f>_xlfn.XLOOKUP(TableauRecette[[#This Row],[ID]],TableauProduit[ID],TableauProduit[Total (kg) N6],0,0,1)*TableauRecette[[#This Row],[poids / unite]]</f>
        <v>0</v>
      </c>
      <c r="R239" s="785">
        <f>_xlfn.XLOOKUP(TableauRecette[[#This Row],[ID]],TableauProduit[ID],TableauProduit[Total (kg) N7],0,0,1)*TableauRecette[[#This Row],[poids / unite]]</f>
        <v>0</v>
      </c>
      <c r="S239" s="785">
        <f>_xlfn.XLOOKUP(TableauRecette[[#This Row],[ID]],TableauProduit[ID],TableauProduit[Total (kg) N8],0,0,1)*TableauRecette[[#This Row],[poids / unite]]</f>
        <v>0</v>
      </c>
      <c r="T239" s="785">
        <f>_xlfn.XLOOKUP(TableauRecette[[#This Row],[ID]],TableauProduit[ID],TableauProduit[Total (kg) N9],0,0,1)*TableauRecette[[#This Row],[poids / unite]]</f>
        <v>0</v>
      </c>
    </row>
    <row r="240" spans="1:20">
      <c r="A240" s="85" t="s">
        <v>99</v>
      </c>
      <c r="B240" s="85" t="str">
        <f>TableauRecette[[#This Row],[Recette]]&amp;TableauRecette[[#This Row],[Conditionnement]]</f>
        <v>Jamaican JerkEpice 100ml</v>
      </c>
      <c r="C240" s="85" t="s">
        <v>320</v>
      </c>
      <c r="D240" s="209">
        <v>1.5</v>
      </c>
      <c r="E240" s="85" t="s">
        <v>55</v>
      </c>
      <c r="F240" s="209">
        <f>D240/SUMIFS(TableauRecette[Proportion],TableauRecette[Recette],TableauRecette[[#This Row],[Recette]],TableauRecette[Conditionnement],TableauRecette[[#This Row],[Conditionnement]])</f>
        <v>9.375E-2</v>
      </c>
      <c r="G240" s="209">
        <f ca="1">_xlfn.XLOOKUP(TableauRecette[[#This Row],[Ingredients]],TableauIngredients[Ingredients],TableauIngredients[Prix d''achat (kg)],0)*TableauRecette[[#This Row],[poids / unite]]</f>
        <v>0</v>
      </c>
      <c r="H240" s="209">
        <f>SUMIFS(TableauRecette[Proportion],TableauRecette[Recette],TableauRecette[[#This Row],[Recette]],TableauRecette[Conditionnement],TableauRecette[[#This Row],[Conditionnement]])</f>
        <v>16</v>
      </c>
      <c r="I240" s="209">
        <f ca="1">TableauRecette[[#This Row],[Proportion]]*TableauRecette[[#This Row],[Prix d''achat / kg]]/TableauRecette[[#This Row],[Total Proportion]]</f>
        <v>0</v>
      </c>
      <c r="J240" s="209"/>
      <c r="K240" s="783"/>
      <c r="L240" s="784">
        <f>_xlfn.XLOOKUP(TableauRecette[[#This Row],[ID]],TableauProduit[ID],TableauProduit[Total (kg) N1],0,0,1)*TableauRecette[[#This Row],[poids / unite]]</f>
        <v>0</v>
      </c>
      <c r="M240" s="785">
        <f>_xlfn.XLOOKUP(TableauRecette[[#This Row],[ID]],TableauProduit[ID],TableauProduit[Total (kg) N2],0,0,1)*TableauRecette[[#This Row],[poids / unite]]</f>
        <v>0</v>
      </c>
      <c r="N240" s="785">
        <f>_xlfn.XLOOKUP(TableauRecette[[#This Row],[ID]],TableauProduit[ID],TableauProduit[Total (kg) N3],0,0,1)*TableauRecette[[#This Row],[poids / unite]]</f>
        <v>0</v>
      </c>
      <c r="O240" s="785">
        <f>_xlfn.XLOOKUP(TableauRecette[[#This Row],[ID]],TableauProduit[ID],TableauProduit[Total (kg) N4],0,0,1)*TableauRecette[[#This Row],[poids / unite]]</f>
        <v>0</v>
      </c>
      <c r="P240" s="785">
        <f>_xlfn.XLOOKUP(TableauRecette[[#This Row],[ID]],TableauProduit[ID],TableauProduit[Total (kg) N5],0,0,1)*TableauRecette[[#This Row],[poids / unite]]</f>
        <v>0</v>
      </c>
      <c r="Q240" s="785">
        <f>_xlfn.XLOOKUP(TableauRecette[[#This Row],[ID]],TableauProduit[ID],TableauProduit[Total (kg) N6],0,0,1)*TableauRecette[[#This Row],[poids / unite]]</f>
        <v>0</v>
      </c>
      <c r="R240" s="785">
        <f>_xlfn.XLOOKUP(TableauRecette[[#This Row],[ID]],TableauProduit[ID],TableauProduit[Total (kg) N7],0,0,1)*TableauRecette[[#This Row],[poids / unite]]</f>
        <v>0</v>
      </c>
      <c r="S240" s="785">
        <f>_xlfn.XLOOKUP(TableauRecette[[#This Row],[ID]],TableauProduit[ID],TableauProduit[Total (kg) N8],0,0,1)*TableauRecette[[#This Row],[poids / unite]]</f>
        <v>0</v>
      </c>
      <c r="T240" s="785">
        <f>_xlfn.XLOOKUP(TableauRecette[[#This Row],[ID]],TableauProduit[ID],TableauProduit[Total (kg) N9],0,0,1)*TableauRecette[[#This Row],[poids / unite]]</f>
        <v>0</v>
      </c>
    </row>
    <row r="241" spans="1:20">
      <c r="A241" s="85" t="s">
        <v>99</v>
      </c>
      <c r="B241" s="85" t="str">
        <f>TableauRecette[[#This Row],[Recette]]&amp;TableauRecette[[#This Row],[Conditionnement]]</f>
        <v>Jamaican JerkEpice 100ml</v>
      </c>
      <c r="C241" s="85" t="s">
        <v>330</v>
      </c>
      <c r="D241" s="209">
        <v>1.5</v>
      </c>
      <c r="E241" s="85" t="s">
        <v>55</v>
      </c>
      <c r="F241" s="209">
        <f>D241/SUMIFS(TableauRecette[Proportion],TableauRecette[Recette],TableauRecette[[#This Row],[Recette]],TableauRecette[Conditionnement],TableauRecette[[#This Row],[Conditionnement]])</f>
        <v>9.375E-2</v>
      </c>
      <c r="G241" s="209">
        <f ca="1">_xlfn.XLOOKUP(TableauRecette[[#This Row],[Ingredients]],TableauIngredients[Ingredients],TableauIngredients[Prix d''achat (kg)],0)*TableauRecette[[#This Row],[poids / unite]]</f>
        <v>0</v>
      </c>
      <c r="H241" s="209">
        <f>SUMIFS(TableauRecette[Proportion],TableauRecette[Recette],TableauRecette[[#This Row],[Recette]],TableauRecette[Conditionnement],TableauRecette[[#This Row],[Conditionnement]])</f>
        <v>16</v>
      </c>
      <c r="I241" s="209">
        <f ca="1">TableauRecette[[#This Row],[Proportion]]*TableauRecette[[#This Row],[Prix d''achat / kg]]/TableauRecette[[#This Row],[Total Proportion]]</f>
        <v>0</v>
      </c>
      <c r="J241" s="209"/>
      <c r="K241" s="783"/>
      <c r="L241" s="784">
        <f>_xlfn.XLOOKUP(TableauRecette[[#This Row],[ID]],TableauProduit[ID],TableauProduit[Total (kg) N1],0,0,1)*TableauRecette[[#This Row],[poids / unite]]</f>
        <v>0</v>
      </c>
      <c r="M241" s="785">
        <f>_xlfn.XLOOKUP(TableauRecette[[#This Row],[ID]],TableauProduit[ID],TableauProduit[Total (kg) N2],0,0,1)*TableauRecette[[#This Row],[poids / unite]]</f>
        <v>0</v>
      </c>
      <c r="N241" s="785">
        <f>_xlfn.XLOOKUP(TableauRecette[[#This Row],[ID]],TableauProduit[ID],TableauProduit[Total (kg) N3],0,0,1)*TableauRecette[[#This Row],[poids / unite]]</f>
        <v>0</v>
      </c>
      <c r="O241" s="785">
        <f>_xlfn.XLOOKUP(TableauRecette[[#This Row],[ID]],TableauProduit[ID],TableauProduit[Total (kg) N4],0,0,1)*TableauRecette[[#This Row],[poids / unite]]</f>
        <v>0</v>
      </c>
      <c r="P241" s="785">
        <f>_xlfn.XLOOKUP(TableauRecette[[#This Row],[ID]],TableauProduit[ID],TableauProduit[Total (kg) N5],0,0,1)*TableauRecette[[#This Row],[poids / unite]]</f>
        <v>0</v>
      </c>
      <c r="Q241" s="785">
        <f>_xlfn.XLOOKUP(TableauRecette[[#This Row],[ID]],TableauProduit[ID],TableauProduit[Total (kg) N6],0,0,1)*TableauRecette[[#This Row],[poids / unite]]</f>
        <v>0</v>
      </c>
      <c r="R241" s="785">
        <f>_xlfn.XLOOKUP(TableauRecette[[#This Row],[ID]],TableauProduit[ID],TableauProduit[Total (kg) N7],0,0,1)*TableauRecette[[#This Row],[poids / unite]]</f>
        <v>0</v>
      </c>
      <c r="S241" s="785">
        <f>_xlfn.XLOOKUP(TableauRecette[[#This Row],[ID]],TableauProduit[ID],TableauProduit[Total (kg) N8],0,0,1)*TableauRecette[[#This Row],[poids / unite]]</f>
        <v>0</v>
      </c>
      <c r="T241" s="785">
        <f>_xlfn.XLOOKUP(TableauRecette[[#This Row],[ID]],TableauProduit[ID],TableauProduit[Total (kg) N9],0,0,1)*TableauRecette[[#This Row],[poids / unite]]</f>
        <v>0</v>
      </c>
    </row>
    <row r="242" spans="1:20">
      <c r="A242" s="85" t="s">
        <v>99</v>
      </c>
      <c r="B242" s="85" t="str">
        <f>TableauRecette[[#This Row],[Recette]]&amp;TableauRecette[[#This Row],[Conditionnement]]</f>
        <v>Jamaican JerkEpice 100ml</v>
      </c>
      <c r="C242" s="555" t="s">
        <v>299</v>
      </c>
      <c r="D242" s="209">
        <v>1</v>
      </c>
      <c r="E242" s="85" t="s">
        <v>55</v>
      </c>
      <c r="F242" s="209">
        <f>D242/SUMIFS(TableauRecette[Proportion],TableauRecette[Recette],TableauRecette[[#This Row],[Recette]],TableauRecette[Conditionnement],TableauRecette[[#This Row],[Conditionnement]])</f>
        <v>6.25E-2</v>
      </c>
      <c r="G242" s="209">
        <f ca="1">_xlfn.XLOOKUP(TableauRecette[[#This Row],[Ingredients]],TableauIngredients[Ingredients],TableauIngredients[Prix d''achat (kg)],0)*TableauRecette[[#This Row],[poids / unite]]</f>
        <v>0</v>
      </c>
      <c r="H242" s="209">
        <f>SUMIFS(TableauRecette[Proportion],TableauRecette[Recette],TableauRecette[[#This Row],[Recette]],TableauRecette[Conditionnement],TableauRecette[[#This Row],[Conditionnement]])</f>
        <v>16</v>
      </c>
      <c r="I242" s="209">
        <f ca="1">TableauRecette[[#This Row],[Proportion]]*TableauRecette[[#This Row],[Prix d''achat / kg]]/TableauRecette[[#This Row],[Total Proportion]]</f>
        <v>0</v>
      </c>
      <c r="J242" s="209"/>
      <c r="K242" s="783"/>
      <c r="L242" s="784">
        <f>_xlfn.XLOOKUP(TableauRecette[[#This Row],[ID]],TableauProduit[ID],TableauProduit[Total (kg) N1],0,0,1)*TableauRecette[[#This Row],[poids / unite]]</f>
        <v>0</v>
      </c>
      <c r="M242" s="785">
        <f>_xlfn.XLOOKUP(TableauRecette[[#This Row],[ID]],TableauProduit[ID],TableauProduit[Total (kg) N2],0,0,1)*TableauRecette[[#This Row],[poids / unite]]</f>
        <v>0</v>
      </c>
      <c r="N242" s="785">
        <f>_xlfn.XLOOKUP(TableauRecette[[#This Row],[ID]],TableauProduit[ID],TableauProduit[Total (kg) N3],0,0,1)*TableauRecette[[#This Row],[poids / unite]]</f>
        <v>0</v>
      </c>
      <c r="O242" s="785">
        <f>_xlfn.XLOOKUP(TableauRecette[[#This Row],[ID]],TableauProduit[ID],TableauProduit[Total (kg) N4],0,0,1)*TableauRecette[[#This Row],[poids / unite]]</f>
        <v>0</v>
      </c>
      <c r="P242" s="785">
        <f>_xlfn.XLOOKUP(TableauRecette[[#This Row],[ID]],TableauProduit[ID],TableauProduit[Total (kg) N5],0,0,1)*TableauRecette[[#This Row],[poids / unite]]</f>
        <v>0</v>
      </c>
      <c r="Q242" s="785">
        <f>_xlfn.XLOOKUP(TableauRecette[[#This Row],[ID]],TableauProduit[ID],TableauProduit[Total (kg) N6],0,0,1)*TableauRecette[[#This Row],[poids / unite]]</f>
        <v>0</v>
      </c>
      <c r="R242" s="785">
        <f>_xlfn.XLOOKUP(TableauRecette[[#This Row],[ID]],TableauProduit[ID],TableauProduit[Total (kg) N7],0,0,1)*TableauRecette[[#This Row],[poids / unite]]</f>
        <v>0</v>
      </c>
      <c r="S242" s="785">
        <f>_xlfn.XLOOKUP(TableauRecette[[#This Row],[ID]],TableauProduit[ID],TableauProduit[Total (kg) N8],0,0,1)*TableauRecette[[#This Row],[poids / unite]]</f>
        <v>0</v>
      </c>
      <c r="T242" s="785">
        <f>_xlfn.XLOOKUP(TableauRecette[[#This Row],[ID]],TableauProduit[ID],TableauProduit[Total (kg) N9],0,0,1)*TableauRecette[[#This Row],[poids / unite]]</f>
        <v>0</v>
      </c>
    </row>
    <row r="243" spans="1:20">
      <c r="A243" s="85" t="s">
        <v>99</v>
      </c>
      <c r="B243" s="85" t="str">
        <f>TableauRecette[[#This Row],[Recette]]&amp;TableauRecette[[#This Row],[Conditionnement]]</f>
        <v>Jamaican JerkEpice 100ml</v>
      </c>
      <c r="C243" s="85" t="s">
        <v>316</v>
      </c>
      <c r="D243" s="209">
        <v>1</v>
      </c>
      <c r="E243" s="85" t="s">
        <v>55</v>
      </c>
      <c r="F243" s="209">
        <f>D243/SUMIFS(TableauRecette[Proportion],TableauRecette[Recette],TableauRecette[[#This Row],[Recette]],TableauRecette[Conditionnement],TableauRecette[[#This Row],[Conditionnement]])</f>
        <v>6.25E-2</v>
      </c>
      <c r="G243" s="209">
        <f ca="1">_xlfn.XLOOKUP(TableauRecette[[#This Row],[Ingredients]],TableauIngredients[Ingredients],TableauIngredients[Prix d''achat (kg)],0)*TableauRecette[[#This Row],[poids / unite]]</f>
        <v>0</v>
      </c>
      <c r="H243" s="209">
        <f>SUMIFS(TableauRecette[Proportion],TableauRecette[Recette],TableauRecette[[#This Row],[Recette]],TableauRecette[Conditionnement],TableauRecette[[#This Row],[Conditionnement]])</f>
        <v>16</v>
      </c>
      <c r="I243" s="209">
        <f ca="1">TableauRecette[[#This Row],[Proportion]]*TableauRecette[[#This Row],[Prix d''achat / kg]]/TableauRecette[[#This Row],[Total Proportion]]</f>
        <v>0</v>
      </c>
      <c r="J243" s="209"/>
      <c r="K243" s="783"/>
      <c r="L243" s="784">
        <f>_xlfn.XLOOKUP(TableauRecette[[#This Row],[ID]],TableauProduit[ID],TableauProduit[Total (kg) N1],0,0,1)*TableauRecette[[#This Row],[poids / unite]]</f>
        <v>0</v>
      </c>
      <c r="M243" s="785">
        <f>_xlfn.XLOOKUP(TableauRecette[[#This Row],[ID]],TableauProduit[ID],TableauProduit[Total (kg) N2],0,0,1)*TableauRecette[[#This Row],[poids / unite]]</f>
        <v>0</v>
      </c>
      <c r="N243" s="785">
        <f>_xlfn.XLOOKUP(TableauRecette[[#This Row],[ID]],TableauProduit[ID],TableauProduit[Total (kg) N3],0,0,1)*TableauRecette[[#This Row],[poids / unite]]</f>
        <v>0</v>
      </c>
      <c r="O243" s="785">
        <f>_xlfn.XLOOKUP(TableauRecette[[#This Row],[ID]],TableauProduit[ID],TableauProduit[Total (kg) N4],0,0,1)*TableauRecette[[#This Row],[poids / unite]]</f>
        <v>0</v>
      </c>
      <c r="P243" s="785">
        <f>_xlfn.XLOOKUP(TableauRecette[[#This Row],[ID]],TableauProduit[ID],TableauProduit[Total (kg) N5],0,0,1)*TableauRecette[[#This Row],[poids / unite]]</f>
        <v>0</v>
      </c>
      <c r="Q243" s="785">
        <f>_xlfn.XLOOKUP(TableauRecette[[#This Row],[ID]],TableauProduit[ID],TableauProduit[Total (kg) N6],0,0,1)*TableauRecette[[#This Row],[poids / unite]]</f>
        <v>0</v>
      </c>
      <c r="R243" s="785">
        <f>_xlfn.XLOOKUP(TableauRecette[[#This Row],[ID]],TableauProduit[ID],TableauProduit[Total (kg) N7],0,0,1)*TableauRecette[[#This Row],[poids / unite]]</f>
        <v>0</v>
      </c>
      <c r="S243" s="785">
        <f>_xlfn.XLOOKUP(TableauRecette[[#This Row],[ID]],TableauProduit[ID],TableauProduit[Total (kg) N8],0,0,1)*TableauRecette[[#This Row],[poids / unite]]</f>
        <v>0</v>
      </c>
      <c r="T243" s="785">
        <f>_xlfn.XLOOKUP(TableauRecette[[#This Row],[ID]],TableauProduit[ID],TableauProduit[Total (kg) N9],0,0,1)*TableauRecette[[#This Row],[poids / unite]]</f>
        <v>0</v>
      </c>
    </row>
    <row r="244" spans="1:20">
      <c r="A244" s="85" t="s">
        <v>99</v>
      </c>
      <c r="B244" s="85" t="str">
        <f>TableauRecette[[#This Row],[Recette]]&amp;TableauRecette[[#This Row],[Conditionnement]]</f>
        <v>Jamaican JerkEpice 100ml</v>
      </c>
      <c r="C244" s="85" t="s">
        <v>294</v>
      </c>
      <c r="D244" s="209">
        <v>1</v>
      </c>
      <c r="E244" s="85" t="s">
        <v>55</v>
      </c>
      <c r="F244" s="209">
        <f>D244/SUMIFS(TableauRecette[Proportion],TableauRecette[Recette],TableauRecette[[#This Row],[Recette]],TableauRecette[Conditionnement],TableauRecette[[#This Row],[Conditionnement]])</f>
        <v>6.25E-2</v>
      </c>
      <c r="G244" s="209">
        <f ca="1">_xlfn.XLOOKUP(TableauRecette[[#This Row],[Ingredients]],TableauIngredients[Ingredients],TableauIngredients[Prix d''achat (kg)],0)*TableauRecette[[#This Row],[poids / unite]]</f>
        <v>1.375</v>
      </c>
      <c r="H244" s="209">
        <f>SUMIFS(TableauRecette[Proportion],TableauRecette[Recette],TableauRecette[[#This Row],[Recette]],TableauRecette[Conditionnement],TableauRecette[[#This Row],[Conditionnement]])</f>
        <v>16</v>
      </c>
      <c r="I244" s="209">
        <f ca="1">TableauRecette[[#This Row],[Proportion]]*TableauRecette[[#This Row],[Prix d''achat / kg]]/TableauRecette[[#This Row],[Total Proportion]]</f>
        <v>0</v>
      </c>
      <c r="J244" s="209"/>
      <c r="K244" s="783"/>
      <c r="L244" s="784">
        <f>_xlfn.XLOOKUP(TableauRecette[[#This Row],[ID]],TableauProduit[ID],TableauProduit[Total (kg) N1],0,0,1)*TableauRecette[[#This Row],[poids / unite]]</f>
        <v>0</v>
      </c>
      <c r="M244" s="785">
        <f>_xlfn.XLOOKUP(TableauRecette[[#This Row],[ID]],TableauProduit[ID],TableauProduit[Total (kg) N2],0,0,1)*TableauRecette[[#This Row],[poids / unite]]</f>
        <v>0</v>
      </c>
      <c r="N244" s="785">
        <f>_xlfn.XLOOKUP(TableauRecette[[#This Row],[ID]],TableauProduit[ID],TableauProduit[Total (kg) N3],0,0,1)*TableauRecette[[#This Row],[poids / unite]]</f>
        <v>0</v>
      </c>
      <c r="O244" s="785">
        <f>_xlfn.XLOOKUP(TableauRecette[[#This Row],[ID]],TableauProduit[ID],TableauProduit[Total (kg) N4],0,0,1)*TableauRecette[[#This Row],[poids / unite]]</f>
        <v>0</v>
      </c>
      <c r="P244" s="785">
        <f>_xlfn.XLOOKUP(TableauRecette[[#This Row],[ID]],TableauProduit[ID],TableauProduit[Total (kg) N5],0,0,1)*TableauRecette[[#This Row],[poids / unite]]</f>
        <v>0</v>
      </c>
      <c r="Q244" s="785">
        <f>_xlfn.XLOOKUP(TableauRecette[[#This Row],[ID]],TableauProduit[ID],TableauProduit[Total (kg) N6],0,0,1)*TableauRecette[[#This Row],[poids / unite]]</f>
        <v>0</v>
      </c>
      <c r="R244" s="785">
        <f>_xlfn.XLOOKUP(TableauRecette[[#This Row],[ID]],TableauProduit[ID],TableauProduit[Total (kg) N7],0,0,1)*TableauRecette[[#This Row],[poids / unite]]</f>
        <v>0</v>
      </c>
      <c r="S244" s="785">
        <f>_xlfn.XLOOKUP(TableauRecette[[#This Row],[ID]],TableauProduit[ID],TableauProduit[Total (kg) N8],0,0,1)*TableauRecette[[#This Row],[poids / unite]]</f>
        <v>0</v>
      </c>
      <c r="T244" s="785">
        <f>_xlfn.XLOOKUP(TableauRecette[[#This Row],[ID]],TableauProduit[ID],TableauProduit[Total (kg) N9],0,0,1)*TableauRecette[[#This Row],[poids / unite]]</f>
        <v>0</v>
      </c>
    </row>
    <row r="245" spans="1:20">
      <c r="A245" s="85" t="s">
        <v>99</v>
      </c>
      <c r="B245" s="85" t="str">
        <f>TableauRecette[[#This Row],[Recette]]&amp;TableauRecette[[#This Row],[Conditionnement]]</f>
        <v>Jamaican JerkEpice 100ml</v>
      </c>
      <c r="C245" s="85" t="s">
        <v>777</v>
      </c>
      <c r="D245" s="209">
        <v>1</v>
      </c>
      <c r="E245" s="85" t="s">
        <v>55</v>
      </c>
      <c r="F245" s="209">
        <f>D245/SUMIFS(TableauRecette[Proportion],TableauRecette[Recette],TableauRecette[[#This Row],[Recette]],TableauRecette[Conditionnement],TableauRecette[[#This Row],[Conditionnement]])</f>
        <v>6.25E-2</v>
      </c>
      <c r="G245" s="209">
        <f ca="1">_xlfn.XLOOKUP(TableauRecette[[#This Row],[Ingredients]],TableauIngredients[Ingredients],TableauIngredients[Prix d''achat (kg)],0)*TableauRecette[[#This Row],[poids / unite]]</f>
        <v>0</v>
      </c>
      <c r="H245" s="209">
        <f>SUMIFS(TableauRecette[Proportion],TableauRecette[Recette],TableauRecette[[#This Row],[Recette]],TableauRecette[Conditionnement],TableauRecette[[#This Row],[Conditionnement]])</f>
        <v>16</v>
      </c>
      <c r="I245" s="209">
        <f ca="1">TableauRecette[[#This Row],[Proportion]]*TableauRecette[[#This Row],[Prix d''achat / kg]]/TableauRecette[[#This Row],[Total Proportion]]</f>
        <v>0</v>
      </c>
      <c r="J245" s="209"/>
      <c r="K245" s="783"/>
      <c r="L245" s="784">
        <f>_xlfn.XLOOKUP(TableauRecette[[#This Row],[ID]],TableauProduit[ID],TableauProduit[Total (kg) N1],0,0,1)*TableauRecette[[#This Row],[poids / unite]]</f>
        <v>0</v>
      </c>
      <c r="M245" s="785">
        <f>_xlfn.XLOOKUP(TableauRecette[[#This Row],[ID]],TableauProduit[ID],TableauProduit[Total (kg) N2],0,0,1)*TableauRecette[[#This Row],[poids / unite]]</f>
        <v>0</v>
      </c>
      <c r="N245" s="785">
        <f>_xlfn.XLOOKUP(TableauRecette[[#This Row],[ID]],TableauProduit[ID],TableauProduit[Total (kg) N3],0,0,1)*TableauRecette[[#This Row],[poids / unite]]</f>
        <v>0</v>
      </c>
      <c r="O245" s="785">
        <f>_xlfn.XLOOKUP(TableauRecette[[#This Row],[ID]],TableauProduit[ID],TableauProduit[Total (kg) N4],0,0,1)*TableauRecette[[#This Row],[poids / unite]]</f>
        <v>0</v>
      </c>
      <c r="P245" s="785">
        <f>_xlfn.XLOOKUP(TableauRecette[[#This Row],[ID]],TableauProduit[ID],TableauProduit[Total (kg) N5],0,0,1)*TableauRecette[[#This Row],[poids / unite]]</f>
        <v>0</v>
      </c>
      <c r="Q245" s="785">
        <f>_xlfn.XLOOKUP(TableauRecette[[#This Row],[ID]],TableauProduit[ID],TableauProduit[Total (kg) N6],0,0,1)*TableauRecette[[#This Row],[poids / unite]]</f>
        <v>0</v>
      </c>
      <c r="R245" s="785">
        <f>_xlfn.XLOOKUP(TableauRecette[[#This Row],[ID]],TableauProduit[ID],TableauProduit[Total (kg) N7],0,0,1)*TableauRecette[[#This Row],[poids / unite]]</f>
        <v>0</v>
      </c>
      <c r="S245" s="785">
        <f>_xlfn.XLOOKUP(TableauRecette[[#This Row],[ID]],TableauProduit[ID],TableauProduit[Total (kg) N8],0,0,1)*TableauRecette[[#This Row],[poids / unite]]</f>
        <v>0</v>
      </c>
      <c r="T245" s="785">
        <f>_xlfn.XLOOKUP(TableauRecette[[#This Row],[ID]],TableauProduit[ID],TableauProduit[Total (kg) N9],0,0,1)*TableauRecette[[#This Row],[poids / unite]]</f>
        <v>0</v>
      </c>
    </row>
    <row r="246" spans="1:20">
      <c r="A246" s="86" t="s">
        <v>84</v>
      </c>
      <c r="B246" s="86" t="str">
        <f>TableauRecette[[#This Row],[Recette]]&amp;TableauRecette[[#This Row],[Conditionnement]]</f>
        <v>KetchupPiment liquide 250ml</v>
      </c>
      <c r="C246" s="86" t="s">
        <v>339</v>
      </c>
      <c r="D246" s="210">
        <v>20</v>
      </c>
      <c r="E246" s="86" t="s">
        <v>85</v>
      </c>
      <c r="F246" s="210">
        <f>D246/SUMIFS(TableauRecette[Proportion],TableauRecette[Recette],TableauRecette[[#This Row],[Recette]],TableauRecette[Conditionnement],TableauRecette[[#This Row],[Conditionnement]])</f>
        <v>9.1449474165523556E-3</v>
      </c>
      <c r="G246" s="210">
        <f ca="1">_xlfn.XLOOKUP(TableauRecette[[#This Row],[Ingredients]],TableauIngredients[Ingredients],TableauIngredients[Prix d''achat (kg)],0)*TableauRecette[[#This Row],[poids / unite]]</f>
        <v>0</v>
      </c>
      <c r="H246" s="210">
        <f>SUMIFS(TableauRecette[Proportion],TableauRecette[Recette],TableauRecette[[#This Row],[Recette]],TableauRecette[Conditionnement],TableauRecette[[#This Row],[Conditionnement]])</f>
        <v>2187</v>
      </c>
      <c r="I246" s="210">
        <f ca="1">TableauRecette[[#This Row],[Proportion]]*TableauRecette[[#This Row],[Prix d''achat / kg]]/TableauRecette[[#This Row],[Total Proportion]]</f>
        <v>0</v>
      </c>
      <c r="J246" s="210"/>
      <c r="K246" s="787"/>
      <c r="L246" s="788">
        <f>_xlfn.XLOOKUP(TableauRecette[[#This Row],[ID]],TableauProduit[ID],TableauProduit[Total (kg) N1],0,0,1)*TableauRecette[[#This Row],[poids / unite]]</f>
        <v>0</v>
      </c>
      <c r="M246" s="789">
        <f>_xlfn.XLOOKUP(TableauRecette[[#This Row],[ID]],TableauProduit[ID],TableauProduit[Total (kg) N2],0,0,1)*TableauRecette[[#This Row],[poids / unite]]</f>
        <v>0</v>
      </c>
      <c r="N246" s="789">
        <f>_xlfn.XLOOKUP(TableauRecette[[#This Row],[ID]],TableauProduit[ID],TableauProduit[Total (kg) N3],0,0,1)*TableauRecette[[#This Row],[poids / unite]]</f>
        <v>0</v>
      </c>
      <c r="O246" s="789">
        <f>_xlfn.XLOOKUP(TableauRecette[[#This Row],[ID]],TableauProduit[ID],TableauProduit[Total (kg) N4],0,0,1)*TableauRecette[[#This Row],[poids / unite]]</f>
        <v>0</v>
      </c>
      <c r="P246" s="789">
        <f>_xlfn.XLOOKUP(TableauRecette[[#This Row],[ID]],TableauProduit[ID],TableauProduit[Total (kg) N5],0,0,1)*TableauRecette[[#This Row],[poids / unite]]</f>
        <v>0</v>
      </c>
      <c r="Q246" s="789">
        <f>_xlfn.XLOOKUP(TableauRecette[[#This Row],[ID]],TableauProduit[ID],TableauProduit[Total (kg) N6],0,0,1)*TableauRecette[[#This Row],[poids / unite]]</f>
        <v>0</v>
      </c>
      <c r="R246" s="789">
        <f>_xlfn.XLOOKUP(TableauRecette[[#This Row],[ID]],TableauProduit[ID],TableauProduit[Total (kg) N7],0,0,1)*TableauRecette[[#This Row],[poids / unite]]</f>
        <v>0</v>
      </c>
      <c r="S246" s="789">
        <f>_xlfn.XLOOKUP(TableauRecette[[#This Row],[ID]],TableauProduit[ID],TableauProduit[Total (kg) N8],0,0,1)*TableauRecette[[#This Row],[poids / unite]]</f>
        <v>0</v>
      </c>
      <c r="T246" s="789">
        <f>_xlfn.XLOOKUP(TableauRecette[[#This Row],[ID]],TableauProduit[ID],TableauProduit[Total (kg) N9],0,0,1)*TableauRecette[[#This Row],[poids / unite]]</f>
        <v>0</v>
      </c>
    </row>
    <row r="247" spans="1:20">
      <c r="A247" s="86" t="s">
        <v>84</v>
      </c>
      <c r="B247" s="86" t="str">
        <f>TableauRecette[[#This Row],[Recette]]&amp;TableauRecette[[#This Row],[Conditionnement]]</f>
        <v>KetchupPiment liquide 250ml</v>
      </c>
      <c r="C247" s="86" t="s">
        <v>354</v>
      </c>
      <c r="D247" s="210">
        <v>2000</v>
      </c>
      <c r="E247" s="86" t="s">
        <v>85</v>
      </c>
      <c r="F247" s="210">
        <f>D247/SUMIFS(TableauRecette[Proportion],TableauRecette[Recette],TableauRecette[[#This Row],[Recette]],TableauRecette[Conditionnement],TableauRecette[[#This Row],[Conditionnement]])</f>
        <v>0.91449474165523548</v>
      </c>
      <c r="G247" s="210">
        <f ca="1">_xlfn.XLOOKUP(TableauRecette[[#This Row],[Ingredients]],TableauIngredients[Ingredients],TableauIngredients[Prix d''achat (kg)],0)*TableauRecette[[#This Row],[poids / unite]]</f>
        <v>0</v>
      </c>
      <c r="H247" s="210">
        <f>SUMIFS(TableauRecette[Proportion],TableauRecette[Recette],TableauRecette[[#This Row],[Recette]],TableauRecette[Conditionnement],TableauRecette[[#This Row],[Conditionnement]])</f>
        <v>2187</v>
      </c>
      <c r="I247" s="210">
        <f ca="1">TableauRecette[[#This Row],[Proportion]]*TableauRecette[[#This Row],[Prix d''achat / kg]]/TableauRecette[[#This Row],[Total Proportion]]</f>
        <v>0</v>
      </c>
      <c r="J247" s="210"/>
      <c r="K247" s="787"/>
      <c r="L247" s="788">
        <f>_xlfn.XLOOKUP(TableauRecette[[#This Row],[ID]],TableauProduit[ID],TableauProduit[Total (kg) N1],0,0,1)*TableauRecette[[#This Row],[poids / unite]]</f>
        <v>0</v>
      </c>
      <c r="M247" s="789">
        <f>_xlfn.XLOOKUP(TableauRecette[[#This Row],[ID]],TableauProduit[ID],TableauProduit[Total (kg) N2],0,0,1)*TableauRecette[[#This Row],[poids / unite]]</f>
        <v>0</v>
      </c>
      <c r="N247" s="789">
        <f>_xlfn.XLOOKUP(TableauRecette[[#This Row],[ID]],TableauProduit[ID],TableauProduit[Total (kg) N3],0,0,1)*TableauRecette[[#This Row],[poids / unite]]</f>
        <v>0</v>
      </c>
      <c r="O247" s="789">
        <f>_xlfn.XLOOKUP(TableauRecette[[#This Row],[ID]],TableauProduit[ID],TableauProduit[Total (kg) N4],0,0,1)*TableauRecette[[#This Row],[poids / unite]]</f>
        <v>0</v>
      </c>
      <c r="P247" s="789">
        <f>_xlfn.XLOOKUP(TableauRecette[[#This Row],[ID]],TableauProduit[ID],TableauProduit[Total (kg) N5],0,0,1)*TableauRecette[[#This Row],[poids / unite]]</f>
        <v>0</v>
      </c>
      <c r="Q247" s="789">
        <f>_xlfn.XLOOKUP(TableauRecette[[#This Row],[ID]],TableauProduit[ID],TableauProduit[Total (kg) N6],0,0,1)*TableauRecette[[#This Row],[poids / unite]]</f>
        <v>0</v>
      </c>
      <c r="R247" s="789">
        <f>_xlfn.XLOOKUP(TableauRecette[[#This Row],[ID]],TableauProduit[ID],TableauProduit[Total (kg) N7],0,0,1)*TableauRecette[[#This Row],[poids / unite]]</f>
        <v>0</v>
      </c>
      <c r="S247" s="789">
        <f>_xlfn.XLOOKUP(TableauRecette[[#This Row],[ID]],TableauProduit[ID],TableauProduit[Total (kg) N8],0,0,1)*TableauRecette[[#This Row],[poids / unite]]</f>
        <v>0</v>
      </c>
      <c r="T247" s="789">
        <f>_xlfn.XLOOKUP(TableauRecette[[#This Row],[ID]],TableauProduit[ID],TableauProduit[Total (kg) N9],0,0,1)*TableauRecette[[#This Row],[poids / unite]]</f>
        <v>0</v>
      </c>
    </row>
    <row r="248" spans="1:20">
      <c r="A248" s="86" t="s">
        <v>84</v>
      </c>
      <c r="B248" s="86" t="str">
        <f>TableauRecette[[#This Row],[Recette]]&amp;TableauRecette[[#This Row],[Conditionnement]]</f>
        <v>KetchupPiment liquide 250ml</v>
      </c>
      <c r="C248" s="86" t="s">
        <v>355</v>
      </c>
      <c r="D248" s="210">
        <v>3</v>
      </c>
      <c r="E248" s="86" t="s">
        <v>85</v>
      </c>
      <c r="F248" s="210">
        <f>D248/SUMIFS(TableauRecette[Proportion],TableauRecette[Recette],TableauRecette[[#This Row],[Recette]],TableauRecette[Conditionnement],TableauRecette[[#This Row],[Conditionnement]])</f>
        <v>1.3717421124828531E-3</v>
      </c>
      <c r="G248" s="210">
        <f ca="1">_xlfn.XLOOKUP(TableauRecette[[#This Row],[Ingredients]],TableauIngredients[Ingredients],TableauIngredients[Prix d''achat (kg)],0)*TableauRecette[[#This Row],[poids / unite]]</f>
        <v>0</v>
      </c>
      <c r="H248" s="210">
        <f>SUMIFS(TableauRecette[Proportion],TableauRecette[Recette],TableauRecette[[#This Row],[Recette]],TableauRecette[Conditionnement],TableauRecette[[#This Row],[Conditionnement]])</f>
        <v>2187</v>
      </c>
      <c r="I248" s="210">
        <f ca="1">TableauRecette[[#This Row],[Proportion]]*TableauRecette[[#This Row],[Prix d''achat / kg]]/TableauRecette[[#This Row],[Total Proportion]]</f>
        <v>0</v>
      </c>
      <c r="J248" s="210"/>
      <c r="K248" s="787"/>
      <c r="L248" s="788">
        <f>_xlfn.XLOOKUP(TableauRecette[[#This Row],[ID]],TableauProduit[ID],TableauProduit[Total (kg) N1],0,0,1)*TableauRecette[[#This Row],[poids / unite]]</f>
        <v>0</v>
      </c>
      <c r="M248" s="789">
        <f>_xlfn.XLOOKUP(TableauRecette[[#This Row],[ID]],TableauProduit[ID],TableauProduit[Total (kg) N2],0,0,1)*TableauRecette[[#This Row],[poids / unite]]</f>
        <v>0</v>
      </c>
      <c r="N248" s="789">
        <f>_xlfn.XLOOKUP(TableauRecette[[#This Row],[ID]],TableauProduit[ID],TableauProduit[Total (kg) N3],0,0,1)*TableauRecette[[#This Row],[poids / unite]]</f>
        <v>0</v>
      </c>
      <c r="O248" s="789">
        <f>_xlfn.XLOOKUP(TableauRecette[[#This Row],[ID]],TableauProduit[ID],TableauProduit[Total (kg) N4],0,0,1)*TableauRecette[[#This Row],[poids / unite]]</f>
        <v>0</v>
      </c>
      <c r="P248" s="789">
        <f>_xlfn.XLOOKUP(TableauRecette[[#This Row],[ID]],TableauProduit[ID],TableauProduit[Total (kg) N5],0,0,1)*TableauRecette[[#This Row],[poids / unite]]</f>
        <v>0</v>
      </c>
      <c r="Q248" s="789">
        <f>_xlfn.XLOOKUP(TableauRecette[[#This Row],[ID]],TableauProduit[ID],TableauProduit[Total (kg) N6],0,0,1)*TableauRecette[[#This Row],[poids / unite]]</f>
        <v>0</v>
      </c>
      <c r="R248" s="789">
        <f>_xlfn.XLOOKUP(TableauRecette[[#This Row],[ID]],TableauProduit[ID],TableauProduit[Total (kg) N7],0,0,1)*TableauRecette[[#This Row],[poids / unite]]</f>
        <v>0</v>
      </c>
      <c r="S248" s="789">
        <f>_xlfn.XLOOKUP(TableauRecette[[#This Row],[ID]],TableauProduit[ID],TableauProduit[Total (kg) N8],0,0,1)*TableauRecette[[#This Row],[poids / unite]]</f>
        <v>0</v>
      </c>
      <c r="T248" s="789">
        <f>_xlfn.XLOOKUP(TableauRecette[[#This Row],[ID]],TableauProduit[ID],TableauProduit[Total (kg) N9],0,0,1)*TableauRecette[[#This Row],[poids / unite]]</f>
        <v>0</v>
      </c>
    </row>
    <row r="249" spans="1:20">
      <c r="A249" s="86" t="s">
        <v>84</v>
      </c>
      <c r="B249" s="86" t="str">
        <f>TableauRecette[[#This Row],[Recette]]&amp;TableauRecette[[#This Row],[Conditionnement]]</f>
        <v>KetchupPiment liquide 250ml</v>
      </c>
      <c r="C249" s="86" t="s">
        <v>356</v>
      </c>
      <c r="D249" s="210">
        <v>3</v>
      </c>
      <c r="E249" s="86" t="s">
        <v>85</v>
      </c>
      <c r="F249" s="210">
        <f>D249/SUMIFS(TableauRecette[Proportion],TableauRecette[Recette],TableauRecette[[#This Row],[Recette]],TableauRecette[Conditionnement],TableauRecette[[#This Row],[Conditionnement]])</f>
        <v>1.3717421124828531E-3</v>
      </c>
      <c r="G249" s="210">
        <f ca="1">_xlfn.XLOOKUP(TableauRecette[[#This Row],[Ingredients]],TableauIngredients[Ingredients],TableauIngredients[Prix d''achat (kg)],0)*TableauRecette[[#This Row],[poids / unite]]</f>
        <v>0</v>
      </c>
      <c r="H249" s="210">
        <f>SUMIFS(TableauRecette[Proportion],TableauRecette[Recette],TableauRecette[[#This Row],[Recette]],TableauRecette[Conditionnement],TableauRecette[[#This Row],[Conditionnement]])</f>
        <v>2187</v>
      </c>
      <c r="I249" s="210">
        <f ca="1">TableauRecette[[#This Row],[Proportion]]*TableauRecette[[#This Row],[Prix d''achat / kg]]/TableauRecette[[#This Row],[Total Proportion]]</f>
        <v>0</v>
      </c>
      <c r="J249" s="210"/>
      <c r="K249" s="787"/>
      <c r="L249" s="788">
        <f>_xlfn.XLOOKUP(TableauRecette[[#This Row],[ID]],TableauProduit[ID],TableauProduit[Total (kg) N1],0,0,1)*TableauRecette[[#This Row],[poids / unite]]</f>
        <v>0</v>
      </c>
      <c r="M249" s="789">
        <f>_xlfn.XLOOKUP(TableauRecette[[#This Row],[ID]],TableauProduit[ID],TableauProduit[Total (kg) N2],0,0,1)*TableauRecette[[#This Row],[poids / unite]]</f>
        <v>0</v>
      </c>
      <c r="N249" s="789">
        <f>_xlfn.XLOOKUP(TableauRecette[[#This Row],[ID]],TableauProduit[ID],TableauProduit[Total (kg) N3],0,0,1)*TableauRecette[[#This Row],[poids / unite]]</f>
        <v>0</v>
      </c>
      <c r="O249" s="789">
        <f>_xlfn.XLOOKUP(TableauRecette[[#This Row],[ID]],TableauProduit[ID],TableauProduit[Total (kg) N4],0,0,1)*TableauRecette[[#This Row],[poids / unite]]</f>
        <v>0</v>
      </c>
      <c r="P249" s="789">
        <f>_xlfn.XLOOKUP(TableauRecette[[#This Row],[ID]],TableauProduit[ID],TableauProduit[Total (kg) N5],0,0,1)*TableauRecette[[#This Row],[poids / unite]]</f>
        <v>0</v>
      </c>
      <c r="Q249" s="789">
        <f>_xlfn.XLOOKUP(TableauRecette[[#This Row],[ID]],TableauProduit[ID],TableauProduit[Total (kg) N6],0,0,1)*TableauRecette[[#This Row],[poids / unite]]</f>
        <v>0</v>
      </c>
      <c r="R249" s="789">
        <f>_xlfn.XLOOKUP(TableauRecette[[#This Row],[ID]],TableauProduit[ID],TableauProduit[Total (kg) N7],0,0,1)*TableauRecette[[#This Row],[poids / unite]]</f>
        <v>0</v>
      </c>
      <c r="S249" s="789">
        <f>_xlfn.XLOOKUP(TableauRecette[[#This Row],[ID]],TableauProduit[ID],TableauProduit[Total (kg) N8],0,0,1)*TableauRecette[[#This Row],[poids / unite]]</f>
        <v>0</v>
      </c>
      <c r="T249" s="789">
        <f>_xlfn.XLOOKUP(TableauRecette[[#This Row],[ID]],TableauProduit[ID],TableauProduit[Total (kg) N9],0,0,1)*TableauRecette[[#This Row],[poids / unite]]</f>
        <v>0</v>
      </c>
    </row>
    <row r="250" spans="1:20">
      <c r="A250" s="86" t="s">
        <v>84</v>
      </c>
      <c r="B250" s="86" t="str">
        <f>TableauRecette[[#This Row],[Recette]]&amp;TableauRecette[[#This Row],[Conditionnement]]</f>
        <v>KetchupPiment liquide 250ml</v>
      </c>
      <c r="C250" s="86" t="s">
        <v>357</v>
      </c>
      <c r="D250" s="210">
        <v>140</v>
      </c>
      <c r="E250" s="86" t="s">
        <v>85</v>
      </c>
      <c r="F250" s="210">
        <f>D250/SUMIFS(TableauRecette[Proportion],TableauRecette[Recette],TableauRecette[[#This Row],[Recette]],TableauRecette[Conditionnement],TableauRecette[[#This Row],[Conditionnement]])</f>
        <v>6.4014631915866482E-2</v>
      </c>
      <c r="G250" s="210">
        <f ca="1">_xlfn.XLOOKUP(TableauRecette[[#This Row],[Ingredients]],TableauIngredients[Ingredients],TableauIngredients[Prix d''achat (kg)],0)*TableauRecette[[#This Row],[poids / unite]]</f>
        <v>0</v>
      </c>
      <c r="H250" s="210">
        <f>SUMIFS(TableauRecette[Proportion],TableauRecette[Recette],TableauRecette[[#This Row],[Recette]],TableauRecette[Conditionnement],TableauRecette[[#This Row],[Conditionnement]])</f>
        <v>2187</v>
      </c>
      <c r="I250" s="210">
        <f ca="1">TableauRecette[[#This Row],[Proportion]]*TableauRecette[[#This Row],[Prix d''achat / kg]]/TableauRecette[[#This Row],[Total Proportion]]</f>
        <v>0</v>
      </c>
      <c r="J250" s="210"/>
      <c r="K250" s="787"/>
      <c r="L250" s="788">
        <f>_xlfn.XLOOKUP(TableauRecette[[#This Row],[ID]],TableauProduit[ID],TableauProduit[Total (kg) N1],0,0,1)*TableauRecette[[#This Row],[poids / unite]]</f>
        <v>0</v>
      </c>
      <c r="M250" s="789">
        <f>_xlfn.XLOOKUP(TableauRecette[[#This Row],[ID]],TableauProduit[ID],TableauProduit[Total (kg) N2],0,0,1)*TableauRecette[[#This Row],[poids / unite]]</f>
        <v>0</v>
      </c>
      <c r="N250" s="789">
        <f>_xlfn.XLOOKUP(TableauRecette[[#This Row],[ID]],TableauProduit[ID],TableauProduit[Total (kg) N3],0,0,1)*TableauRecette[[#This Row],[poids / unite]]</f>
        <v>0</v>
      </c>
      <c r="O250" s="789">
        <f>_xlfn.XLOOKUP(TableauRecette[[#This Row],[ID]],TableauProduit[ID],TableauProduit[Total (kg) N4],0,0,1)*TableauRecette[[#This Row],[poids / unite]]</f>
        <v>0</v>
      </c>
      <c r="P250" s="789">
        <f>_xlfn.XLOOKUP(TableauRecette[[#This Row],[ID]],TableauProduit[ID],TableauProduit[Total (kg) N5],0,0,1)*TableauRecette[[#This Row],[poids / unite]]</f>
        <v>0</v>
      </c>
      <c r="Q250" s="789">
        <f>_xlfn.XLOOKUP(TableauRecette[[#This Row],[ID]],TableauProduit[ID],TableauProduit[Total (kg) N6],0,0,1)*TableauRecette[[#This Row],[poids / unite]]</f>
        <v>0</v>
      </c>
      <c r="R250" s="789">
        <f>_xlfn.XLOOKUP(TableauRecette[[#This Row],[ID]],TableauProduit[ID],TableauProduit[Total (kg) N7],0,0,1)*TableauRecette[[#This Row],[poids / unite]]</f>
        <v>0</v>
      </c>
      <c r="S250" s="789">
        <f>_xlfn.XLOOKUP(TableauRecette[[#This Row],[ID]],TableauProduit[ID],TableauProduit[Total (kg) N8],0,0,1)*TableauRecette[[#This Row],[poids / unite]]</f>
        <v>0</v>
      </c>
      <c r="T250" s="789">
        <f>_xlfn.XLOOKUP(TableauRecette[[#This Row],[ID]],TableauProduit[ID],TableauProduit[Total (kg) N9],0,0,1)*TableauRecette[[#This Row],[poids / unite]]</f>
        <v>0</v>
      </c>
    </row>
    <row r="251" spans="1:20">
      <c r="A251" s="86" t="s">
        <v>84</v>
      </c>
      <c r="B251" s="86" t="str">
        <f>TableauRecette[[#This Row],[Recette]]&amp;TableauRecette[[#This Row],[Conditionnement]]</f>
        <v>KetchupPiment liquide 250ml</v>
      </c>
      <c r="C251" s="86" t="s">
        <v>303</v>
      </c>
      <c r="D251" s="210">
        <v>6</v>
      </c>
      <c r="E251" s="86" t="s">
        <v>85</v>
      </c>
      <c r="F251" s="210">
        <f>D251/SUMIFS(TableauRecette[Proportion],TableauRecette[Recette],TableauRecette[[#This Row],[Recette]],TableauRecette[Conditionnement],TableauRecette[[#This Row],[Conditionnement]])</f>
        <v>2.7434842249657062E-3</v>
      </c>
      <c r="G251" s="210">
        <f ca="1">_xlfn.XLOOKUP(TableauRecette[[#This Row],[Ingredients]],TableauIngredients[Ingredients],TableauIngredients[Prix d''achat (kg)],0)*TableauRecette[[#This Row],[poids / unite]]</f>
        <v>3.5943517329910138E-3</v>
      </c>
      <c r="H251" s="210">
        <f>SUMIFS(TableauRecette[Proportion],TableauRecette[Recette],TableauRecette[[#This Row],[Recette]],TableauRecette[Conditionnement],TableauRecette[[#This Row],[Conditionnement]])</f>
        <v>2187</v>
      </c>
      <c r="I251" s="210">
        <f ca="1">TableauRecette[[#This Row],[Proportion]]*TableauRecette[[#This Row],[Prix d''achat / kg]]/TableauRecette[[#This Row],[Total Proportion]]</f>
        <v>0</v>
      </c>
      <c r="J251" s="210"/>
      <c r="K251" s="787"/>
      <c r="L251" s="788">
        <f>_xlfn.XLOOKUP(TableauRecette[[#This Row],[ID]],TableauProduit[ID],TableauProduit[Total (kg) N1],0,0,1)*TableauRecette[[#This Row],[poids / unite]]</f>
        <v>0</v>
      </c>
      <c r="M251" s="789">
        <f>_xlfn.XLOOKUP(TableauRecette[[#This Row],[ID]],TableauProduit[ID],TableauProduit[Total (kg) N2],0,0,1)*TableauRecette[[#This Row],[poids / unite]]</f>
        <v>0</v>
      </c>
      <c r="N251" s="789">
        <f>_xlfn.XLOOKUP(TableauRecette[[#This Row],[ID]],TableauProduit[ID],TableauProduit[Total (kg) N3],0,0,1)*TableauRecette[[#This Row],[poids / unite]]</f>
        <v>0</v>
      </c>
      <c r="O251" s="789">
        <f>_xlfn.XLOOKUP(TableauRecette[[#This Row],[ID]],TableauProduit[ID],TableauProduit[Total (kg) N4],0,0,1)*TableauRecette[[#This Row],[poids / unite]]</f>
        <v>0</v>
      </c>
      <c r="P251" s="789">
        <f>_xlfn.XLOOKUP(TableauRecette[[#This Row],[ID]],TableauProduit[ID],TableauProduit[Total (kg) N5],0,0,1)*TableauRecette[[#This Row],[poids / unite]]</f>
        <v>0</v>
      </c>
      <c r="Q251" s="789">
        <f>_xlfn.XLOOKUP(TableauRecette[[#This Row],[ID]],TableauProduit[ID],TableauProduit[Total (kg) N6],0,0,1)*TableauRecette[[#This Row],[poids / unite]]</f>
        <v>0</v>
      </c>
      <c r="R251" s="789">
        <f>_xlfn.XLOOKUP(TableauRecette[[#This Row],[ID]],TableauProduit[ID],TableauProduit[Total (kg) N7],0,0,1)*TableauRecette[[#This Row],[poids / unite]]</f>
        <v>0</v>
      </c>
      <c r="S251" s="789">
        <f>_xlfn.XLOOKUP(TableauRecette[[#This Row],[ID]],TableauProduit[ID],TableauProduit[Total (kg) N8],0,0,1)*TableauRecette[[#This Row],[poids / unite]]</f>
        <v>0</v>
      </c>
      <c r="T251" s="789">
        <f>_xlfn.XLOOKUP(TableauRecette[[#This Row],[ID]],TableauProduit[ID],TableauProduit[Total (kg) N9],0,0,1)*TableauRecette[[#This Row],[poids / unite]]</f>
        <v>0</v>
      </c>
    </row>
    <row r="252" spans="1:20">
      <c r="A252" s="86" t="s">
        <v>84</v>
      </c>
      <c r="B252" s="86" t="str">
        <f>TableauRecette[[#This Row],[Recette]]&amp;TableauRecette[[#This Row],[Conditionnement]]</f>
        <v>KetchupPiment liquide 250ml</v>
      </c>
      <c r="C252" s="86" t="s">
        <v>358</v>
      </c>
      <c r="D252" s="210">
        <v>15</v>
      </c>
      <c r="E252" s="86" t="s">
        <v>85</v>
      </c>
      <c r="F252" s="210">
        <f>D252/SUMIFS(TableauRecette[Proportion],TableauRecette[Recette],TableauRecette[[#This Row],[Recette]],TableauRecette[Conditionnement],TableauRecette[[#This Row],[Conditionnement]])</f>
        <v>6.8587105624142658E-3</v>
      </c>
      <c r="G252" s="210">
        <f ca="1">_xlfn.XLOOKUP(TableauRecette[[#This Row],[Ingredients]],TableauIngredients[Ingredients],TableauIngredients[Prix d''achat (kg)],0)*TableauRecette[[#This Row],[poids / unite]]</f>
        <v>2.4659820282413352E-2</v>
      </c>
      <c r="H252" s="210">
        <f>SUMIFS(TableauRecette[Proportion],TableauRecette[Recette],TableauRecette[[#This Row],[Recette]],TableauRecette[Conditionnement],TableauRecette[[#This Row],[Conditionnement]])</f>
        <v>2187</v>
      </c>
      <c r="I252" s="210">
        <f ca="1">TableauRecette[[#This Row],[Proportion]]*TableauRecette[[#This Row],[Prix d''achat / kg]]/TableauRecette[[#This Row],[Total Proportion]]</f>
        <v>0</v>
      </c>
      <c r="J252" s="210"/>
      <c r="K252" s="787"/>
      <c r="L252" s="788">
        <f>_xlfn.XLOOKUP(TableauRecette[[#This Row],[ID]],TableauProduit[ID],TableauProduit[Total (kg) N1],0,0,1)*TableauRecette[[#This Row],[poids / unite]]</f>
        <v>0</v>
      </c>
      <c r="M252" s="789">
        <f>_xlfn.XLOOKUP(TableauRecette[[#This Row],[ID]],TableauProduit[ID],TableauProduit[Total (kg) N2],0,0,1)*TableauRecette[[#This Row],[poids / unite]]</f>
        <v>0</v>
      </c>
      <c r="N252" s="789">
        <f>_xlfn.XLOOKUP(TableauRecette[[#This Row],[ID]],TableauProduit[ID],TableauProduit[Total (kg) N3],0,0,1)*TableauRecette[[#This Row],[poids / unite]]</f>
        <v>0</v>
      </c>
      <c r="O252" s="789">
        <f>_xlfn.XLOOKUP(TableauRecette[[#This Row],[ID]],TableauProduit[ID],TableauProduit[Total (kg) N4],0,0,1)*TableauRecette[[#This Row],[poids / unite]]</f>
        <v>0</v>
      </c>
      <c r="P252" s="789">
        <f>_xlfn.XLOOKUP(TableauRecette[[#This Row],[ID]],TableauProduit[ID],TableauProduit[Total (kg) N5],0,0,1)*TableauRecette[[#This Row],[poids / unite]]</f>
        <v>0</v>
      </c>
      <c r="Q252" s="789">
        <f>_xlfn.XLOOKUP(TableauRecette[[#This Row],[ID]],TableauProduit[ID],TableauProduit[Total (kg) N6],0,0,1)*TableauRecette[[#This Row],[poids / unite]]</f>
        <v>0</v>
      </c>
      <c r="R252" s="789">
        <f>_xlfn.XLOOKUP(TableauRecette[[#This Row],[ID]],TableauProduit[ID],TableauProduit[Total (kg) N7],0,0,1)*TableauRecette[[#This Row],[poids / unite]]</f>
        <v>0</v>
      </c>
      <c r="S252" s="789">
        <f>_xlfn.XLOOKUP(TableauRecette[[#This Row],[ID]],TableauProduit[ID],TableauProduit[Total (kg) N8],0,0,1)*TableauRecette[[#This Row],[poids / unite]]</f>
        <v>0</v>
      </c>
      <c r="T252" s="789">
        <f>_xlfn.XLOOKUP(TableauRecette[[#This Row],[ID]],TableauProduit[ID],TableauProduit[Total (kg) N9],0,0,1)*TableauRecette[[#This Row],[poids / unite]]</f>
        <v>0</v>
      </c>
    </row>
    <row r="253" spans="1:20">
      <c r="A253" s="86" t="s">
        <v>84</v>
      </c>
      <c r="B253" s="86" t="str">
        <f>TableauRecette[[#This Row],[Recette]]&amp;TableauRecette[[#This Row],[Conditionnement]]</f>
        <v>KetchupPiment liquide 250ml</v>
      </c>
      <c r="C253" s="86" t="s">
        <v>359</v>
      </c>
      <c r="D253" s="210">
        <v>0</v>
      </c>
      <c r="E253" s="86" t="s">
        <v>85</v>
      </c>
      <c r="F253" s="210">
        <f>D253/SUMIFS(TableauRecette[Proportion],TableauRecette[Recette],TableauRecette[[#This Row],[Recette]],TableauRecette[Conditionnement],TableauRecette[[#This Row],[Conditionnement]])</f>
        <v>0</v>
      </c>
      <c r="G253" s="210">
        <f ca="1">_xlfn.XLOOKUP(TableauRecette[[#This Row],[Ingredients]],TableauIngredients[Ingredients],TableauIngredients[Prix d''achat (kg)],0)*TableauRecette[[#This Row],[poids / unite]]</f>
        <v>0</v>
      </c>
      <c r="H253" s="210">
        <f>SUMIFS(TableauRecette[Proportion],TableauRecette[Recette],TableauRecette[[#This Row],[Recette]],TableauRecette[Conditionnement],TableauRecette[[#This Row],[Conditionnement]])</f>
        <v>2187</v>
      </c>
      <c r="I253" s="210">
        <f ca="1">TableauRecette[[#This Row],[Proportion]]*TableauRecette[[#This Row],[Prix d''achat / kg]]/TableauRecette[[#This Row],[Total Proportion]]</f>
        <v>0</v>
      </c>
      <c r="J253" s="210"/>
      <c r="K253" s="787"/>
      <c r="L253" s="788">
        <f>_xlfn.XLOOKUP(TableauRecette[[#This Row],[ID]],TableauProduit[ID],TableauProduit[Total (kg) N1],0,0,1)*TableauRecette[[#This Row],[poids / unite]]</f>
        <v>0</v>
      </c>
      <c r="M253" s="789">
        <f>_xlfn.XLOOKUP(TableauRecette[[#This Row],[ID]],TableauProduit[ID],TableauProduit[Total (kg) N2],0,0,1)*TableauRecette[[#This Row],[poids / unite]]</f>
        <v>0</v>
      </c>
      <c r="N253" s="789">
        <f>_xlfn.XLOOKUP(TableauRecette[[#This Row],[ID]],TableauProduit[ID],TableauProduit[Total (kg) N3],0,0,1)*TableauRecette[[#This Row],[poids / unite]]</f>
        <v>0</v>
      </c>
      <c r="O253" s="789">
        <f>_xlfn.XLOOKUP(TableauRecette[[#This Row],[ID]],TableauProduit[ID],TableauProduit[Total (kg) N4],0,0,1)*TableauRecette[[#This Row],[poids / unite]]</f>
        <v>0</v>
      </c>
      <c r="P253" s="789">
        <f>_xlfn.XLOOKUP(TableauRecette[[#This Row],[ID]],TableauProduit[ID],TableauProduit[Total (kg) N5],0,0,1)*TableauRecette[[#This Row],[poids / unite]]</f>
        <v>0</v>
      </c>
      <c r="Q253" s="789">
        <f>_xlfn.XLOOKUP(TableauRecette[[#This Row],[ID]],TableauProduit[ID],TableauProduit[Total (kg) N6],0,0,1)*TableauRecette[[#This Row],[poids / unite]]</f>
        <v>0</v>
      </c>
      <c r="R253" s="789">
        <f>_xlfn.XLOOKUP(TableauRecette[[#This Row],[ID]],TableauProduit[ID],TableauProduit[Total (kg) N7],0,0,1)*TableauRecette[[#This Row],[poids / unite]]</f>
        <v>0</v>
      </c>
      <c r="S253" s="789">
        <f>_xlfn.XLOOKUP(TableauRecette[[#This Row],[ID]],TableauProduit[ID],TableauProduit[Total (kg) N8],0,0,1)*TableauRecette[[#This Row],[poids / unite]]</f>
        <v>0</v>
      </c>
      <c r="T253" s="789">
        <f>_xlfn.XLOOKUP(TableauRecette[[#This Row],[ID]],TableauProduit[ID],TableauProduit[Total (kg) N9],0,0,1)*TableauRecette[[#This Row],[poids / unite]]</f>
        <v>0</v>
      </c>
    </row>
    <row r="254" spans="1:20">
      <c r="A254" s="87" t="s">
        <v>48</v>
      </c>
      <c r="B254" s="87" t="str">
        <f>TableauRecette[[#This Row],[Recette]]&amp;TableauRecette[[#This Row],[Conditionnement]]</f>
        <v>Moutarde à l'ancienneMoutarde Pot en grès</v>
      </c>
      <c r="C254" s="87" t="s">
        <v>305</v>
      </c>
      <c r="D254" s="211">
        <v>80</v>
      </c>
      <c r="E254" s="87" t="s">
        <v>360</v>
      </c>
      <c r="F254" s="211">
        <f>D254/SUMIFS(TableauRecette[Proportion],TableauRecette[Recette],TableauRecette[[#This Row],[Recette]],TableauRecette[Conditionnement],TableauRecette[[#This Row],[Conditionnement]])</f>
        <v>0.59259259259259256</v>
      </c>
      <c r="G254" s="211">
        <f ca="1">_xlfn.XLOOKUP(TableauRecette[[#This Row],[Ingredients]],TableauIngredients[Ingredients],TableauIngredients[Prix d''achat (kg)],0)*TableauRecette[[#This Row],[poids / unite]]</f>
        <v>0</v>
      </c>
      <c r="H254" s="211">
        <f>SUMIFS(TableauRecette[Proportion],TableauRecette[Recette],TableauRecette[[#This Row],[Recette]],TableauRecette[Conditionnement],TableauRecette[[#This Row],[Conditionnement]])</f>
        <v>135</v>
      </c>
      <c r="I254" s="211">
        <f ca="1">TableauRecette[[#This Row],[Proportion]]*TableauRecette[[#This Row],[Prix d''achat / kg]]/TableauRecette[[#This Row],[Total Proportion]]</f>
        <v>0</v>
      </c>
      <c r="J254" s="211"/>
      <c r="K254" s="790"/>
      <c r="L254" s="791">
        <f>_xlfn.XLOOKUP(TableauRecette[[#This Row],[ID]],TableauProduit[ID],TableauProduit[Total (kg) N1],0,0,1)*TableauRecette[[#This Row],[poids / unite]]</f>
        <v>0</v>
      </c>
      <c r="M254" s="792">
        <f>_xlfn.XLOOKUP(TableauRecette[[#This Row],[ID]],TableauProduit[ID],TableauProduit[Total (kg) N2],0,0,1)*TableauRecette[[#This Row],[poids / unite]]</f>
        <v>0</v>
      </c>
      <c r="N254" s="792">
        <f>_xlfn.XLOOKUP(TableauRecette[[#This Row],[ID]],TableauProduit[ID],TableauProduit[Total (kg) N3],0,0,1)*TableauRecette[[#This Row],[poids / unite]]</f>
        <v>0</v>
      </c>
      <c r="O254" s="792">
        <f>_xlfn.XLOOKUP(TableauRecette[[#This Row],[ID]],TableauProduit[ID],TableauProduit[Total (kg) N4],0,0,1)*TableauRecette[[#This Row],[poids / unite]]</f>
        <v>0</v>
      </c>
      <c r="P254" s="792">
        <f>_xlfn.XLOOKUP(TableauRecette[[#This Row],[ID]],TableauProduit[ID],TableauProduit[Total (kg) N5],0,0,1)*TableauRecette[[#This Row],[poids / unite]]</f>
        <v>0</v>
      </c>
      <c r="Q254" s="792">
        <f>_xlfn.XLOOKUP(TableauRecette[[#This Row],[ID]],TableauProduit[ID],TableauProduit[Total (kg) N6],0,0,1)*TableauRecette[[#This Row],[poids / unite]]</f>
        <v>0</v>
      </c>
      <c r="R254" s="792">
        <f>_xlfn.XLOOKUP(TableauRecette[[#This Row],[ID]],TableauProduit[ID],TableauProduit[Total (kg) N7],0,0,1)*TableauRecette[[#This Row],[poids / unite]]</f>
        <v>0</v>
      </c>
      <c r="S254" s="792">
        <f>_xlfn.XLOOKUP(TableauRecette[[#This Row],[ID]],TableauProduit[ID],TableauProduit[Total (kg) N8],0,0,1)*TableauRecette[[#This Row],[poids / unite]]</f>
        <v>0</v>
      </c>
      <c r="T254" s="792">
        <f>_xlfn.XLOOKUP(TableauRecette[[#This Row],[ID]],TableauProduit[ID],TableauProduit[Total (kg) N9],0,0,1)*TableauRecette[[#This Row],[poids / unite]]</f>
        <v>0</v>
      </c>
    </row>
    <row r="255" spans="1:20">
      <c r="A255" s="87" t="s">
        <v>48</v>
      </c>
      <c r="B255" s="87" t="str">
        <f>TableauRecette[[#This Row],[Recette]]&amp;TableauRecette[[#This Row],[Conditionnement]]</f>
        <v>Moutarde à l'ancienneMoutarde Pot en grès</v>
      </c>
      <c r="C255" s="87" t="s">
        <v>358</v>
      </c>
      <c r="D255" s="211">
        <v>20</v>
      </c>
      <c r="E255" s="87" t="s">
        <v>360</v>
      </c>
      <c r="F255" s="211">
        <f>D255/SUMIFS(TableauRecette[Proportion],TableauRecette[Recette],TableauRecette[[#This Row],[Recette]],TableauRecette[Conditionnement],TableauRecette[[#This Row],[Conditionnement]])</f>
        <v>0.14814814814814814</v>
      </c>
      <c r="G255" s="211">
        <f ca="1">_xlfn.XLOOKUP(TableauRecette[[#This Row],[Ingredients]],TableauIngredients[Ingredients],TableauIngredients[Prix d''achat (kg)],0)*TableauRecette[[#This Row],[poids / unite]]</f>
        <v>0.56918518518518513</v>
      </c>
      <c r="H255" s="211">
        <f>SUMIFS(TableauRecette[Proportion],TableauRecette[Recette],TableauRecette[[#This Row],[Recette]],TableauRecette[Conditionnement],TableauRecette[[#This Row],[Conditionnement]])</f>
        <v>135</v>
      </c>
      <c r="I255" s="211">
        <f ca="1">TableauRecette[[#This Row],[Proportion]]*TableauRecette[[#This Row],[Prix d''achat / kg]]/TableauRecette[[#This Row],[Total Proportion]]</f>
        <v>0</v>
      </c>
      <c r="J255" s="211"/>
      <c r="K255" s="790"/>
      <c r="L255" s="791">
        <f>_xlfn.XLOOKUP(TableauRecette[[#This Row],[ID]],TableauProduit[ID],TableauProduit[Total (kg) N1],0,0,1)*TableauRecette[[#This Row],[poids / unite]]</f>
        <v>0</v>
      </c>
      <c r="M255" s="792">
        <f>_xlfn.XLOOKUP(TableauRecette[[#This Row],[ID]],TableauProduit[ID],TableauProduit[Total (kg) N2],0,0,1)*TableauRecette[[#This Row],[poids / unite]]</f>
        <v>0</v>
      </c>
      <c r="N255" s="792">
        <f>_xlfn.XLOOKUP(TableauRecette[[#This Row],[ID]],TableauProduit[ID],TableauProduit[Total (kg) N3],0,0,1)*TableauRecette[[#This Row],[poids / unite]]</f>
        <v>0</v>
      </c>
      <c r="O255" s="792">
        <f>_xlfn.XLOOKUP(TableauRecette[[#This Row],[ID]],TableauProduit[ID],TableauProduit[Total (kg) N4],0,0,1)*TableauRecette[[#This Row],[poids / unite]]</f>
        <v>0</v>
      </c>
      <c r="P255" s="792">
        <f>_xlfn.XLOOKUP(TableauRecette[[#This Row],[ID]],TableauProduit[ID],TableauProduit[Total (kg) N5],0,0,1)*TableauRecette[[#This Row],[poids / unite]]</f>
        <v>0</v>
      </c>
      <c r="Q255" s="792">
        <f>_xlfn.XLOOKUP(TableauRecette[[#This Row],[ID]],TableauProduit[ID],TableauProduit[Total (kg) N6],0,0,1)*TableauRecette[[#This Row],[poids / unite]]</f>
        <v>0</v>
      </c>
      <c r="R255" s="792">
        <f>_xlfn.XLOOKUP(TableauRecette[[#This Row],[ID]],TableauProduit[ID],TableauProduit[Total (kg) N7],0,0,1)*TableauRecette[[#This Row],[poids / unite]]</f>
        <v>0</v>
      </c>
      <c r="S255" s="792">
        <f>_xlfn.XLOOKUP(TableauRecette[[#This Row],[ID]],TableauProduit[ID],TableauProduit[Total (kg) N8],0,0,1)*TableauRecette[[#This Row],[poids / unite]]</f>
        <v>0</v>
      </c>
      <c r="T255" s="792">
        <f>_xlfn.XLOOKUP(TableauRecette[[#This Row],[ID]],TableauProduit[ID],TableauProduit[Total (kg) N9],0,0,1)*TableauRecette[[#This Row],[poids / unite]]</f>
        <v>0</v>
      </c>
    </row>
    <row r="256" spans="1:20">
      <c r="A256" s="87" t="s">
        <v>48</v>
      </c>
      <c r="B256" s="87" t="str">
        <f>TableauRecette[[#This Row],[Recette]]&amp;TableauRecette[[#This Row],[Conditionnement]]</f>
        <v>Moutarde à l'ancienneMoutarde Pot en grès</v>
      </c>
      <c r="C256" s="87" t="s">
        <v>361</v>
      </c>
      <c r="D256" s="211">
        <v>20</v>
      </c>
      <c r="E256" s="87" t="s">
        <v>360</v>
      </c>
      <c r="F256" s="211">
        <f>D256/SUMIFS(TableauRecette[Proportion],TableauRecette[Recette],TableauRecette[[#This Row],[Recette]],TableauRecette[Conditionnement],TableauRecette[[#This Row],[Conditionnement]])</f>
        <v>0.14814814814814814</v>
      </c>
      <c r="G256" s="211">
        <f ca="1">_xlfn.XLOOKUP(TableauRecette[[#This Row],[Ingredients]],TableauIngredients[Ingredients],TableauIngredients[Prix d''achat (kg)],0)*TableauRecette[[#This Row],[poids / unite]]</f>
        <v>0</v>
      </c>
      <c r="H256" s="211">
        <f>SUMIFS(TableauRecette[Proportion],TableauRecette[Recette],TableauRecette[[#This Row],[Recette]],TableauRecette[Conditionnement],TableauRecette[[#This Row],[Conditionnement]])</f>
        <v>135</v>
      </c>
      <c r="I256" s="211">
        <f ca="1">TableauRecette[[#This Row],[Proportion]]*TableauRecette[[#This Row],[Prix d''achat / kg]]/TableauRecette[[#This Row],[Total Proportion]]</f>
        <v>0</v>
      </c>
      <c r="J256" s="211"/>
      <c r="K256" s="790"/>
      <c r="L256" s="791">
        <f>_xlfn.XLOOKUP(TableauRecette[[#This Row],[ID]],TableauProduit[ID],TableauProduit[Total (kg) N1],0,0,1)*TableauRecette[[#This Row],[poids / unite]]</f>
        <v>0</v>
      </c>
      <c r="M256" s="792">
        <f>_xlfn.XLOOKUP(TableauRecette[[#This Row],[ID]],TableauProduit[ID],TableauProduit[Total (kg) N2],0,0,1)*TableauRecette[[#This Row],[poids / unite]]</f>
        <v>0</v>
      </c>
      <c r="N256" s="792">
        <f>_xlfn.XLOOKUP(TableauRecette[[#This Row],[ID]],TableauProduit[ID],TableauProduit[Total (kg) N3],0,0,1)*TableauRecette[[#This Row],[poids / unite]]</f>
        <v>0</v>
      </c>
      <c r="O256" s="792">
        <f>_xlfn.XLOOKUP(TableauRecette[[#This Row],[ID]],TableauProduit[ID],TableauProduit[Total (kg) N4],0,0,1)*TableauRecette[[#This Row],[poids / unite]]</f>
        <v>0</v>
      </c>
      <c r="P256" s="792">
        <f>_xlfn.XLOOKUP(TableauRecette[[#This Row],[ID]],TableauProduit[ID],TableauProduit[Total (kg) N5],0,0,1)*TableauRecette[[#This Row],[poids / unite]]</f>
        <v>0</v>
      </c>
      <c r="Q256" s="792">
        <f>_xlfn.XLOOKUP(TableauRecette[[#This Row],[ID]],TableauProduit[ID],TableauProduit[Total (kg) N6],0,0,1)*TableauRecette[[#This Row],[poids / unite]]</f>
        <v>0</v>
      </c>
      <c r="R256" s="792">
        <f>_xlfn.XLOOKUP(TableauRecette[[#This Row],[ID]],TableauProduit[ID],TableauProduit[Total (kg) N7],0,0,1)*TableauRecette[[#This Row],[poids / unite]]</f>
        <v>0</v>
      </c>
      <c r="S256" s="792">
        <f>_xlfn.XLOOKUP(TableauRecette[[#This Row],[ID]],TableauProduit[ID],TableauProduit[Total (kg) N8],0,0,1)*TableauRecette[[#This Row],[poids / unite]]</f>
        <v>0</v>
      </c>
      <c r="T256" s="792">
        <f>_xlfn.XLOOKUP(TableauRecette[[#This Row],[ID]],TableauProduit[ID],TableauProduit[Total (kg) N9],0,0,1)*TableauRecette[[#This Row],[poids / unite]]</f>
        <v>0</v>
      </c>
    </row>
    <row r="257" spans="1:25">
      <c r="A257" s="87" t="s">
        <v>48</v>
      </c>
      <c r="B257" s="87" t="str">
        <f>TableauRecette[[#This Row],[Recette]]&amp;TableauRecette[[#This Row],[Conditionnement]]</f>
        <v>Moutarde à l'ancienneMoutarde Pot en grès</v>
      </c>
      <c r="C257" s="87" t="s">
        <v>303</v>
      </c>
      <c r="D257" s="212">
        <v>15</v>
      </c>
      <c r="E257" s="87" t="s">
        <v>360</v>
      </c>
      <c r="F257" s="211">
        <f>D257/SUMIFS(TableauRecette[Proportion],TableauRecette[Recette],TableauRecette[[#This Row],[Recette]],TableauRecette[Conditionnement],TableauRecette[[#This Row],[Conditionnement]])</f>
        <v>0.1111111111111111</v>
      </c>
      <c r="G257" s="211">
        <f ca="1">_xlfn.XLOOKUP(TableauRecette[[#This Row],[Ingredients]],TableauIngredients[Ingredients],TableauIngredients[Prix d''achat (kg)],0)*TableauRecette[[#This Row],[poids / unite]]</f>
        <v>0.15555555555555553</v>
      </c>
      <c r="H257" s="211">
        <f>SUMIFS(TableauRecette[Proportion],TableauRecette[Recette],TableauRecette[[#This Row],[Recette]],TableauRecette[Conditionnement],TableauRecette[[#This Row],[Conditionnement]])</f>
        <v>135</v>
      </c>
      <c r="I257" s="211">
        <f ca="1">TableauRecette[[#This Row],[Proportion]]*TableauRecette[[#This Row],[Prix d''achat / kg]]/TableauRecette[[#This Row],[Total Proportion]]</f>
        <v>0</v>
      </c>
      <c r="J257" s="211"/>
      <c r="K257" s="790"/>
      <c r="L257" s="791">
        <f>_xlfn.XLOOKUP(TableauRecette[[#This Row],[ID]],TableauProduit[ID],TableauProduit[Total (kg) N1],0,0,1)*TableauRecette[[#This Row],[poids / unite]]</f>
        <v>0</v>
      </c>
      <c r="M257" s="792">
        <f>_xlfn.XLOOKUP(TableauRecette[[#This Row],[ID]],TableauProduit[ID],TableauProduit[Total (kg) N2],0,0,1)*TableauRecette[[#This Row],[poids / unite]]</f>
        <v>0</v>
      </c>
      <c r="N257" s="792">
        <f>_xlfn.XLOOKUP(TableauRecette[[#This Row],[ID]],TableauProduit[ID],TableauProduit[Total (kg) N3],0,0,1)*TableauRecette[[#This Row],[poids / unite]]</f>
        <v>0</v>
      </c>
      <c r="O257" s="792">
        <f>_xlfn.XLOOKUP(TableauRecette[[#This Row],[ID]],TableauProduit[ID],TableauProduit[Total (kg) N4],0,0,1)*TableauRecette[[#This Row],[poids / unite]]</f>
        <v>0</v>
      </c>
      <c r="P257" s="792">
        <f>_xlfn.XLOOKUP(TableauRecette[[#This Row],[ID]],TableauProduit[ID],TableauProduit[Total (kg) N5],0,0,1)*TableauRecette[[#This Row],[poids / unite]]</f>
        <v>0</v>
      </c>
      <c r="Q257" s="792">
        <f>_xlfn.XLOOKUP(TableauRecette[[#This Row],[ID]],TableauProduit[ID],TableauProduit[Total (kg) N6],0,0,1)*TableauRecette[[#This Row],[poids / unite]]</f>
        <v>0</v>
      </c>
      <c r="R257" s="792">
        <f>_xlfn.XLOOKUP(TableauRecette[[#This Row],[ID]],TableauProduit[ID],TableauProduit[Total (kg) N7],0,0,1)*TableauRecette[[#This Row],[poids / unite]]</f>
        <v>0</v>
      </c>
      <c r="S257" s="792">
        <f>_xlfn.XLOOKUP(TableauRecette[[#This Row],[ID]],TableauProduit[ID],TableauProduit[Total (kg) N8],0,0,1)*TableauRecette[[#This Row],[poids / unite]]</f>
        <v>0</v>
      </c>
      <c r="T257" s="792">
        <f>_xlfn.XLOOKUP(TableauRecette[[#This Row],[ID]],TableauProduit[ID],TableauProduit[Total (kg) N9],0,0,1)*TableauRecette[[#This Row],[poids / unite]]</f>
        <v>0</v>
      </c>
    </row>
    <row r="258" spans="1:25">
      <c r="A258" s="539" t="s">
        <v>58</v>
      </c>
      <c r="B258" s="539" t="str">
        <f>TableauRecette[[#This Row],[Recette]]&amp;TableauRecette[[#This Row],[Conditionnement]]</f>
        <v>Moutarde à l'estragonMoutarde verre 212 ml</v>
      </c>
      <c r="C258" s="539" t="s">
        <v>305</v>
      </c>
      <c r="D258" s="540">
        <v>80</v>
      </c>
      <c r="E258" s="539" t="s">
        <v>59</v>
      </c>
      <c r="F258" s="540">
        <f>D258/SUMIFS(TableauRecette[Proportion],TableauRecette[Recette],TableauRecette[[#This Row],[Recette]],TableauRecette[Conditionnement],TableauRecette[[#This Row],[Conditionnement]])</f>
        <v>0.4</v>
      </c>
      <c r="G258" s="540">
        <f ca="1">_xlfn.XLOOKUP(TableauRecette[[#This Row],[Ingredients]],TableauIngredients[Ingredients],TableauIngredients[Prix d''achat (kg)],0)*TableauRecette[[#This Row],[poids / unite]]</f>
        <v>0</v>
      </c>
      <c r="H258" s="540">
        <f>SUMIFS(TableauRecette[Proportion],TableauRecette[Recette],TableauRecette[[#This Row],[Recette]],TableauRecette[Conditionnement],TableauRecette[[#This Row],[Conditionnement]])</f>
        <v>200</v>
      </c>
      <c r="I258" s="540">
        <f ca="1">TableauRecette[[#This Row],[Proportion]]*TableauRecette[[#This Row],[Prix d''achat / kg]]/TableauRecette[[#This Row],[Total Proportion]]</f>
        <v>0</v>
      </c>
      <c r="J258" s="540"/>
      <c r="K258" s="793"/>
      <c r="L258" s="794">
        <f>_xlfn.XLOOKUP(TableauRecette[[#This Row],[ID]],TableauProduit[ID],TableauProduit[Total (kg) N1],0,0,1)*TableauRecette[[#This Row],[poids / unite]]</f>
        <v>35.28</v>
      </c>
      <c r="M258" s="795">
        <f>_xlfn.XLOOKUP(TableauRecette[[#This Row],[ID]],TableauProduit[ID],TableauProduit[Total (kg) N2],0,0,1)*TableauRecette[[#This Row],[poids / unite]]</f>
        <v>35.28</v>
      </c>
      <c r="N258" s="795">
        <f>_xlfn.XLOOKUP(TableauRecette[[#This Row],[ID]],TableauProduit[ID],TableauProduit[Total (kg) N3],0,0,1)*TableauRecette[[#This Row],[poids / unite]]</f>
        <v>35.28</v>
      </c>
      <c r="O258" s="795">
        <f>_xlfn.XLOOKUP(TableauRecette[[#This Row],[ID]],TableauProduit[ID],TableauProduit[Total (kg) N4],0,0,1)*TableauRecette[[#This Row],[poids / unite]]</f>
        <v>35.28</v>
      </c>
      <c r="P258" s="795">
        <f>_xlfn.XLOOKUP(TableauRecette[[#This Row],[ID]],TableauProduit[ID],TableauProduit[Total (kg) N5],0,0,1)*TableauRecette[[#This Row],[poids / unite]]</f>
        <v>35.28</v>
      </c>
      <c r="Q258" s="795">
        <f>_xlfn.XLOOKUP(TableauRecette[[#This Row],[ID]],TableauProduit[ID],TableauProduit[Total (kg) N6],0,0,1)*TableauRecette[[#This Row],[poids / unite]]</f>
        <v>35.28</v>
      </c>
      <c r="R258" s="795">
        <f>_xlfn.XLOOKUP(TableauRecette[[#This Row],[ID]],TableauProduit[ID],TableauProduit[Total (kg) N7],0,0,1)*TableauRecette[[#This Row],[poids / unite]]</f>
        <v>35.28</v>
      </c>
      <c r="S258" s="795">
        <f>_xlfn.XLOOKUP(TableauRecette[[#This Row],[ID]],TableauProduit[ID],TableauProduit[Total (kg) N8],0,0,1)*TableauRecette[[#This Row],[poids / unite]]</f>
        <v>35.28</v>
      </c>
      <c r="T258" s="795">
        <f>_xlfn.XLOOKUP(TableauRecette[[#This Row],[ID]],TableauProduit[ID],TableauProduit[Total (kg) N9],0,0,1)*TableauRecette[[#This Row],[poids / unite]]</f>
        <v>35.28</v>
      </c>
    </row>
    <row r="259" spans="1:25">
      <c r="A259" s="539" t="s">
        <v>58</v>
      </c>
      <c r="B259" s="539" t="str">
        <f>TableauRecette[[#This Row],[Recette]]&amp;TableauRecette[[#This Row],[Conditionnement]]</f>
        <v>Moutarde à l'estragonMoutarde verre 212 ml</v>
      </c>
      <c r="C259" s="539" t="s">
        <v>358</v>
      </c>
      <c r="D259" s="540">
        <v>20</v>
      </c>
      <c r="E259" s="539" t="s">
        <v>59</v>
      </c>
      <c r="F259" s="540">
        <f>D259/SUMIFS(TableauRecette[Proportion],TableauRecette[Recette],TableauRecette[[#This Row],[Recette]],TableauRecette[Conditionnement],TableauRecette[[#This Row],[Conditionnement]])</f>
        <v>0.1</v>
      </c>
      <c r="G259" s="540">
        <f ca="1">_xlfn.XLOOKUP(TableauRecette[[#This Row],[Ingredients]],TableauIngredients[Ingredients],TableauIngredients[Prix d''achat (kg)],0)*TableauRecette[[#This Row],[poids / unite]]</f>
        <v>0.56918518518518513</v>
      </c>
      <c r="H259" s="540">
        <f>SUMIFS(TableauRecette[Proportion],TableauRecette[Recette],TableauRecette[[#This Row],[Recette]],TableauRecette[Conditionnement],TableauRecette[[#This Row],[Conditionnement]])</f>
        <v>200</v>
      </c>
      <c r="I259" s="540">
        <f ca="1">TableauRecette[[#This Row],[Proportion]]*TableauRecette[[#This Row],[Prix d''achat / kg]]/TableauRecette[[#This Row],[Total Proportion]]</f>
        <v>0</v>
      </c>
      <c r="J259" s="540"/>
      <c r="K259" s="793"/>
      <c r="L259" s="794">
        <f>_xlfn.XLOOKUP(TableauRecette[[#This Row],[ID]],TableauProduit[ID],TableauProduit[Total (kg) N1],0,0,1)*TableauRecette[[#This Row],[poids / unite]]</f>
        <v>8.82</v>
      </c>
      <c r="M259" s="795">
        <f>_xlfn.XLOOKUP(TableauRecette[[#This Row],[ID]],TableauProduit[ID],TableauProduit[Total (kg) N2],0,0,1)*TableauRecette[[#This Row],[poids / unite]]</f>
        <v>8.82</v>
      </c>
      <c r="N259" s="795">
        <f>_xlfn.XLOOKUP(TableauRecette[[#This Row],[ID]],TableauProduit[ID],TableauProduit[Total (kg) N3],0,0,1)*TableauRecette[[#This Row],[poids / unite]]</f>
        <v>8.82</v>
      </c>
      <c r="O259" s="795">
        <f>_xlfn.XLOOKUP(TableauRecette[[#This Row],[ID]],TableauProduit[ID],TableauProduit[Total (kg) N4],0,0,1)*TableauRecette[[#This Row],[poids / unite]]</f>
        <v>8.82</v>
      </c>
      <c r="P259" s="795">
        <f>_xlfn.XLOOKUP(TableauRecette[[#This Row],[ID]],TableauProduit[ID],TableauProduit[Total (kg) N5],0,0,1)*TableauRecette[[#This Row],[poids / unite]]</f>
        <v>8.82</v>
      </c>
      <c r="Q259" s="795">
        <f>_xlfn.XLOOKUP(TableauRecette[[#This Row],[ID]],TableauProduit[ID],TableauProduit[Total (kg) N6],0,0,1)*TableauRecette[[#This Row],[poids / unite]]</f>
        <v>8.82</v>
      </c>
      <c r="R259" s="795">
        <f>_xlfn.XLOOKUP(TableauRecette[[#This Row],[ID]],TableauProduit[ID],TableauProduit[Total (kg) N7],0,0,1)*TableauRecette[[#This Row],[poids / unite]]</f>
        <v>8.82</v>
      </c>
      <c r="S259" s="795">
        <f>_xlfn.XLOOKUP(TableauRecette[[#This Row],[ID]],TableauProduit[ID],TableauProduit[Total (kg) N8],0,0,1)*TableauRecette[[#This Row],[poids / unite]]</f>
        <v>8.82</v>
      </c>
      <c r="T259" s="795">
        <f>_xlfn.XLOOKUP(TableauRecette[[#This Row],[ID]],TableauProduit[ID],TableauProduit[Total (kg) N9],0,0,1)*TableauRecette[[#This Row],[poids / unite]]</f>
        <v>8.82</v>
      </c>
    </row>
    <row r="260" spans="1:25">
      <c r="A260" s="539" t="s">
        <v>58</v>
      </c>
      <c r="B260" s="539" t="str">
        <f>TableauRecette[[#This Row],[Recette]]&amp;TableauRecette[[#This Row],[Conditionnement]]</f>
        <v>Moutarde à l'estragonMoutarde verre 212 ml</v>
      </c>
      <c r="C260" s="539" t="s">
        <v>361</v>
      </c>
      <c r="D260" s="540">
        <v>80</v>
      </c>
      <c r="E260" s="539" t="s">
        <v>59</v>
      </c>
      <c r="F260" s="540">
        <f>D260/SUMIFS(TableauRecette[Proportion],TableauRecette[Recette],TableauRecette[[#This Row],[Recette]],TableauRecette[Conditionnement],TableauRecette[[#This Row],[Conditionnement]])</f>
        <v>0.4</v>
      </c>
      <c r="G260" s="540">
        <f ca="1">_xlfn.XLOOKUP(TableauRecette[[#This Row],[Ingredients]],TableauIngredients[Ingredients],TableauIngredients[Prix d''achat (kg)],0)*TableauRecette[[#This Row],[poids / unite]]</f>
        <v>0</v>
      </c>
      <c r="H260" s="540">
        <f>SUMIFS(TableauRecette[Proportion],TableauRecette[Recette],TableauRecette[[#This Row],[Recette]],TableauRecette[Conditionnement],TableauRecette[[#This Row],[Conditionnement]])</f>
        <v>200</v>
      </c>
      <c r="I260" s="540">
        <f ca="1">TableauRecette[[#This Row],[Proportion]]*TableauRecette[[#This Row],[Prix d''achat / kg]]/TableauRecette[[#This Row],[Total Proportion]]</f>
        <v>0</v>
      </c>
      <c r="J260" s="540"/>
      <c r="K260" s="793"/>
      <c r="L260" s="794">
        <f>_xlfn.XLOOKUP(TableauRecette[[#This Row],[ID]],TableauProduit[ID],TableauProduit[Total (kg) N1],0,0,1)*TableauRecette[[#This Row],[poids / unite]]</f>
        <v>35.28</v>
      </c>
      <c r="M260" s="795">
        <f>_xlfn.XLOOKUP(TableauRecette[[#This Row],[ID]],TableauProduit[ID],TableauProduit[Total (kg) N2],0,0,1)*TableauRecette[[#This Row],[poids / unite]]</f>
        <v>35.28</v>
      </c>
      <c r="N260" s="795">
        <f>_xlfn.XLOOKUP(TableauRecette[[#This Row],[ID]],TableauProduit[ID],TableauProduit[Total (kg) N3],0,0,1)*TableauRecette[[#This Row],[poids / unite]]</f>
        <v>35.28</v>
      </c>
      <c r="O260" s="795">
        <f>_xlfn.XLOOKUP(TableauRecette[[#This Row],[ID]],TableauProduit[ID],TableauProduit[Total (kg) N4],0,0,1)*TableauRecette[[#This Row],[poids / unite]]</f>
        <v>35.28</v>
      </c>
      <c r="P260" s="795">
        <f>_xlfn.XLOOKUP(TableauRecette[[#This Row],[ID]],TableauProduit[ID],TableauProduit[Total (kg) N5],0,0,1)*TableauRecette[[#This Row],[poids / unite]]</f>
        <v>35.28</v>
      </c>
      <c r="Q260" s="795">
        <f>_xlfn.XLOOKUP(TableauRecette[[#This Row],[ID]],TableauProduit[ID],TableauProduit[Total (kg) N6],0,0,1)*TableauRecette[[#This Row],[poids / unite]]</f>
        <v>35.28</v>
      </c>
      <c r="R260" s="795">
        <f>_xlfn.XLOOKUP(TableauRecette[[#This Row],[ID]],TableauProduit[ID],TableauProduit[Total (kg) N7],0,0,1)*TableauRecette[[#This Row],[poids / unite]]</f>
        <v>35.28</v>
      </c>
      <c r="S260" s="795">
        <f>_xlfn.XLOOKUP(TableauRecette[[#This Row],[ID]],TableauProduit[ID],TableauProduit[Total (kg) N8],0,0,1)*TableauRecette[[#This Row],[poids / unite]]</f>
        <v>35.28</v>
      </c>
      <c r="T260" s="795">
        <f>_xlfn.XLOOKUP(TableauRecette[[#This Row],[ID]],TableauProduit[ID],TableauProduit[Total (kg) N9],0,0,1)*TableauRecette[[#This Row],[poids / unite]]</f>
        <v>35.28</v>
      </c>
    </row>
    <row r="261" spans="1:25">
      <c r="A261" s="539" t="s">
        <v>58</v>
      </c>
      <c r="B261" s="539" t="str">
        <f>TableauRecette[[#This Row],[Recette]]&amp;TableauRecette[[#This Row],[Conditionnement]]</f>
        <v>Moutarde à l'estragonMoutarde verre 212 ml</v>
      </c>
      <c r="C261" s="539" t="s">
        <v>303</v>
      </c>
      <c r="D261" s="541">
        <v>15</v>
      </c>
      <c r="E261" s="539" t="s">
        <v>59</v>
      </c>
      <c r="F261" s="540">
        <f>D261/SUMIFS(TableauRecette[Proportion],TableauRecette[Recette],TableauRecette[[#This Row],[Recette]],TableauRecette[Conditionnement],TableauRecette[[#This Row],[Conditionnement]])</f>
        <v>7.4999999999999997E-2</v>
      </c>
      <c r="G261" s="540">
        <f ca="1">_xlfn.XLOOKUP(TableauRecette[[#This Row],[Ingredients]],TableauIngredients[Ingredients],TableauIngredients[Prix d''achat (kg)],0)*TableauRecette[[#This Row],[poids / unite]]</f>
        <v>0.15555555555555553</v>
      </c>
      <c r="H261" s="540">
        <f>SUMIFS(TableauRecette[Proportion],TableauRecette[Recette],TableauRecette[[#This Row],[Recette]],TableauRecette[Conditionnement],TableauRecette[[#This Row],[Conditionnement]])</f>
        <v>200</v>
      </c>
      <c r="I261" s="540">
        <f ca="1">TableauRecette[[#This Row],[Proportion]]*TableauRecette[[#This Row],[Prix d''achat / kg]]/TableauRecette[[#This Row],[Total Proportion]]</f>
        <v>0</v>
      </c>
      <c r="J261" s="540"/>
      <c r="K261" s="793"/>
      <c r="L261" s="794">
        <f>_xlfn.XLOOKUP(TableauRecette[[#This Row],[ID]],TableauProduit[ID],TableauProduit[Total (kg) N1],0,0,1)*TableauRecette[[#This Row],[poids / unite]]</f>
        <v>6.6150000000000002</v>
      </c>
      <c r="M261" s="795">
        <f>_xlfn.XLOOKUP(TableauRecette[[#This Row],[ID]],TableauProduit[ID],TableauProduit[Total (kg) N2],0,0,1)*TableauRecette[[#This Row],[poids / unite]]</f>
        <v>6.6150000000000002</v>
      </c>
      <c r="N261" s="795">
        <f>_xlfn.XLOOKUP(TableauRecette[[#This Row],[ID]],TableauProduit[ID],TableauProduit[Total (kg) N3],0,0,1)*TableauRecette[[#This Row],[poids / unite]]</f>
        <v>6.6150000000000002</v>
      </c>
      <c r="O261" s="795">
        <f>_xlfn.XLOOKUP(TableauRecette[[#This Row],[ID]],TableauProduit[ID],TableauProduit[Total (kg) N4],0,0,1)*TableauRecette[[#This Row],[poids / unite]]</f>
        <v>6.6150000000000002</v>
      </c>
      <c r="P261" s="795">
        <f>_xlfn.XLOOKUP(TableauRecette[[#This Row],[ID]],TableauProduit[ID],TableauProduit[Total (kg) N5],0,0,1)*TableauRecette[[#This Row],[poids / unite]]</f>
        <v>6.6150000000000002</v>
      </c>
      <c r="Q261" s="795">
        <f>_xlfn.XLOOKUP(TableauRecette[[#This Row],[ID]],TableauProduit[ID],TableauProduit[Total (kg) N6],0,0,1)*TableauRecette[[#This Row],[poids / unite]]</f>
        <v>6.6150000000000002</v>
      </c>
      <c r="R261" s="795">
        <f>_xlfn.XLOOKUP(TableauRecette[[#This Row],[ID]],TableauProduit[ID],TableauProduit[Total (kg) N7],0,0,1)*TableauRecette[[#This Row],[poids / unite]]</f>
        <v>6.6150000000000002</v>
      </c>
      <c r="S261" s="795">
        <f>_xlfn.XLOOKUP(TableauRecette[[#This Row],[ID]],TableauProduit[ID],TableauProduit[Total (kg) N8],0,0,1)*TableauRecette[[#This Row],[poids / unite]]</f>
        <v>6.6150000000000002</v>
      </c>
      <c r="T261" s="795">
        <f>_xlfn.XLOOKUP(TableauRecette[[#This Row],[ID]],TableauProduit[ID],TableauProduit[Total (kg) N9],0,0,1)*TableauRecette[[#This Row],[poids / unite]]</f>
        <v>6.6150000000000002</v>
      </c>
    </row>
    <row r="262" spans="1:25">
      <c r="A262" s="539" t="s">
        <v>58</v>
      </c>
      <c r="B262" s="539" t="str">
        <f>TableauRecette[[#This Row],[Recette]]&amp;TableauRecette[[#This Row],[Conditionnement]]</f>
        <v>Moutarde à l'estragonMoutarde verre 212 ml</v>
      </c>
      <c r="C262" s="539" t="s">
        <v>266</v>
      </c>
      <c r="D262" s="541">
        <v>5</v>
      </c>
      <c r="E262" s="539" t="s">
        <v>59</v>
      </c>
      <c r="F262" s="540">
        <f>D262/SUMIFS(TableauRecette[Proportion],TableauRecette[Recette],TableauRecette[[#This Row],[Recette]],TableauRecette[Conditionnement],TableauRecette[[#This Row],[Conditionnement]])</f>
        <v>2.5000000000000001E-2</v>
      </c>
      <c r="G262" s="540">
        <f ca="1">_xlfn.XLOOKUP(TableauRecette[[#This Row],[Ingredients]],TableauIngredients[Ingredients],TableauIngredients[Prix d''achat (kg)],0)*TableauRecette[[#This Row],[poids / unite]]</f>
        <v>0</v>
      </c>
      <c r="H262" s="540">
        <f>SUMIFS(TableauRecette[Proportion],TableauRecette[Recette],TableauRecette[[#This Row],[Recette]],TableauRecette[Conditionnement],TableauRecette[[#This Row],[Conditionnement]])</f>
        <v>200</v>
      </c>
      <c r="I262" s="540">
        <f ca="1">TableauRecette[[#This Row],[Proportion]]*TableauRecette[[#This Row],[Prix d''achat / kg]]/TableauRecette[[#This Row],[Total Proportion]]</f>
        <v>0</v>
      </c>
      <c r="J262" s="540"/>
      <c r="K262" s="793"/>
      <c r="L262" s="794">
        <f>_xlfn.XLOOKUP(TableauRecette[[#This Row],[ID]],TableauProduit[ID],TableauProduit[Total (kg) N1],0,0,1)*TableauRecette[[#This Row],[poids / unite]]</f>
        <v>2.2050000000000001</v>
      </c>
      <c r="M262" s="795">
        <f>_xlfn.XLOOKUP(TableauRecette[[#This Row],[ID]],TableauProduit[ID],TableauProduit[Total (kg) N2],0,0,1)*TableauRecette[[#This Row],[poids / unite]]</f>
        <v>2.2050000000000001</v>
      </c>
      <c r="N262" s="795">
        <f>_xlfn.XLOOKUP(TableauRecette[[#This Row],[ID]],TableauProduit[ID],TableauProduit[Total (kg) N3],0,0,1)*TableauRecette[[#This Row],[poids / unite]]</f>
        <v>2.2050000000000001</v>
      </c>
      <c r="O262" s="795">
        <f>_xlfn.XLOOKUP(TableauRecette[[#This Row],[ID]],TableauProduit[ID],TableauProduit[Total (kg) N4],0,0,1)*TableauRecette[[#This Row],[poids / unite]]</f>
        <v>2.2050000000000001</v>
      </c>
      <c r="P262" s="795">
        <f>_xlfn.XLOOKUP(TableauRecette[[#This Row],[ID]],TableauProduit[ID],TableauProduit[Total (kg) N5],0,0,1)*TableauRecette[[#This Row],[poids / unite]]</f>
        <v>2.2050000000000001</v>
      </c>
      <c r="Q262" s="795">
        <f>_xlfn.XLOOKUP(TableauRecette[[#This Row],[ID]],TableauProduit[ID],TableauProduit[Total (kg) N6],0,0,1)*TableauRecette[[#This Row],[poids / unite]]</f>
        <v>2.2050000000000001</v>
      </c>
      <c r="R262" s="795">
        <f>_xlfn.XLOOKUP(TableauRecette[[#This Row],[ID]],TableauProduit[ID],TableauProduit[Total (kg) N7],0,0,1)*TableauRecette[[#This Row],[poids / unite]]</f>
        <v>2.2050000000000001</v>
      </c>
      <c r="S262" s="795">
        <f>_xlfn.XLOOKUP(TableauRecette[[#This Row],[ID]],TableauProduit[ID],TableauProduit[Total (kg) N8],0,0,1)*TableauRecette[[#This Row],[poids / unite]]</f>
        <v>2.2050000000000001</v>
      </c>
      <c r="T262" s="795">
        <f>_xlfn.XLOOKUP(TableauRecette[[#This Row],[ID]],TableauProduit[ID],TableauProduit[Total (kg) N9],0,0,1)*TableauRecette[[#This Row],[poids / unite]]</f>
        <v>2.2050000000000001</v>
      </c>
    </row>
    <row r="263" spans="1:25">
      <c r="A263" s="88" t="s">
        <v>95</v>
      </c>
      <c r="B263" s="88" t="str">
        <f>TableauRecette[[#This Row],[Recette]]&amp;TableauRecette[[#This Row],[Conditionnement]]</f>
        <v>Nuoc chanEpice 100ml</v>
      </c>
      <c r="C263" s="88" t="s">
        <v>320</v>
      </c>
      <c r="D263" s="213">
        <v>2</v>
      </c>
      <c r="E263" s="88" t="s">
        <v>55</v>
      </c>
      <c r="F263" s="213">
        <f>D263/SUMIFS(TableauRecette[Proportion],TableauRecette[Recette],TableauRecette[[#This Row],[Recette]],TableauRecette[Conditionnement],TableauRecette[[#This Row],[Conditionnement]])</f>
        <v>6.25E-2</v>
      </c>
      <c r="G263" s="213">
        <f ca="1">_xlfn.XLOOKUP(TableauRecette[[#This Row],[Ingredients]],TableauIngredients[Ingredients],TableauIngredients[Prix d''achat (kg)],0)*TableauRecette[[#This Row],[poids / unite]]</f>
        <v>0</v>
      </c>
      <c r="H263" s="213">
        <f>SUMIFS(TableauRecette[Proportion],TableauRecette[Recette],TableauRecette[[#This Row],[Recette]],TableauRecette[Conditionnement],TableauRecette[[#This Row],[Conditionnement]])</f>
        <v>32</v>
      </c>
      <c r="I263" s="213">
        <f ca="1">TableauRecette[[#This Row],[Proportion]]*TableauRecette[[#This Row],[Prix d''achat / kg]]/TableauRecette[[#This Row],[Total Proportion]]</f>
        <v>0</v>
      </c>
      <c r="J263" s="213"/>
      <c r="K263" s="796"/>
      <c r="L263" s="797">
        <f>_xlfn.XLOOKUP(TableauRecette[[#This Row],[ID]],TableauProduit[ID],TableauProduit[Total (kg) N1],0,0,1)*TableauRecette[[#This Row],[poids / unite]]</f>
        <v>0</v>
      </c>
      <c r="M263" s="798">
        <f>_xlfn.XLOOKUP(TableauRecette[[#This Row],[ID]],TableauProduit[ID],TableauProduit[Total (kg) N2],0,0,1)*TableauRecette[[#This Row],[poids / unite]]</f>
        <v>0</v>
      </c>
      <c r="N263" s="798">
        <f>_xlfn.XLOOKUP(TableauRecette[[#This Row],[ID]],TableauProduit[ID],TableauProduit[Total (kg) N3],0,0,1)*TableauRecette[[#This Row],[poids / unite]]</f>
        <v>0</v>
      </c>
      <c r="O263" s="798">
        <f>_xlfn.XLOOKUP(TableauRecette[[#This Row],[ID]],TableauProduit[ID],TableauProduit[Total (kg) N4],0,0,1)*TableauRecette[[#This Row],[poids / unite]]</f>
        <v>0</v>
      </c>
      <c r="P263" s="798">
        <f>_xlfn.XLOOKUP(TableauRecette[[#This Row],[ID]],TableauProduit[ID],TableauProduit[Total (kg) N5],0,0,1)*TableauRecette[[#This Row],[poids / unite]]</f>
        <v>0</v>
      </c>
      <c r="Q263" s="798">
        <f>_xlfn.XLOOKUP(TableauRecette[[#This Row],[ID]],TableauProduit[ID],TableauProduit[Total (kg) N6],0,0,1)*TableauRecette[[#This Row],[poids / unite]]</f>
        <v>0</v>
      </c>
      <c r="R263" s="798">
        <f>_xlfn.XLOOKUP(TableauRecette[[#This Row],[ID]],TableauProduit[ID],TableauProduit[Total (kg) N7],0,0,1)*TableauRecette[[#This Row],[poids / unite]]</f>
        <v>0</v>
      </c>
      <c r="S263" s="798">
        <f>_xlfn.XLOOKUP(TableauRecette[[#This Row],[ID]],TableauProduit[ID],TableauProduit[Total (kg) N8],0,0,1)*TableauRecette[[#This Row],[poids / unite]]</f>
        <v>0</v>
      </c>
      <c r="T263" s="798">
        <f>_xlfn.XLOOKUP(TableauRecette[[#This Row],[ID]],TableauProduit[ID],TableauProduit[Total (kg) N9],0,0,1)*TableauRecette[[#This Row],[poids / unite]]</f>
        <v>0</v>
      </c>
    </row>
    <row r="264" spans="1:25">
      <c r="A264" s="88" t="s">
        <v>95</v>
      </c>
      <c r="B264" s="88" t="str">
        <f>TableauRecette[[#This Row],[Recette]]&amp;TableauRecette[[#This Row],[Conditionnement]]</f>
        <v>Nuoc chanEpice 100ml</v>
      </c>
      <c r="C264" s="88" t="s">
        <v>362</v>
      </c>
      <c r="D264" s="213">
        <v>6</v>
      </c>
      <c r="E264" s="88" t="s">
        <v>55</v>
      </c>
      <c r="F264" s="213">
        <f>D264/SUMIFS(TableauRecette[Proportion],TableauRecette[Recette],TableauRecette[[#This Row],[Recette]],TableauRecette[Conditionnement],TableauRecette[[#This Row],[Conditionnement]])</f>
        <v>0.1875</v>
      </c>
      <c r="G264" s="213">
        <f ca="1">_xlfn.XLOOKUP(TableauRecette[[#This Row],[Ingredients]],TableauIngredients[Ingredients],TableauIngredients[Prix d''achat (kg)],0)*TableauRecette[[#This Row],[poids / unite]]</f>
        <v>0</v>
      </c>
      <c r="H264" s="213">
        <f>SUMIFS(TableauRecette[Proportion],TableauRecette[Recette],TableauRecette[[#This Row],[Recette]],TableauRecette[Conditionnement],TableauRecette[[#This Row],[Conditionnement]])</f>
        <v>32</v>
      </c>
      <c r="I264" s="213">
        <f ca="1">TableauRecette[[#This Row],[Proportion]]*TableauRecette[[#This Row],[Prix d''achat / kg]]/TableauRecette[[#This Row],[Total Proportion]]</f>
        <v>0</v>
      </c>
      <c r="J264" s="213"/>
      <c r="K264" s="796"/>
      <c r="L264" s="797">
        <f>_xlfn.XLOOKUP(TableauRecette[[#This Row],[ID]],TableauProduit[ID],TableauProduit[Total (kg) N1],0,0,1)*TableauRecette[[#This Row],[poids / unite]]</f>
        <v>0</v>
      </c>
      <c r="M264" s="798">
        <f>_xlfn.XLOOKUP(TableauRecette[[#This Row],[ID]],TableauProduit[ID],TableauProduit[Total (kg) N2],0,0,1)*TableauRecette[[#This Row],[poids / unite]]</f>
        <v>0</v>
      </c>
      <c r="N264" s="798">
        <f>_xlfn.XLOOKUP(TableauRecette[[#This Row],[ID]],TableauProduit[ID],TableauProduit[Total (kg) N3],0,0,1)*TableauRecette[[#This Row],[poids / unite]]</f>
        <v>0</v>
      </c>
      <c r="O264" s="798">
        <f>_xlfn.XLOOKUP(TableauRecette[[#This Row],[ID]],TableauProduit[ID],TableauProduit[Total (kg) N4],0,0,1)*TableauRecette[[#This Row],[poids / unite]]</f>
        <v>0</v>
      </c>
      <c r="P264" s="798">
        <f>_xlfn.XLOOKUP(TableauRecette[[#This Row],[ID]],TableauProduit[ID],TableauProduit[Total (kg) N5],0,0,1)*TableauRecette[[#This Row],[poids / unite]]</f>
        <v>0</v>
      </c>
      <c r="Q264" s="798">
        <f>_xlfn.XLOOKUP(TableauRecette[[#This Row],[ID]],TableauProduit[ID],TableauProduit[Total (kg) N6],0,0,1)*TableauRecette[[#This Row],[poids / unite]]</f>
        <v>0</v>
      </c>
      <c r="R264" s="798">
        <f>_xlfn.XLOOKUP(TableauRecette[[#This Row],[ID]],TableauProduit[ID],TableauProduit[Total (kg) N7],0,0,1)*TableauRecette[[#This Row],[poids / unite]]</f>
        <v>0</v>
      </c>
      <c r="S264" s="798">
        <f>_xlfn.XLOOKUP(TableauRecette[[#This Row],[ID]],TableauProduit[ID],TableauProduit[Total (kg) N8],0,0,1)*TableauRecette[[#This Row],[poids / unite]]</f>
        <v>0</v>
      </c>
      <c r="T264" s="798">
        <f>_xlfn.XLOOKUP(TableauRecette[[#This Row],[ID]],TableauProduit[ID],TableauProduit[Total (kg) N9],0,0,1)*TableauRecette[[#This Row],[poids / unite]]</f>
        <v>0</v>
      </c>
    </row>
    <row r="265" spans="1:25">
      <c r="A265" s="88" t="s">
        <v>95</v>
      </c>
      <c r="B265" s="88" t="str">
        <f>TableauRecette[[#This Row],[Recette]]&amp;TableauRecette[[#This Row],[Conditionnement]]</f>
        <v>Nuoc chanEpice 100ml</v>
      </c>
      <c r="C265" s="88" t="s">
        <v>363</v>
      </c>
      <c r="D265" s="213">
        <v>6</v>
      </c>
      <c r="E265" s="88" t="s">
        <v>55</v>
      </c>
      <c r="F265" s="213">
        <f>D265/SUMIFS(TableauRecette[Proportion],TableauRecette[Recette],TableauRecette[[#This Row],[Recette]],TableauRecette[Conditionnement],TableauRecette[[#This Row],[Conditionnement]])</f>
        <v>0.1875</v>
      </c>
      <c r="G265" s="213">
        <f ca="1">_xlfn.XLOOKUP(TableauRecette[[#This Row],[Ingredients]],TableauIngredients[Ingredients],TableauIngredients[Prix d''achat (kg)],0)*TableauRecette[[#This Row],[poids / unite]]</f>
        <v>0.52499999999999991</v>
      </c>
      <c r="H265" s="213">
        <f>SUMIFS(TableauRecette[Proportion],TableauRecette[Recette],TableauRecette[[#This Row],[Recette]],TableauRecette[Conditionnement],TableauRecette[[#This Row],[Conditionnement]])</f>
        <v>32</v>
      </c>
      <c r="I265" s="213">
        <f ca="1">TableauRecette[[#This Row],[Proportion]]*TableauRecette[[#This Row],[Prix d''achat / kg]]/TableauRecette[[#This Row],[Total Proportion]]</f>
        <v>0</v>
      </c>
      <c r="J265" s="213"/>
      <c r="K265" s="796"/>
      <c r="L265" s="797">
        <f>_xlfn.XLOOKUP(TableauRecette[[#This Row],[ID]],TableauProduit[ID],TableauProduit[Total (kg) N1],0,0,1)*TableauRecette[[#This Row],[poids / unite]]</f>
        <v>0</v>
      </c>
      <c r="M265" s="798">
        <f>_xlfn.XLOOKUP(TableauRecette[[#This Row],[ID]],TableauProduit[ID],TableauProduit[Total (kg) N2],0,0,1)*TableauRecette[[#This Row],[poids / unite]]</f>
        <v>0</v>
      </c>
      <c r="N265" s="798">
        <f>_xlfn.XLOOKUP(TableauRecette[[#This Row],[ID]],TableauProduit[ID],TableauProduit[Total (kg) N3],0,0,1)*TableauRecette[[#This Row],[poids / unite]]</f>
        <v>0</v>
      </c>
      <c r="O265" s="798">
        <f>_xlfn.XLOOKUP(TableauRecette[[#This Row],[ID]],TableauProduit[ID],TableauProduit[Total (kg) N4],0,0,1)*TableauRecette[[#This Row],[poids / unite]]</f>
        <v>0</v>
      </c>
      <c r="P265" s="798">
        <f>_xlfn.XLOOKUP(TableauRecette[[#This Row],[ID]],TableauProduit[ID],TableauProduit[Total (kg) N5],0,0,1)*TableauRecette[[#This Row],[poids / unite]]</f>
        <v>0</v>
      </c>
      <c r="Q265" s="798">
        <f>_xlfn.XLOOKUP(TableauRecette[[#This Row],[ID]],TableauProduit[ID],TableauProduit[Total (kg) N6],0,0,1)*TableauRecette[[#This Row],[poids / unite]]</f>
        <v>0</v>
      </c>
      <c r="R265" s="798">
        <f>_xlfn.XLOOKUP(TableauRecette[[#This Row],[ID]],TableauProduit[ID],TableauProduit[Total (kg) N7],0,0,1)*TableauRecette[[#This Row],[poids / unite]]</f>
        <v>0</v>
      </c>
      <c r="S265" s="798">
        <f>_xlfn.XLOOKUP(TableauRecette[[#This Row],[ID]],TableauProduit[ID],TableauProduit[Total (kg) N8],0,0,1)*TableauRecette[[#This Row],[poids / unite]]</f>
        <v>0</v>
      </c>
      <c r="T265" s="798">
        <f>_xlfn.XLOOKUP(TableauRecette[[#This Row],[ID]],TableauProduit[ID],TableauProduit[Total (kg) N9],0,0,1)*TableauRecette[[#This Row],[poids / unite]]</f>
        <v>0</v>
      </c>
    </row>
    <row r="266" spans="1:25">
      <c r="A266" s="88" t="s">
        <v>95</v>
      </c>
      <c r="B266" s="88" t="str">
        <f>TableauRecette[[#This Row],[Recette]]&amp;TableauRecette[[#This Row],[Conditionnement]]</f>
        <v>Nuoc chanEpice 100ml</v>
      </c>
      <c r="C266" s="88" t="s">
        <v>364</v>
      </c>
      <c r="D266" s="213">
        <v>6</v>
      </c>
      <c r="E266" s="88" t="s">
        <v>55</v>
      </c>
      <c r="F266" s="213">
        <f>D266/SUMIFS(TableauRecette[Proportion],TableauRecette[Recette],TableauRecette[[#This Row],[Recette]],TableauRecette[Conditionnement],TableauRecette[[#This Row],[Conditionnement]])</f>
        <v>0.1875</v>
      </c>
      <c r="G266" s="213">
        <f ca="1">_xlfn.XLOOKUP(TableauRecette[[#This Row],[Ingredients]],TableauIngredients[Ingredients],TableauIngredients[Prix d''achat (kg)],0)*TableauRecette[[#This Row],[poids / unite]]</f>
        <v>1.3125</v>
      </c>
      <c r="H266" s="213">
        <f>SUMIFS(TableauRecette[Proportion],TableauRecette[Recette],TableauRecette[[#This Row],[Recette]],TableauRecette[Conditionnement],TableauRecette[[#This Row],[Conditionnement]])</f>
        <v>32</v>
      </c>
      <c r="I266" s="213">
        <f ca="1">TableauRecette[[#This Row],[Proportion]]*TableauRecette[[#This Row],[Prix d''achat / kg]]/TableauRecette[[#This Row],[Total Proportion]]</f>
        <v>0</v>
      </c>
      <c r="J266" s="213"/>
      <c r="K266" s="796"/>
      <c r="L266" s="797">
        <f>_xlfn.XLOOKUP(TableauRecette[[#This Row],[ID]],TableauProduit[ID],TableauProduit[Total (kg) N1],0,0,1)*TableauRecette[[#This Row],[poids / unite]]</f>
        <v>0</v>
      </c>
      <c r="M266" s="798">
        <f>_xlfn.XLOOKUP(TableauRecette[[#This Row],[ID]],TableauProduit[ID],TableauProduit[Total (kg) N2],0,0,1)*TableauRecette[[#This Row],[poids / unite]]</f>
        <v>0</v>
      </c>
      <c r="N266" s="798">
        <f>_xlfn.XLOOKUP(TableauRecette[[#This Row],[ID]],TableauProduit[ID],TableauProduit[Total (kg) N3],0,0,1)*TableauRecette[[#This Row],[poids / unite]]</f>
        <v>0</v>
      </c>
      <c r="O266" s="798">
        <f>_xlfn.XLOOKUP(TableauRecette[[#This Row],[ID]],TableauProduit[ID],TableauProduit[Total (kg) N4],0,0,1)*TableauRecette[[#This Row],[poids / unite]]</f>
        <v>0</v>
      </c>
      <c r="P266" s="798">
        <f>_xlfn.XLOOKUP(TableauRecette[[#This Row],[ID]],TableauProduit[ID],TableauProduit[Total (kg) N5],0,0,1)*TableauRecette[[#This Row],[poids / unite]]</f>
        <v>0</v>
      </c>
      <c r="Q266" s="798">
        <f>_xlfn.XLOOKUP(TableauRecette[[#This Row],[ID]],TableauProduit[ID],TableauProduit[Total (kg) N6],0,0,1)*TableauRecette[[#This Row],[poids / unite]]</f>
        <v>0</v>
      </c>
      <c r="R266" s="798">
        <f>_xlfn.XLOOKUP(TableauRecette[[#This Row],[ID]],TableauProduit[ID],TableauProduit[Total (kg) N7],0,0,1)*TableauRecette[[#This Row],[poids / unite]]</f>
        <v>0</v>
      </c>
      <c r="S266" s="798">
        <f>_xlfn.XLOOKUP(TableauRecette[[#This Row],[ID]],TableauProduit[ID],TableauProduit[Total (kg) N8],0,0,1)*TableauRecette[[#This Row],[poids / unite]]</f>
        <v>0</v>
      </c>
      <c r="T266" s="798">
        <f>_xlfn.XLOOKUP(TableauRecette[[#This Row],[ID]],TableauProduit[ID],TableauProduit[Total (kg) N9],0,0,1)*TableauRecette[[#This Row],[poids / unite]]</f>
        <v>0</v>
      </c>
    </row>
    <row r="267" spans="1:25">
      <c r="A267" s="88" t="s">
        <v>95</v>
      </c>
      <c r="B267" s="88" t="str">
        <f>TableauRecette[[#This Row],[Recette]]&amp;TableauRecette[[#This Row],[Conditionnement]]</f>
        <v>Nuoc chanEpice 100ml</v>
      </c>
      <c r="C267" s="88" t="s">
        <v>365</v>
      </c>
      <c r="D267" s="213">
        <v>12</v>
      </c>
      <c r="E267" s="88" t="s">
        <v>55</v>
      </c>
      <c r="F267" s="213">
        <f>D267/SUMIFS(TableauRecette[Proportion],TableauRecette[Recette],TableauRecette[[#This Row],[Recette]],TableauRecette[Conditionnement],TableauRecette[[#This Row],[Conditionnement]])</f>
        <v>0.375</v>
      </c>
      <c r="G267" s="213">
        <f ca="1">_xlfn.XLOOKUP(TableauRecette[[#This Row],[Ingredients]],TableauIngredients[Ingredients],TableauIngredients[Prix d''achat (kg)],0)*TableauRecette[[#This Row],[poids / unite]]</f>
        <v>7.5</v>
      </c>
      <c r="H267" s="213">
        <f>SUMIFS(TableauRecette[Proportion],TableauRecette[Recette],TableauRecette[[#This Row],[Recette]],TableauRecette[Conditionnement],TableauRecette[[#This Row],[Conditionnement]])</f>
        <v>32</v>
      </c>
      <c r="I267" s="213">
        <f ca="1">TableauRecette[[#This Row],[Proportion]]*TableauRecette[[#This Row],[Prix d''achat / kg]]/TableauRecette[[#This Row],[Total Proportion]]</f>
        <v>0</v>
      </c>
      <c r="J267" s="213"/>
      <c r="K267" s="796"/>
      <c r="L267" s="797">
        <f>_xlfn.XLOOKUP(TableauRecette[[#This Row],[ID]],TableauProduit[ID],TableauProduit[Total (kg) N1],0,0,1)*TableauRecette[[#This Row],[poids / unite]]</f>
        <v>0</v>
      </c>
      <c r="M267" s="798">
        <f>_xlfn.XLOOKUP(TableauRecette[[#This Row],[ID]],TableauProduit[ID],TableauProduit[Total (kg) N2],0,0,1)*TableauRecette[[#This Row],[poids / unite]]</f>
        <v>0</v>
      </c>
      <c r="N267" s="798">
        <f>_xlfn.XLOOKUP(TableauRecette[[#This Row],[ID]],TableauProduit[ID],TableauProduit[Total (kg) N3],0,0,1)*TableauRecette[[#This Row],[poids / unite]]</f>
        <v>0</v>
      </c>
      <c r="O267" s="798">
        <f>_xlfn.XLOOKUP(TableauRecette[[#This Row],[ID]],TableauProduit[ID],TableauProduit[Total (kg) N4],0,0,1)*TableauRecette[[#This Row],[poids / unite]]</f>
        <v>0</v>
      </c>
      <c r="P267" s="798">
        <f>_xlfn.XLOOKUP(TableauRecette[[#This Row],[ID]],TableauProduit[ID],TableauProduit[Total (kg) N5],0,0,1)*TableauRecette[[#This Row],[poids / unite]]</f>
        <v>0</v>
      </c>
      <c r="Q267" s="798">
        <f>_xlfn.XLOOKUP(TableauRecette[[#This Row],[ID]],TableauProduit[ID],TableauProduit[Total (kg) N6],0,0,1)*TableauRecette[[#This Row],[poids / unite]]</f>
        <v>0</v>
      </c>
      <c r="R267" s="798">
        <f>_xlfn.XLOOKUP(TableauRecette[[#This Row],[ID]],TableauProduit[ID],TableauProduit[Total (kg) N7],0,0,1)*TableauRecette[[#This Row],[poids / unite]]</f>
        <v>0</v>
      </c>
      <c r="S267" s="798">
        <f>_xlfn.XLOOKUP(TableauRecette[[#This Row],[ID]],TableauProduit[ID],TableauProduit[Total (kg) N8],0,0,1)*TableauRecette[[#This Row],[poids / unite]]</f>
        <v>0</v>
      </c>
      <c r="T267" s="798">
        <f>_xlfn.XLOOKUP(TableauRecette[[#This Row],[ID]],TableauProduit[ID],TableauProduit[Total (kg) N9],0,0,1)*TableauRecette[[#This Row],[poids / unite]]</f>
        <v>0</v>
      </c>
    </row>
    <row r="268" spans="1:25">
      <c r="A268" s="89" t="s">
        <v>81</v>
      </c>
      <c r="B268" s="89" t="str">
        <f>TableauRecette[[#This Row],[Recette]]&amp;TableauRecette[[#This Row],[Conditionnement]]</f>
        <v>Panch phoronEpice 100ml</v>
      </c>
      <c r="C268" s="665" t="s">
        <v>284</v>
      </c>
      <c r="D268" s="214">
        <v>2</v>
      </c>
      <c r="E268" s="89" t="s">
        <v>55</v>
      </c>
      <c r="F268" s="214">
        <f>D268/SUMIFS(TableauRecette[Proportion],TableauRecette[Recette],TableauRecette[[#This Row],[Recette]],TableauRecette[Conditionnement],TableauRecette[[#This Row],[Conditionnement]])</f>
        <v>0.25</v>
      </c>
      <c r="G268" s="214">
        <f ca="1">_xlfn.XLOOKUP(TableauRecette[[#This Row],[Ingredients]],TableauIngredients[Ingredients],TableauIngredients[Prix d''achat (kg)],0)*TableauRecette[[#This Row],[poids / unite]]</f>
        <v>0</v>
      </c>
      <c r="H268" s="214">
        <f>SUMIFS(TableauRecette[Proportion],TableauRecette[Recette],TableauRecette[[#This Row],[Recette]],TableauRecette[Conditionnement],TableauRecette[[#This Row],[Conditionnement]])</f>
        <v>8</v>
      </c>
      <c r="I268" s="214">
        <f ca="1">TableauRecette[[#This Row],[Proportion]]*TableauRecette[[#This Row],[Prix d''achat / kg]]/TableauRecette[[#This Row],[Total Proportion]]</f>
        <v>0</v>
      </c>
      <c r="J268" s="214"/>
      <c r="K268" s="799"/>
      <c r="L268" s="800">
        <f>_xlfn.XLOOKUP(TableauRecette[[#This Row],[ID]],TableauProduit[ID],TableauProduit[Total (kg) N1],0,0,1)*TableauRecette[[#This Row],[poids / unite]]</f>
        <v>0</v>
      </c>
      <c r="M268" s="801">
        <f>_xlfn.XLOOKUP(TableauRecette[[#This Row],[ID]],TableauProduit[ID],TableauProduit[Total (kg) N2],0,0,1)*TableauRecette[[#This Row],[poids / unite]]</f>
        <v>0</v>
      </c>
      <c r="N268" s="801">
        <f>_xlfn.XLOOKUP(TableauRecette[[#This Row],[ID]],TableauProduit[ID],TableauProduit[Total (kg) N3],0,0,1)*TableauRecette[[#This Row],[poids / unite]]</f>
        <v>0</v>
      </c>
      <c r="O268" s="801">
        <f>_xlfn.XLOOKUP(TableauRecette[[#This Row],[ID]],TableauProduit[ID],TableauProduit[Total (kg) N4],0,0,1)*TableauRecette[[#This Row],[poids / unite]]</f>
        <v>0</v>
      </c>
      <c r="P268" s="801">
        <f>_xlfn.XLOOKUP(TableauRecette[[#This Row],[ID]],TableauProduit[ID],TableauProduit[Total (kg) N5],0,0,1)*TableauRecette[[#This Row],[poids / unite]]</f>
        <v>0</v>
      </c>
      <c r="Q268" s="801">
        <f>_xlfn.XLOOKUP(TableauRecette[[#This Row],[ID]],TableauProduit[ID],TableauProduit[Total (kg) N6],0,0,1)*TableauRecette[[#This Row],[poids / unite]]</f>
        <v>0</v>
      </c>
      <c r="R268" s="801">
        <f>_xlfn.XLOOKUP(TableauRecette[[#This Row],[ID]],TableauProduit[ID],TableauProduit[Total (kg) N7],0,0,1)*TableauRecette[[#This Row],[poids / unite]]</f>
        <v>0</v>
      </c>
      <c r="S268" s="801">
        <f>_xlfn.XLOOKUP(TableauRecette[[#This Row],[ID]],TableauProduit[ID],TableauProduit[Total (kg) N8],0,0,1)*TableauRecette[[#This Row],[poids / unite]]</f>
        <v>0</v>
      </c>
      <c r="T268" s="801">
        <f>_xlfn.XLOOKUP(TableauRecette[[#This Row],[ID]],TableauProduit[ID],TableauProduit[Total (kg) N9],0,0,1)*TableauRecette[[#This Row],[poids / unite]]</f>
        <v>0</v>
      </c>
    </row>
    <row r="269" spans="1:25">
      <c r="A269" s="89" t="s">
        <v>81</v>
      </c>
      <c r="B269" s="89" t="str">
        <f>TableauRecette[[#This Row],[Recette]]&amp;TableauRecette[[#This Row],[Conditionnement]]</f>
        <v>Panch phoronEpice 100ml</v>
      </c>
      <c r="C269" s="89" t="s">
        <v>305</v>
      </c>
      <c r="D269" s="214">
        <v>2</v>
      </c>
      <c r="E269" s="89" t="s">
        <v>55</v>
      </c>
      <c r="F269" s="214">
        <f>D269/SUMIFS(TableauRecette[Proportion],TableauRecette[Recette],TableauRecette[[#This Row],[Recette]],TableauRecette[Conditionnement],TableauRecette[[#This Row],[Conditionnement]])</f>
        <v>0.25</v>
      </c>
      <c r="G269" s="214">
        <f ca="1">_xlfn.XLOOKUP(TableauRecette[[#This Row],[Ingredients]],TableauIngredients[Ingredients],TableauIngredients[Prix d''achat (kg)],0)*TableauRecette[[#This Row],[poids / unite]]</f>
        <v>0</v>
      </c>
      <c r="H269" s="214">
        <f>SUMIFS(TableauRecette[Proportion],TableauRecette[Recette],TableauRecette[[#This Row],[Recette]],TableauRecette[Conditionnement],TableauRecette[[#This Row],[Conditionnement]])</f>
        <v>8</v>
      </c>
      <c r="I269" s="214">
        <f ca="1">TableauRecette[[#This Row],[Proportion]]*TableauRecette[[#This Row],[Prix d''achat / kg]]/TableauRecette[[#This Row],[Total Proportion]]</f>
        <v>0</v>
      </c>
      <c r="J269" s="214"/>
      <c r="K269" s="799"/>
      <c r="L269" s="800">
        <f>_xlfn.XLOOKUP(TableauRecette[[#This Row],[ID]],TableauProduit[ID],TableauProduit[Total (kg) N1],0,0,1)*TableauRecette[[#This Row],[poids / unite]]</f>
        <v>0</v>
      </c>
      <c r="M269" s="801">
        <f>_xlfn.XLOOKUP(TableauRecette[[#This Row],[ID]],TableauProduit[ID],TableauProduit[Total (kg) N2],0,0,1)*TableauRecette[[#This Row],[poids / unite]]</f>
        <v>0</v>
      </c>
      <c r="N269" s="801">
        <f>_xlfn.XLOOKUP(TableauRecette[[#This Row],[ID]],TableauProduit[ID],TableauProduit[Total (kg) N3],0,0,1)*TableauRecette[[#This Row],[poids / unite]]</f>
        <v>0</v>
      </c>
      <c r="O269" s="801">
        <f>_xlfn.XLOOKUP(TableauRecette[[#This Row],[ID]],TableauProduit[ID],TableauProduit[Total (kg) N4],0,0,1)*TableauRecette[[#This Row],[poids / unite]]</f>
        <v>0</v>
      </c>
      <c r="P269" s="801">
        <f>_xlfn.XLOOKUP(TableauRecette[[#This Row],[ID]],TableauProduit[ID],TableauProduit[Total (kg) N5],0,0,1)*TableauRecette[[#This Row],[poids / unite]]</f>
        <v>0</v>
      </c>
      <c r="Q269" s="801">
        <f>_xlfn.XLOOKUP(TableauRecette[[#This Row],[ID]],TableauProduit[ID],TableauProduit[Total (kg) N6],0,0,1)*TableauRecette[[#This Row],[poids / unite]]</f>
        <v>0</v>
      </c>
      <c r="R269" s="801">
        <f>_xlfn.XLOOKUP(TableauRecette[[#This Row],[ID]],TableauProduit[ID],TableauProduit[Total (kg) N7],0,0,1)*TableauRecette[[#This Row],[poids / unite]]</f>
        <v>0</v>
      </c>
      <c r="S269" s="801">
        <f>_xlfn.XLOOKUP(TableauRecette[[#This Row],[ID]],TableauProduit[ID],TableauProduit[Total (kg) N8],0,0,1)*TableauRecette[[#This Row],[poids / unite]]</f>
        <v>0</v>
      </c>
      <c r="T269" s="801">
        <f>_xlfn.XLOOKUP(TableauRecette[[#This Row],[ID]],TableauProduit[ID],TableauProduit[Total (kg) N9],0,0,1)*TableauRecette[[#This Row],[poids / unite]]</f>
        <v>0</v>
      </c>
    </row>
    <row r="270" spans="1:25">
      <c r="A270" s="89" t="s">
        <v>81</v>
      </c>
      <c r="B270" s="89" t="str">
        <f>TableauRecette[[#This Row],[Recette]]&amp;TableauRecette[[#This Row],[Conditionnement]]</f>
        <v>Panch phoronEpice 100ml</v>
      </c>
      <c r="C270" s="89" t="s">
        <v>307</v>
      </c>
      <c r="D270" s="214">
        <v>2</v>
      </c>
      <c r="E270" s="89" t="s">
        <v>55</v>
      </c>
      <c r="F270" s="214">
        <f>D270/SUMIFS(TableauRecette[Proportion],TableauRecette[Recette],TableauRecette[[#This Row],[Recette]],TableauRecette[Conditionnement],TableauRecette[[#This Row],[Conditionnement]])</f>
        <v>0.25</v>
      </c>
      <c r="G270" s="214">
        <f ca="1">_xlfn.XLOOKUP(TableauRecette[[#This Row],[Ingredients]],TableauIngredients[Ingredients],TableauIngredients[Prix d''achat (kg)],0)*TableauRecette[[#This Row],[poids / unite]]</f>
        <v>0</v>
      </c>
      <c r="H270" s="214">
        <f>SUMIFS(TableauRecette[Proportion],TableauRecette[Recette],TableauRecette[[#This Row],[Recette]],TableauRecette[Conditionnement],TableauRecette[[#This Row],[Conditionnement]])</f>
        <v>8</v>
      </c>
      <c r="I270" s="214">
        <f ca="1">TableauRecette[[#This Row],[Proportion]]*TableauRecette[[#This Row],[Prix d''achat / kg]]/TableauRecette[[#This Row],[Total Proportion]]</f>
        <v>0</v>
      </c>
      <c r="J270" s="214"/>
      <c r="K270" s="799"/>
      <c r="L270" s="800">
        <f>_xlfn.XLOOKUP(TableauRecette[[#This Row],[ID]],TableauProduit[ID],TableauProduit[Total (kg) N1],0,0,1)*TableauRecette[[#This Row],[poids / unite]]</f>
        <v>0</v>
      </c>
      <c r="M270" s="801">
        <f>_xlfn.XLOOKUP(TableauRecette[[#This Row],[ID]],TableauProduit[ID],TableauProduit[Total (kg) N2],0,0,1)*TableauRecette[[#This Row],[poids / unite]]</f>
        <v>0</v>
      </c>
      <c r="N270" s="801">
        <f>_xlfn.XLOOKUP(TableauRecette[[#This Row],[ID]],TableauProduit[ID],TableauProduit[Total (kg) N3],0,0,1)*TableauRecette[[#This Row],[poids / unite]]</f>
        <v>0</v>
      </c>
      <c r="O270" s="801">
        <f>_xlfn.XLOOKUP(TableauRecette[[#This Row],[ID]],TableauProduit[ID],TableauProduit[Total (kg) N4],0,0,1)*TableauRecette[[#This Row],[poids / unite]]</f>
        <v>0</v>
      </c>
      <c r="P270" s="801">
        <f>_xlfn.XLOOKUP(TableauRecette[[#This Row],[ID]],TableauProduit[ID],TableauProduit[Total (kg) N5],0,0,1)*TableauRecette[[#This Row],[poids / unite]]</f>
        <v>0</v>
      </c>
      <c r="Q270" s="801">
        <f>_xlfn.XLOOKUP(TableauRecette[[#This Row],[ID]],TableauProduit[ID],TableauProduit[Total (kg) N6],0,0,1)*TableauRecette[[#This Row],[poids / unite]]</f>
        <v>0</v>
      </c>
      <c r="R270" s="801">
        <f>_xlfn.XLOOKUP(TableauRecette[[#This Row],[ID]],TableauProduit[ID],TableauProduit[Total (kg) N7],0,0,1)*TableauRecette[[#This Row],[poids / unite]]</f>
        <v>0</v>
      </c>
      <c r="S270" s="801">
        <f>_xlfn.XLOOKUP(TableauRecette[[#This Row],[ID]],TableauProduit[ID],TableauProduit[Total (kg) N8],0,0,1)*TableauRecette[[#This Row],[poids / unite]]</f>
        <v>0</v>
      </c>
      <c r="T270" s="801">
        <f>_xlfn.XLOOKUP(TableauRecette[[#This Row],[ID]],TableauProduit[ID],TableauProduit[Total (kg) N9],0,0,1)*TableauRecette[[#This Row],[poids / unite]]</f>
        <v>0</v>
      </c>
    </row>
    <row r="271" spans="1:25">
      <c r="A271" s="89" t="s">
        <v>81</v>
      </c>
      <c r="B271" s="89" t="str">
        <f>TableauRecette[[#This Row],[Recette]]&amp;TableauRecette[[#This Row],[Conditionnement]]</f>
        <v>Panch phoronEpice 100ml</v>
      </c>
      <c r="C271" s="665" t="s">
        <v>366</v>
      </c>
      <c r="D271" s="214">
        <v>1</v>
      </c>
      <c r="E271" s="89" t="s">
        <v>55</v>
      </c>
      <c r="F271" s="214">
        <f>D271/SUMIFS(TableauRecette[Proportion],TableauRecette[Recette],TableauRecette[[#This Row],[Recette]],TableauRecette[Conditionnement],TableauRecette[[#This Row],[Conditionnement]])</f>
        <v>0.125</v>
      </c>
      <c r="G271" s="214">
        <f ca="1">_xlfn.XLOOKUP(TableauRecette[[#This Row],[Ingredients]],TableauIngredients[Ingredients],TableauIngredients[Prix d''achat (kg)],0)*TableauRecette[[#This Row],[poids / unite]]</f>
        <v>0</v>
      </c>
      <c r="H271" s="214">
        <f>SUMIFS(TableauRecette[Proportion],TableauRecette[Recette],TableauRecette[[#This Row],[Recette]],TableauRecette[Conditionnement],TableauRecette[[#This Row],[Conditionnement]])</f>
        <v>8</v>
      </c>
      <c r="I271" s="214">
        <f ca="1">TableauRecette[[#This Row],[Proportion]]*TableauRecette[[#This Row],[Prix d''achat / kg]]/TableauRecette[[#This Row],[Total Proportion]]</f>
        <v>0</v>
      </c>
      <c r="J271" s="214"/>
      <c r="K271" s="799"/>
      <c r="L271" s="800">
        <f>_xlfn.XLOOKUP(TableauRecette[[#This Row],[ID]],TableauProduit[ID],TableauProduit[Total (kg) N1],0,0,1)*TableauRecette[[#This Row],[poids / unite]]</f>
        <v>0</v>
      </c>
      <c r="M271" s="801">
        <f>_xlfn.XLOOKUP(TableauRecette[[#This Row],[ID]],TableauProduit[ID],TableauProduit[Total (kg) N2],0,0,1)*TableauRecette[[#This Row],[poids / unite]]</f>
        <v>0</v>
      </c>
      <c r="N271" s="801">
        <f>_xlfn.XLOOKUP(TableauRecette[[#This Row],[ID]],TableauProduit[ID],TableauProduit[Total (kg) N3],0,0,1)*TableauRecette[[#This Row],[poids / unite]]</f>
        <v>0</v>
      </c>
      <c r="O271" s="801">
        <f>_xlfn.XLOOKUP(TableauRecette[[#This Row],[ID]],TableauProduit[ID],TableauProduit[Total (kg) N4],0,0,1)*TableauRecette[[#This Row],[poids / unite]]</f>
        <v>0</v>
      </c>
      <c r="P271" s="801">
        <f>_xlfn.XLOOKUP(TableauRecette[[#This Row],[ID]],TableauProduit[ID],TableauProduit[Total (kg) N5],0,0,1)*TableauRecette[[#This Row],[poids / unite]]</f>
        <v>0</v>
      </c>
      <c r="Q271" s="801">
        <f>_xlfn.XLOOKUP(TableauRecette[[#This Row],[ID]],TableauProduit[ID],TableauProduit[Total (kg) N6],0,0,1)*TableauRecette[[#This Row],[poids / unite]]</f>
        <v>0</v>
      </c>
      <c r="R271" s="801">
        <f>_xlfn.XLOOKUP(TableauRecette[[#This Row],[ID]],TableauProduit[ID],TableauProduit[Total (kg) N7],0,0,1)*TableauRecette[[#This Row],[poids / unite]]</f>
        <v>0</v>
      </c>
      <c r="S271" s="801">
        <f>_xlfn.XLOOKUP(TableauRecette[[#This Row],[ID]],TableauProduit[ID],TableauProduit[Total (kg) N8],0,0,1)*TableauRecette[[#This Row],[poids / unite]]</f>
        <v>0</v>
      </c>
      <c r="T271" s="801">
        <f>_xlfn.XLOOKUP(TableauRecette[[#This Row],[ID]],TableauProduit[ID],TableauProduit[Total (kg) N9],0,0,1)*TableauRecette[[#This Row],[poids / unite]]</f>
        <v>0</v>
      </c>
    </row>
    <row r="272" spans="1:25">
      <c r="A272" s="89" t="s">
        <v>81</v>
      </c>
      <c r="B272" s="89" t="str">
        <f>TableauRecette[[#This Row],[Recette]]&amp;TableauRecette[[#This Row],[Conditionnement]]</f>
        <v>Panch phoronEpice 100ml</v>
      </c>
      <c r="C272" s="89" t="s">
        <v>306</v>
      </c>
      <c r="D272" s="214">
        <v>1</v>
      </c>
      <c r="E272" s="89" t="s">
        <v>55</v>
      </c>
      <c r="F272" s="214">
        <f>D272/SUMIFS(TableauRecette[Proportion],TableauRecette[Recette],TableauRecette[[#This Row],[Recette]],TableauRecette[Conditionnement],TableauRecette[[#This Row],[Conditionnement]])</f>
        <v>0.125</v>
      </c>
      <c r="G272" s="214">
        <f ca="1">_xlfn.XLOOKUP(TableauRecette[[#This Row],[Ingredients]],TableauIngredients[Ingredients],TableauIngredients[Prix d''achat (kg)],0)*TableauRecette[[#This Row],[poids / unite]]</f>
        <v>0</v>
      </c>
      <c r="H272" s="214">
        <f>SUMIFS(TableauRecette[Proportion],TableauRecette[Recette],TableauRecette[[#This Row],[Recette]],TableauRecette[Conditionnement],TableauRecette[[#This Row],[Conditionnement]])</f>
        <v>8</v>
      </c>
      <c r="I272" s="214">
        <f ca="1">TableauRecette[[#This Row],[Proportion]]*TableauRecette[[#This Row],[Prix d''achat / kg]]/TableauRecette[[#This Row],[Total Proportion]]</f>
        <v>0</v>
      </c>
      <c r="J272" s="214"/>
      <c r="K272" s="799"/>
      <c r="L272" s="800">
        <f>_xlfn.XLOOKUP(TableauRecette[[#This Row],[ID]],TableauProduit[ID],TableauProduit[Total (kg) N1],0,0,1)*TableauRecette[[#This Row],[poids / unite]]</f>
        <v>0</v>
      </c>
      <c r="M272" s="801">
        <f>_xlfn.XLOOKUP(TableauRecette[[#This Row],[ID]],TableauProduit[ID],TableauProduit[Total (kg) N2],0,0,1)*TableauRecette[[#This Row],[poids / unite]]</f>
        <v>0</v>
      </c>
      <c r="N272" s="801">
        <f>_xlfn.XLOOKUP(TableauRecette[[#This Row],[ID]],TableauProduit[ID],TableauProduit[Total (kg) N3],0,0,1)*TableauRecette[[#This Row],[poids / unite]]</f>
        <v>0</v>
      </c>
      <c r="O272" s="801">
        <f>_xlfn.XLOOKUP(TableauRecette[[#This Row],[ID]],TableauProduit[ID],TableauProduit[Total (kg) N4],0,0,1)*TableauRecette[[#This Row],[poids / unite]]</f>
        <v>0</v>
      </c>
      <c r="P272" s="801">
        <f>_xlfn.XLOOKUP(TableauRecette[[#This Row],[ID]],TableauProduit[ID],TableauProduit[Total (kg) N5],0,0,1)*TableauRecette[[#This Row],[poids / unite]]</f>
        <v>0</v>
      </c>
      <c r="Q272" s="801">
        <f>_xlfn.XLOOKUP(TableauRecette[[#This Row],[ID]],TableauProduit[ID],TableauProduit[Total (kg) N6],0,0,1)*TableauRecette[[#This Row],[poids / unite]]</f>
        <v>0</v>
      </c>
      <c r="R272" s="801">
        <f>_xlfn.XLOOKUP(TableauRecette[[#This Row],[ID]],TableauProduit[ID],TableauProduit[Total (kg) N7],0,0,1)*TableauRecette[[#This Row],[poids / unite]]</f>
        <v>0</v>
      </c>
      <c r="S272" s="801">
        <f>_xlfn.XLOOKUP(TableauRecette[[#This Row],[ID]],TableauProduit[ID],TableauProduit[Total (kg) N8],0,0,1)*TableauRecette[[#This Row],[poids / unite]]</f>
        <v>0</v>
      </c>
      <c r="T272" s="801">
        <f>_xlfn.XLOOKUP(TableauRecette[[#This Row],[ID]],TableauProduit[ID],TableauProduit[Total (kg) N9],0,0,1)*TableauRecette[[#This Row],[poids / unite]]</f>
        <v>0</v>
      </c>
      <c r="X272">
        <f>X273*Y272/Y273</f>
        <v>180</v>
      </c>
      <c r="Y272">
        <v>1</v>
      </c>
    </row>
    <row r="273" spans="1:25">
      <c r="A273" s="90" t="s">
        <v>67</v>
      </c>
      <c r="B273" s="91" t="str">
        <f>TableauRecette[[#This Row],[Recette]]&amp;TableauRecette[[#This Row],[Conditionnement]]</f>
        <v>PaprikaEpice 100ml</v>
      </c>
      <c r="C273" s="90" t="s">
        <v>309</v>
      </c>
      <c r="D273" s="215">
        <v>1</v>
      </c>
      <c r="E273" s="90" t="s">
        <v>55</v>
      </c>
      <c r="F273" s="642">
        <f>D273/SUMIFS(TableauRecette[Proportion],TableauRecette[Recette],TableauRecette[[#This Row],[Recette]],TableauRecette[Conditionnement],TableauRecette[[#This Row],[Conditionnement]])</f>
        <v>1</v>
      </c>
      <c r="G273" s="642">
        <f ca="1">_xlfn.XLOOKUP(TableauRecette[[#This Row],[Ingredients]],TableauIngredients[Ingredients],TableauIngredients[Prix d''achat (kg)],0)*TableauRecette[[#This Row],[poids / unite]]</f>
        <v>0</v>
      </c>
      <c r="H273" s="642">
        <f>SUMIFS(TableauRecette[Proportion],TableauRecette[Recette],TableauRecette[[#This Row],[Recette]],TableauRecette[Conditionnement],TableauRecette[[#This Row],[Conditionnement]])</f>
        <v>1</v>
      </c>
      <c r="I273" s="642">
        <f ca="1">TableauRecette[[#This Row],[Proportion]]*TableauRecette[[#This Row],[Prix d''achat / kg]]/TableauRecette[[#This Row],[Total Proportion]]</f>
        <v>0</v>
      </c>
      <c r="J273" s="215"/>
      <c r="K273" s="802"/>
      <c r="L273" s="803">
        <f>_xlfn.XLOOKUP(TableauRecette[[#This Row],[ID]],TableauProduit[ID],TableauProduit[Total (kg) N1],0,0,1)*TableauRecette[[#This Row],[poids / unite]]</f>
        <v>10.8</v>
      </c>
      <c r="M273" s="804">
        <f>_xlfn.XLOOKUP(TableauRecette[[#This Row],[ID]],TableauProduit[ID],TableauProduit[Total (kg) N2],0,0,1)*TableauRecette[[#This Row],[poids / unite]]</f>
        <v>10.8</v>
      </c>
      <c r="N273" s="804">
        <f>_xlfn.XLOOKUP(TableauRecette[[#This Row],[ID]],TableauProduit[ID],TableauProduit[Total (kg) N3],0,0,1)*TableauRecette[[#This Row],[poids / unite]]</f>
        <v>10.8</v>
      </c>
      <c r="O273" s="804">
        <f>_xlfn.XLOOKUP(TableauRecette[[#This Row],[ID]],TableauProduit[ID],TableauProduit[Total (kg) N4],0,0,1)*TableauRecette[[#This Row],[poids / unite]]</f>
        <v>10.8</v>
      </c>
      <c r="P273" s="804">
        <f>_xlfn.XLOOKUP(TableauRecette[[#This Row],[ID]],TableauProduit[ID],TableauProduit[Total (kg) N5],0,0,1)*TableauRecette[[#This Row],[poids / unite]]</f>
        <v>10.8</v>
      </c>
      <c r="Q273" s="804">
        <f>_xlfn.XLOOKUP(TableauRecette[[#This Row],[ID]],TableauProduit[ID],TableauProduit[Total (kg) N6],0,0,1)*TableauRecette[[#This Row],[poids / unite]]</f>
        <v>10.8</v>
      </c>
      <c r="R273" s="804">
        <f>_xlfn.XLOOKUP(TableauRecette[[#This Row],[ID]],TableauProduit[ID],TableauProduit[Total (kg) N7],0,0,1)*TableauRecette[[#This Row],[poids / unite]]</f>
        <v>10.8</v>
      </c>
      <c r="S273" s="804">
        <f>_xlfn.XLOOKUP(TableauRecette[[#This Row],[ID]],TableauProduit[ID],TableauProduit[Total (kg) N8],0,0,1)*TableauRecette[[#This Row],[poids / unite]]</f>
        <v>10.8</v>
      </c>
      <c r="T273" s="804">
        <f>_xlfn.XLOOKUP(TableauRecette[[#This Row],[ID]],TableauProduit[ID],TableauProduit[Total (kg) N9],0,0,1)*TableauRecette[[#This Row],[poids / unite]]</f>
        <v>10.8</v>
      </c>
      <c r="X273">
        <v>36</v>
      </c>
      <c r="Y273">
        <v>0.2</v>
      </c>
    </row>
    <row r="274" spans="1:25">
      <c r="A274" s="92" t="s">
        <v>692</v>
      </c>
      <c r="B274" s="93" t="str">
        <f>TableauRecette[[#This Row],[Recette]]&amp;TableauRecette[[#This Row],[Conditionnement]]</f>
        <v>Paprika fumeEpice 100ml</v>
      </c>
      <c r="C274" s="92" t="s">
        <v>309</v>
      </c>
      <c r="D274" s="216">
        <v>1</v>
      </c>
      <c r="E274" s="92" t="s">
        <v>55</v>
      </c>
      <c r="F274" s="643">
        <f>D274/SUMIFS(TableauRecette[Proportion],TableauRecette[Recette],TableauRecette[[#This Row],[Recette]],TableauRecette[Conditionnement],TableauRecette[[#This Row],[Conditionnement]])</f>
        <v>1</v>
      </c>
      <c r="G274" s="643">
        <f ca="1">_xlfn.XLOOKUP(TableauRecette[[#This Row],[Ingredients]],TableauIngredients[Ingredients],TableauIngredients[Prix d''achat (kg)],0)*TableauRecette[[#This Row],[poids / unite]]</f>
        <v>0</v>
      </c>
      <c r="H274" s="643">
        <f>SUMIFS(TableauRecette[Proportion],TableauRecette[Recette],TableauRecette[[#This Row],[Recette]],TableauRecette[Conditionnement],TableauRecette[[#This Row],[Conditionnement]])</f>
        <v>1</v>
      </c>
      <c r="I274" s="643">
        <f ca="1">TableauRecette[[#This Row],[Proportion]]*TableauRecette[[#This Row],[Prix d''achat / kg]]/TableauRecette[[#This Row],[Total Proportion]]</f>
        <v>0</v>
      </c>
      <c r="J274" s="216"/>
      <c r="K274" s="805"/>
      <c r="L274" s="806">
        <f>_xlfn.XLOOKUP(TableauRecette[[#This Row],[ID]],TableauProduit[ID],TableauProduit[Total (kg) N1],0,0,1)*TableauRecette[[#This Row],[poids / unite]]</f>
        <v>25.2</v>
      </c>
      <c r="M274" s="807">
        <f>_xlfn.XLOOKUP(TableauRecette[[#This Row],[ID]],TableauProduit[ID],TableauProduit[Total (kg) N2],0,0,1)*TableauRecette[[#This Row],[poids / unite]]</f>
        <v>25.2</v>
      </c>
      <c r="N274" s="807">
        <f>_xlfn.XLOOKUP(TableauRecette[[#This Row],[ID]],TableauProduit[ID],TableauProduit[Total (kg) N3],0,0,1)*TableauRecette[[#This Row],[poids / unite]]</f>
        <v>25.2</v>
      </c>
      <c r="O274" s="807">
        <f>_xlfn.XLOOKUP(TableauRecette[[#This Row],[ID]],TableauProduit[ID],TableauProduit[Total (kg) N4],0,0,1)*TableauRecette[[#This Row],[poids / unite]]</f>
        <v>25.2</v>
      </c>
      <c r="P274" s="807">
        <f>_xlfn.XLOOKUP(TableauRecette[[#This Row],[ID]],TableauProduit[ID],TableauProduit[Total (kg) N5],0,0,1)*TableauRecette[[#This Row],[poids / unite]]</f>
        <v>25.2</v>
      </c>
      <c r="Q274" s="807">
        <f>_xlfn.XLOOKUP(TableauRecette[[#This Row],[ID]],TableauProduit[ID],TableauProduit[Total (kg) N6],0,0,1)*TableauRecette[[#This Row],[poids / unite]]</f>
        <v>25.2</v>
      </c>
      <c r="R274" s="807">
        <f>_xlfn.XLOOKUP(TableauRecette[[#This Row],[ID]],TableauProduit[ID],TableauProduit[Total (kg) N7],0,0,1)*TableauRecette[[#This Row],[poids / unite]]</f>
        <v>25.2</v>
      </c>
      <c r="S274" s="807">
        <f>_xlfn.XLOOKUP(TableauRecette[[#This Row],[ID]],TableauProduit[ID],TableauProduit[Total (kg) N8],0,0,1)*TableauRecette[[#This Row],[poids / unite]]</f>
        <v>25.2</v>
      </c>
      <c r="T274" s="807">
        <f>_xlfn.XLOOKUP(TableauRecette[[#This Row],[ID]],TableauProduit[ID],TableauProduit[Total (kg) N9],0,0,1)*TableauRecette[[#This Row],[poids / unite]]</f>
        <v>25.2</v>
      </c>
    </row>
    <row r="275" spans="1:25">
      <c r="A275" s="94" t="s">
        <v>106</v>
      </c>
      <c r="B275" s="94" t="str">
        <f>TableauRecette[[#This Row],[Recette]]&amp;TableauRecette[[#This Row],[Conditionnement]]</f>
        <v>Pâte vindalooEpice 100ml</v>
      </c>
      <c r="C275" s="94" t="s">
        <v>284</v>
      </c>
      <c r="D275" s="217">
        <v>1</v>
      </c>
      <c r="E275" s="94" t="s">
        <v>55</v>
      </c>
      <c r="F275" s="217">
        <f>D275/SUMIFS(TableauRecette[Proportion],TableauRecette[Recette],TableauRecette[[#This Row],[Recette]],TableauRecette[Conditionnement],TableauRecette[[#This Row],[Conditionnement]])</f>
        <v>8.3333333333333329E-2</v>
      </c>
      <c r="G275" s="217">
        <f ca="1">_xlfn.XLOOKUP(TableauRecette[[#This Row],[Ingredients]],TableauIngredients[Ingredients],TableauIngredients[Prix d''achat (kg)],0)*TableauRecette[[#This Row],[poids / unite]]</f>
        <v>0</v>
      </c>
      <c r="H275" s="217">
        <f>SUMIFS(TableauRecette[Proportion],TableauRecette[Recette],TableauRecette[[#This Row],[Recette]],TableauRecette[Conditionnement],TableauRecette[[#This Row],[Conditionnement]])</f>
        <v>12</v>
      </c>
      <c r="I275" s="217">
        <f ca="1">TableauRecette[[#This Row],[Proportion]]*TableauRecette[[#This Row],[Prix d''achat / kg]]/TableauRecette[[#This Row],[Total Proportion]]</f>
        <v>0</v>
      </c>
      <c r="J275" s="217"/>
      <c r="K275" s="808"/>
      <c r="L275" s="809">
        <f>_xlfn.XLOOKUP(TableauRecette[[#This Row],[ID]],TableauProduit[ID],TableauProduit[Total (kg) N1],0,0,1)*TableauRecette[[#This Row],[poids / unite]]</f>
        <v>0</v>
      </c>
      <c r="M275" s="810">
        <f>_xlfn.XLOOKUP(TableauRecette[[#This Row],[ID]],TableauProduit[ID],TableauProduit[Total (kg) N2],0,0,1)*TableauRecette[[#This Row],[poids / unite]]</f>
        <v>0</v>
      </c>
      <c r="N275" s="810">
        <f>_xlfn.XLOOKUP(TableauRecette[[#This Row],[ID]],TableauProduit[ID],TableauProduit[Total (kg) N3],0,0,1)*TableauRecette[[#This Row],[poids / unite]]</f>
        <v>0</v>
      </c>
      <c r="O275" s="810">
        <f>_xlfn.XLOOKUP(TableauRecette[[#This Row],[ID]],TableauProduit[ID],TableauProduit[Total (kg) N4],0,0,1)*TableauRecette[[#This Row],[poids / unite]]</f>
        <v>0</v>
      </c>
      <c r="P275" s="810">
        <f>_xlfn.XLOOKUP(TableauRecette[[#This Row],[ID]],TableauProduit[ID],TableauProduit[Total (kg) N5],0,0,1)*TableauRecette[[#This Row],[poids / unite]]</f>
        <v>0</v>
      </c>
      <c r="Q275" s="810">
        <f>_xlfn.XLOOKUP(TableauRecette[[#This Row],[ID]],TableauProduit[ID],TableauProduit[Total (kg) N6],0,0,1)*TableauRecette[[#This Row],[poids / unite]]</f>
        <v>0</v>
      </c>
      <c r="R275" s="810">
        <f>_xlfn.XLOOKUP(TableauRecette[[#This Row],[ID]],TableauProduit[ID],TableauProduit[Total (kg) N7],0,0,1)*TableauRecette[[#This Row],[poids / unite]]</f>
        <v>0</v>
      </c>
      <c r="S275" s="810">
        <f>_xlfn.XLOOKUP(TableauRecette[[#This Row],[ID]],TableauProduit[ID],TableauProduit[Total (kg) N8],0,0,1)*TableauRecette[[#This Row],[poids / unite]]</f>
        <v>0</v>
      </c>
      <c r="T275" s="810">
        <f>_xlfn.XLOOKUP(TableauRecette[[#This Row],[ID]],TableauProduit[ID],TableauProduit[Total (kg) N9],0,0,1)*TableauRecette[[#This Row],[poids / unite]]</f>
        <v>0</v>
      </c>
    </row>
    <row r="276" spans="1:25">
      <c r="A276" s="94" t="s">
        <v>106</v>
      </c>
      <c r="B276" s="94" t="str">
        <f>TableauRecette[[#This Row],[Recette]]&amp;TableauRecette[[#This Row],[Conditionnement]]</f>
        <v>Pâte vindalooEpice 100ml</v>
      </c>
      <c r="C276" s="94" t="s">
        <v>367</v>
      </c>
      <c r="D276" s="217">
        <v>1</v>
      </c>
      <c r="E276" s="94" t="s">
        <v>55</v>
      </c>
      <c r="F276" s="217">
        <f>D276/SUMIFS(TableauRecette[Proportion],TableauRecette[Recette],TableauRecette[[#This Row],[Recette]],TableauRecette[Conditionnement],TableauRecette[[#This Row],[Conditionnement]])</f>
        <v>8.3333333333333329E-2</v>
      </c>
      <c r="G276" s="217">
        <f ca="1">_xlfn.XLOOKUP(TableauRecette[[#This Row],[Ingredients]],TableauIngredients[Ingredients],TableauIngredients[Prix d''achat (kg)],0)*TableauRecette[[#This Row],[poids / unite]]</f>
        <v>0</v>
      </c>
      <c r="H276" s="217">
        <f>SUMIFS(TableauRecette[Proportion],TableauRecette[Recette],TableauRecette[[#This Row],[Recette]],TableauRecette[Conditionnement],TableauRecette[[#This Row],[Conditionnement]])</f>
        <v>12</v>
      </c>
      <c r="I276" s="217">
        <f ca="1">TableauRecette[[#This Row],[Proportion]]*TableauRecette[[#This Row],[Prix d''achat / kg]]/TableauRecette[[#This Row],[Total Proportion]]</f>
        <v>0</v>
      </c>
      <c r="J276" s="217"/>
      <c r="K276" s="808"/>
      <c r="L276" s="809">
        <f>_xlfn.XLOOKUP(TableauRecette[[#This Row],[ID]],TableauProduit[ID],TableauProduit[Total (kg) N1],0,0,1)*TableauRecette[[#This Row],[poids / unite]]</f>
        <v>0</v>
      </c>
      <c r="M276" s="810">
        <f>_xlfn.XLOOKUP(TableauRecette[[#This Row],[ID]],TableauProduit[ID],TableauProduit[Total (kg) N2],0,0,1)*TableauRecette[[#This Row],[poids / unite]]</f>
        <v>0</v>
      </c>
      <c r="N276" s="810">
        <f>_xlfn.XLOOKUP(TableauRecette[[#This Row],[ID]],TableauProduit[ID],TableauProduit[Total (kg) N3],0,0,1)*TableauRecette[[#This Row],[poids / unite]]</f>
        <v>0</v>
      </c>
      <c r="O276" s="810">
        <f>_xlfn.XLOOKUP(TableauRecette[[#This Row],[ID]],TableauProduit[ID],TableauProduit[Total (kg) N4],0,0,1)*TableauRecette[[#This Row],[poids / unite]]</f>
        <v>0</v>
      </c>
      <c r="P276" s="810">
        <f>_xlfn.XLOOKUP(TableauRecette[[#This Row],[ID]],TableauProduit[ID],TableauProduit[Total (kg) N5],0,0,1)*TableauRecette[[#This Row],[poids / unite]]</f>
        <v>0</v>
      </c>
      <c r="Q276" s="810">
        <f>_xlfn.XLOOKUP(TableauRecette[[#This Row],[ID]],TableauProduit[ID],TableauProduit[Total (kg) N6],0,0,1)*TableauRecette[[#This Row],[poids / unite]]</f>
        <v>0</v>
      </c>
      <c r="R276" s="810">
        <f>_xlfn.XLOOKUP(TableauRecette[[#This Row],[ID]],TableauProduit[ID],TableauProduit[Total (kg) N7],0,0,1)*TableauRecette[[#This Row],[poids / unite]]</f>
        <v>0</v>
      </c>
      <c r="S276" s="810">
        <f>_xlfn.XLOOKUP(TableauRecette[[#This Row],[ID]],TableauProduit[ID],TableauProduit[Total (kg) N8],0,0,1)*TableauRecette[[#This Row],[poids / unite]]</f>
        <v>0</v>
      </c>
      <c r="T276" s="810">
        <f>_xlfn.XLOOKUP(TableauRecette[[#This Row],[ID]],TableauProduit[ID],TableauProduit[Total (kg) N9],0,0,1)*TableauRecette[[#This Row],[poids / unite]]</f>
        <v>0</v>
      </c>
    </row>
    <row r="277" spans="1:25">
      <c r="A277" s="94" t="s">
        <v>106</v>
      </c>
      <c r="B277" s="94" t="str">
        <f>TableauRecette[[#This Row],[Recette]]&amp;TableauRecette[[#This Row],[Conditionnement]]</f>
        <v>Pâte vindalooEpice 100ml</v>
      </c>
      <c r="C277" s="94" t="s">
        <v>287</v>
      </c>
      <c r="D277" s="217">
        <v>1</v>
      </c>
      <c r="E277" s="94" t="s">
        <v>55</v>
      </c>
      <c r="F277" s="217">
        <f>D277/SUMIFS(TableauRecette[Proportion],TableauRecette[Recette],TableauRecette[[#This Row],[Recette]],TableauRecette[Conditionnement],TableauRecette[[#This Row],[Conditionnement]])</f>
        <v>8.3333333333333329E-2</v>
      </c>
      <c r="G277" s="217">
        <f ca="1">_xlfn.XLOOKUP(TableauRecette[[#This Row],[Ingredients]],TableauIngredients[Ingredients],TableauIngredients[Prix d''achat (kg)],0)*TableauRecette[[#This Row],[poids / unite]]</f>
        <v>3.0708333333333333</v>
      </c>
      <c r="H277" s="217">
        <f>SUMIFS(TableauRecette[Proportion],TableauRecette[Recette],TableauRecette[[#This Row],[Recette]],TableauRecette[Conditionnement],TableauRecette[[#This Row],[Conditionnement]])</f>
        <v>12</v>
      </c>
      <c r="I277" s="217">
        <f ca="1">TableauRecette[[#This Row],[Proportion]]*TableauRecette[[#This Row],[Prix d''achat / kg]]/TableauRecette[[#This Row],[Total Proportion]]</f>
        <v>0</v>
      </c>
      <c r="J277" s="217"/>
      <c r="K277" s="808"/>
      <c r="L277" s="809">
        <f>_xlfn.XLOOKUP(TableauRecette[[#This Row],[ID]],TableauProduit[ID],TableauProduit[Total (kg) N1],0,0,1)*TableauRecette[[#This Row],[poids / unite]]</f>
        <v>0</v>
      </c>
      <c r="M277" s="810">
        <f>_xlfn.XLOOKUP(TableauRecette[[#This Row],[ID]],TableauProduit[ID],TableauProduit[Total (kg) N2],0,0,1)*TableauRecette[[#This Row],[poids / unite]]</f>
        <v>0</v>
      </c>
      <c r="N277" s="810">
        <f>_xlfn.XLOOKUP(TableauRecette[[#This Row],[ID]],TableauProduit[ID],TableauProduit[Total (kg) N3],0,0,1)*TableauRecette[[#This Row],[poids / unite]]</f>
        <v>0</v>
      </c>
      <c r="O277" s="810">
        <f>_xlfn.XLOOKUP(TableauRecette[[#This Row],[ID]],TableauProduit[ID],TableauProduit[Total (kg) N4],0,0,1)*TableauRecette[[#This Row],[poids / unite]]</f>
        <v>0</v>
      </c>
      <c r="P277" s="810">
        <f>_xlfn.XLOOKUP(TableauRecette[[#This Row],[ID]],TableauProduit[ID],TableauProduit[Total (kg) N5],0,0,1)*TableauRecette[[#This Row],[poids / unite]]</f>
        <v>0</v>
      </c>
      <c r="Q277" s="810">
        <f>_xlfn.XLOOKUP(TableauRecette[[#This Row],[ID]],TableauProduit[ID],TableauProduit[Total (kg) N6],0,0,1)*TableauRecette[[#This Row],[poids / unite]]</f>
        <v>0</v>
      </c>
      <c r="R277" s="810">
        <f>_xlfn.XLOOKUP(TableauRecette[[#This Row],[ID]],TableauProduit[ID],TableauProduit[Total (kg) N7],0,0,1)*TableauRecette[[#This Row],[poids / unite]]</f>
        <v>0</v>
      </c>
      <c r="S277" s="810">
        <f>_xlfn.XLOOKUP(TableauRecette[[#This Row],[ID]],TableauProduit[ID],TableauProduit[Total (kg) N8],0,0,1)*TableauRecette[[#This Row],[poids / unite]]</f>
        <v>0</v>
      </c>
      <c r="T277" s="810">
        <f>_xlfn.XLOOKUP(TableauRecette[[#This Row],[ID]],TableauProduit[ID],TableauProduit[Total (kg) N9],0,0,1)*TableauRecette[[#This Row],[poids / unite]]</f>
        <v>0</v>
      </c>
    </row>
    <row r="278" spans="1:25">
      <c r="A278" s="94" t="s">
        <v>106</v>
      </c>
      <c r="B278" s="94" t="str">
        <f>TableauRecette[[#This Row],[Recette]]&amp;TableauRecette[[#This Row],[Conditionnement]]</f>
        <v>Pâte vindalooEpice 100ml</v>
      </c>
      <c r="C278" s="94" t="s">
        <v>368</v>
      </c>
      <c r="D278" s="217">
        <v>1</v>
      </c>
      <c r="E278" s="94" t="s">
        <v>55</v>
      </c>
      <c r="F278" s="217">
        <f>D278/SUMIFS(TableauRecette[Proportion],TableauRecette[Recette],TableauRecette[[#This Row],[Recette]],TableauRecette[Conditionnement],TableauRecette[[#This Row],[Conditionnement]])</f>
        <v>8.3333333333333329E-2</v>
      </c>
      <c r="G278" s="217">
        <f ca="1">_xlfn.XLOOKUP(TableauRecette[[#This Row],[Ingredients]],TableauIngredients[Ingredients],TableauIngredients[Prix d''achat (kg)],0)*TableauRecette[[#This Row],[poids / unite]]</f>
        <v>0</v>
      </c>
      <c r="H278" s="217">
        <f>SUMIFS(TableauRecette[Proportion],TableauRecette[Recette],TableauRecette[[#This Row],[Recette]],TableauRecette[Conditionnement],TableauRecette[[#This Row],[Conditionnement]])</f>
        <v>12</v>
      </c>
      <c r="I278" s="217">
        <f ca="1">TableauRecette[[#This Row],[Proportion]]*TableauRecette[[#This Row],[Prix d''achat / kg]]/TableauRecette[[#This Row],[Total Proportion]]</f>
        <v>0</v>
      </c>
      <c r="J278" s="217"/>
      <c r="K278" s="808"/>
      <c r="L278" s="809">
        <f>_xlfn.XLOOKUP(TableauRecette[[#This Row],[ID]],TableauProduit[ID],TableauProduit[Total (kg) N1],0,0,1)*TableauRecette[[#This Row],[poids / unite]]</f>
        <v>0</v>
      </c>
      <c r="M278" s="810">
        <f>_xlfn.XLOOKUP(TableauRecette[[#This Row],[ID]],TableauProduit[ID],TableauProduit[Total (kg) N2],0,0,1)*TableauRecette[[#This Row],[poids / unite]]</f>
        <v>0</v>
      </c>
      <c r="N278" s="810">
        <f>_xlfn.XLOOKUP(TableauRecette[[#This Row],[ID]],TableauProduit[ID],TableauProduit[Total (kg) N3],0,0,1)*TableauRecette[[#This Row],[poids / unite]]</f>
        <v>0</v>
      </c>
      <c r="O278" s="810">
        <f>_xlfn.XLOOKUP(TableauRecette[[#This Row],[ID]],TableauProduit[ID],TableauProduit[Total (kg) N4],0,0,1)*TableauRecette[[#This Row],[poids / unite]]</f>
        <v>0</v>
      </c>
      <c r="P278" s="810">
        <f>_xlfn.XLOOKUP(TableauRecette[[#This Row],[ID]],TableauProduit[ID],TableauProduit[Total (kg) N5],0,0,1)*TableauRecette[[#This Row],[poids / unite]]</f>
        <v>0</v>
      </c>
      <c r="Q278" s="810">
        <f>_xlfn.XLOOKUP(TableauRecette[[#This Row],[ID]],TableauProduit[ID],TableauProduit[Total (kg) N6],0,0,1)*TableauRecette[[#This Row],[poids / unite]]</f>
        <v>0</v>
      </c>
      <c r="R278" s="810">
        <f>_xlfn.XLOOKUP(TableauRecette[[#This Row],[ID]],TableauProduit[ID],TableauProduit[Total (kg) N7],0,0,1)*TableauRecette[[#This Row],[poids / unite]]</f>
        <v>0</v>
      </c>
      <c r="S278" s="810">
        <f>_xlfn.XLOOKUP(TableauRecette[[#This Row],[ID]],TableauProduit[ID],TableauProduit[Total (kg) N8],0,0,1)*TableauRecette[[#This Row],[poids / unite]]</f>
        <v>0</v>
      </c>
      <c r="T278" s="810">
        <f>_xlfn.XLOOKUP(TableauRecette[[#This Row],[ID]],TableauProduit[ID],TableauProduit[Total (kg) N9],0,0,1)*TableauRecette[[#This Row],[poids / unite]]</f>
        <v>0</v>
      </c>
    </row>
    <row r="279" spans="1:25">
      <c r="A279" s="94" t="s">
        <v>106</v>
      </c>
      <c r="B279" s="94" t="str">
        <f>TableauRecette[[#This Row],[Recette]]&amp;TableauRecette[[#This Row],[Conditionnement]]</f>
        <v>Pâte vindalooEpice 100ml</v>
      </c>
      <c r="C279" s="94" t="s">
        <v>306</v>
      </c>
      <c r="D279" s="217">
        <v>1</v>
      </c>
      <c r="E279" s="94" t="s">
        <v>55</v>
      </c>
      <c r="F279" s="217">
        <f>D279/SUMIFS(TableauRecette[Proportion],TableauRecette[Recette],TableauRecette[[#This Row],[Recette]],TableauRecette[Conditionnement],TableauRecette[[#This Row],[Conditionnement]])</f>
        <v>8.3333333333333329E-2</v>
      </c>
      <c r="G279" s="217">
        <f ca="1">_xlfn.XLOOKUP(TableauRecette[[#This Row],[Ingredients]],TableauIngredients[Ingredients],TableauIngredients[Prix d''achat (kg)],0)*TableauRecette[[#This Row],[poids / unite]]</f>
        <v>0</v>
      </c>
      <c r="H279" s="217">
        <f>SUMIFS(TableauRecette[Proportion],TableauRecette[Recette],TableauRecette[[#This Row],[Recette]],TableauRecette[Conditionnement],TableauRecette[[#This Row],[Conditionnement]])</f>
        <v>12</v>
      </c>
      <c r="I279" s="217">
        <f ca="1">TableauRecette[[#This Row],[Proportion]]*TableauRecette[[#This Row],[Prix d''achat / kg]]/TableauRecette[[#This Row],[Total Proportion]]</f>
        <v>0</v>
      </c>
      <c r="J279" s="217"/>
      <c r="K279" s="808"/>
      <c r="L279" s="809">
        <f>_xlfn.XLOOKUP(TableauRecette[[#This Row],[ID]],TableauProduit[ID],TableauProduit[Total (kg) N1],0,0,1)*TableauRecette[[#This Row],[poids / unite]]</f>
        <v>0</v>
      </c>
      <c r="M279" s="810">
        <f>_xlfn.XLOOKUP(TableauRecette[[#This Row],[ID]],TableauProduit[ID],TableauProduit[Total (kg) N2],0,0,1)*TableauRecette[[#This Row],[poids / unite]]</f>
        <v>0</v>
      </c>
      <c r="N279" s="810">
        <f>_xlfn.XLOOKUP(TableauRecette[[#This Row],[ID]],TableauProduit[ID],TableauProduit[Total (kg) N3],0,0,1)*TableauRecette[[#This Row],[poids / unite]]</f>
        <v>0</v>
      </c>
      <c r="O279" s="810">
        <f>_xlfn.XLOOKUP(TableauRecette[[#This Row],[ID]],TableauProduit[ID],TableauProduit[Total (kg) N4],0,0,1)*TableauRecette[[#This Row],[poids / unite]]</f>
        <v>0</v>
      </c>
      <c r="P279" s="810">
        <f>_xlfn.XLOOKUP(TableauRecette[[#This Row],[ID]],TableauProduit[ID],TableauProduit[Total (kg) N5],0,0,1)*TableauRecette[[#This Row],[poids / unite]]</f>
        <v>0</v>
      </c>
      <c r="Q279" s="810">
        <f>_xlfn.XLOOKUP(TableauRecette[[#This Row],[ID]],TableauProduit[ID],TableauProduit[Total (kg) N6],0,0,1)*TableauRecette[[#This Row],[poids / unite]]</f>
        <v>0</v>
      </c>
      <c r="R279" s="810">
        <f>_xlfn.XLOOKUP(TableauRecette[[#This Row],[ID]],TableauProduit[ID],TableauProduit[Total (kg) N7],0,0,1)*TableauRecette[[#This Row],[poids / unite]]</f>
        <v>0</v>
      </c>
      <c r="S279" s="810">
        <f>_xlfn.XLOOKUP(TableauRecette[[#This Row],[ID]],TableauProduit[ID],TableauProduit[Total (kg) N8],0,0,1)*TableauRecette[[#This Row],[poids / unite]]</f>
        <v>0</v>
      </c>
      <c r="T279" s="810">
        <f>_xlfn.XLOOKUP(TableauRecette[[#This Row],[ID]],TableauProduit[ID],TableauProduit[Total (kg) N9],0,0,1)*TableauRecette[[#This Row],[poids / unite]]</f>
        <v>0</v>
      </c>
    </row>
    <row r="280" spans="1:25">
      <c r="A280" s="94" t="s">
        <v>106</v>
      </c>
      <c r="B280" s="94" t="str">
        <f>TableauRecette[[#This Row],[Recette]]&amp;TableauRecette[[#This Row],[Conditionnement]]</f>
        <v>Pâte vindalooEpice 100ml</v>
      </c>
      <c r="C280" s="94" t="s">
        <v>288</v>
      </c>
      <c r="D280" s="217">
        <v>1</v>
      </c>
      <c r="E280" s="94" t="s">
        <v>55</v>
      </c>
      <c r="F280" s="217">
        <f>D280/SUMIFS(TableauRecette[Proportion],TableauRecette[Recette],TableauRecette[[#This Row],[Recette]],TableauRecette[Conditionnement],TableauRecette[[#This Row],[Conditionnement]])</f>
        <v>8.3333333333333329E-2</v>
      </c>
      <c r="G280" s="217">
        <f ca="1">_xlfn.XLOOKUP(TableauRecette[[#This Row],[Ingredients]],TableauIngredients[Ingredients],TableauIngredients[Prix d''achat (kg)],0)*TableauRecette[[#This Row],[poids / unite]]</f>
        <v>3</v>
      </c>
      <c r="H280" s="217">
        <f>SUMIFS(TableauRecette[Proportion],TableauRecette[Recette],TableauRecette[[#This Row],[Recette]],TableauRecette[Conditionnement],TableauRecette[[#This Row],[Conditionnement]])</f>
        <v>12</v>
      </c>
      <c r="I280" s="217">
        <f ca="1">TableauRecette[[#This Row],[Proportion]]*TableauRecette[[#This Row],[Prix d''achat / kg]]/TableauRecette[[#This Row],[Total Proportion]]</f>
        <v>0</v>
      </c>
      <c r="J280" s="217"/>
      <c r="K280" s="808"/>
      <c r="L280" s="809">
        <f>_xlfn.XLOOKUP(TableauRecette[[#This Row],[ID]],TableauProduit[ID],TableauProduit[Total (kg) N1],0,0,1)*TableauRecette[[#This Row],[poids / unite]]</f>
        <v>0</v>
      </c>
      <c r="M280" s="810">
        <f>_xlfn.XLOOKUP(TableauRecette[[#This Row],[ID]],TableauProduit[ID],TableauProduit[Total (kg) N2],0,0,1)*TableauRecette[[#This Row],[poids / unite]]</f>
        <v>0</v>
      </c>
      <c r="N280" s="810">
        <f>_xlfn.XLOOKUP(TableauRecette[[#This Row],[ID]],TableauProduit[ID],TableauProduit[Total (kg) N3],0,0,1)*TableauRecette[[#This Row],[poids / unite]]</f>
        <v>0</v>
      </c>
      <c r="O280" s="810">
        <f>_xlfn.XLOOKUP(TableauRecette[[#This Row],[ID]],TableauProduit[ID],TableauProduit[Total (kg) N4],0,0,1)*TableauRecette[[#This Row],[poids / unite]]</f>
        <v>0</v>
      </c>
      <c r="P280" s="810">
        <f>_xlfn.XLOOKUP(TableauRecette[[#This Row],[ID]],TableauProduit[ID],TableauProduit[Total (kg) N5],0,0,1)*TableauRecette[[#This Row],[poids / unite]]</f>
        <v>0</v>
      </c>
      <c r="Q280" s="810">
        <f>_xlfn.XLOOKUP(TableauRecette[[#This Row],[ID]],TableauProduit[ID],TableauProduit[Total (kg) N6],0,0,1)*TableauRecette[[#This Row],[poids / unite]]</f>
        <v>0</v>
      </c>
      <c r="R280" s="810">
        <f>_xlfn.XLOOKUP(TableauRecette[[#This Row],[ID]],TableauProduit[ID],TableauProduit[Total (kg) N7],0,0,1)*TableauRecette[[#This Row],[poids / unite]]</f>
        <v>0</v>
      </c>
      <c r="S280" s="810">
        <f>_xlfn.XLOOKUP(TableauRecette[[#This Row],[ID]],TableauProduit[ID],TableauProduit[Total (kg) N8],0,0,1)*TableauRecette[[#This Row],[poids / unite]]</f>
        <v>0</v>
      </c>
      <c r="T280" s="810">
        <f>_xlfn.XLOOKUP(TableauRecette[[#This Row],[ID]],TableauProduit[ID],TableauProduit[Total (kg) N9],0,0,1)*TableauRecette[[#This Row],[poids / unite]]</f>
        <v>0</v>
      </c>
    </row>
    <row r="281" spans="1:25">
      <c r="A281" s="94" t="s">
        <v>106</v>
      </c>
      <c r="B281" s="94" t="str">
        <f>TableauRecette[[#This Row],[Recette]]&amp;TableauRecette[[#This Row],[Conditionnement]]</f>
        <v>Pâte vindalooEpice 100ml</v>
      </c>
      <c r="C281" s="94" t="s">
        <v>283</v>
      </c>
      <c r="D281" s="217">
        <v>1</v>
      </c>
      <c r="E281" s="94" t="s">
        <v>55</v>
      </c>
      <c r="F281" s="217">
        <f>D281/SUMIFS(TableauRecette[Proportion],TableauRecette[Recette],TableauRecette[[#This Row],[Recette]],TableauRecette[Conditionnement],TableauRecette[[#This Row],[Conditionnement]])</f>
        <v>8.3333333333333329E-2</v>
      </c>
      <c r="G281" s="217">
        <f ca="1">_xlfn.XLOOKUP(TableauRecette[[#This Row],[Ingredients]],TableauIngredients[Ingredients],TableauIngredients[Prix d''achat (kg)],0)*TableauRecette[[#This Row],[poids / unite]]</f>
        <v>9.5037916666666646</v>
      </c>
      <c r="H281" s="217">
        <f>SUMIFS(TableauRecette[Proportion],TableauRecette[Recette],TableauRecette[[#This Row],[Recette]],TableauRecette[Conditionnement],TableauRecette[[#This Row],[Conditionnement]])</f>
        <v>12</v>
      </c>
      <c r="I281" s="217">
        <f ca="1">TableauRecette[[#This Row],[Proportion]]*TableauRecette[[#This Row],[Prix d''achat / kg]]/TableauRecette[[#This Row],[Total Proportion]]</f>
        <v>0</v>
      </c>
      <c r="J281" s="217"/>
      <c r="K281" s="808"/>
      <c r="L281" s="809">
        <f>_xlfn.XLOOKUP(TableauRecette[[#This Row],[ID]],TableauProduit[ID],TableauProduit[Total (kg) N1],0,0,1)*TableauRecette[[#This Row],[poids / unite]]</f>
        <v>0</v>
      </c>
      <c r="M281" s="810">
        <f>_xlfn.XLOOKUP(TableauRecette[[#This Row],[ID]],TableauProduit[ID],TableauProduit[Total (kg) N2],0,0,1)*TableauRecette[[#This Row],[poids / unite]]</f>
        <v>0</v>
      </c>
      <c r="N281" s="810">
        <f>_xlfn.XLOOKUP(TableauRecette[[#This Row],[ID]],TableauProduit[ID],TableauProduit[Total (kg) N3],0,0,1)*TableauRecette[[#This Row],[poids / unite]]</f>
        <v>0</v>
      </c>
      <c r="O281" s="810">
        <f>_xlfn.XLOOKUP(TableauRecette[[#This Row],[ID]],TableauProduit[ID],TableauProduit[Total (kg) N4],0,0,1)*TableauRecette[[#This Row],[poids / unite]]</f>
        <v>0</v>
      </c>
      <c r="P281" s="810">
        <f>_xlfn.XLOOKUP(TableauRecette[[#This Row],[ID]],TableauProduit[ID],TableauProduit[Total (kg) N5],0,0,1)*TableauRecette[[#This Row],[poids / unite]]</f>
        <v>0</v>
      </c>
      <c r="Q281" s="810">
        <f>_xlfn.XLOOKUP(TableauRecette[[#This Row],[ID]],TableauProduit[ID],TableauProduit[Total (kg) N6],0,0,1)*TableauRecette[[#This Row],[poids / unite]]</f>
        <v>0</v>
      </c>
      <c r="R281" s="810">
        <f>_xlfn.XLOOKUP(TableauRecette[[#This Row],[ID]],TableauProduit[ID],TableauProduit[Total (kg) N7],0,0,1)*TableauRecette[[#This Row],[poids / unite]]</f>
        <v>0</v>
      </c>
      <c r="S281" s="810">
        <f>_xlfn.XLOOKUP(TableauRecette[[#This Row],[ID]],TableauProduit[ID],TableauProduit[Total (kg) N8],0,0,1)*TableauRecette[[#This Row],[poids / unite]]</f>
        <v>0</v>
      </c>
      <c r="T281" s="810">
        <f>_xlfn.XLOOKUP(TableauRecette[[#This Row],[ID]],TableauProduit[ID],TableauProduit[Total (kg) N9],0,0,1)*TableauRecette[[#This Row],[poids / unite]]</f>
        <v>0</v>
      </c>
    </row>
    <row r="282" spans="1:25">
      <c r="A282" s="94" t="s">
        <v>106</v>
      </c>
      <c r="B282" s="94" t="str">
        <f>TableauRecette[[#This Row],[Recette]]&amp;TableauRecette[[#This Row],[Conditionnement]]</f>
        <v>Pâte vindalooEpice 100ml</v>
      </c>
      <c r="C282" s="94" t="s">
        <v>332</v>
      </c>
      <c r="D282" s="217">
        <v>1</v>
      </c>
      <c r="E282" s="94" t="s">
        <v>55</v>
      </c>
      <c r="F282" s="217">
        <f>D282/SUMIFS(TableauRecette[Proportion],TableauRecette[Recette],TableauRecette[[#This Row],[Recette]],TableauRecette[Conditionnement],TableauRecette[[#This Row],[Conditionnement]])</f>
        <v>8.3333333333333329E-2</v>
      </c>
      <c r="G282" s="217">
        <f ca="1">_xlfn.XLOOKUP(TableauRecette[[#This Row],[Ingredients]],TableauIngredients[Ingredients],TableauIngredients[Prix d''achat (kg)],0)*TableauRecette[[#This Row],[poids / unite]]</f>
        <v>4.9166666666666661</v>
      </c>
      <c r="H282" s="217">
        <f>SUMIFS(TableauRecette[Proportion],TableauRecette[Recette],TableauRecette[[#This Row],[Recette]],TableauRecette[Conditionnement],TableauRecette[[#This Row],[Conditionnement]])</f>
        <v>12</v>
      </c>
      <c r="I282" s="217">
        <f ca="1">TableauRecette[[#This Row],[Proportion]]*TableauRecette[[#This Row],[Prix d''achat / kg]]/TableauRecette[[#This Row],[Total Proportion]]</f>
        <v>0</v>
      </c>
      <c r="J282" s="217"/>
      <c r="K282" s="808"/>
      <c r="L282" s="809">
        <f>_xlfn.XLOOKUP(TableauRecette[[#This Row],[ID]],TableauProduit[ID],TableauProduit[Total (kg) N1],0,0,1)*TableauRecette[[#This Row],[poids / unite]]</f>
        <v>0</v>
      </c>
      <c r="M282" s="810">
        <f>_xlfn.XLOOKUP(TableauRecette[[#This Row],[ID]],TableauProduit[ID],TableauProduit[Total (kg) N2],0,0,1)*TableauRecette[[#This Row],[poids / unite]]</f>
        <v>0</v>
      </c>
      <c r="N282" s="810">
        <f>_xlfn.XLOOKUP(TableauRecette[[#This Row],[ID]],TableauProduit[ID],TableauProduit[Total (kg) N3],0,0,1)*TableauRecette[[#This Row],[poids / unite]]</f>
        <v>0</v>
      </c>
      <c r="O282" s="810">
        <f>_xlfn.XLOOKUP(TableauRecette[[#This Row],[ID]],TableauProduit[ID],TableauProduit[Total (kg) N4],0,0,1)*TableauRecette[[#This Row],[poids / unite]]</f>
        <v>0</v>
      </c>
      <c r="P282" s="810">
        <f>_xlfn.XLOOKUP(TableauRecette[[#This Row],[ID]],TableauProduit[ID],TableauProduit[Total (kg) N5],0,0,1)*TableauRecette[[#This Row],[poids / unite]]</f>
        <v>0</v>
      </c>
      <c r="Q282" s="810">
        <f>_xlfn.XLOOKUP(TableauRecette[[#This Row],[ID]],TableauProduit[ID],TableauProduit[Total (kg) N6],0,0,1)*TableauRecette[[#This Row],[poids / unite]]</f>
        <v>0</v>
      </c>
      <c r="R282" s="810">
        <f>_xlfn.XLOOKUP(TableauRecette[[#This Row],[ID]],TableauProduit[ID],TableauProduit[Total (kg) N7],0,0,1)*TableauRecette[[#This Row],[poids / unite]]</f>
        <v>0</v>
      </c>
      <c r="S282" s="810">
        <f>_xlfn.XLOOKUP(TableauRecette[[#This Row],[ID]],TableauProduit[ID],TableauProduit[Total (kg) N8],0,0,1)*TableauRecette[[#This Row],[poids / unite]]</f>
        <v>0</v>
      </c>
      <c r="T282" s="810">
        <f>_xlfn.XLOOKUP(TableauRecette[[#This Row],[ID]],TableauProduit[ID],TableauProduit[Total (kg) N9],0,0,1)*TableauRecette[[#This Row],[poids / unite]]</f>
        <v>0</v>
      </c>
    </row>
    <row r="283" spans="1:25">
      <c r="A283" s="94" t="s">
        <v>106</v>
      </c>
      <c r="B283" s="94" t="str">
        <f>TableauRecette[[#This Row],[Recette]]&amp;TableauRecette[[#This Row],[Conditionnement]]</f>
        <v>Pâte vindalooEpice 100ml</v>
      </c>
      <c r="C283" s="94" t="s">
        <v>308</v>
      </c>
      <c r="D283" s="217">
        <v>1</v>
      </c>
      <c r="E283" s="94" t="s">
        <v>55</v>
      </c>
      <c r="F283" s="217">
        <f>D283/SUMIFS(TableauRecette[Proportion],TableauRecette[Recette],TableauRecette[[#This Row],[Recette]],TableauRecette[Conditionnement],TableauRecette[[#This Row],[Conditionnement]])</f>
        <v>8.3333333333333329E-2</v>
      </c>
      <c r="G283" s="217">
        <f ca="1">_xlfn.XLOOKUP(TableauRecette[[#This Row],[Ingredients]],TableauIngredients[Ingredients],TableauIngredients[Prix d''achat (kg)],0)*TableauRecette[[#This Row],[poids / unite]]</f>
        <v>2.6666666666666665</v>
      </c>
      <c r="H283" s="217">
        <f>SUMIFS(TableauRecette[Proportion],TableauRecette[Recette],TableauRecette[[#This Row],[Recette]],TableauRecette[Conditionnement],TableauRecette[[#This Row],[Conditionnement]])</f>
        <v>12</v>
      </c>
      <c r="I283" s="217">
        <f ca="1">TableauRecette[[#This Row],[Proportion]]*TableauRecette[[#This Row],[Prix d''achat / kg]]/TableauRecette[[#This Row],[Total Proportion]]</f>
        <v>0</v>
      </c>
      <c r="J283" s="217"/>
      <c r="K283" s="808"/>
      <c r="L283" s="809">
        <f>_xlfn.XLOOKUP(TableauRecette[[#This Row],[ID]],TableauProduit[ID],TableauProduit[Total (kg) N1],0,0,1)*TableauRecette[[#This Row],[poids / unite]]</f>
        <v>0</v>
      </c>
      <c r="M283" s="810">
        <f>_xlfn.XLOOKUP(TableauRecette[[#This Row],[ID]],TableauProduit[ID],TableauProduit[Total (kg) N2],0,0,1)*TableauRecette[[#This Row],[poids / unite]]</f>
        <v>0</v>
      </c>
      <c r="N283" s="810">
        <f>_xlfn.XLOOKUP(TableauRecette[[#This Row],[ID]],TableauProduit[ID],TableauProduit[Total (kg) N3],0,0,1)*TableauRecette[[#This Row],[poids / unite]]</f>
        <v>0</v>
      </c>
      <c r="O283" s="810">
        <f>_xlfn.XLOOKUP(TableauRecette[[#This Row],[ID]],TableauProduit[ID],TableauProduit[Total (kg) N4],0,0,1)*TableauRecette[[#This Row],[poids / unite]]</f>
        <v>0</v>
      </c>
      <c r="P283" s="810">
        <f>_xlfn.XLOOKUP(TableauRecette[[#This Row],[ID]],TableauProduit[ID],TableauProduit[Total (kg) N5],0,0,1)*TableauRecette[[#This Row],[poids / unite]]</f>
        <v>0</v>
      </c>
      <c r="Q283" s="810">
        <f>_xlfn.XLOOKUP(TableauRecette[[#This Row],[ID]],TableauProduit[ID],TableauProduit[Total (kg) N6],0,0,1)*TableauRecette[[#This Row],[poids / unite]]</f>
        <v>0</v>
      </c>
      <c r="R283" s="810">
        <f>_xlfn.XLOOKUP(TableauRecette[[#This Row],[ID]],TableauProduit[ID],TableauProduit[Total (kg) N7],0,0,1)*TableauRecette[[#This Row],[poids / unite]]</f>
        <v>0</v>
      </c>
      <c r="S283" s="810">
        <f>_xlfn.XLOOKUP(TableauRecette[[#This Row],[ID]],TableauProduit[ID],TableauProduit[Total (kg) N8],0,0,1)*TableauRecette[[#This Row],[poids / unite]]</f>
        <v>0</v>
      </c>
      <c r="T283" s="810">
        <f>_xlfn.XLOOKUP(TableauRecette[[#This Row],[ID]],TableauProduit[ID],TableauProduit[Total (kg) N9],0,0,1)*TableauRecette[[#This Row],[poids / unite]]</f>
        <v>0</v>
      </c>
    </row>
    <row r="284" spans="1:25">
      <c r="A284" s="94" t="s">
        <v>106</v>
      </c>
      <c r="B284" s="94" t="str">
        <f>TableauRecette[[#This Row],[Recette]]&amp;TableauRecette[[#This Row],[Conditionnement]]</f>
        <v>Pâte vindalooEpice 100ml</v>
      </c>
      <c r="C284" s="94" t="s">
        <v>358</v>
      </c>
      <c r="D284" s="217">
        <v>1</v>
      </c>
      <c r="E284" s="94" t="s">
        <v>55</v>
      </c>
      <c r="F284" s="217">
        <f>D284/SUMIFS(TableauRecette[Proportion],TableauRecette[Recette],TableauRecette[[#This Row],[Recette]],TableauRecette[Conditionnement],TableauRecette[[#This Row],[Conditionnement]])</f>
        <v>8.3333333333333329E-2</v>
      </c>
      <c r="G284" s="217">
        <f ca="1">_xlfn.XLOOKUP(TableauRecette[[#This Row],[Ingredients]],TableauIngredients[Ingredients],TableauIngredients[Prix d''achat (kg)],0)*TableauRecette[[#This Row],[poids / unite]]</f>
        <v>0.32016666666666665</v>
      </c>
      <c r="H284" s="217">
        <f>SUMIFS(TableauRecette[Proportion],TableauRecette[Recette],TableauRecette[[#This Row],[Recette]],TableauRecette[Conditionnement],TableauRecette[[#This Row],[Conditionnement]])</f>
        <v>12</v>
      </c>
      <c r="I284" s="217">
        <f ca="1">TableauRecette[[#This Row],[Proportion]]*TableauRecette[[#This Row],[Prix d''achat / kg]]/TableauRecette[[#This Row],[Total Proportion]]</f>
        <v>0</v>
      </c>
      <c r="J284" s="217"/>
      <c r="K284" s="808"/>
      <c r="L284" s="809">
        <f>_xlfn.XLOOKUP(TableauRecette[[#This Row],[ID]],TableauProduit[ID],TableauProduit[Total (kg) N1],0,0,1)*TableauRecette[[#This Row],[poids / unite]]</f>
        <v>0</v>
      </c>
      <c r="M284" s="810">
        <f>_xlfn.XLOOKUP(TableauRecette[[#This Row],[ID]],TableauProduit[ID],TableauProduit[Total (kg) N2],0,0,1)*TableauRecette[[#This Row],[poids / unite]]</f>
        <v>0</v>
      </c>
      <c r="N284" s="810">
        <f>_xlfn.XLOOKUP(TableauRecette[[#This Row],[ID]],TableauProduit[ID],TableauProduit[Total (kg) N3],0,0,1)*TableauRecette[[#This Row],[poids / unite]]</f>
        <v>0</v>
      </c>
      <c r="O284" s="810">
        <f>_xlfn.XLOOKUP(TableauRecette[[#This Row],[ID]],TableauProduit[ID],TableauProduit[Total (kg) N4],0,0,1)*TableauRecette[[#This Row],[poids / unite]]</f>
        <v>0</v>
      </c>
      <c r="P284" s="810">
        <f>_xlfn.XLOOKUP(TableauRecette[[#This Row],[ID]],TableauProduit[ID],TableauProduit[Total (kg) N5],0,0,1)*TableauRecette[[#This Row],[poids / unite]]</f>
        <v>0</v>
      </c>
      <c r="Q284" s="810">
        <f>_xlfn.XLOOKUP(TableauRecette[[#This Row],[ID]],TableauProduit[ID],TableauProduit[Total (kg) N6],0,0,1)*TableauRecette[[#This Row],[poids / unite]]</f>
        <v>0</v>
      </c>
      <c r="R284" s="810">
        <f>_xlfn.XLOOKUP(TableauRecette[[#This Row],[ID]],TableauProduit[ID],TableauProduit[Total (kg) N7],0,0,1)*TableauRecette[[#This Row],[poids / unite]]</f>
        <v>0</v>
      </c>
      <c r="S284" s="810">
        <f>_xlfn.XLOOKUP(TableauRecette[[#This Row],[ID]],TableauProduit[ID],TableauProduit[Total (kg) N8],0,0,1)*TableauRecette[[#This Row],[poids / unite]]</f>
        <v>0</v>
      </c>
      <c r="T284" s="810">
        <f>_xlfn.XLOOKUP(TableauRecette[[#This Row],[ID]],TableauProduit[ID],TableauProduit[Total (kg) N9],0,0,1)*TableauRecette[[#This Row],[poids / unite]]</f>
        <v>0</v>
      </c>
    </row>
    <row r="285" spans="1:25">
      <c r="A285" s="94" t="s">
        <v>106</v>
      </c>
      <c r="B285" s="94" t="str">
        <f>TableauRecette[[#This Row],[Recette]]&amp;TableauRecette[[#This Row],[Conditionnement]]</f>
        <v>Pâte vindalooEpice 100ml</v>
      </c>
      <c r="C285" s="94" t="s">
        <v>303</v>
      </c>
      <c r="D285" s="217">
        <v>1</v>
      </c>
      <c r="E285" s="94" t="s">
        <v>55</v>
      </c>
      <c r="F285" s="217">
        <f>D285/SUMIFS(TableauRecette[Proportion],TableauRecette[Recette],TableauRecette[[#This Row],[Recette]],TableauRecette[Conditionnement],TableauRecette[[#This Row],[Conditionnement]])</f>
        <v>8.3333333333333329E-2</v>
      </c>
      <c r="G285" s="217">
        <f ca="1">_xlfn.XLOOKUP(TableauRecette[[#This Row],[Ingredients]],TableauIngredients[Ingredients],TableauIngredients[Prix d''achat (kg)],0)*TableauRecette[[#This Row],[poids / unite]]</f>
        <v>0.11666666666666665</v>
      </c>
      <c r="H285" s="217">
        <f>SUMIFS(TableauRecette[Proportion],TableauRecette[Recette],TableauRecette[[#This Row],[Recette]],TableauRecette[Conditionnement],TableauRecette[[#This Row],[Conditionnement]])</f>
        <v>12</v>
      </c>
      <c r="I285" s="217">
        <f ca="1">TableauRecette[[#This Row],[Proportion]]*TableauRecette[[#This Row],[Prix d''achat / kg]]/TableauRecette[[#This Row],[Total Proportion]]</f>
        <v>0</v>
      </c>
      <c r="J285" s="217"/>
      <c r="K285" s="808"/>
      <c r="L285" s="809">
        <f>_xlfn.XLOOKUP(TableauRecette[[#This Row],[ID]],TableauProduit[ID],TableauProduit[Total (kg) N1],0,0,1)*TableauRecette[[#This Row],[poids / unite]]</f>
        <v>0</v>
      </c>
      <c r="M285" s="810">
        <f>_xlfn.XLOOKUP(TableauRecette[[#This Row],[ID]],TableauProduit[ID],TableauProduit[Total (kg) N2],0,0,1)*TableauRecette[[#This Row],[poids / unite]]</f>
        <v>0</v>
      </c>
      <c r="N285" s="810">
        <f>_xlfn.XLOOKUP(TableauRecette[[#This Row],[ID]],TableauProduit[ID],TableauProduit[Total (kg) N3],0,0,1)*TableauRecette[[#This Row],[poids / unite]]</f>
        <v>0</v>
      </c>
      <c r="O285" s="810">
        <f>_xlfn.XLOOKUP(TableauRecette[[#This Row],[ID]],TableauProduit[ID],TableauProduit[Total (kg) N4],0,0,1)*TableauRecette[[#This Row],[poids / unite]]</f>
        <v>0</v>
      </c>
      <c r="P285" s="810">
        <f>_xlfn.XLOOKUP(TableauRecette[[#This Row],[ID]],TableauProduit[ID],TableauProduit[Total (kg) N5],0,0,1)*TableauRecette[[#This Row],[poids / unite]]</f>
        <v>0</v>
      </c>
      <c r="Q285" s="810">
        <f>_xlfn.XLOOKUP(TableauRecette[[#This Row],[ID]],TableauProduit[ID],TableauProduit[Total (kg) N6],0,0,1)*TableauRecette[[#This Row],[poids / unite]]</f>
        <v>0</v>
      </c>
      <c r="R285" s="810">
        <f>_xlfn.XLOOKUP(TableauRecette[[#This Row],[ID]],TableauProduit[ID],TableauProduit[Total (kg) N7],0,0,1)*TableauRecette[[#This Row],[poids / unite]]</f>
        <v>0</v>
      </c>
      <c r="S285" s="810">
        <f>_xlfn.XLOOKUP(TableauRecette[[#This Row],[ID]],TableauProduit[ID],TableauProduit[Total (kg) N8],0,0,1)*TableauRecette[[#This Row],[poids / unite]]</f>
        <v>0</v>
      </c>
      <c r="T285" s="810">
        <f>_xlfn.XLOOKUP(TableauRecette[[#This Row],[ID]],TableauProduit[ID],TableauProduit[Total (kg) N9],0,0,1)*TableauRecette[[#This Row],[poids / unite]]</f>
        <v>0</v>
      </c>
    </row>
    <row r="286" spans="1:25">
      <c r="A286" s="94" t="s">
        <v>106</v>
      </c>
      <c r="B286" s="94" t="str">
        <f>TableauRecette[[#This Row],[Recette]]&amp;TableauRecette[[#This Row],[Conditionnement]]</f>
        <v>Pâte vindalooEpice 100ml</v>
      </c>
      <c r="C286" s="94" t="s">
        <v>369</v>
      </c>
      <c r="D286" s="217">
        <v>1</v>
      </c>
      <c r="E286" s="94" t="s">
        <v>55</v>
      </c>
      <c r="F286" s="217">
        <f>D286/SUMIFS(TableauRecette[Proportion],TableauRecette[Recette],TableauRecette[[#This Row],[Recette]],TableauRecette[Conditionnement],TableauRecette[[#This Row],[Conditionnement]])</f>
        <v>8.3333333333333329E-2</v>
      </c>
      <c r="G286" s="217">
        <f ca="1">_xlfn.XLOOKUP(TableauRecette[[#This Row],[Ingredients]],TableauIngredients[Ingredients],TableauIngredients[Prix d''achat (kg)],0)*TableauRecette[[#This Row],[poids / unite]]</f>
        <v>0</v>
      </c>
      <c r="H286" s="217">
        <f>SUMIFS(TableauRecette[Proportion],TableauRecette[Recette],TableauRecette[[#This Row],[Recette]],TableauRecette[Conditionnement],TableauRecette[[#This Row],[Conditionnement]])</f>
        <v>12</v>
      </c>
      <c r="I286" s="217">
        <f ca="1">TableauRecette[[#This Row],[Proportion]]*TableauRecette[[#This Row],[Prix d''achat / kg]]/TableauRecette[[#This Row],[Total Proportion]]</f>
        <v>0</v>
      </c>
      <c r="J286" s="217"/>
      <c r="K286" s="808"/>
      <c r="L286" s="809">
        <f>_xlfn.XLOOKUP(TableauRecette[[#This Row],[ID]],TableauProduit[ID],TableauProduit[Total (kg) N1],0,0,1)*TableauRecette[[#This Row],[poids / unite]]</f>
        <v>0</v>
      </c>
      <c r="M286" s="810">
        <f>_xlfn.XLOOKUP(TableauRecette[[#This Row],[ID]],TableauProduit[ID],TableauProduit[Total (kg) N2],0,0,1)*TableauRecette[[#This Row],[poids / unite]]</f>
        <v>0</v>
      </c>
      <c r="N286" s="810">
        <f>_xlfn.XLOOKUP(TableauRecette[[#This Row],[ID]],TableauProduit[ID],TableauProduit[Total (kg) N3],0,0,1)*TableauRecette[[#This Row],[poids / unite]]</f>
        <v>0</v>
      </c>
      <c r="O286" s="810">
        <f>_xlfn.XLOOKUP(TableauRecette[[#This Row],[ID]],TableauProduit[ID],TableauProduit[Total (kg) N4],0,0,1)*TableauRecette[[#This Row],[poids / unite]]</f>
        <v>0</v>
      </c>
      <c r="P286" s="810">
        <f>_xlfn.XLOOKUP(TableauRecette[[#This Row],[ID]],TableauProduit[ID],TableauProduit[Total (kg) N5],0,0,1)*TableauRecette[[#This Row],[poids / unite]]</f>
        <v>0</v>
      </c>
      <c r="Q286" s="810">
        <f>_xlfn.XLOOKUP(TableauRecette[[#This Row],[ID]],TableauProduit[ID],TableauProduit[Total (kg) N6],0,0,1)*TableauRecette[[#This Row],[poids / unite]]</f>
        <v>0</v>
      </c>
      <c r="R286" s="810">
        <f>_xlfn.XLOOKUP(TableauRecette[[#This Row],[ID]],TableauProduit[ID],TableauProduit[Total (kg) N7],0,0,1)*TableauRecette[[#This Row],[poids / unite]]</f>
        <v>0</v>
      </c>
      <c r="S286" s="810">
        <f>_xlfn.XLOOKUP(TableauRecette[[#This Row],[ID]],TableauProduit[ID],TableauProduit[Total (kg) N8],0,0,1)*TableauRecette[[#This Row],[poids / unite]]</f>
        <v>0</v>
      </c>
      <c r="T286" s="810">
        <f>_xlfn.XLOOKUP(TableauRecette[[#This Row],[ID]],TableauProduit[ID],TableauProduit[Total (kg) N9],0,0,1)*TableauRecette[[#This Row],[poids / unite]]</f>
        <v>0</v>
      </c>
    </row>
    <row r="287" spans="1:25">
      <c r="A287" s="95" t="s">
        <v>700</v>
      </c>
      <c r="B287" s="95" t="str">
        <f>TableauRecette[[#This Row],[Recette]]&amp;TableauRecette[[#This Row],[Conditionnement]]</f>
        <v>Quatre epicesEpice 100ml</v>
      </c>
      <c r="C287" s="95" t="s">
        <v>287</v>
      </c>
      <c r="D287" s="218">
        <v>20</v>
      </c>
      <c r="E287" s="95" t="s">
        <v>55</v>
      </c>
      <c r="F287" s="218">
        <f>D287/SUMIFS(TableauRecette[Proportion],TableauRecette[Recette],TableauRecette[[#This Row],[Recette]],TableauRecette[Conditionnement],TableauRecette[[#This Row],[Conditionnement]])</f>
        <v>0.45454545454545453</v>
      </c>
      <c r="G287" s="218">
        <f ca="1">_xlfn.XLOOKUP(TableauRecette[[#This Row],[Ingredients]],TableauIngredients[Ingredients],TableauIngredients[Prix d''achat (kg)],0)*TableauRecette[[#This Row],[poids / unite]]</f>
        <v>16.75</v>
      </c>
      <c r="H287" s="218">
        <f>SUMIFS(TableauRecette[Proportion],TableauRecette[Recette],TableauRecette[[#This Row],[Recette]],TableauRecette[Conditionnement],TableauRecette[[#This Row],[Conditionnement]])</f>
        <v>44</v>
      </c>
      <c r="I287" s="218">
        <f ca="1">TableauRecette[[#This Row],[Proportion]]*TableauRecette[[#This Row],[Prix d''achat / kg]]/TableauRecette[[#This Row],[Total Proportion]]</f>
        <v>0</v>
      </c>
      <c r="J287" s="218"/>
      <c r="K287" s="811"/>
      <c r="L287" s="812">
        <f>_xlfn.XLOOKUP(TableauRecette[[#This Row],[ID]],TableauProduit[ID],TableauProduit[Total (kg) N1],0,0,1)*TableauRecette[[#This Row],[poids / unite]]</f>
        <v>0</v>
      </c>
      <c r="M287" s="813">
        <f>_xlfn.XLOOKUP(TableauRecette[[#This Row],[ID]],TableauProduit[ID],TableauProduit[Total (kg) N2],0,0,1)*TableauRecette[[#This Row],[poids / unite]]</f>
        <v>0</v>
      </c>
      <c r="N287" s="813">
        <f>_xlfn.XLOOKUP(TableauRecette[[#This Row],[ID]],TableauProduit[ID],TableauProduit[Total (kg) N3],0,0,1)*TableauRecette[[#This Row],[poids / unite]]</f>
        <v>0</v>
      </c>
      <c r="O287" s="813">
        <f>_xlfn.XLOOKUP(TableauRecette[[#This Row],[ID]],TableauProduit[ID],TableauProduit[Total (kg) N4],0,0,1)*TableauRecette[[#This Row],[poids / unite]]</f>
        <v>0</v>
      </c>
      <c r="P287" s="813">
        <f>_xlfn.XLOOKUP(TableauRecette[[#This Row],[ID]],TableauProduit[ID],TableauProduit[Total (kg) N5],0,0,1)*TableauRecette[[#This Row],[poids / unite]]</f>
        <v>0</v>
      </c>
      <c r="Q287" s="813">
        <f>_xlfn.XLOOKUP(TableauRecette[[#This Row],[ID]],TableauProduit[ID],TableauProduit[Total (kg) N6],0,0,1)*TableauRecette[[#This Row],[poids / unite]]</f>
        <v>0</v>
      </c>
      <c r="R287" s="813">
        <f>_xlfn.XLOOKUP(TableauRecette[[#This Row],[ID]],TableauProduit[ID],TableauProduit[Total (kg) N7],0,0,1)*TableauRecette[[#This Row],[poids / unite]]</f>
        <v>0</v>
      </c>
      <c r="S287" s="813">
        <f>_xlfn.XLOOKUP(TableauRecette[[#This Row],[ID]],TableauProduit[ID],TableauProduit[Total (kg) N8],0,0,1)*TableauRecette[[#This Row],[poids / unite]]</f>
        <v>0</v>
      </c>
      <c r="T287" s="813">
        <f>_xlfn.XLOOKUP(TableauRecette[[#This Row],[ID]],TableauProduit[ID],TableauProduit[Total (kg) N9],0,0,1)*TableauRecette[[#This Row],[poids / unite]]</f>
        <v>0</v>
      </c>
    </row>
    <row r="288" spans="1:25">
      <c r="A288" s="95" t="s">
        <v>700</v>
      </c>
      <c r="B288" s="95" t="str">
        <f>TableauRecette[[#This Row],[Recette]]&amp;TableauRecette[[#This Row],[Conditionnement]]</f>
        <v>Quatre epicesEpice 100ml</v>
      </c>
      <c r="C288" s="95" t="s">
        <v>331</v>
      </c>
      <c r="D288" s="218">
        <v>6</v>
      </c>
      <c r="E288" s="95" t="s">
        <v>55</v>
      </c>
      <c r="F288" s="218">
        <f>D288/SUMIFS(TableauRecette[Proportion],TableauRecette[Recette],TableauRecette[[#This Row],[Recette]],TableauRecette[Conditionnement],TableauRecette[[#This Row],[Conditionnement]])</f>
        <v>0.13636363636363635</v>
      </c>
      <c r="G288" s="218">
        <f ca="1">_xlfn.XLOOKUP(TableauRecette[[#This Row],[Ingredients]],TableauIngredients[Ingredients],TableauIngredients[Prix d''achat (kg)],0)*TableauRecette[[#This Row],[poids / unite]]</f>
        <v>8.1818181818181817</v>
      </c>
      <c r="H288" s="218">
        <f>SUMIFS(TableauRecette[Proportion],TableauRecette[Recette],TableauRecette[[#This Row],[Recette]],TableauRecette[Conditionnement],TableauRecette[[#This Row],[Conditionnement]])</f>
        <v>44</v>
      </c>
      <c r="I288" s="218">
        <f ca="1">TableauRecette[[#This Row],[Proportion]]*TableauRecette[[#This Row],[Prix d''achat / kg]]/TableauRecette[[#This Row],[Total Proportion]]</f>
        <v>0</v>
      </c>
      <c r="J288" s="218"/>
      <c r="K288" s="811"/>
      <c r="L288" s="812">
        <f>_xlfn.XLOOKUP(TableauRecette[[#This Row],[ID]],TableauProduit[ID],TableauProduit[Total (kg) N1],0,0,1)*TableauRecette[[#This Row],[poids / unite]]</f>
        <v>0</v>
      </c>
      <c r="M288" s="813">
        <f>_xlfn.XLOOKUP(TableauRecette[[#This Row],[ID]],TableauProduit[ID],TableauProduit[Total (kg) N2],0,0,1)*TableauRecette[[#This Row],[poids / unite]]</f>
        <v>0</v>
      </c>
      <c r="N288" s="813">
        <f>_xlfn.XLOOKUP(TableauRecette[[#This Row],[ID]],TableauProduit[ID],TableauProduit[Total (kg) N3],0,0,1)*TableauRecette[[#This Row],[poids / unite]]</f>
        <v>0</v>
      </c>
      <c r="O288" s="813">
        <f>_xlfn.XLOOKUP(TableauRecette[[#This Row],[ID]],TableauProduit[ID],TableauProduit[Total (kg) N4],0,0,1)*TableauRecette[[#This Row],[poids / unite]]</f>
        <v>0</v>
      </c>
      <c r="P288" s="813">
        <f>_xlfn.XLOOKUP(TableauRecette[[#This Row],[ID]],TableauProduit[ID],TableauProduit[Total (kg) N5],0,0,1)*TableauRecette[[#This Row],[poids / unite]]</f>
        <v>0</v>
      </c>
      <c r="Q288" s="813">
        <f>_xlfn.XLOOKUP(TableauRecette[[#This Row],[ID]],TableauProduit[ID],TableauProduit[Total (kg) N6],0,0,1)*TableauRecette[[#This Row],[poids / unite]]</f>
        <v>0</v>
      </c>
      <c r="R288" s="813">
        <f>_xlfn.XLOOKUP(TableauRecette[[#This Row],[ID]],TableauProduit[ID],TableauProduit[Total (kg) N7],0,0,1)*TableauRecette[[#This Row],[poids / unite]]</f>
        <v>0</v>
      </c>
      <c r="S288" s="813">
        <f>_xlfn.XLOOKUP(TableauRecette[[#This Row],[ID]],TableauProduit[ID],TableauProduit[Total (kg) N8],0,0,1)*TableauRecette[[#This Row],[poids / unite]]</f>
        <v>0</v>
      </c>
      <c r="T288" s="813">
        <f>_xlfn.XLOOKUP(TableauRecette[[#This Row],[ID]],TableauProduit[ID],TableauProduit[Total (kg) N9],0,0,1)*TableauRecette[[#This Row],[poids / unite]]</f>
        <v>0</v>
      </c>
    </row>
    <row r="289" spans="1:20">
      <c r="A289" s="95" t="s">
        <v>700</v>
      </c>
      <c r="B289" s="95" t="str">
        <f>TableauRecette[[#This Row],[Recette]]&amp;TableauRecette[[#This Row],[Conditionnement]]</f>
        <v>Quatre epicesEpice 100ml</v>
      </c>
      <c r="C289" s="95" t="s">
        <v>288</v>
      </c>
      <c r="D289" s="218">
        <v>6</v>
      </c>
      <c r="E289" s="95" t="s">
        <v>55</v>
      </c>
      <c r="F289" s="218">
        <f>D289/SUMIFS(TableauRecette[Proportion],TableauRecette[Recette],TableauRecette[[#This Row],[Recette]],TableauRecette[Conditionnement],TableauRecette[[#This Row],[Conditionnement]])</f>
        <v>0.13636363636363635</v>
      </c>
      <c r="G289" s="218">
        <f ca="1">_xlfn.XLOOKUP(TableauRecette[[#This Row],[Ingredients]],TableauIngredients[Ingredients],TableauIngredients[Prix d''achat (kg)],0)*TableauRecette[[#This Row],[poids / unite]]</f>
        <v>4.9090909090909083</v>
      </c>
      <c r="H289" s="218">
        <f>SUMIFS(TableauRecette[Proportion],TableauRecette[Recette],TableauRecette[[#This Row],[Recette]],TableauRecette[Conditionnement],TableauRecette[[#This Row],[Conditionnement]])</f>
        <v>44</v>
      </c>
      <c r="I289" s="218">
        <f ca="1">TableauRecette[[#This Row],[Proportion]]*TableauRecette[[#This Row],[Prix d''achat / kg]]/TableauRecette[[#This Row],[Total Proportion]]</f>
        <v>0</v>
      </c>
      <c r="J289" s="218"/>
      <c r="K289" s="811"/>
      <c r="L289" s="812">
        <f>_xlfn.XLOOKUP(TableauRecette[[#This Row],[ID]],TableauProduit[ID],TableauProduit[Total (kg) N1],0,0,1)*TableauRecette[[#This Row],[poids / unite]]</f>
        <v>0</v>
      </c>
      <c r="M289" s="813">
        <f>_xlfn.XLOOKUP(TableauRecette[[#This Row],[ID]],TableauProduit[ID],TableauProduit[Total (kg) N2],0,0,1)*TableauRecette[[#This Row],[poids / unite]]</f>
        <v>0</v>
      </c>
      <c r="N289" s="813">
        <f>_xlfn.XLOOKUP(TableauRecette[[#This Row],[ID]],TableauProduit[ID],TableauProduit[Total (kg) N3],0,0,1)*TableauRecette[[#This Row],[poids / unite]]</f>
        <v>0</v>
      </c>
      <c r="O289" s="813">
        <f>_xlfn.XLOOKUP(TableauRecette[[#This Row],[ID]],TableauProduit[ID],TableauProduit[Total (kg) N4],0,0,1)*TableauRecette[[#This Row],[poids / unite]]</f>
        <v>0</v>
      </c>
      <c r="P289" s="813">
        <f>_xlfn.XLOOKUP(TableauRecette[[#This Row],[ID]],TableauProduit[ID],TableauProduit[Total (kg) N5],0,0,1)*TableauRecette[[#This Row],[poids / unite]]</f>
        <v>0</v>
      </c>
      <c r="Q289" s="813">
        <f>_xlfn.XLOOKUP(TableauRecette[[#This Row],[ID]],TableauProduit[ID],TableauProduit[Total (kg) N6],0,0,1)*TableauRecette[[#This Row],[poids / unite]]</f>
        <v>0</v>
      </c>
      <c r="R289" s="813">
        <f>_xlfn.XLOOKUP(TableauRecette[[#This Row],[ID]],TableauProduit[ID],TableauProduit[Total (kg) N7],0,0,1)*TableauRecette[[#This Row],[poids / unite]]</f>
        <v>0</v>
      </c>
      <c r="S289" s="813">
        <f>_xlfn.XLOOKUP(TableauRecette[[#This Row],[ID]],TableauProduit[ID],TableauProduit[Total (kg) N8],0,0,1)*TableauRecette[[#This Row],[poids / unite]]</f>
        <v>0</v>
      </c>
      <c r="T289" s="813">
        <f>_xlfn.XLOOKUP(TableauRecette[[#This Row],[ID]],TableauProduit[ID],TableauProduit[Total (kg) N9],0,0,1)*TableauRecette[[#This Row],[poids / unite]]</f>
        <v>0</v>
      </c>
    </row>
    <row r="290" spans="1:20">
      <c r="A290" s="95" t="s">
        <v>700</v>
      </c>
      <c r="B290" s="95" t="str">
        <f>TableauRecette[[#This Row],[Recette]]&amp;TableauRecette[[#This Row],[Conditionnement]]</f>
        <v>Quatre epicesEpice 100ml</v>
      </c>
      <c r="C290" s="95" t="s">
        <v>285</v>
      </c>
      <c r="D290" s="218">
        <v>6</v>
      </c>
      <c r="E290" s="95" t="s">
        <v>55</v>
      </c>
      <c r="F290" s="218">
        <f>D290/SUMIFS(TableauRecette[Proportion],TableauRecette[Recette],TableauRecette[[#This Row],[Recette]],TableauRecette[Conditionnement],TableauRecette[[#This Row],[Conditionnement]])</f>
        <v>0.13636363636363635</v>
      </c>
      <c r="G290" s="218">
        <f ca="1">_xlfn.XLOOKUP(TableauRecette[[#This Row],[Ingredients]],TableauIngredients[Ingredients],TableauIngredients[Prix d''achat (kg)],0)*TableauRecette[[#This Row],[poids / unite]]</f>
        <v>3</v>
      </c>
      <c r="H290" s="218">
        <f>SUMIFS(TableauRecette[Proportion],TableauRecette[Recette],TableauRecette[[#This Row],[Recette]],TableauRecette[Conditionnement],TableauRecette[[#This Row],[Conditionnement]])</f>
        <v>44</v>
      </c>
      <c r="I290" s="218">
        <f ca="1">TableauRecette[[#This Row],[Proportion]]*TableauRecette[[#This Row],[Prix d''achat / kg]]/TableauRecette[[#This Row],[Total Proportion]]</f>
        <v>0</v>
      </c>
      <c r="J290" s="218"/>
      <c r="K290" s="811"/>
      <c r="L290" s="812">
        <f>_xlfn.XLOOKUP(TableauRecette[[#This Row],[ID]],TableauProduit[ID],TableauProduit[Total (kg) N1],0,0,1)*TableauRecette[[#This Row],[poids / unite]]</f>
        <v>0</v>
      </c>
      <c r="M290" s="813">
        <f>_xlfn.XLOOKUP(TableauRecette[[#This Row],[ID]],TableauProduit[ID],TableauProduit[Total (kg) N2],0,0,1)*TableauRecette[[#This Row],[poids / unite]]</f>
        <v>0</v>
      </c>
      <c r="N290" s="813">
        <f>_xlfn.XLOOKUP(TableauRecette[[#This Row],[ID]],TableauProduit[ID],TableauProduit[Total (kg) N3],0,0,1)*TableauRecette[[#This Row],[poids / unite]]</f>
        <v>0</v>
      </c>
      <c r="O290" s="813">
        <f>_xlfn.XLOOKUP(TableauRecette[[#This Row],[ID]],TableauProduit[ID],TableauProduit[Total (kg) N4],0,0,1)*TableauRecette[[#This Row],[poids / unite]]</f>
        <v>0</v>
      </c>
      <c r="P290" s="813">
        <f>_xlfn.XLOOKUP(TableauRecette[[#This Row],[ID]],TableauProduit[ID],TableauProduit[Total (kg) N5],0,0,1)*TableauRecette[[#This Row],[poids / unite]]</f>
        <v>0</v>
      </c>
      <c r="Q290" s="813">
        <f>_xlfn.XLOOKUP(TableauRecette[[#This Row],[ID]],TableauProduit[ID],TableauProduit[Total (kg) N6],0,0,1)*TableauRecette[[#This Row],[poids / unite]]</f>
        <v>0</v>
      </c>
      <c r="R290" s="813">
        <f>_xlfn.XLOOKUP(TableauRecette[[#This Row],[ID]],TableauProduit[ID],TableauProduit[Total (kg) N7],0,0,1)*TableauRecette[[#This Row],[poids / unite]]</f>
        <v>0</v>
      </c>
      <c r="S290" s="813">
        <f>_xlfn.XLOOKUP(TableauRecette[[#This Row],[ID]],TableauProduit[ID],TableauProduit[Total (kg) N8],0,0,1)*TableauRecette[[#This Row],[poids / unite]]</f>
        <v>0</v>
      </c>
      <c r="T290" s="813">
        <f>_xlfn.XLOOKUP(TableauRecette[[#This Row],[ID]],TableauProduit[ID],TableauProduit[Total (kg) N9],0,0,1)*TableauRecette[[#This Row],[poids / unite]]</f>
        <v>0</v>
      </c>
    </row>
    <row r="291" spans="1:20">
      <c r="A291" s="95" t="s">
        <v>700</v>
      </c>
      <c r="B291" s="95" t="str">
        <f>TableauRecette[[#This Row],[Recette]]&amp;TableauRecette[[#This Row],[Conditionnement]]</f>
        <v>Quatre epicesEpice 100ml</v>
      </c>
      <c r="C291" s="667" t="s">
        <v>299</v>
      </c>
      <c r="D291" s="218">
        <v>6</v>
      </c>
      <c r="E291" s="95" t="s">
        <v>55</v>
      </c>
      <c r="F291" s="218">
        <f>D291/SUMIFS(TableauRecette[Proportion],TableauRecette[Recette],TableauRecette[[#This Row],[Recette]],TableauRecette[Conditionnement],TableauRecette[[#This Row],[Conditionnement]])</f>
        <v>0.13636363636363635</v>
      </c>
      <c r="G291" s="218">
        <f ca="1">_xlfn.XLOOKUP(TableauRecette[[#This Row],[Ingredients]],TableauIngredients[Ingredients],TableauIngredients[Prix d''achat (kg)],0)*TableauRecette[[#This Row],[poids / unite]]</f>
        <v>0</v>
      </c>
      <c r="H291" s="218">
        <f>SUMIFS(TableauRecette[Proportion],TableauRecette[Recette],TableauRecette[[#This Row],[Recette]],TableauRecette[Conditionnement],TableauRecette[[#This Row],[Conditionnement]])</f>
        <v>44</v>
      </c>
      <c r="I291" s="218">
        <f ca="1">TableauRecette[[#This Row],[Proportion]]*TableauRecette[[#This Row],[Prix d''achat / kg]]/TableauRecette[[#This Row],[Total Proportion]]</f>
        <v>0</v>
      </c>
      <c r="J291" s="218"/>
      <c r="K291" s="811"/>
      <c r="L291" s="812">
        <f>_xlfn.XLOOKUP(TableauRecette[[#This Row],[ID]],TableauProduit[ID],TableauProduit[Total (kg) N1],0,0,1)*TableauRecette[[#This Row],[poids / unite]]</f>
        <v>0</v>
      </c>
      <c r="M291" s="813">
        <f>_xlfn.XLOOKUP(TableauRecette[[#This Row],[ID]],TableauProduit[ID],TableauProduit[Total (kg) N2],0,0,1)*TableauRecette[[#This Row],[poids / unite]]</f>
        <v>0</v>
      </c>
      <c r="N291" s="813">
        <f>_xlfn.XLOOKUP(TableauRecette[[#This Row],[ID]],TableauProduit[ID],TableauProduit[Total (kg) N3],0,0,1)*TableauRecette[[#This Row],[poids / unite]]</f>
        <v>0</v>
      </c>
      <c r="O291" s="813">
        <f>_xlfn.XLOOKUP(TableauRecette[[#This Row],[ID]],TableauProduit[ID],TableauProduit[Total (kg) N4],0,0,1)*TableauRecette[[#This Row],[poids / unite]]</f>
        <v>0</v>
      </c>
      <c r="P291" s="813">
        <f>_xlfn.XLOOKUP(TableauRecette[[#This Row],[ID]],TableauProduit[ID],TableauProduit[Total (kg) N5],0,0,1)*TableauRecette[[#This Row],[poids / unite]]</f>
        <v>0</v>
      </c>
      <c r="Q291" s="813">
        <f>_xlfn.XLOOKUP(TableauRecette[[#This Row],[ID]],TableauProduit[ID],TableauProduit[Total (kg) N6],0,0,1)*TableauRecette[[#This Row],[poids / unite]]</f>
        <v>0</v>
      </c>
      <c r="R291" s="813">
        <f>_xlfn.XLOOKUP(TableauRecette[[#This Row],[ID]],TableauProduit[ID],TableauProduit[Total (kg) N7],0,0,1)*TableauRecette[[#This Row],[poids / unite]]</f>
        <v>0</v>
      </c>
      <c r="S291" s="813">
        <f>_xlfn.XLOOKUP(TableauRecette[[#This Row],[ID]],TableauProduit[ID],TableauProduit[Total (kg) N8],0,0,1)*TableauRecette[[#This Row],[poids / unite]]</f>
        <v>0</v>
      </c>
      <c r="T291" s="813">
        <f>_xlfn.XLOOKUP(TableauRecette[[#This Row],[ID]],TableauProduit[ID],TableauProduit[Total (kg) N9],0,0,1)*TableauRecette[[#This Row],[poids / unite]]</f>
        <v>0</v>
      </c>
    </row>
    <row r="292" spans="1:20">
      <c r="A292" s="96" t="s">
        <v>98</v>
      </c>
      <c r="B292" s="96" t="str">
        <f>TableauRecette[[#This Row],[Recette]]&amp;TableauRecette[[#This Row],[Conditionnement]]</f>
        <v>Ras el hanoutEpice 100ml</v>
      </c>
      <c r="C292" s="96" t="s">
        <v>303</v>
      </c>
      <c r="D292" s="219">
        <v>1</v>
      </c>
      <c r="E292" s="96" t="s">
        <v>55</v>
      </c>
      <c r="F292" s="219">
        <f>D292/SUMIFS(TableauRecette[Proportion],TableauRecette[Recette],TableauRecette[[#This Row],[Recette]],TableauRecette[Conditionnement],TableauRecette[[#This Row],[Conditionnement]])</f>
        <v>0.12121212121212122</v>
      </c>
      <c r="G292" s="219">
        <f ca="1">_xlfn.XLOOKUP(TableauRecette[[#This Row],[Ingredients]],TableauIngredients[Ingredients],TableauIngredients[Prix d''achat (kg)],0)*TableauRecette[[#This Row],[poids / unite]]</f>
        <v>0.16969696969696968</v>
      </c>
      <c r="H292" s="219">
        <f>SUMIFS(TableauRecette[Proportion],TableauRecette[Recette],TableauRecette[[#This Row],[Recette]],TableauRecette[Conditionnement],TableauRecette[[#This Row],[Conditionnement]])</f>
        <v>8.25</v>
      </c>
      <c r="I292" s="219">
        <f ca="1">TableauRecette[[#This Row],[Proportion]]*TableauRecette[[#This Row],[Prix d''achat / kg]]/TableauRecette[[#This Row],[Total Proportion]]</f>
        <v>0</v>
      </c>
      <c r="J292" s="219"/>
      <c r="K292" s="814"/>
      <c r="L292" s="815">
        <f>_xlfn.XLOOKUP(TableauRecette[[#This Row],[ID]],TableauProduit[ID],TableauProduit[Total (kg) N1],0,0,1)*TableauRecette[[#This Row],[poids / unite]]</f>
        <v>0</v>
      </c>
      <c r="M292" s="816">
        <f>_xlfn.XLOOKUP(TableauRecette[[#This Row],[ID]],TableauProduit[ID],TableauProduit[Total (kg) N2],0,0,1)*TableauRecette[[#This Row],[poids / unite]]</f>
        <v>0</v>
      </c>
      <c r="N292" s="816">
        <f>_xlfn.XLOOKUP(TableauRecette[[#This Row],[ID]],TableauProduit[ID],TableauProduit[Total (kg) N3],0,0,1)*TableauRecette[[#This Row],[poids / unite]]</f>
        <v>0</v>
      </c>
      <c r="O292" s="816">
        <f>_xlfn.XLOOKUP(TableauRecette[[#This Row],[ID]],TableauProduit[ID],TableauProduit[Total (kg) N4],0,0,1)*TableauRecette[[#This Row],[poids / unite]]</f>
        <v>0</v>
      </c>
      <c r="P292" s="816">
        <f>_xlfn.XLOOKUP(TableauRecette[[#This Row],[ID]],TableauProduit[ID],TableauProduit[Total (kg) N5],0,0,1)*TableauRecette[[#This Row],[poids / unite]]</f>
        <v>0</v>
      </c>
      <c r="Q292" s="816">
        <f>_xlfn.XLOOKUP(TableauRecette[[#This Row],[ID]],TableauProduit[ID],TableauProduit[Total (kg) N6],0,0,1)*TableauRecette[[#This Row],[poids / unite]]</f>
        <v>0</v>
      </c>
      <c r="R292" s="816">
        <f>_xlfn.XLOOKUP(TableauRecette[[#This Row],[ID]],TableauProduit[ID],TableauProduit[Total (kg) N7],0,0,1)*TableauRecette[[#This Row],[poids / unite]]</f>
        <v>0</v>
      </c>
      <c r="S292" s="816">
        <f>_xlfn.XLOOKUP(TableauRecette[[#This Row],[ID]],TableauProduit[ID],TableauProduit[Total (kg) N8],0,0,1)*TableauRecette[[#This Row],[poids / unite]]</f>
        <v>0</v>
      </c>
      <c r="T292" s="816">
        <f>_xlfn.XLOOKUP(TableauRecette[[#This Row],[ID]],TableauProduit[ID],TableauProduit[Total (kg) N9],0,0,1)*TableauRecette[[#This Row],[poids / unite]]</f>
        <v>0</v>
      </c>
    </row>
    <row r="293" spans="1:20">
      <c r="A293" s="96" t="s">
        <v>98</v>
      </c>
      <c r="B293" s="96" t="str">
        <f>TableauRecette[[#This Row],[Recette]]&amp;TableauRecette[[#This Row],[Conditionnement]]</f>
        <v>Ras el hanoutEpice 100ml</v>
      </c>
      <c r="C293" s="96" t="s">
        <v>290</v>
      </c>
      <c r="D293" s="219">
        <v>1</v>
      </c>
      <c r="E293" s="96" t="s">
        <v>55</v>
      </c>
      <c r="F293" s="219">
        <f>D293/SUMIFS(TableauRecette[Proportion],TableauRecette[Recette],TableauRecette[[#This Row],[Recette]],TableauRecette[Conditionnement],TableauRecette[[#This Row],[Conditionnement]])</f>
        <v>0.12121212121212122</v>
      </c>
      <c r="G293" s="219">
        <f ca="1">_xlfn.XLOOKUP(TableauRecette[[#This Row],[Ingredients]],TableauIngredients[Ingredients],TableauIngredients[Prix d''achat (kg)],0)*TableauRecette[[#This Row],[poids / unite]]</f>
        <v>0</v>
      </c>
      <c r="H293" s="219">
        <f>SUMIFS(TableauRecette[Proportion],TableauRecette[Recette],TableauRecette[[#This Row],[Recette]],TableauRecette[Conditionnement],TableauRecette[[#This Row],[Conditionnement]])</f>
        <v>8.25</v>
      </c>
      <c r="I293" s="219">
        <f ca="1">TableauRecette[[#This Row],[Proportion]]*TableauRecette[[#This Row],[Prix d''achat / kg]]/TableauRecette[[#This Row],[Total Proportion]]</f>
        <v>0</v>
      </c>
      <c r="J293" s="219"/>
      <c r="K293" s="814"/>
      <c r="L293" s="815">
        <f>_xlfn.XLOOKUP(TableauRecette[[#This Row],[ID]],TableauProduit[ID],TableauProduit[Total (kg) N1],0,0,1)*TableauRecette[[#This Row],[poids / unite]]</f>
        <v>0</v>
      </c>
      <c r="M293" s="816">
        <f>_xlfn.XLOOKUP(TableauRecette[[#This Row],[ID]],TableauProduit[ID],TableauProduit[Total (kg) N2],0,0,1)*TableauRecette[[#This Row],[poids / unite]]</f>
        <v>0</v>
      </c>
      <c r="N293" s="816">
        <f>_xlfn.XLOOKUP(TableauRecette[[#This Row],[ID]],TableauProduit[ID],TableauProduit[Total (kg) N3],0,0,1)*TableauRecette[[#This Row],[poids / unite]]</f>
        <v>0</v>
      </c>
      <c r="O293" s="816">
        <f>_xlfn.XLOOKUP(TableauRecette[[#This Row],[ID]],TableauProduit[ID],TableauProduit[Total (kg) N4],0,0,1)*TableauRecette[[#This Row],[poids / unite]]</f>
        <v>0</v>
      </c>
      <c r="P293" s="816">
        <f>_xlfn.XLOOKUP(TableauRecette[[#This Row],[ID]],TableauProduit[ID],TableauProduit[Total (kg) N5],0,0,1)*TableauRecette[[#This Row],[poids / unite]]</f>
        <v>0</v>
      </c>
      <c r="Q293" s="816">
        <f>_xlfn.XLOOKUP(TableauRecette[[#This Row],[ID]],TableauProduit[ID],TableauProduit[Total (kg) N6],0,0,1)*TableauRecette[[#This Row],[poids / unite]]</f>
        <v>0</v>
      </c>
      <c r="R293" s="816">
        <f>_xlfn.XLOOKUP(TableauRecette[[#This Row],[ID]],TableauProduit[ID],TableauProduit[Total (kg) N7],0,0,1)*TableauRecette[[#This Row],[poids / unite]]</f>
        <v>0</v>
      </c>
      <c r="S293" s="816">
        <f>_xlfn.XLOOKUP(TableauRecette[[#This Row],[ID]],TableauProduit[ID],TableauProduit[Total (kg) N8],0,0,1)*TableauRecette[[#This Row],[poids / unite]]</f>
        <v>0</v>
      </c>
      <c r="T293" s="816">
        <f>_xlfn.XLOOKUP(TableauRecette[[#This Row],[ID]],TableauProduit[ID],TableauProduit[Total (kg) N9],0,0,1)*TableauRecette[[#This Row],[poids / unite]]</f>
        <v>0</v>
      </c>
    </row>
    <row r="294" spans="1:20">
      <c r="A294" s="96" t="s">
        <v>98</v>
      </c>
      <c r="B294" s="96" t="str">
        <f>TableauRecette[[#This Row],[Recette]]&amp;TableauRecette[[#This Row],[Conditionnement]]</f>
        <v>Ras el hanoutEpice 100ml</v>
      </c>
      <c r="C294" s="664" t="s">
        <v>299</v>
      </c>
      <c r="D294" s="219">
        <v>1</v>
      </c>
      <c r="E294" s="96" t="s">
        <v>55</v>
      </c>
      <c r="F294" s="219">
        <f>D294/SUMIFS(TableauRecette[Proportion],TableauRecette[Recette],TableauRecette[[#This Row],[Recette]],TableauRecette[Conditionnement],TableauRecette[[#This Row],[Conditionnement]])</f>
        <v>0.12121212121212122</v>
      </c>
      <c r="G294" s="219">
        <f ca="1">_xlfn.XLOOKUP(TableauRecette[[#This Row],[Ingredients]],TableauIngredients[Ingredients],TableauIngredients[Prix d''achat (kg)],0)*TableauRecette[[#This Row],[poids / unite]]</f>
        <v>0</v>
      </c>
      <c r="H294" s="219">
        <f>SUMIFS(TableauRecette[Proportion],TableauRecette[Recette],TableauRecette[[#This Row],[Recette]],TableauRecette[Conditionnement],TableauRecette[[#This Row],[Conditionnement]])</f>
        <v>8.25</v>
      </c>
      <c r="I294" s="219">
        <f ca="1">TableauRecette[[#This Row],[Proportion]]*TableauRecette[[#This Row],[Prix d''achat / kg]]/TableauRecette[[#This Row],[Total Proportion]]</f>
        <v>0</v>
      </c>
      <c r="J294" s="219"/>
      <c r="K294" s="814"/>
      <c r="L294" s="815">
        <f>_xlfn.XLOOKUP(TableauRecette[[#This Row],[ID]],TableauProduit[ID],TableauProduit[Total (kg) N1],0,0,1)*TableauRecette[[#This Row],[poids / unite]]</f>
        <v>0</v>
      </c>
      <c r="M294" s="816">
        <f>_xlfn.XLOOKUP(TableauRecette[[#This Row],[ID]],TableauProduit[ID],TableauProduit[Total (kg) N2],0,0,1)*TableauRecette[[#This Row],[poids / unite]]</f>
        <v>0</v>
      </c>
      <c r="N294" s="816">
        <f>_xlfn.XLOOKUP(TableauRecette[[#This Row],[ID]],TableauProduit[ID],TableauProduit[Total (kg) N3],0,0,1)*TableauRecette[[#This Row],[poids / unite]]</f>
        <v>0</v>
      </c>
      <c r="O294" s="816">
        <f>_xlfn.XLOOKUP(TableauRecette[[#This Row],[ID]],TableauProduit[ID],TableauProduit[Total (kg) N4],0,0,1)*TableauRecette[[#This Row],[poids / unite]]</f>
        <v>0</v>
      </c>
      <c r="P294" s="816">
        <f>_xlfn.XLOOKUP(TableauRecette[[#This Row],[ID]],TableauProduit[ID],TableauProduit[Total (kg) N5],0,0,1)*TableauRecette[[#This Row],[poids / unite]]</f>
        <v>0</v>
      </c>
      <c r="Q294" s="816">
        <f>_xlfn.XLOOKUP(TableauRecette[[#This Row],[ID]],TableauProduit[ID],TableauProduit[Total (kg) N6],0,0,1)*TableauRecette[[#This Row],[poids / unite]]</f>
        <v>0</v>
      </c>
      <c r="R294" s="816">
        <f>_xlfn.XLOOKUP(TableauRecette[[#This Row],[ID]],TableauProduit[ID],TableauProduit[Total (kg) N7],0,0,1)*TableauRecette[[#This Row],[poids / unite]]</f>
        <v>0</v>
      </c>
      <c r="S294" s="816">
        <f>_xlfn.XLOOKUP(TableauRecette[[#This Row],[ID]],TableauProduit[ID],TableauProduit[Total (kg) N8],0,0,1)*TableauRecette[[#This Row],[poids / unite]]</f>
        <v>0</v>
      </c>
      <c r="T294" s="816">
        <f>_xlfn.XLOOKUP(TableauRecette[[#This Row],[ID]],TableauProduit[ID],TableauProduit[Total (kg) N9],0,0,1)*TableauRecette[[#This Row],[poids / unite]]</f>
        <v>0</v>
      </c>
    </row>
    <row r="295" spans="1:20">
      <c r="A295" s="96" t="s">
        <v>98</v>
      </c>
      <c r="B295" s="96" t="str">
        <f>TableauRecette[[#This Row],[Recette]]&amp;TableauRecette[[#This Row],[Conditionnement]]</f>
        <v>Ras el hanoutEpice 100ml</v>
      </c>
      <c r="C295" s="663" t="s">
        <v>304</v>
      </c>
      <c r="D295" s="219">
        <v>1</v>
      </c>
      <c r="E295" s="96" t="s">
        <v>55</v>
      </c>
      <c r="F295" s="219">
        <f>D295/SUMIFS(TableauRecette[Proportion],TableauRecette[Recette],TableauRecette[[#This Row],[Recette]],TableauRecette[Conditionnement],TableauRecette[[#This Row],[Conditionnement]])</f>
        <v>0.12121212121212122</v>
      </c>
      <c r="G295" s="219">
        <f ca="1">_xlfn.XLOOKUP(TableauRecette[[#This Row],[Ingredients]],TableauIngredients[Ingredients],TableauIngredients[Prix d''achat (kg)],0)*TableauRecette[[#This Row],[poids / unite]]</f>
        <v>0</v>
      </c>
      <c r="H295" s="219">
        <f>SUMIFS(TableauRecette[Proportion],TableauRecette[Recette],TableauRecette[[#This Row],[Recette]],TableauRecette[Conditionnement],TableauRecette[[#This Row],[Conditionnement]])</f>
        <v>8.25</v>
      </c>
      <c r="I295" s="219">
        <f ca="1">TableauRecette[[#This Row],[Proportion]]*TableauRecette[[#This Row],[Prix d''achat / kg]]/TableauRecette[[#This Row],[Total Proportion]]</f>
        <v>0</v>
      </c>
      <c r="J295" s="219"/>
      <c r="K295" s="814"/>
      <c r="L295" s="815">
        <f>_xlfn.XLOOKUP(TableauRecette[[#This Row],[ID]],TableauProduit[ID],TableauProduit[Total (kg) N1],0,0,1)*TableauRecette[[#This Row],[poids / unite]]</f>
        <v>0</v>
      </c>
      <c r="M295" s="816">
        <f>_xlfn.XLOOKUP(TableauRecette[[#This Row],[ID]],TableauProduit[ID],TableauProduit[Total (kg) N2],0,0,1)*TableauRecette[[#This Row],[poids / unite]]</f>
        <v>0</v>
      </c>
      <c r="N295" s="816">
        <f>_xlfn.XLOOKUP(TableauRecette[[#This Row],[ID]],TableauProduit[ID],TableauProduit[Total (kg) N3],0,0,1)*TableauRecette[[#This Row],[poids / unite]]</f>
        <v>0</v>
      </c>
      <c r="O295" s="816">
        <f>_xlfn.XLOOKUP(TableauRecette[[#This Row],[ID]],TableauProduit[ID],TableauProduit[Total (kg) N4],0,0,1)*TableauRecette[[#This Row],[poids / unite]]</f>
        <v>0</v>
      </c>
      <c r="P295" s="816">
        <f>_xlfn.XLOOKUP(TableauRecette[[#This Row],[ID]],TableauProduit[ID],TableauProduit[Total (kg) N5],0,0,1)*TableauRecette[[#This Row],[poids / unite]]</f>
        <v>0</v>
      </c>
      <c r="Q295" s="816">
        <f>_xlfn.XLOOKUP(TableauRecette[[#This Row],[ID]],TableauProduit[ID],TableauProduit[Total (kg) N6],0,0,1)*TableauRecette[[#This Row],[poids / unite]]</f>
        <v>0</v>
      </c>
      <c r="R295" s="816">
        <f>_xlfn.XLOOKUP(TableauRecette[[#This Row],[ID]],TableauProduit[ID],TableauProduit[Total (kg) N7],0,0,1)*TableauRecette[[#This Row],[poids / unite]]</f>
        <v>0</v>
      </c>
      <c r="S295" s="816">
        <f>_xlfn.XLOOKUP(TableauRecette[[#This Row],[ID]],TableauProduit[ID],TableauProduit[Total (kg) N8],0,0,1)*TableauRecette[[#This Row],[poids / unite]]</f>
        <v>0</v>
      </c>
      <c r="T295" s="816">
        <f>_xlfn.XLOOKUP(TableauRecette[[#This Row],[ID]],TableauProduit[ID],TableauProduit[Total (kg) N9],0,0,1)*TableauRecette[[#This Row],[poids / unite]]</f>
        <v>0</v>
      </c>
    </row>
    <row r="296" spans="1:20">
      <c r="A296" s="96" t="s">
        <v>98</v>
      </c>
      <c r="B296" s="96" t="str">
        <f>TableauRecette[[#This Row],[Recette]]&amp;TableauRecette[[#This Row],[Conditionnement]]</f>
        <v>Ras el hanoutEpice 100ml</v>
      </c>
      <c r="C296" s="96" t="s">
        <v>285</v>
      </c>
      <c r="D296" s="219">
        <f>3/4</f>
        <v>0.75</v>
      </c>
      <c r="E296" s="96" t="s">
        <v>55</v>
      </c>
      <c r="F296" s="219">
        <f>D296/SUMIFS(TableauRecette[Proportion],TableauRecette[Recette],TableauRecette[[#This Row],[Recette]],TableauRecette[Conditionnement],TableauRecette[[#This Row],[Conditionnement]])</f>
        <v>9.0909090909090912E-2</v>
      </c>
      <c r="G296" s="219">
        <f ca="1">_xlfn.XLOOKUP(TableauRecette[[#This Row],[Ingredients]],TableauIngredients[Ingredients],TableauIngredients[Prix d''achat (kg)],0)*TableauRecette[[#This Row],[poids / unite]]</f>
        <v>2</v>
      </c>
      <c r="H296" s="219">
        <f>SUMIFS(TableauRecette[Proportion],TableauRecette[Recette],TableauRecette[[#This Row],[Recette]],TableauRecette[Conditionnement],TableauRecette[[#This Row],[Conditionnement]])</f>
        <v>8.25</v>
      </c>
      <c r="I296" s="219">
        <f ca="1">TableauRecette[[#This Row],[Proportion]]*TableauRecette[[#This Row],[Prix d''achat / kg]]/TableauRecette[[#This Row],[Total Proportion]]</f>
        <v>0</v>
      </c>
      <c r="J296" s="219"/>
      <c r="K296" s="814"/>
      <c r="L296" s="815">
        <f>_xlfn.XLOOKUP(TableauRecette[[#This Row],[ID]],TableauProduit[ID],TableauProduit[Total (kg) N1],0,0,1)*TableauRecette[[#This Row],[poids / unite]]</f>
        <v>0</v>
      </c>
      <c r="M296" s="816">
        <f>_xlfn.XLOOKUP(TableauRecette[[#This Row],[ID]],TableauProduit[ID],TableauProduit[Total (kg) N2],0,0,1)*TableauRecette[[#This Row],[poids / unite]]</f>
        <v>0</v>
      </c>
      <c r="N296" s="816">
        <f>_xlfn.XLOOKUP(TableauRecette[[#This Row],[ID]],TableauProduit[ID],TableauProduit[Total (kg) N3],0,0,1)*TableauRecette[[#This Row],[poids / unite]]</f>
        <v>0</v>
      </c>
      <c r="O296" s="816">
        <f>_xlfn.XLOOKUP(TableauRecette[[#This Row],[ID]],TableauProduit[ID],TableauProduit[Total (kg) N4],0,0,1)*TableauRecette[[#This Row],[poids / unite]]</f>
        <v>0</v>
      </c>
      <c r="P296" s="816">
        <f>_xlfn.XLOOKUP(TableauRecette[[#This Row],[ID]],TableauProduit[ID],TableauProduit[Total (kg) N5],0,0,1)*TableauRecette[[#This Row],[poids / unite]]</f>
        <v>0</v>
      </c>
      <c r="Q296" s="816">
        <f>_xlfn.XLOOKUP(TableauRecette[[#This Row],[ID]],TableauProduit[ID],TableauProduit[Total (kg) N6],0,0,1)*TableauRecette[[#This Row],[poids / unite]]</f>
        <v>0</v>
      </c>
      <c r="R296" s="816">
        <f>_xlfn.XLOOKUP(TableauRecette[[#This Row],[ID]],TableauProduit[ID],TableauProduit[Total (kg) N7],0,0,1)*TableauRecette[[#This Row],[poids / unite]]</f>
        <v>0</v>
      </c>
      <c r="S296" s="816">
        <f>_xlfn.XLOOKUP(TableauRecette[[#This Row],[ID]],TableauProduit[ID],TableauProduit[Total (kg) N8],0,0,1)*TableauRecette[[#This Row],[poids / unite]]</f>
        <v>0</v>
      </c>
      <c r="T296" s="816">
        <f>_xlfn.XLOOKUP(TableauRecette[[#This Row],[ID]],TableauProduit[ID],TableauProduit[Total (kg) N9],0,0,1)*TableauRecette[[#This Row],[poids / unite]]</f>
        <v>0</v>
      </c>
    </row>
    <row r="297" spans="1:20">
      <c r="A297" s="96" t="s">
        <v>98</v>
      </c>
      <c r="B297" s="96" t="str">
        <f>TableauRecette[[#This Row],[Recette]]&amp;TableauRecette[[#This Row],[Conditionnement]]</f>
        <v>Ras el hanoutEpice 100ml</v>
      </c>
      <c r="C297" s="96" t="s">
        <v>287</v>
      </c>
      <c r="D297" s="219">
        <f>3/4</f>
        <v>0.75</v>
      </c>
      <c r="E297" s="96" t="s">
        <v>55</v>
      </c>
      <c r="F297" s="219">
        <f>D297/SUMIFS(TableauRecette[Proportion],TableauRecette[Recette],TableauRecette[[#This Row],[Recette]],TableauRecette[Conditionnement],TableauRecette[[#This Row],[Conditionnement]])</f>
        <v>9.0909090909090912E-2</v>
      </c>
      <c r="G297" s="219">
        <f ca="1">_xlfn.XLOOKUP(TableauRecette[[#This Row],[Ingredients]],TableauIngredients[Ingredients],TableauIngredients[Prix d''achat (kg)],0)*TableauRecette[[#This Row],[poids / unite]]</f>
        <v>3.35</v>
      </c>
      <c r="H297" s="219">
        <f>SUMIFS(TableauRecette[Proportion],TableauRecette[Recette],TableauRecette[[#This Row],[Recette]],TableauRecette[Conditionnement],TableauRecette[[#This Row],[Conditionnement]])</f>
        <v>8.25</v>
      </c>
      <c r="I297" s="219">
        <f ca="1">TableauRecette[[#This Row],[Proportion]]*TableauRecette[[#This Row],[Prix d''achat / kg]]/TableauRecette[[#This Row],[Total Proportion]]</f>
        <v>0</v>
      </c>
      <c r="J297" s="219"/>
      <c r="K297" s="814"/>
      <c r="L297" s="815">
        <f>_xlfn.XLOOKUP(TableauRecette[[#This Row],[ID]],TableauProduit[ID],TableauProduit[Total (kg) N1],0,0,1)*TableauRecette[[#This Row],[poids / unite]]</f>
        <v>0</v>
      </c>
      <c r="M297" s="816">
        <f>_xlfn.XLOOKUP(TableauRecette[[#This Row],[ID]],TableauProduit[ID],TableauProduit[Total (kg) N2],0,0,1)*TableauRecette[[#This Row],[poids / unite]]</f>
        <v>0</v>
      </c>
      <c r="N297" s="816">
        <f>_xlfn.XLOOKUP(TableauRecette[[#This Row],[ID]],TableauProduit[ID],TableauProduit[Total (kg) N3],0,0,1)*TableauRecette[[#This Row],[poids / unite]]</f>
        <v>0</v>
      </c>
      <c r="O297" s="816">
        <f>_xlfn.XLOOKUP(TableauRecette[[#This Row],[ID]],TableauProduit[ID],TableauProduit[Total (kg) N4],0,0,1)*TableauRecette[[#This Row],[poids / unite]]</f>
        <v>0</v>
      </c>
      <c r="P297" s="816">
        <f>_xlfn.XLOOKUP(TableauRecette[[#This Row],[ID]],TableauProduit[ID],TableauProduit[Total (kg) N5],0,0,1)*TableauRecette[[#This Row],[poids / unite]]</f>
        <v>0</v>
      </c>
      <c r="Q297" s="816">
        <f>_xlfn.XLOOKUP(TableauRecette[[#This Row],[ID]],TableauProduit[ID],TableauProduit[Total (kg) N6],0,0,1)*TableauRecette[[#This Row],[poids / unite]]</f>
        <v>0</v>
      </c>
      <c r="R297" s="816">
        <f>_xlfn.XLOOKUP(TableauRecette[[#This Row],[ID]],TableauProduit[ID],TableauProduit[Total (kg) N7],0,0,1)*TableauRecette[[#This Row],[poids / unite]]</f>
        <v>0</v>
      </c>
      <c r="S297" s="816">
        <f>_xlfn.XLOOKUP(TableauRecette[[#This Row],[ID]],TableauProduit[ID],TableauProduit[Total (kg) N8],0,0,1)*TableauRecette[[#This Row],[poids / unite]]</f>
        <v>0</v>
      </c>
      <c r="T297" s="816">
        <f>_xlfn.XLOOKUP(TableauRecette[[#This Row],[ID]],TableauProduit[ID],TableauProduit[Total (kg) N9],0,0,1)*TableauRecette[[#This Row],[poids / unite]]</f>
        <v>0</v>
      </c>
    </row>
    <row r="298" spans="1:20">
      <c r="A298" s="96" t="s">
        <v>98</v>
      </c>
      <c r="B298" s="96" t="str">
        <f>TableauRecette[[#This Row],[Recette]]&amp;TableauRecette[[#This Row],[Conditionnement]]</f>
        <v>Ras el hanoutEpice 100ml</v>
      </c>
      <c r="C298" s="96" t="s">
        <v>370</v>
      </c>
      <c r="D298" s="219">
        <v>0.5</v>
      </c>
      <c r="E298" s="96" t="s">
        <v>55</v>
      </c>
      <c r="F298" s="219">
        <f>D298/SUMIFS(TableauRecette[Proportion],TableauRecette[Recette],TableauRecette[[#This Row],[Recette]],TableauRecette[Conditionnement],TableauRecette[[#This Row],[Conditionnement]])</f>
        <v>6.0606060606060608E-2</v>
      </c>
      <c r="G298" s="219">
        <f ca="1">_xlfn.XLOOKUP(TableauRecette[[#This Row],[Ingredients]],TableauIngredients[Ingredients],TableauIngredients[Prix d''achat (kg)],0)*TableauRecette[[#This Row],[poids / unite]]</f>
        <v>0</v>
      </c>
      <c r="H298" s="219">
        <f>SUMIFS(TableauRecette[Proportion],TableauRecette[Recette],TableauRecette[[#This Row],[Recette]],TableauRecette[Conditionnement],TableauRecette[[#This Row],[Conditionnement]])</f>
        <v>8.25</v>
      </c>
      <c r="I298" s="219">
        <f ca="1">TableauRecette[[#This Row],[Proportion]]*TableauRecette[[#This Row],[Prix d''achat / kg]]/TableauRecette[[#This Row],[Total Proportion]]</f>
        <v>0</v>
      </c>
      <c r="J298" s="219"/>
      <c r="K298" s="814"/>
      <c r="L298" s="815">
        <f>_xlfn.XLOOKUP(TableauRecette[[#This Row],[ID]],TableauProduit[ID],TableauProduit[Total (kg) N1],0,0,1)*TableauRecette[[#This Row],[poids / unite]]</f>
        <v>0</v>
      </c>
      <c r="M298" s="816">
        <f>_xlfn.XLOOKUP(TableauRecette[[#This Row],[ID]],TableauProduit[ID],TableauProduit[Total (kg) N2],0,0,1)*TableauRecette[[#This Row],[poids / unite]]</f>
        <v>0</v>
      </c>
      <c r="N298" s="816">
        <f>_xlfn.XLOOKUP(TableauRecette[[#This Row],[ID]],TableauProduit[ID],TableauProduit[Total (kg) N3],0,0,1)*TableauRecette[[#This Row],[poids / unite]]</f>
        <v>0</v>
      </c>
      <c r="O298" s="816">
        <f>_xlfn.XLOOKUP(TableauRecette[[#This Row],[ID]],TableauProduit[ID],TableauProduit[Total (kg) N4],0,0,1)*TableauRecette[[#This Row],[poids / unite]]</f>
        <v>0</v>
      </c>
      <c r="P298" s="816">
        <f>_xlfn.XLOOKUP(TableauRecette[[#This Row],[ID]],TableauProduit[ID],TableauProduit[Total (kg) N5],0,0,1)*TableauRecette[[#This Row],[poids / unite]]</f>
        <v>0</v>
      </c>
      <c r="Q298" s="816">
        <f>_xlfn.XLOOKUP(TableauRecette[[#This Row],[ID]],TableauProduit[ID],TableauProduit[Total (kg) N6],0,0,1)*TableauRecette[[#This Row],[poids / unite]]</f>
        <v>0</v>
      </c>
      <c r="R298" s="816">
        <f>_xlfn.XLOOKUP(TableauRecette[[#This Row],[ID]],TableauProduit[ID],TableauProduit[Total (kg) N7],0,0,1)*TableauRecette[[#This Row],[poids / unite]]</f>
        <v>0</v>
      </c>
      <c r="S298" s="816">
        <f>_xlfn.XLOOKUP(TableauRecette[[#This Row],[ID]],TableauProduit[ID],TableauProduit[Total (kg) N8],0,0,1)*TableauRecette[[#This Row],[poids / unite]]</f>
        <v>0</v>
      </c>
      <c r="T298" s="816">
        <f>_xlfn.XLOOKUP(TableauRecette[[#This Row],[ID]],TableauProduit[ID],TableauProduit[Total (kg) N9],0,0,1)*TableauRecette[[#This Row],[poids / unite]]</f>
        <v>0</v>
      </c>
    </row>
    <row r="299" spans="1:20">
      <c r="A299" s="96" t="s">
        <v>98</v>
      </c>
      <c r="B299" s="96" t="str">
        <f>TableauRecette[[#This Row],[Recette]]&amp;TableauRecette[[#This Row],[Conditionnement]]</f>
        <v>Ras el hanoutEpice 100ml</v>
      </c>
      <c r="C299" s="96" t="s">
        <v>289</v>
      </c>
      <c r="D299" s="219">
        <v>0.5</v>
      </c>
      <c r="E299" s="96" t="s">
        <v>55</v>
      </c>
      <c r="F299" s="219">
        <f>D299/SUMIFS(TableauRecette[Proportion],TableauRecette[Recette],TableauRecette[[#This Row],[Recette]],TableauRecette[Conditionnement],TableauRecette[[#This Row],[Conditionnement]])</f>
        <v>6.0606060606060608E-2</v>
      </c>
      <c r="G299" s="219">
        <f ca="1">_xlfn.XLOOKUP(TableauRecette[[#This Row],[Ingredients]],TableauIngredients[Ingredients],TableauIngredients[Prix d''achat (kg)],0)*TableauRecette[[#This Row],[poids / unite]]</f>
        <v>0</v>
      </c>
      <c r="H299" s="219">
        <f>SUMIFS(TableauRecette[Proportion],TableauRecette[Recette],TableauRecette[[#This Row],[Recette]],TableauRecette[Conditionnement],TableauRecette[[#This Row],[Conditionnement]])</f>
        <v>8.25</v>
      </c>
      <c r="I299" s="219">
        <f ca="1">TableauRecette[[#This Row],[Proportion]]*TableauRecette[[#This Row],[Prix d''achat / kg]]/TableauRecette[[#This Row],[Total Proportion]]</f>
        <v>0</v>
      </c>
      <c r="J299" s="219"/>
      <c r="K299" s="814"/>
      <c r="L299" s="815">
        <f>_xlfn.XLOOKUP(TableauRecette[[#This Row],[ID]],TableauProduit[ID],TableauProduit[Total (kg) N1],0,0,1)*TableauRecette[[#This Row],[poids / unite]]</f>
        <v>0</v>
      </c>
      <c r="M299" s="816">
        <f>_xlfn.XLOOKUP(TableauRecette[[#This Row],[ID]],TableauProduit[ID],TableauProduit[Total (kg) N2],0,0,1)*TableauRecette[[#This Row],[poids / unite]]</f>
        <v>0</v>
      </c>
      <c r="N299" s="816">
        <f>_xlfn.XLOOKUP(TableauRecette[[#This Row],[ID]],TableauProduit[ID],TableauProduit[Total (kg) N3],0,0,1)*TableauRecette[[#This Row],[poids / unite]]</f>
        <v>0</v>
      </c>
      <c r="O299" s="816">
        <f>_xlfn.XLOOKUP(TableauRecette[[#This Row],[ID]],TableauProduit[ID],TableauProduit[Total (kg) N4],0,0,1)*TableauRecette[[#This Row],[poids / unite]]</f>
        <v>0</v>
      </c>
      <c r="P299" s="816">
        <f>_xlfn.XLOOKUP(TableauRecette[[#This Row],[ID]],TableauProduit[ID],TableauProduit[Total (kg) N5],0,0,1)*TableauRecette[[#This Row],[poids / unite]]</f>
        <v>0</v>
      </c>
      <c r="Q299" s="816">
        <f>_xlfn.XLOOKUP(TableauRecette[[#This Row],[ID]],TableauProduit[ID],TableauProduit[Total (kg) N6],0,0,1)*TableauRecette[[#This Row],[poids / unite]]</f>
        <v>0</v>
      </c>
      <c r="R299" s="816">
        <f>_xlfn.XLOOKUP(TableauRecette[[#This Row],[ID]],TableauProduit[ID],TableauProduit[Total (kg) N7],0,0,1)*TableauRecette[[#This Row],[poids / unite]]</f>
        <v>0</v>
      </c>
      <c r="S299" s="816">
        <f>_xlfn.XLOOKUP(TableauRecette[[#This Row],[ID]],TableauProduit[ID],TableauProduit[Total (kg) N8],0,0,1)*TableauRecette[[#This Row],[poids / unite]]</f>
        <v>0</v>
      </c>
      <c r="T299" s="816">
        <f>_xlfn.XLOOKUP(TableauRecette[[#This Row],[ID]],TableauProduit[ID],TableauProduit[Total (kg) N9],0,0,1)*TableauRecette[[#This Row],[poids / unite]]</f>
        <v>0</v>
      </c>
    </row>
    <row r="300" spans="1:20">
      <c r="A300" s="96" t="s">
        <v>98</v>
      </c>
      <c r="B300" s="96" t="str">
        <f>TableauRecette[[#This Row],[Recette]]&amp;TableauRecette[[#This Row],[Conditionnement]]</f>
        <v>Ras el hanoutEpice 100ml</v>
      </c>
      <c r="C300" s="96" t="s">
        <v>330</v>
      </c>
      <c r="D300" s="219">
        <v>0.5</v>
      </c>
      <c r="E300" s="96" t="s">
        <v>55</v>
      </c>
      <c r="F300" s="219">
        <f>D300/SUMIFS(TableauRecette[Proportion],TableauRecette[Recette],TableauRecette[[#This Row],[Recette]],TableauRecette[Conditionnement],TableauRecette[[#This Row],[Conditionnement]])</f>
        <v>6.0606060606060608E-2</v>
      </c>
      <c r="G300" s="219">
        <f ca="1">_xlfn.XLOOKUP(TableauRecette[[#This Row],[Ingredients]],TableauIngredients[Ingredients],TableauIngredients[Prix d''achat (kg)],0)*TableauRecette[[#This Row],[poids / unite]]</f>
        <v>0</v>
      </c>
      <c r="H300" s="219">
        <f>SUMIFS(TableauRecette[Proportion],TableauRecette[Recette],TableauRecette[[#This Row],[Recette]],TableauRecette[Conditionnement],TableauRecette[[#This Row],[Conditionnement]])</f>
        <v>8.25</v>
      </c>
      <c r="I300" s="219">
        <f ca="1">TableauRecette[[#This Row],[Proportion]]*TableauRecette[[#This Row],[Prix d''achat / kg]]/TableauRecette[[#This Row],[Total Proportion]]</f>
        <v>0</v>
      </c>
      <c r="J300" s="219"/>
      <c r="K300" s="814"/>
      <c r="L300" s="815">
        <f>_xlfn.XLOOKUP(TableauRecette[[#This Row],[ID]],TableauProduit[ID],TableauProduit[Total (kg) N1],0,0,1)*TableauRecette[[#This Row],[poids / unite]]</f>
        <v>0</v>
      </c>
      <c r="M300" s="816">
        <f>_xlfn.XLOOKUP(TableauRecette[[#This Row],[ID]],TableauProduit[ID],TableauProduit[Total (kg) N2],0,0,1)*TableauRecette[[#This Row],[poids / unite]]</f>
        <v>0</v>
      </c>
      <c r="N300" s="816">
        <f>_xlfn.XLOOKUP(TableauRecette[[#This Row],[ID]],TableauProduit[ID],TableauProduit[Total (kg) N3],0,0,1)*TableauRecette[[#This Row],[poids / unite]]</f>
        <v>0</v>
      </c>
      <c r="O300" s="816">
        <f>_xlfn.XLOOKUP(TableauRecette[[#This Row],[ID]],TableauProduit[ID],TableauProduit[Total (kg) N4],0,0,1)*TableauRecette[[#This Row],[poids / unite]]</f>
        <v>0</v>
      </c>
      <c r="P300" s="816">
        <f>_xlfn.XLOOKUP(TableauRecette[[#This Row],[ID]],TableauProduit[ID],TableauProduit[Total (kg) N5],0,0,1)*TableauRecette[[#This Row],[poids / unite]]</f>
        <v>0</v>
      </c>
      <c r="Q300" s="816">
        <f>_xlfn.XLOOKUP(TableauRecette[[#This Row],[ID]],TableauProduit[ID],TableauProduit[Total (kg) N6],0,0,1)*TableauRecette[[#This Row],[poids / unite]]</f>
        <v>0</v>
      </c>
      <c r="R300" s="816">
        <f>_xlfn.XLOOKUP(TableauRecette[[#This Row],[ID]],TableauProduit[ID],TableauProduit[Total (kg) N7],0,0,1)*TableauRecette[[#This Row],[poids / unite]]</f>
        <v>0</v>
      </c>
      <c r="S300" s="816">
        <f>_xlfn.XLOOKUP(TableauRecette[[#This Row],[ID]],TableauProduit[ID],TableauProduit[Total (kg) N8],0,0,1)*TableauRecette[[#This Row],[poids / unite]]</f>
        <v>0</v>
      </c>
      <c r="T300" s="816">
        <f>_xlfn.XLOOKUP(TableauRecette[[#This Row],[ID]],TableauProduit[ID],TableauProduit[Total (kg) N9],0,0,1)*TableauRecette[[#This Row],[poids / unite]]</f>
        <v>0</v>
      </c>
    </row>
    <row r="301" spans="1:20">
      <c r="A301" s="96" t="s">
        <v>98</v>
      </c>
      <c r="B301" s="96" t="str">
        <f>TableauRecette[[#This Row],[Recette]]&amp;TableauRecette[[#This Row],[Conditionnement]]</f>
        <v>Ras el hanoutEpice 100ml</v>
      </c>
      <c r="C301" s="96" t="s">
        <v>328</v>
      </c>
      <c r="D301" s="219">
        <v>0.5</v>
      </c>
      <c r="E301" s="96" t="s">
        <v>55</v>
      </c>
      <c r="F301" s="219">
        <f>D301/SUMIFS(TableauRecette[Proportion],TableauRecette[Recette],TableauRecette[[#This Row],[Recette]],TableauRecette[Conditionnement],TableauRecette[[#This Row],[Conditionnement]])</f>
        <v>6.0606060606060608E-2</v>
      </c>
      <c r="G301" s="219">
        <f ca="1">_xlfn.XLOOKUP(TableauRecette[[#This Row],[Ingredients]],TableauIngredients[Ingredients],TableauIngredients[Prix d''achat (kg)],0)*TableauRecette[[#This Row],[poids / unite]]</f>
        <v>0</v>
      </c>
      <c r="H301" s="219">
        <f>SUMIFS(TableauRecette[Proportion],TableauRecette[Recette],TableauRecette[[#This Row],[Recette]],TableauRecette[Conditionnement],TableauRecette[[#This Row],[Conditionnement]])</f>
        <v>8.25</v>
      </c>
      <c r="I301" s="219">
        <f ca="1">TableauRecette[[#This Row],[Proportion]]*TableauRecette[[#This Row],[Prix d''achat / kg]]/TableauRecette[[#This Row],[Total Proportion]]</f>
        <v>0</v>
      </c>
      <c r="J301" s="219"/>
      <c r="K301" s="814"/>
      <c r="L301" s="815">
        <f>_xlfn.XLOOKUP(TableauRecette[[#This Row],[ID]],TableauProduit[ID],TableauProduit[Total (kg) N1],0,0,1)*TableauRecette[[#This Row],[poids / unite]]</f>
        <v>0</v>
      </c>
      <c r="M301" s="816">
        <f>_xlfn.XLOOKUP(TableauRecette[[#This Row],[ID]],TableauProduit[ID],TableauProduit[Total (kg) N2],0,0,1)*TableauRecette[[#This Row],[poids / unite]]</f>
        <v>0</v>
      </c>
      <c r="N301" s="816">
        <f>_xlfn.XLOOKUP(TableauRecette[[#This Row],[ID]],TableauProduit[ID],TableauProduit[Total (kg) N3],0,0,1)*TableauRecette[[#This Row],[poids / unite]]</f>
        <v>0</v>
      </c>
      <c r="O301" s="816">
        <f>_xlfn.XLOOKUP(TableauRecette[[#This Row],[ID]],TableauProduit[ID],TableauProduit[Total (kg) N4],0,0,1)*TableauRecette[[#This Row],[poids / unite]]</f>
        <v>0</v>
      </c>
      <c r="P301" s="816">
        <f>_xlfn.XLOOKUP(TableauRecette[[#This Row],[ID]],TableauProduit[ID],TableauProduit[Total (kg) N5],0,0,1)*TableauRecette[[#This Row],[poids / unite]]</f>
        <v>0</v>
      </c>
      <c r="Q301" s="816">
        <f>_xlfn.XLOOKUP(TableauRecette[[#This Row],[ID]],TableauProduit[ID],TableauProduit[Total (kg) N6],0,0,1)*TableauRecette[[#This Row],[poids / unite]]</f>
        <v>0</v>
      </c>
      <c r="R301" s="816">
        <f>_xlfn.XLOOKUP(TableauRecette[[#This Row],[ID]],TableauProduit[ID],TableauProduit[Total (kg) N7],0,0,1)*TableauRecette[[#This Row],[poids / unite]]</f>
        <v>0</v>
      </c>
      <c r="S301" s="816">
        <f>_xlfn.XLOOKUP(TableauRecette[[#This Row],[ID]],TableauProduit[ID],TableauProduit[Total (kg) N8],0,0,1)*TableauRecette[[#This Row],[poids / unite]]</f>
        <v>0</v>
      </c>
      <c r="T301" s="816">
        <f>_xlfn.XLOOKUP(TableauRecette[[#This Row],[ID]],TableauProduit[ID],TableauProduit[Total (kg) N9],0,0,1)*TableauRecette[[#This Row],[poids / unite]]</f>
        <v>0</v>
      </c>
    </row>
    <row r="302" spans="1:20">
      <c r="A302" s="96" t="s">
        <v>98</v>
      </c>
      <c r="B302" s="96" t="str">
        <f>TableauRecette[[#This Row],[Recette]]&amp;TableauRecette[[#This Row],[Conditionnement]]</f>
        <v>Ras el hanoutEpice 100ml</v>
      </c>
      <c r="C302" s="96" t="s">
        <v>331</v>
      </c>
      <c r="D302" s="219">
        <v>0.5</v>
      </c>
      <c r="E302" s="96" t="s">
        <v>55</v>
      </c>
      <c r="F302" s="219">
        <f>D302/SUMIFS(TableauRecette[Proportion],TableauRecette[Recette],TableauRecette[[#This Row],[Recette]],TableauRecette[Conditionnement],TableauRecette[[#This Row],[Conditionnement]])</f>
        <v>6.0606060606060608E-2</v>
      </c>
      <c r="G302" s="219">
        <f ca="1">_xlfn.XLOOKUP(TableauRecette[[#This Row],[Ingredients]],TableauIngredients[Ingredients],TableauIngredients[Prix d''achat (kg)],0)*TableauRecette[[#This Row],[poids / unite]]</f>
        <v>3.6363636363636367</v>
      </c>
      <c r="H302" s="219">
        <f>SUMIFS(TableauRecette[Proportion],TableauRecette[Recette],TableauRecette[[#This Row],[Recette]],TableauRecette[Conditionnement],TableauRecette[[#This Row],[Conditionnement]])</f>
        <v>8.25</v>
      </c>
      <c r="I302" s="219">
        <f ca="1">TableauRecette[[#This Row],[Proportion]]*TableauRecette[[#This Row],[Prix d''achat / kg]]/TableauRecette[[#This Row],[Total Proportion]]</f>
        <v>0</v>
      </c>
      <c r="J302" s="219"/>
      <c r="K302" s="814"/>
      <c r="L302" s="815">
        <f>_xlfn.XLOOKUP(TableauRecette[[#This Row],[ID]],TableauProduit[ID],TableauProduit[Total (kg) N1],0,0,1)*TableauRecette[[#This Row],[poids / unite]]</f>
        <v>0</v>
      </c>
      <c r="M302" s="816">
        <f>_xlfn.XLOOKUP(TableauRecette[[#This Row],[ID]],TableauProduit[ID],TableauProduit[Total (kg) N2],0,0,1)*TableauRecette[[#This Row],[poids / unite]]</f>
        <v>0</v>
      </c>
      <c r="N302" s="816">
        <f>_xlfn.XLOOKUP(TableauRecette[[#This Row],[ID]],TableauProduit[ID],TableauProduit[Total (kg) N3],0,0,1)*TableauRecette[[#This Row],[poids / unite]]</f>
        <v>0</v>
      </c>
      <c r="O302" s="816">
        <f>_xlfn.XLOOKUP(TableauRecette[[#This Row],[ID]],TableauProduit[ID],TableauProduit[Total (kg) N4],0,0,1)*TableauRecette[[#This Row],[poids / unite]]</f>
        <v>0</v>
      </c>
      <c r="P302" s="816">
        <f>_xlfn.XLOOKUP(TableauRecette[[#This Row],[ID]],TableauProduit[ID],TableauProduit[Total (kg) N5],0,0,1)*TableauRecette[[#This Row],[poids / unite]]</f>
        <v>0</v>
      </c>
      <c r="Q302" s="816">
        <f>_xlfn.XLOOKUP(TableauRecette[[#This Row],[ID]],TableauProduit[ID],TableauProduit[Total (kg) N6],0,0,1)*TableauRecette[[#This Row],[poids / unite]]</f>
        <v>0</v>
      </c>
      <c r="R302" s="816">
        <f>_xlfn.XLOOKUP(TableauRecette[[#This Row],[ID]],TableauProduit[ID],TableauProduit[Total (kg) N7],0,0,1)*TableauRecette[[#This Row],[poids / unite]]</f>
        <v>0</v>
      </c>
      <c r="S302" s="816">
        <f>_xlfn.XLOOKUP(TableauRecette[[#This Row],[ID]],TableauProduit[ID],TableauProduit[Total (kg) N8],0,0,1)*TableauRecette[[#This Row],[poids / unite]]</f>
        <v>0</v>
      </c>
      <c r="T302" s="816">
        <f>_xlfn.XLOOKUP(TableauRecette[[#This Row],[ID]],TableauProduit[ID],TableauProduit[Total (kg) N9],0,0,1)*TableauRecette[[#This Row],[poids / unite]]</f>
        <v>0</v>
      </c>
    </row>
    <row r="303" spans="1:20">
      <c r="A303" s="96" t="s">
        <v>98</v>
      </c>
      <c r="B303" s="96" t="str">
        <f>TableauRecette[[#This Row],[Recette]]&amp;TableauRecette[[#This Row],[Conditionnement]]</f>
        <v>Ras el hanoutEpice 100ml</v>
      </c>
      <c r="C303" s="96" t="s">
        <v>288</v>
      </c>
      <c r="D303" s="219">
        <v>0.25</v>
      </c>
      <c r="E303" s="96" t="s">
        <v>55</v>
      </c>
      <c r="F303" s="219">
        <f>D303/SUMIFS(TableauRecette[Proportion],TableauRecette[Recette],TableauRecette[[#This Row],[Recette]],TableauRecette[Conditionnement],TableauRecette[[#This Row],[Conditionnement]])</f>
        <v>3.0303030303030304E-2</v>
      </c>
      <c r="G303" s="219">
        <f ca="1">_xlfn.XLOOKUP(TableauRecette[[#This Row],[Ingredients]],TableauIngredients[Ingredients],TableauIngredients[Prix d''achat (kg)],0)*TableauRecette[[#This Row],[poids / unite]]</f>
        <v>1.0909090909090908</v>
      </c>
      <c r="H303" s="219">
        <f>SUMIFS(TableauRecette[Proportion],TableauRecette[Recette],TableauRecette[[#This Row],[Recette]],TableauRecette[Conditionnement],TableauRecette[[#This Row],[Conditionnement]])</f>
        <v>8.25</v>
      </c>
      <c r="I303" s="219">
        <f ca="1">TableauRecette[[#This Row],[Proportion]]*TableauRecette[[#This Row],[Prix d''achat / kg]]/TableauRecette[[#This Row],[Total Proportion]]</f>
        <v>0</v>
      </c>
      <c r="J303" s="219"/>
      <c r="K303" s="814"/>
      <c r="L303" s="815">
        <f>_xlfn.XLOOKUP(TableauRecette[[#This Row],[ID]],TableauProduit[ID],TableauProduit[Total (kg) N1],0,0,1)*TableauRecette[[#This Row],[poids / unite]]</f>
        <v>0</v>
      </c>
      <c r="M303" s="816">
        <f>_xlfn.XLOOKUP(TableauRecette[[#This Row],[ID]],TableauProduit[ID],TableauProduit[Total (kg) N2],0,0,1)*TableauRecette[[#This Row],[poids / unite]]</f>
        <v>0</v>
      </c>
      <c r="N303" s="816">
        <f>_xlfn.XLOOKUP(TableauRecette[[#This Row],[ID]],TableauProduit[ID],TableauProduit[Total (kg) N3],0,0,1)*TableauRecette[[#This Row],[poids / unite]]</f>
        <v>0</v>
      </c>
      <c r="O303" s="816">
        <f>_xlfn.XLOOKUP(TableauRecette[[#This Row],[ID]],TableauProduit[ID],TableauProduit[Total (kg) N4],0,0,1)*TableauRecette[[#This Row],[poids / unite]]</f>
        <v>0</v>
      </c>
      <c r="P303" s="816">
        <f>_xlfn.XLOOKUP(TableauRecette[[#This Row],[ID]],TableauProduit[ID],TableauProduit[Total (kg) N5],0,0,1)*TableauRecette[[#This Row],[poids / unite]]</f>
        <v>0</v>
      </c>
      <c r="Q303" s="816">
        <f>_xlfn.XLOOKUP(TableauRecette[[#This Row],[ID]],TableauProduit[ID],TableauProduit[Total (kg) N6],0,0,1)*TableauRecette[[#This Row],[poids / unite]]</f>
        <v>0</v>
      </c>
      <c r="R303" s="816">
        <f>_xlfn.XLOOKUP(TableauRecette[[#This Row],[ID]],TableauProduit[ID],TableauProduit[Total (kg) N7],0,0,1)*TableauRecette[[#This Row],[poids / unite]]</f>
        <v>0</v>
      </c>
      <c r="S303" s="816">
        <f>_xlfn.XLOOKUP(TableauRecette[[#This Row],[ID]],TableauProduit[ID],TableauProduit[Total (kg) N8],0,0,1)*TableauRecette[[#This Row],[poids / unite]]</f>
        <v>0</v>
      </c>
      <c r="T303" s="816">
        <f>_xlfn.XLOOKUP(TableauRecette[[#This Row],[ID]],TableauProduit[ID],TableauProduit[Total (kg) N9],0,0,1)*TableauRecette[[#This Row],[poids / unite]]</f>
        <v>0</v>
      </c>
    </row>
    <row r="304" spans="1:20">
      <c r="A304" s="97" t="s">
        <v>82</v>
      </c>
      <c r="B304" s="97" t="str">
        <f>TableauRecette[[#This Row],[Recette]]&amp;TableauRecette[[#This Row],[Conditionnement]]</f>
        <v>Sans selEpice 100ml</v>
      </c>
      <c r="C304" s="97" t="s">
        <v>67</v>
      </c>
      <c r="D304" s="220">
        <v>1</v>
      </c>
      <c r="E304" s="97" t="s">
        <v>55</v>
      </c>
      <c r="F304" s="220">
        <f>D304/SUMIFS(TableauRecette[Proportion],TableauRecette[Recette],TableauRecette[[#This Row],[Recette]],TableauRecette[Conditionnement],TableauRecette[[#This Row],[Conditionnement]])</f>
        <v>9.0909090909090912E-2</v>
      </c>
      <c r="G304" s="220">
        <f ca="1">_xlfn.XLOOKUP(TableauRecette[[#This Row],[Ingredients]],TableauIngredients[Ingredients],TableauIngredients[Prix d''achat (kg)],0)*TableauRecette[[#This Row],[poids / unite]]</f>
        <v>0</v>
      </c>
      <c r="H304" s="220">
        <f>SUMIFS(TableauRecette[Proportion],TableauRecette[Recette],TableauRecette[[#This Row],[Recette]],TableauRecette[Conditionnement],TableauRecette[[#This Row],[Conditionnement]])</f>
        <v>11</v>
      </c>
      <c r="I304" s="220">
        <f ca="1">TableauRecette[[#This Row],[Proportion]]*TableauRecette[[#This Row],[Prix d''achat / kg]]/TableauRecette[[#This Row],[Total Proportion]]</f>
        <v>0</v>
      </c>
      <c r="J304" s="220"/>
      <c r="K304" s="817"/>
      <c r="L304" s="818">
        <f>_xlfn.XLOOKUP(TableauRecette[[#This Row],[ID]],TableauProduit[ID],TableauProduit[Total (kg) N1],0,0,1)*TableauRecette[[#This Row],[poids / unite]]</f>
        <v>0</v>
      </c>
      <c r="M304" s="819">
        <f>_xlfn.XLOOKUP(TableauRecette[[#This Row],[ID]],TableauProduit[ID],TableauProduit[Total (kg) N2],0,0,1)*TableauRecette[[#This Row],[poids / unite]]</f>
        <v>0</v>
      </c>
      <c r="N304" s="819">
        <f>_xlfn.XLOOKUP(TableauRecette[[#This Row],[ID]],TableauProduit[ID],TableauProduit[Total (kg) N3],0,0,1)*TableauRecette[[#This Row],[poids / unite]]</f>
        <v>0</v>
      </c>
      <c r="O304" s="819">
        <f>_xlfn.XLOOKUP(TableauRecette[[#This Row],[ID]],TableauProduit[ID],TableauProduit[Total (kg) N4],0,0,1)*TableauRecette[[#This Row],[poids / unite]]</f>
        <v>0</v>
      </c>
      <c r="P304" s="819">
        <f>_xlfn.XLOOKUP(TableauRecette[[#This Row],[ID]],TableauProduit[ID],TableauProduit[Total (kg) N5],0,0,1)*TableauRecette[[#This Row],[poids / unite]]</f>
        <v>0</v>
      </c>
      <c r="Q304" s="819">
        <f>_xlfn.XLOOKUP(TableauRecette[[#This Row],[ID]],TableauProduit[ID],TableauProduit[Total (kg) N6],0,0,1)*TableauRecette[[#This Row],[poids / unite]]</f>
        <v>0</v>
      </c>
      <c r="R304" s="819">
        <f>_xlfn.XLOOKUP(TableauRecette[[#This Row],[ID]],TableauProduit[ID],TableauProduit[Total (kg) N7],0,0,1)*TableauRecette[[#This Row],[poids / unite]]</f>
        <v>0</v>
      </c>
      <c r="S304" s="819">
        <f>_xlfn.XLOOKUP(TableauRecette[[#This Row],[ID]],TableauProduit[ID],TableauProduit[Total (kg) N8],0,0,1)*TableauRecette[[#This Row],[poids / unite]]</f>
        <v>0</v>
      </c>
      <c r="T304" s="819">
        <f>_xlfn.XLOOKUP(TableauRecette[[#This Row],[ID]],TableauProduit[ID],TableauProduit[Total (kg) N9],0,0,1)*TableauRecette[[#This Row],[poids / unite]]</f>
        <v>0</v>
      </c>
    </row>
    <row r="305" spans="1:20">
      <c r="A305" s="97" t="s">
        <v>82</v>
      </c>
      <c r="B305" s="97" t="str">
        <f>TableauRecette[[#This Row],[Recette]]&amp;TableauRecette[[#This Row],[Conditionnement]]</f>
        <v>Sans selEpice 100ml</v>
      </c>
      <c r="C305" s="97" t="s">
        <v>344</v>
      </c>
      <c r="D305" s="220">
        <v>2</v>
      </c>
      <c r="E305" s="97" t="s">
        <v>55</v>
      </c>
      <c r="F305" s="220">
        <f>D305/SUMIFS(TableauRecette[Proportion],TableauRecette[Recette],TableauRecette[[#This Row],[Recette]],TableauRecette[Conditionnement],TableauRecette[[#This Row],[Conditionnement]])</f>
        <v>0.18181818181818182</v>
      </c>
      <c r="G305" s="220">
        <f ca="1">_xlfn.XLOOKUP(TableauRecette[[#This Row],[Ingredients]],TableauIngredients[Ingredients],TableauIngredients[Prix d''achat (kg)],0)*TableauRecette[[#This Row],[poids / unite]]</f>
        <v>0</v>
      </c>
      <c r="H305" s="220">
        <f>SUMIFS(TableauRecette[Proportion],TableauRecette[Recette],TableauRecette[[#This Row],[Recette]],TableauRecette[Conditionnement],TableauRecette[[#This Row],[Conditionnement]])</f>
        <v>11</v>
      </c>
      <c r="I305" s="220">
        <f ca="1">TableauRecette[[#This Row],[Proportion]]*TableauRecette[[#This Row],[Prix d''achat / kg]]/TableauRecette[[#This Row],[Total Proportion]]</f>
        <v>0</v>
      </c>
      <c r="J305" s="220"/>
      <c r="K305" s="817"/>
      <c r="L305" s="818">
        <f>_xlfn.XLOOKUP(TableauRecette[[#This Row],[ID]],TableauProduit[ID],TableauProduit[Total (kg) N1],0,0,1)*TableauRecette[[#This Row],[poids / unite]]</f>
        <v>0</v>
      </c>
      <c r="M305" s="819">
        <f>_xlfn.XLOOKUP(TableauRecette[[#This Row],[ID]],TableauProduit[ID],TableauProduit[Total (kg) N2],0,0,1)*TableauRecette[[#This Row],[poids / unite]]</f>
        <v>0</v>
      </c>
      <c r="N305" s="819">
        <f>_xlfn.XLOOKUP(TableauRecette[[#This Row],[ID]],TableauProduit[ID],TableauProduit[Total (kg) N3],0,0,1)*TableauRecette[[#This Row],[poids / unite]]</f>
        <v>0</v>
      </c>
      <c r="O305" s="819">
        <f>_xlfn.XLOOKUP(TableauRecette[[#This Row],[ID]],TableauProduit[ID],TableauProduit[Total (kg) N4],0,0,1)*TableauRecette[[#This Row],[poids / unite]]</f>
        <v>0</v>
      </c>
      <c r="P305" s="819">
        <f>_xlfn.XLOOKUP(TableauRecette[[#This Row],[ID]],TableauProduit[ID],TableauProduit[Total (kg) N5],0,0,1)*TableauRecette[[#This Row],[poids / unite]]</f>
        <v>0</v>
      </c>
      <c r="Q305" s="819">
        <f>_xlfn.XLOOKUP(TableauRecette[[#This Row],[ID]],TableauProduit[ID],TableauProduit[Total (kg) N6],0,0,1)*TableauRecette[[#This Row],[poids / unite]]</f>
        <v>0</v>
      </c>
      <c r="R305" s="819">
        <f>_xlfn.XLOOKUP(TableauRecette[[#This Row],[ID]],TableauProduit[ID],TableauProduit[Total (kg) N7],0,0,1)*TableauRecette[[#This Row],[poids / unite]]</f>
        <v>0</v>
      </c>
      <c r="S305" s="819">
        <f>_xlfn.XLOOKUP(TableauRecette[[#This Row],[ID]],TableauProduit[ID],TableauProduit[Total (kg) N8],0,0,1)*TableauRecette[[#This Row],[poids / unite]]</f>
        <v>0</v>
      </c>
      <c r="T305" s="819">
        <f>_xlfn.XLOOKUP(TableauRecette[[#This Row],[ID]],TableauProduit[ID],TableauProduit[Total (kg) N9],0,0,1)*TableauRecette[[#This Row],[poids / unite]]</f>
        <v>0</v>
      </c>
    </row>
    <row r="306" spans="1:20">
      <c r="A306" s="97" t="s">
        <v>82</v>
      </c>
      <c r="B306" s="97" t="str">
        <f>TableauRecette[[#This Row],[Recette]]&amp;TableauRecette[[#This Row],[Conditionnement]]</f>
        <v>Sans selEpice 100ml</v>
      </c>
      <c r="C306" s="97" t="s">
        <v>370</v>
      </c>
      <c r="D306" s="220">
        <v>2</v>
      </c>
      <c r="E306" s="97" t="s">
        <v>55</v>
      </c>
      <c r="F306" s="220">
        <f>D306/SUMIFS(TableauRecette[Proportion],TableauRecette[Recette],TableauRecette[[#This Row],[Recette]],TableauRecette[Conditionnement],TableauRecette[[#This Row],[Conditionnement]])</f>
        <v>0.18181818181818182</v>
      </c>
      <c r="G306" s="220">
        <f ca="1">_xlfn.XLOOKUP(TableauRecette[[#This Row],[Ingredients]],TableauIngredients[Ingredients],TableauIngredients[Prix d''achat (kg)],0)*TableauRecette[[#This Row],[poids / unite]]</f>
        <v>0</v>
      </c>
      <c r="H306" s="220">
        <f>SUMIFS(TableauRecette[Proportion],TableauRecette[Recette],TableauRecette[[#This Row],[Recette]],TableauRecette[Conditionnement],TableauRecette[[#This Row],[Conditionnement]])</f>
        <v>11</v>
      </c>
      <c r="I306" s="220">
        <f ca="1">TableauRecette[[#This Row],[Proportion]]*TableauRecette[[#This Row],[Prix d''achat / kg]]/TableauRecette[[#This Row],[Total Proportion]]</f>
        <v>0</v>
      </c>
      <c r="J306" s="220"/>
      <c r="K306" s="817"/>
      <c r="L306" s="818">
        <f>_xlfn.XLOOKUP(TableauRecette[[#This Row],[ID]],TableauProduit[ID],TableauProduit[Total (kg) N1],0,0,1)*TableauRecette[[#This Row],[poids / unite]]</f>
        <v>0</v>
      </c>
      <c r="M306" s="819">
        <f>_xlfn.XLOOKUP(TableauRecette[[#This Row],[ID]],TableauProduit[ID],TableauProduit[Total (kg) N2],0,0,1)*TableauRecette[[#This Row],[poids / unite]]</f>
        <v>0</v>
      </c>
      <c r="N306" s="819">
        <f>_xlfn.XLOOKUP(TableauRecette[[#This Row],[ID]],TableauProduit[ID],TableauProduit[Total (kg) N3],0,0,1)*TableauRecette[[#This Row],[poids / unite]]</f>
        <v>0</v>
      </c>
      <c r="O306" s="819">
        <f>_xlfn.XLOOKUP(TableauRecette[[#This Row],[ID]],TableauProduit[ID],TableauProduit[Total (kg) N4],0,0,1)*TableauRecette[[#This Row],[poids / unite]]</f>
        <v>0</v>
      </c>
      <c r="P306" s="819">
        <f>_xlfn.XLOOKUP(TableauRecette[[#This Row],[ID]],TableauProduit[ID],TableauProduit[Total (kg) N5],0,0,1)*TableauRecette[[#This Row],[poids / unite]]</f>
        <v>0</v>
      </c>
      <c r="Q306" s="819">
        <f>_xlfn.XLOOKUP(TableauRecette[[#This Row],[ID]],TableauProduit[ID],TableauProduit[Total (kg) N6],0,0,1)*TableauRecette[[#This Row],[poids / unite]]</f>
        <v>0</v>
      </c>
      <c r="R306" s="819">
        <f>_xlfn.XLOOKUP(TableauRecette[[#This Row],[ID]],TableauProduit[ID],TableauProduit[Total (kg) N7],0,0,1)*TableauRecette[[#This Row],[poids / unite]]</f>
        <v>0</v>
      </c>
      <c r="S306" s="819">
        <f>_xlfn.XLOOKUP(TableauRecette[[#This Row],[ID]],TableauProduit[ID],TableauProduit[Total (kg) N8],0,0,1)*TableauRecette[[#This Row],[poids / unite]]</f>
        <v>0</v>
      </c>
      <c r="T306" s="819">
        <f>_xlfn.XLOOKUP(TableauRecette[[#This Row],[ID]],TableauProduit[ID],TableauProduit[Total (kg) N9],0,0,1)*TableauRecette[[#This Row],[poids / unite]]</f>
        <v>0</v>
      </c>
    </row>
    <row r="307" spans="1:20">
      <c r="A307" s="97" t="s">
        <v>82</v>
      </c>
      <c r="B307" s="97" t="str">
        <f>TableauRecette[[#This Row],[Recette]]&amp;TableauRecette[[#This Row],[Conditionnement]]</f>
        <v>Sans selEpice 100ml</v>
      </c>
      <c r="C307" s="97" t="s">
        <v>371</v>
      </c>
      <c r="D307" s="220">
        <v>1</v>
      </c>
      <c r="E307" s="97" t="s">
        <v>55</v>
      </c>
      <c r="F307" s="220">
        <f>D307/SUMIFS(TableauRecette[Proportion],TableauRecette[Recette],TableauRecette[[#This Row],[Recette]],TableauRecette[Conditionnement],TableauRecette[[#This Row],[Conditionnement]])</f>
        <v>9.0909090909090912E-2</v>
      </c>
      <c r="G307" s="220">
        <f ca="1">_xlfn.XLOOKUP(TableauRecette[[#This Row],[Ingredients]],TableauIngredients[Ingredients],TableauIngredients[Prix d''achat (kg)],0)*TableauRecette[[#This Row],[poids / unite]]</f>
        <v>0</v>
      </c>
      <c r="H307" s="220">
        <f>SUMIFS(TableauRecette[Proportion],TableauRecette[Recette],TableauRecette[[#This Row],[Recette]],TableauRecette[Conditionnement],TableauRecette[[#This Row],[Conditionnement]])</f>
        <v>11</v>
      </c>
      <c r="I307" s="220">
        <f ca="1">TableauRecette[[#This Row],[Proportion]]*TableauRecette[[#This Row],[Prix d''achat / kg]]/TableauRecette[[#This Row],[Total Proportion]]</f>
        <v>0</v>
      </c>
      <c r="J307" s="220"/>
      <c r="K307" s="817"/>
      <c r="L307" s="818">
        <f>_xlfn.XLOOKUP(TableauRecette[[#This Row],[ID]],TableauProduit[ID],TableauProduit[Total (kg) N1],0,0,1)*TableauRecette[[#This Row],[poids / unite]]</f>
        <v>0</v>
      </c>
      <c r="M307" s="819">
        <f>_xlfn.XLOOKUP(TableauRecette[[#This Row],[ID]],TableauProduit[ID],TableauProduit[Total (kg) N2],0,0,1)*TableauRecette[[#This Row],[poids / unite]]</f>
        <v>0</v>
      </c>
      <c r="N307" s="819">
        <f>_xlfn.XLOOKUP(TableauRecette[[#This Row],[ID]],TableauProduit[ID],TableauProduit[Total (kg) N3],0,0,1)*TableauRecette[[#This Row],[poids / unite]]</f>
        <v>0</v>
      </c>
      <c r="O307" s="819">
        <f>_xlfn.XLOOKUP(TableauRecette[[#This Row],[ID]],TableauProduit[ID],TableauProduit[Total (kg) N4],0,0,1)*TableauRecette[[#This Row],[poids / unite]]</f>
        <v>0</v>
      </c>
      <c r="P307" s="819">
        <f>_xlfn.XLOOKUP(TableauRecette[[#This Row],[ID]],TableauProduit[ID],TableauProduit[Total (kg) N5],0,0,1)*TableauRecette[[#This Row],[poids / unite]]</f>
        <v>0</v>
      </c>
      <c r="Q307" s="819">
        <f>_xlfn.XLOOKUP(TableauRecette[[#This Row],[ID]],TableauProduit[ID],TableauProduit[Total (kg) N6],0,0,1)*TableauRecette[[#This Row],[poids / unite]]</f>
        <v>0</v>
      </c>
      <c r="R307" s="819">
        <f>_xlfn.XLOOKUP(TableauRecette[[#This Row],[ID]],TableauProduit[ID],TableauProduit[Total (kg) N7],0,0,1)*TableauRecette[[#This Row],[poids / unite]]</f>
        <v>0</v>
      </c>
      <c r="S307" s="819">
        <f>_xlfn.XLOOKUP(TableauRecette[[#This Row],[ID]],TableauProduit[ID],TableauProduit[Total (kg) N8],0,0,1)*TableauRecette[[#This Row],[poids / unite]]</f>
        <v>0</v>
      </c>
      <c r="T307" s="819">
        <f>_xlfn.XLOOKUP(TableauRecette[[#This Row],[ID]],TableauProduit[ID],TableauProduit[Total (kg) N9],0,0,1)*TableauRecette[[#This Row],[poids / unite]]</f>
        <v>0</v>
      </c>
    </row>
    <row r="308" spans="1:20">
      <c r="A308" s="97" t="s">
        <v>82</v>
      </c>
      <c r="B308" s="97" t="str">
        <f>TableauRecette[[#This Row],[Recette]]&amp;TableauRecette[[#This Row],[Conditionnement]]</f>
        <v>Sans selEpice 100ml</v>
      </c>
      <c r="C308" s="97" t="s">
        <v>319</v>
      </c>
      <c r="D308" s="220">
        <v>2</v>
      </c>
      <c r="E308" s="97" t="s">
        <v>55</v>
      </c>
      <c r="F308" s="220">
        <f>D308/SUMIFS(TableauRecette[Proportion],TableauRecette[Recette],TableauRecette[[#This Row],[Recette]],TableauRecette[Conditionnement],TableauRecette[[#This Row],[Conditionnement]])</f>
        <v>0.18181818181818182</v>
      </c>
      <c r="G308" s="220">
        <f ca="1">_xlfn.XLOOKUP(TableauRecette[[#This Row],[Ingredients]],TableauIngredients[Ingredients],TableauIngredients[Prix d''achat (kg)],0)*TableauRecette[[#This Row],[poids / unite]]</f>
        <v>0</v>
      </c>
      <c r="H308" s="220">
        <f>SUMIFS(TableauRecette[Proportion],TableauRecette[Recette],TableauRecette[[#This Row],[Recette]],TableauRecette[Conditionnement],TableauRecette[[#This Row],[Conditionnement]])</f>
        <v>11</v>
      </c>
      <c r="I308" s="220">
        <f ca="1">TableauRecette[[#This Row],[Proportion]]*TableauRecette[[#This Row],[Prix d''achat / kg]]/TableauRecette[[#This Row],[Total Proportion]]</f>
        <v>0</v>
      </c>
      <c r="J308" s="220"/>
      <c r="K308" s="817"/>
      <c r="L308" s="818">
        <f>_xlfn.XLOOKUP(TableauRecette[[#This Row],[ID]],TableauProduit[ID],TableauProduit[Total (kg) N1],0,0,1)*TableauRecette[[#This Row],[poids / unite]]</f>
        <v>0</v>
      </c>
      <c r="M308" s="819">
        <f>_xlfn.XLOOKUP(TableauRecette[[#This Row],[ID]],TableauProduit[ID],TableauProduit[Total (kg) N2],0,0,1)*TableauRecette[[#This Row],[poids / unite]]</f>
        <v>0</v>
      </c>
      <c r="N308" s="819">
        <f>_xlfn.XLOOKUP(TableauRecette[[#This Row],[ID]],TableauProduit[ID],TableauProduit[Total (kg) N3],0,0,1)*TableauRecette[[#This Row],[poids / unite]]</f>
        <v>0</v>
      </c>
      <c r="O308" s="819">
        <f>_xlfn.XLOOKUP(TableauRecette[[#This Row],[ID]],TableauProduit[ID],TableauProduit[Total (kg) N4],0,0,1)*TableauRecette[[#This Row],[poids / unite]]</f>
        <v>0</v>
      </c>
      <c r="P308" s="819">
        <f>_xlfn.XLOOKUP(TableauRecette[[#This Row],[ID]],TableauProduit[ID],TableauProduit[Total (kg) N5],0,0,1)*TableauRecette[[#This Row],[poids / unite]]</f>
        <v>0</v>
      </c>
      <c r="Q308" s="819">
        <f>_xlfn.XLOOKUP(TableauRecette[[#This Row],[ID]],TableauProduit[ID],TableauProduit[Total (kg) N6],0,0,1)*TableauRecette[[#This Row],[poids / unite]]</f>
        <v>0</v>
      </c>
      <c r="R308" s="819">
        <f>_xlfn.XLOOKUP(TableauRecette[[#This Row],[ID]],TableauProduit[ID],TableauProduit[Total (kg) N7],0,0,1)*TableauRecette[[#This Row],[poids / unite]]</f>
        <v>0</v>
      </c>
      <c r="S308" s="819">
        <f>_xlfn.XLOOKUP(TableauRecette[[#This Row],[ID]],TableauProduit[ID],TableauProduit[Total (kg) N8],0,0,1)*TableauRecette[[#This Row],[poids / unite]]</f>
        <v>0</v>
      </c>
      <c r="T308" s="819">
        <f>_xlfn.XLOOKUP(TableauRecette[[#This Row],[ID]],TableauProduit[ID],TableauProduit[Total (kg) N9],0,0,1)*TableauRecette[[#This Row],[poids / unite]]</f>
        <v>0</v>
      </c>
    </row>
    <row r="309" spans="1:20">
      <c r="A309" s="97" t="s">
        <v>82</v>
      </c>
      <c r="B309" s="97" t="str">
        <f>TableauRecette[[#This Row],[Recette]]&amp;TableauRecette[[#This Row],[Conditionnement]]</f>
        <v>Sans selEpice 100ml</v>
      </c>
      <c r="C309" s="97" t="s">
        <v>327</v>
      </c>
      <c r="D309" s="220">
        <v>2</v>
      </c>
      <c r="E309" s="97" t="s">
        <v>55</v>
      </c>
      <c r="F309" s="220">
        <f>D309/SUMIFS(TableauRecette[Proportion],TableauRecette[Recette],TableauRecette[[#This Row],[Recette]],TableauRecette[Conditionnement],TableauRecette[[#This Row],[Conditionnement]])</f>
        <v>0.18181818181818182</v>
      </c>
      <c r="G309" s="220">
        <f ca="1">_xlfn.XLOOKUP(TableauRecette[[#This Row],[Ingredients]],TableauIngredients[Ingredients],TableauIngredients[Prix d''achat (kg)],0)*TableauRecette[[#This Row],[poids / unite]]</f>
        <v>0</v>
      </c>
      <c r="H309" s="220">
        <f>SUMIFS(TableauRecette[Proportion],TableauRecette[Recette],TableauRecette[[#This Row],[Recette]],TableauRecette[Conditionnement],TableauRecette[[#This Row],[Conditionnement]])</f>
        <v>11</v>
      </c>
      <c r="I309" s="220">
        <f ca="1">TableauRecette[[#This Row],[Proportion]]*TableauRecette[[#This Row],[Prix d''achat / kg]]/TableauRecette[[#This Row],[Total Proportion]]</f>
        <v>0</v>
      </c>
      <c r="J309" s="220"/>
      <c r="K309" s="817"/>
      <c r="L309" s="818">
        <f>_xlfn.XLOOKUP(TableauRecette[[#This Row],[ID]],TableauProduit[ID],TableauProduit[Total (kg) N1],0,0,1)*TableauRecette[[#This Row],[poids / unite]]</f>
        <v>0</v>
      </c>
      <c r="M309" s="819">
        <f>_xlfn.XLOOKUP(TableauRecette[[#This Row],[ID]],TableauProduit[ID],TableauProduit[Total (kg) N2],0,0,1)*TableauRecette[[#This Row],[poids / unite]]</f>
        <v>0</v>
      </c>
      <c r="N309" s="819">
        <f>_xlfn.XLOOKUP(TableauRecette[[#This Row],[ID]],TableauProduit[ID],TableauProduit[Total (kg) N3],0,0,1)*TableauRecette[[#This Row],[poids / unite]]</f>
        <v>0</v>
      </c>
      <c r="O309" s="819">
        <f>_xlfn.XLOOKUP(TableauRecette[[#This Row],[ID]],TableauProduit[ID],TableauProduit[Total (kg) N4],0,0,1)*TableauRecette[[#This Row],[poids / unite]]</f>
        <v>0</v>
      </c>
      <c r="P309" s="819">
        <f>_xlfn.XLOOKUP(TableauRecette[[#This Row],[ID]],TableauProduit[ID],TableauProduit[Total (kg) N5],0,0,1)*TableauRecette[[#This Row],[poids / unite]]</f>
        <v>0</v>
      </c>
      <c r="Q309" s="819">
        <f>_xlfn.XLOOKUP(TableauRecette[[#This Row],[ID]],TableauProduit[ID],TableauProduit[Total (kg) N6],0,0,1)*TableauRecette[[#This Row],[poids / unite]]</f>
        <v>0</v>
      </c>
      <c r="R309" s="819">
        <f>_xlfn.XLOOKUP(TableauRecette[[#This Row],[ID]],TableauProduit[ID],TableauProduit[Total (kg) N7],0,0,1)*TableauRecette[[#This Row],[poids / unite]]</f>
        <v>0</v>
      </c>
      <c r="S309" s="819">
        <f>_xlfn.XLOOKUP(TableauRecette[[#This Row],[ID]],TableauProduit[ID],TableauProduit[Total (kg) N8],0,0,1)*TableauRecette[[#This Row],[poids / unite]]</f>
        <v>0</v>
      </c>
      <c r="T309" s="819">
        <f>_xlfn.XLOOKUP(TableauRecette[[#This Row],[ID]],TableauProduit[ID],TableauProduit[Total (kg) N9],0,0,1)*TableauRecette[[#This Row],[poids / unite]]</f>
        <v>0</v>
      </c>
    </row>
    <row r="310" spans="1:20">
      <c r="A310" s="97" t="s">
        <v>82</v>
      </c>
      <c r="B310" s="97" t="str">
        <f>TableauRecette[[#This Row],[Recette]]&amp;TableauRecette[[#This Row],[Conditionnement]]</f>
        <v>Sans selEpice 100ml</v>
      </c>
      <c r="C310" s="97" t="s">
        <v>777</v>
      </c>
      <c r="D310" s="220">
        <v>1</v>
      </c>
      <c r="E310" s="97" t="s">
        <v>55</v>
      </c>
      <c r="F310" s="220">
        <f>D310/SUMIFS(TableauRecette[Proportion],TableauRecette[Recette],TableauRecette[[#This Row],[Recette]],TableauRecette[Conditionnement],TableauRecette[[#This Row],[Conditionnement]])</f>
        <v>9.0909090909090912E-2</v>
      </c>
      <c r="G310" s="220">
        <f ca="1">_xlfn.XLOOKUP(TableauRecette[[#This Row],[Ingredients]],TableauIngredients[Ingredients],TableauIngredients[Prix d''achat (kg)],0)*TableauRecette[[#This Row],[poids / unite]]</f>
        <v>0</v>
      </c>
      <c r="H310" s="220">
        <f>SUMIFS(TableauRecette[Proportion],TableauRecette[Recette],TableauRecette[[#This Row],[Recette]],TableauRecette[Conditionnement],TableauRecette[[#This Row],[Conditionnement]])</f>
        <v>11</v>
      </c>
      <c r="I310" s="220">
        <f ca="1">TableauRecette[[#This Row],[Proportion]]*TableauRecette[[#This Row],[Prix d''achat / kg]]/TableauRecette[[#This Row],[Total Proportion]]</f>
        <v>0</v>
      </c>
      <c r="J310" s="220"/>
      <c r="K310" s="817"/>
      <c r="L310" s="818">
        <f>_xlfn.XLOOKUP(TableauRecette[[#This Row],[ID]],TableauProduit[ID],TableauProduit[Total (kg) N1],0,0,1)*TableauRecette[[#This Row],[poids / unite]]</f>
        <v>0</v>
      </c>
      <c r="M310" s="819">
        <f>_xlfn.XLOOKUP(TableauRecette[[#This Row],[ID]],TableauProduit[ID],TableauProduit[Total (kg) N2],0,0,1)*TableauRecette[[#This Row],[poids / unite]]</f>
        <v>0</v>
      </c>
      <c r="N310" s="819">
        <f>_xlfn.XLOOKUP(TableauRecette[[#This Row],[ID]],TableauProduit[ID],TableauProduit[Total (kg) N3],0,0,1)*TableauRecette[[#This Row],[poids / unite]]</f>
        <v>0</v>
      </c>
      <c r="O310" s="819">
        <f>_xlfn.XLOOKUP(TableauRecette[[#This Row],[ID]],TableauProduit[ID],TableauProduit[Total (kg) N4],0,0,1)*TableauRecette[[#This Row],[poids / unite]]</f>
        <v>0</v>
      </c>
      <c r="P310" s="819">
        <f>_xlfn.XLOOKUP(TableauRecette[[#This Row],[ID]],TableauProduit[ID],TableauProduit[Total (kg) N5],0,0,1)*TableauRecette[[#This Row],[poids / unite]]</f>
        <v>0</v>
      </c>
      <c r="Q310" s="819">
        <f>_xlfn.XLOOKUP(TableauRecette[[#This Row],[ID]],TableauProduit[ID],TableauProduit[Total (kg) N6],0,0,1)*TableauRecette[[#This Row],[poids / unite]]</f>
        <v>0</v>
      </c>
      <c r="R310" s="819">
        <f>_xlfn.XLOOKUP(TableauRecette[[#This Row],[ID]],TableauProduit[ID],TableauProduit[Total (kg) N7],0,0,1)*TableauRecette[[#This Row],[poids / unite]]</f>
        <v>0</v>
      </c>
      <c r="S310" s="819">
        <f>_xlfn.XLOOKUP(TableauRecette[[#This Row],[ID]],TableauProduit[ID],TableauProduit[Total (kg) N8],0,0,1)*TableauRecette[[#This Row],[poids / unite]]</f>
        <v>0</v>
      </c>
      <c r="T310" s="819">
        <f>_xlfn.XLOOKUP(TableauRecette[[#This Row],[ID]],TableauProduit[ID],TableauProduit[Total (kg) N9],0,0,1)*TableauRecette[[#This Row],[poids / unite]]</f>
        <v>0</v>
      </c>
    </row>
    <row r="311" spans="1:20">
      <c r="A311" s="98" t="s">
        <v>83</v>
      </c>
      <c r="B311" s="98" t="str">
        <f>TableauRecette[[#This Row],[Recette]]&amp;TableauRecette[[#This Row],[Conditionnement]]</f>
        <v>Shichimi togarashiEpice 100ml</v>
      </c>
      <c r="C311" s="98" t="s">
        <v>733</v>
      </c>
      <c r="D311" s="221">
        <v>0</v>
      </c>
      <c r="E311" s="98" t="s">
        <v>55</v>
      </c>
      <c r="F311" s="221">
        <f>D311/SUMIFS(TableauRecette[Proportion],TableauRecette[Recette],TableauRecette[[#This Row],[Recette]],TableauRecette[Conditionnement],TableauRecette[[#This Row],[Conditionnement]])</f>
        <v>0</v>
      </c>
      <c r="G311" s="221">
        <f ca="1">_xlfn.XLOOKUP(TableauRecette[[#This Row],[Ingredients]],TableauIngredients[Ingredients],TableauIngredients[Prix d''achat (kg)],0)*TableauRecette[[#This Row],[poids / unite]]</f>
        <v>0</v>
      </c>
      <c r="H311" s="221">
        <f>SUMIFS(TableauRecette[Proportion],TableauRecette[Recette],TableauRecette[[#This Row],[Recette]],TableauRecette[Conditionnement],TableauRecette[[#This Row],[Conditionnement]])</f>
        <v>20</v>
      </c>
      <c r="I311" s="221">
        <f ca="1">TableauRecette[[#This Row],[Proportion]]*TableauRecette[[#This Row],[Prix d''achat / kg]]/TableauRecette[[#This Row],[Total Proportion]]</f>
        <v>0</v>
      </c>
      <c r="J311" s="221"/>
      <c r="K311" s="820"/>
      <c r="L311" s="821">
        <f>_xlfn.XLOOKUP(TableauRecette[[#This Row],[ID]],TableauProduit[ID],TableauProduit[Total (kg) N1],0,0,1)*TableauRecette[[#This Row],[poids / unite]]</f>
        <v>0</v>
      </c>
      <c r="M311" s="822">
        <f>_xlfn.XLOOKUP(TableauRecette[[#This Row],[ID]],TableauProduit[ID],TableauProduit[Total (kg) N2],0,0,1)*TableauRecette[[#This Row],[poids / unite]]</f>
        <v>0</v>
      </c>
      <c r="N311" s="822">
        <f>_xlfn.XLOOKUP(TableauRecette[[#This Row],[ID]],TableauProduit[ID],TableauProduit[Total (kg) N3],0,0,1)*TableauRecette[[#This Row],[poids / unite]]</f>
        <v>0</v>
      </c>
      <c r="O311" s="822">
        <f>_xlfn.XLOOKUP(TableauRecette[[#This Row],[ID]],TableauProduit[ID],TableauProduit[Total (kg) N4],0,0,1)*TableauRecette[[#This Row],[poids / unite]]</f>
        <v>0</v>
      </c>
      <c r="P311" s="822">
        <f>_xlfn.XLOOKUP(TableauRecette[[#This Row],[ID]],TableauProduit[ID],TableauProduit[Total (kg) N5],0,0,1)*TableauRecette[[#This Row],[poids / unite]]</f>
        <v>0</v>
      </c>
      <c r="Q311" s="822">
        <f>_xlfn.XLOOKUP(TableauRecette[[#This Row],[ID]],TableauProduit[ID],TableauProduit[Total (kg) N6],0,0,1)*TableauRecette[[#This Row],[poids / unite]]</f>
        <v>0</v>
      </c>
      <c r="R311" s="822">
        <f>_xlfn.XLOOKUP(TableauRecette[[#This Row],[ID]],TableauProduit[ID],TableauProduit[Total (kg) N7],0,0,1)*TableauRecette[[#This Row],[poids / unite]]</f>
        <v>0</v>
      </c>
      <c r="S311" s="822">
        <f>_xlfn.XLOOKUP(TableauRecette[[#This Row],[ID]],TableauProduit[ID],TableauProduit[Total (kg) N8],0,0,1)*TableauRecette[[#This Row],[poids / unite]]</f>
        <v>0</v>
      </c>
      <c r="T311" s="822">
        <f>_xlfn.XLOOKUP(TableauRecette[[#This Row],[ID]],TableauProduit[ID],TableauProduit[Total (kg) N9],0,0,1)*TableauRecette[[#This Row],[poids / unite]]</f>
        <v>0</v>
      </c>
    </row>
    <row r="312" spans="1:20">
      <c r="A312" s="98" t="s">
        <v>83</v>
      </c>
      <c r="B312" s="98" t="str">
        <f>TableauRecette[[#This Row],[Recette]]&amp;TableauRecette[[#This Row],[Conditionnement]]</f>
        <v>Shichimi togarashiEpice 100ml</v>
      </c>
      <c r="C312" s="98" t="s">
        <v>325</v>
      </c>
      <c r="D312" s="221">
        <v>6</v>
      </c>
      <c r="E312" s="98" t="s">
        <v>55</v>
      </c>
      <c r="F312" s="221">
        <f>D312/SUMIFS(TableauRecette[Proportion],TableauRecette[Recette],TableauRecette[[#This Row],[Recette]],TableauRecette[Conditionnement],TableauRecette[[#This Row],[Conditionnement]])</f>
        <v>0.3</v>
      </c>
      <c r="G312" s="221">
        <f ca="1">_xlfn.XLOOKUP(TableauRecette[[#This Row],[Ingredients]],TableauIngredients[Ingredients],TableauIngredients[Prix d''achat (kg)],0)*TableauRecette[[#This Row],[poids / unite]]</f>
        <v>0</v>
      </c>
      <c r="H312" s="221">
        <f>SUMIFS(TableauRecette[Proportion],TableauRecette[Recette],TableauRecette[[#This Row],[Recette]],TableauRecette[Conditionnement],TableauRecette[[#This Row],[Conditionnement]])</f>
        <v>20</v>
      </c>
      <c r="I312" s="221">
        <f ca="1">TableauRecette[[#This Row],[Proportion]]*TableauRecette[[#This Row],[Prix d''achat / kg]]/TableauRecette[[#This Row],[Total Proportion]]</f>
        <v>0</v>
      </c>
      <c r="J312" s="221"/>
      <c r="K312" s="820"/>
      <c r="L312" s="821">
        <f>_xlfn.XLOOKUP(TableauRecette[[#This Row],[ID]],TableauProduit[ID],TableauProduit[Total (kg) N1],0,0,1)*TableauRecette[[#This Row],[poids / unite]]</f>
        <v>0</v>
      </c>
      <c r="M312" s="822">
        <f>_xlfn.XLOOKUP(TableauRecette[[#This Row],[ID]],TableauProduit[ID],TableauProduit[Total (kg) N2],0,0,1)*TableauRecette[[#This Row],[poids / unite]]</f>
        <v>0</v>
      </c>
      <c r="N312" s="822">
        <f>_xlfn.XLOOKUP(TableauRecette[[#This Row],[ID]],TableauProduit[ID],TableauProduit[Total (kg) N3],0,0,1)*TableauRecette[[#This Row],[poids / unite]]</f>
        <v>0</v>
      </c>
      <c r="O312" s="822">
        <f>_xlfn.XLOOKUP(TableauRecette[[#This Row],[ID]],TableauProduit[ID],TableauProduit[Total (kg) N4],0,0,1)*TableauRecette[[#This Row],[poids / unite]]</f>
        <v>0</v>
      </c>
      <c r="P312" s="822">
        <f>_xlfn.XLOOKUP(TableauRecette[[#This Row],[ID]],TableauProduit[ID],TableauProduit[Total (kg) N5],0,0,1)*TableauRecette[[#This Row],[poids / unite]]</f>
        <v>0</v>
      </c>
      <c r="Q312" s="822">
        <f>_xlfn.XLOOKUP(TableauRecette[[#This Row],[ID]],TableauProduit[ID],TableauProduit[Total (kg) N6],0,0,1)*TableauRecette[[#This Row],[poids / unite]]</f>
        <v>0</v>
      </c>
      <c r="R312" s="822">
        <f>_xlfn.XLOOKUP(TableauRecette[[#This Row],[ID]],TableauProduit[ID],TableauProduit[Total (kg) N7],0,0,1)*TableauRecette[[#This Row],[poids / unite]]</f>
        <v>0</v>
      </c>
      <c r="S312" s="822">
        <f>_xlfn.XLOOKUP(TableauRecette[[#This Row],[ID]],TableauProduit[ID],TableauProduit[Total (kg) N8],0,0,1)*TableauRecette[[#This Row],[poids / unite]]</f>
        <v>0</v>
      </c>
      <c r="T312" s="822">
        <f>_xlfn.XLOOKUP(TableauRecette[[#This Row],[ID]],TableauProduit[ID],TableauProduit[Total (kg) N9],0,0,1)*TableauRecette[[#This Row],[poids / unite]]</f>
        <v>0</v>
      </c>
    </row>
    <row r="313" spans="1:20">
      <c r="A313" s="98" t="s">
        <v>83</v>
      </c>
      <c r="B313" s="98" t="str">
        <f>TableauRecette[[#This Row],[Recette]]&amp;TableauRecette[[#This Row],[Conditionnement]]</f>
        <v>Shichimi togarashiEpice 100ml</v>
      </c>
      <c r="C313" s="98" t="s">
        <v>373</v>
      </c>
      <c r="D313" s="221">
        <v>3</v>
      </c>
      <c r="E313" s="98" t="s">
        <v>55</v>
      </c>
      <c r="F313" s="221">
        <f>D313/SUMIFS(TableauRecette[Proportion],TableauRecette[Recette],TableauRecette[[#This Row],[Recette]],TableauRecette[Conditionnement],TableauRecette[[#This Row],[Conditionnement]])</f>
        <v>0.15</v>
      </c>
      <c r="G313" s="221">
        <f ca="1">_xlfn.XLOOKUP(TableauRecette[[#This Row],[Ingredients]],TableauIngredients[Ingredients],TableauIngredients[Prix d''achat (kg)],0)*TableauRecette[[#This Row],[poids / unite]]</f>
        <v>0</v>
      </c>
      <c r="H313" s="221">
        <f>SUMIFS(TableauRecette[Proportion],TableauRecette[Recette],TableauRecette[[#This Row],[Recette]],TableauRecette[Conditionnement],TableauRecette[[#This Row],[Conditionnement]])</f>
        <v>20</v>
      </c>
      <c r="I313" s="221">
        <f ca="1">TableauRecette[[#This Row],[Proportion]]*TableauRecette[[#This Row],[Prix d''achat / kg]]/TableauRecette[[#This Row],[Total Proportion]]</f>
        <v>0</v>
      </c>
      <c r="J313" s="221"/>
      <c r="K313" s="820"/>
      <c r="L313" s="821">
        <f>_xlfn.XLOOKUP(TableauRecette[[#This Row],[ID]],TableauProduit[ID],TableauProduit[Total (kg) N1],0,0,1)*TableauRecette[[#This Row],[poids / unite]]</f>
        <v>0</v>
      </c>
      <c r="M313" s="822">
        <f>_xlfn.XLOOKUP(TableauRecette[[#This Row],[ID]],TableauProduit[ID],TableauProduit[Total (kg) N2],0,0,1)*TableauRecette[[#This Row],[poids / unite]]</f>
        <v>0</v>
      </c>
      <c r="N313" s="822">
        <f>_xlfn.XLOOKUP(TableauRecette[[#This Row],[ID]],TableauProduit[ID],TableauProduit[Total (kg) N3],0,0,1)*TableauRecette[[#This Row],[poids / unite]]</f>
        <v>0</v>
      </c>
      <c r="O313" s="822">
        <f>_xlfn.XLOOKUP(TableauRecette[[#This Row],[ID]],TableauProduit[ID],TableauProduit[Total (kg) N4],0,0,1)*TableauRecette[[#This Row],[poids / unite]]</f>
        <v>0</v>
      </c>
      <c r="P313" s="822">
        <f>_xlfn.XLOOKUP(TableauRecette[[#This Row],[ID]],TableauProduit[ID],TableauProduit[Total (kg) N5],0,0,1)*TableauRecette[[#This Row],[poids / unite]]</f>
        <v>0</v>
      </c>
      <c r="Q313" s="822">
        <f>_xlfn.XLOOKUP(TableauRecette[[#This Row],[ID]],TableauProduit[ID],TableauProduit[Total (kg) N6],0,0,1)*TableauRecette[[#This Row],[poids / unite]]</f>
        <v>0</v>
      </c>
      <c r="R313" s="822">
        <f>_xlfn.XLOOKUP(TableauRecette[[#This Row],[ID]],TableauProduit[ID],TableauProduit[Total (kg) N7],0,0,1)*TableauRecette[[#This Row],[poids / unite]]</f>
        <v>0</v>
      </c>
      <c r="S313" s="822">
        <f>_xlfn.XLOOKUP(TableauRecette[[#This Row],[ID]],TableauProduit[ID],TableauProduit[Total (kg) N8],0,0,1)*TableauRecette[[#This Row],[poids / unite]]</f>
        <v>0</v>
      </c>
      <c r="T313" s="822">
        <f>_xlfn.XLOOKUP(TableauRecette[[#This Row],[ID]],TableauProduit[ID],TableauProduit[Total (kg) N9],0,0,1)*TableauRecette[[#This Row],[poids / unite]]</f>
        <v>0</v>
      </c>
    </row>
    <row r="314" spans="1:20">
      <c r="A314" s="98" t="s">
        <v>83</v>
      </c>
      <c r="B314" s="98" t="str">
        <f>TableauRecette[[#This Row],[Recette]]&amp;TableauRecette[[#This Row],[Conditionnement]]</f>
        <v>Shichimi togarashiEpice 100ml</v>
      </c>
      <c r="C314" s="98" t="s">
        <v>374</v>
      </c>
      <c r="D314" s="221">
        <v>1.5</v>
      </c>
      <c r="E314" s="98" t="s">
        <v>55</v>
      </c>
      <c r="F314" s="221">
        <f>D314/SUMIFS(TableauRecette[Proportion],TableauRecette[Recette],TableauRecette[[#This Row],[Recette]],TableauRecette[Conditionnement],TableauRecette[[#This Row],[Conditionnement]])</f>
        <v>7.4999999999999997E-2</v>
      </c>
      <c r="G314" s="221">
        <f ca="1">_xlfn.XLOOKUP(TableauRecette[[#This Row],[Ingredients]],TableauIngredients[Ingredients],TableauIngredients[Prix d''achat (kg)],0)*TableauRecette[[#This Row],[poids / unite]]</f>
        <v>0</v>
      </c>
      <c r="H314" s="221">
        <f>SUMIFS(TableauRecette[Proportion],TableauRecette[Recette],TableauRecette[[#This Row],[Recette]],TableauRecette[Conditionnement],TableauRecette[[#This Row],[Conditionnement]])</f>
        <v>20</v>
      </c>
      <c r="I314" s="221">
        <f ca="1">TableauRecette[[#This Row],[Proportion]]*TableauRecette[[#This Row],[Prix d''achat / kg]]/TableauRecette[[#This Row],[Total Proportion]]</f>
        <v>0</v>
      </c>
      <c r="J314" s="221"/>
      <c r="K314" s="820"/>
      <c r="L314" s="821">
        <f>_xlfn.XLOOKUP(TableauRecette[[#This Row],[ID]],TableauProduit[ID],TableauProduit[Total (kg) N1],0,0,1)*TableauRecette[[#This Row],[poids / unite]]</f>
        <v>0</v>
      </c>
      <c r="M314" s="822">
        <f>_xlfn.XLOOKUP(TableauRecette[[#This Row],[ID]],TableauProduit[ID],TableauProduit[Total (kg) N2],0,0,1)*TableauRecette[[#This Row],[poids / unite]]</f>
        <v>0</v>
      </c>
      <c r="N314" s="822">
        <f>_xlfn.XLOOKUP(TableauRecette[[#This Row],[ID]],TableauProduit[ID],TableauProduit[Total (kg) N3],0,0,1)*TableauRecette[[#This Row],[poids / unite]]</f>
        <v>0</v>
      </c>
      <c r="O314" s="822">
        <f>_xlfn.XLOOKUP(TableauRecette[[#This Row],[ID]],TableauProduit[ID],TableauProduit[Total (kg) N4],0,0,1)*TableauRecette[[#This Row],[poids / unite]]</f>
        <v>0</v>
      </c>
      <c r="P314" s="822">
        <f>_xlfn.XLOOKUP(TableauRecette[[#This Row],[ID]],TableauProduit[ID],TableauProduit[Total (kg) N5],0,0,1)*TableauRecette[[#This Row],[poids / unite]]</f>
        <v>0</v>
      </c>
      <c r="Q314" s="822">
        <f>_xlfn.XLOOKUP(TableauRecette[[#This Row],[ID]],TableauProduit[ID],TableauProduit[Total (kg) N6],0,0,1)*TableauRecette[[#This Row],[poids / unite]]</f>
        <v>0</v>
      </c>
      <c r="R314" s="822">
        <f>_xlfn.XLOOKUP(TableauRecette[[#This Row],[ID]],TableauProduit[ID],TableauProduit[Total (kg) N7],0,0,1)*TableauRecette[[#This Row],[poids / unite]]</f>
        <v>0</v>
      </c>
      <c r="S314" s="822">
        <f>_xlfn.XLOOKUP(TableauRecette[[#This Row],[ID]],TableauProduit[ID],TableauProduit[Total (kg) N8],0,0,1)*TableauRecette[[#This Row],[poids / unite]]</f>
        <v>0</v>
      </c>
      <c r="T314" s="822">
        <f>_xlfn.XLOOKUP(TableauRecette[[#This Row],[ID]],TableauProduit[ID],TableauProduit[Total (kg) N9],0,0,1)*TableauRecette[[#This Row],[poids / unite]]</f>
        <v>0</v>
      </c>
    </row>
    <row r="315" spans="1:20">
      <c r="A315" s="98" t="s">
        <v>83</v>
      </c>
      <c r="B315" s="98" t="str">
        <f>TableauRecette[[#This Row],[Recette]]&amp;TableauRecette[[#This Row],[Conditionnement]]</f>
        <v>Shichimi togarashiEpice 100ml</v>
      </c>
      <c r="C315" s="98" t="s">
        <v>355</v>
      </c>
      <c r="D315" s="221">
        <v>1.5</v>
      </c>
      <c r="E315" s="98" t="s">
        <v>55</v>
      </c>
      <c r="F315" s="221">
        <f>D315/SUMIFS(TableauRecette[Proportion],TableauRecette[Recette],TableauRecette[[#This Row],[Recette]],TableauRecette[Conditionnement],TableauRecette[[#This Row],[Conditionnement]])</f>
        <v>7.4999999999999997E-2</v>
      </c>
      <c r="G315" s="221">
        <f ca="1">_xlfn.XLOOKUP(TableauRecette[[#This Row],[Ingredients]],TableauIngredients[Ingredients],TableauIngredients[Prix d''achat (kg)],0)*TableauRecette[[#This Row],[poids / unite]]</f>
        <v>0</v>
      </c>
      <c r="H315" s="221">
        <f>SUMIFS(TableauRecette[Proportion],TableauRecette[Recette],TableauRecette[[#This Row],[Recette]],TableauRecette[Conditionnement],TableauRecette[[#This Row],[Conditionnement]])</f>
        <v>20</v>
      </c>
      <c r="I315" s="221">
        <f ca="1">TableauRecette[[#This Row],[Proportion]]*TableauRecette[[#This Row],[Prix d''achat / kg]]/TableauRecette[[#This Row],[Total Proportion]]</f>
        <v>0</v>
      </c>
      <c r="J315" s="221"/>
      <c r="K315" s="820"/>
      <c r="L315" s="821">
        <f>_xlfn.XLOOKUP(TableauRecette[[#This Row],[ID]],TableauProduit[ID],TableauProduit[Total (kg) N1],0,0,1)*TableauRecette[[#This Row],[poids / unite]]</f>
        <v>0</v>
      </c>
      <c r="M315" s="822">
        <f>_xlfn.XLOOKUP(TableauRecette[[#This Row],[ID]],TableauProduit[ID],TableauProduit[Total (kg) N2],0,0,1)*TableauRecette[[#This Row],[poids / unite]]</f>
        <v>0</v>
      </c>
      <c r="N315" s="822">
        <f>_xlfn.XLOOKUP(TableauRecette[[#This Row],[ID]],TableauProduit[ID],TableauProduit[Total (kg) N3],0,0,1)*TableauRecette[[#This Row],[poids / unite]]</f>
        <v>0</v>
      </c>
      <c r="O315" s="822">
        <f>_xlfn.XLOOKUP(TableauRecette[[#This Row],[ID]],TableauProduit[ID],TableauProduit[Total (kg) N4],0,0,1)*TableauRecette[[#This Row],[poids / unite]]</f>
        <v>0</v>
      </c>
      <c r="P315" s="822">
        <f>_xlfn.XLOOKUP(TableauRecette[[#This Row],[ID]],TableauProduit[ID],TableauProduit[Total (kg) N5],0,0,1)*TableauRecette[[#This Row],[poids / unite]]</f>
        <v>0</v>
      </c>
      <c r="Q315" s="822">
        <f>_xlfn.XLOOKUP(TableauRecette[[#This Row],[ID]],TableauProduit[ID],TableauProduit[Total (kg) N6],0,0,1)*TableauRecette[[#This Row],[poids / unite]]</f>
        <v>0</v>
      </c>
      <c r="R315" s="822">
        <f>_xlfn.XLOOKUP(TableauRecette[[#This Row],[ID]],TableauProduit[ID],TableauProduit[Total (kg) N7],0,0,1)*TableauRecette[[#This Row],[poids / unite]]</f>
        <v>0</v>
      </c>
      <c r="S315" s="822">
        <f>_xlfn.XLOOKUP(TableauRecette[[#This Row],[ID]],TableauProduit[ID],TableauProduit[Total (kg) N8],0,0,1)*TableauRecette[[#This Row],[poids / unite]]</f>
        <v>0</v>
      </c>
      <c r="T315" s="822">
        <f>_xlfn.XLOOKUP(TableauRecette[[#This Row],[ID]],TableauProduit[ID],TableauProduit[Total (kg) N9],0,0,1)*TableauRecette[[#This Row],[poids / unite]]</f>
        <v>0</v>
      </c>
    </row>
    <row r="316" spans="1:20">
      <c r="A316" s="98" t="s">
        <v>83</v>
      </c>
      <c r="B316" s="98" t="str">
        <f>TableauRecette[[#This Row],[Recette]]&amp;TableauRecette[[#This Row],[Conditionnement]]</f>
        <v>Shichimi togarashiEpice 100ml</v>
      </c>
      <c r="C316" s="98" t="s">
        <v>779</v>
      </c>
      <c r="D316" s="221">
        <v>3</v>
      </c>
      <c r="E316" s="98" t="s">
        <v>55</v>
      </c>
      <c r="F316" s="221">
        <f>D316/SUMIFS(TableauRecette[Proportion],TableauRecette[Recette],TableauRecette[[#This Row],[Recette]],TableauRecette[Conditionnement],TableauRecette[[#This Row],[Conditionnement]])</f>
        <v>0.15</v>
      </c>
      <c r="G316" s="221">
        <f ca="1">_xlfn.XLOOKUP(TableauRecette[[#This Row],[Ingredients]],TableauIngredients[Ingredients],TableauIngredients[Prix d''achat (kg)],0)*TableauRecette[[#This Row],[poids / unite]]</f>
        <v>0</v>
      </c>
      <c r="H316" s="221">
        <f>SUMIFS(TableauRecette[Proportion],TableauRecette[Recette],TableauRecette[[#This Row],[Recette]],TableauRecette[Conditionnement],TableauRecette[[#This Row],[Conditionnement]])</f>
        <v>20</v>
      </c>
      <c r="I316" s="221">
        <f ca="1">TableauRecette[[#This Row],[Proportion]]*TableauRecette[[#This Row],[Prix d''achat / kg]]/TableauRecette[[#This Row],[Total Proportion]]</f>
        <v>0</v>
      </c>
      <c r="J316" s="221"/>
      <c r="K316" s="820"/>
      <c r="L316" s="821">
        <f>_xlfn.XLOOKUP(TableauRecette[[#This Row],[ID]],TableauProduit[ID],TableauProduit[Total (kg) N1],0,0,1)*TableauRecette[[#This Row],[poids / unite]]</f>
        <v>0</v>
      </c>
      <c r="M316" s="822">
        <f>_xlfn.XLOOKUP(TableauRecette[[#This Row],[ID]],TableauProduit[ID],TableauProduit[Total (kg) N2],0,0,1)*TableauRecette[[#This Row],[poids / unite]]</f>
        <v>0</v>
      </c>
      <c r="N316" s="822">
        <f>_xlfn.XLOOKUP(TableauRecette[[#This Row],[ID]],TableauProduit[ID],TableauProduit[Total (kg) N3],0,0,1)*TableauRecette[[#This Row],[poids / unite]]</f>
        <v>0</v>
      </c>
      <c r="O316" s="822">
        <f>_xlfn.XLOOKUP(TableauRecette[[#This Row],[ID]],TableauProduit[ID],TableauProduit[Total (kg) N4],0,0,1)*TableauRecette[[#This Row],[poids / unite]]</f>
        <v>0</v>
      </c>
      <c r="P316" s="822">
        <f>_xlfn.XLOOKUP(TableauRecette[[#This Row],[ID]],TableauProduit[ID],TableauProduit[Total (kg) N5],0,0,1)*TableauRecette[[#This Row],[poids / unite]]</f>
        <v>0</v>
      </c>
      <c r="Q316" s="822">
        <f>_xlfn.XLOOKUP(TableauRecette[[#This Row],[ID]],TableauProduit[ID],TableauProduit[Total (kg) N6],0,0,1)*TableauRecette[[#This Row],[poids / unite]]</f>
        <v>0</v>
      </c>
      <c r="R316" s="822">
        <f>_xlfn.XLOOKUP(TableauRecette[[#This Row],[ID]],TableauProduit[ID],TableauProduit[Total (kg) N7],0,0,1)*TableauRecette[[#This Row],[poids / unite]]</f>
        <v>0</v>
      </c>
      <c r="S316" s="822">
        <f>_xlfn.XLOOKUP(TableauRecette[[#This Row],[ID]],TableauProduit[ID],TableauProduit[Total (kg) N8],0,0,1)*TableauRecette[[#This Row],[poids / unite]]</f>
        <v>0</v>
      </c>
      <c r="T316" s="822">
        <f>_xlfn.XLOOKUP(TableauRecette[[#This Row],[ID]],TableauProduit[ID],TableauProduit[Total (kg) N9],0,0,1)*TableauRecette[[#This Row],[poids / unite]]</f>
        <v>0</v>
      </c>
    </row>
    <row r="317" spans="1:20">
      <c r="A317" s="98" t="s">
        <v>83</v>
      </c>
      <c r="B317" s="98" t="str">
        <f>TableauRecette[[#This Row],[Recette]]&amp;TableauRecette[[#This Row],[Conditionnement]]</f>
        <v>Shichimi togarashiEpice 100ml</v>
      </c>
      <c r="C317" s="98" t="s">
        <v>782</v>
      </c>
      <c r="D317" s="221">
        <v>3</v>
      </c>
      <c r="E317" s="98" t="s">
        <v>55</v>
      </c>
      <c r="F317" s="221">
        <f>D317/SUMIFS(TableauRecette[Proportion],TableauRecette[Recette],TableauRecette[[#This Row],[Recette]],TableauRecette[Conditionnement],TableauRecette[[#This Row],[Conditionnement]])</f>
        <v>0.15</v>
      </c>
      <c r="G317" s="221">
        <f ca="1">_xlfn.XLOOKUP(TableauRecette[[#This Row],[Ingredients]],TableauIngredients[Ingredients],TableauIngredients[Prix d''achat (kg)],0)*TableauRecette[[#This Row],[poids / unite]]</f>
        <v>0</v>
      </c>
      <c r="H317" s="221">
        <f>SUMIFS(TableauRecette[Proportion],TableauRecette[Recette],TableauRecette[[#This Row],[Recette]],TableauRecette[Conditionnement],TableauRecette[[#This Row],[Conditionnement]])</f>
        <v>20</v>
      </c>
      <c r="I317" s="221">
        <f ca="1">TableauRecette[[#This Row],[Proportion]]*TableauRecette[[#This Row],[Prix d''achat / kg]]/TableauRecette[[#This Row],[Total Proportion]]</f>
        <v>0</v>
      </c>
      <c r="J317" s="221"/>
      <c r="K317" s="820"/>
      <c r="L317" s="821">
        <f>_xlfn.XLOOKUP(TableauRecette[[#This Row],[ID]],TableauProduit[ID],TableauProduit[Total (kg) N1],0,0,1)*TableauRecette[[#This Row],[poids / unite]]</f>
        <v>0</v>
      </c>
      <c r="M317" s="822">
        <f>_xlfn.XLOOKUP(TableauRecette[[#This Row],[ID]],TableauProduit[ID],TableauProduit[Total (kg) N2],0,0,1)*TableauRecette[[#This Row],[poids / unite]]</f>
        <v>0</v>
      </c>
      <c r="N317" s="822">
        <f>_xlfn.XLOOKUP(TableauRecette[[#This Row],[ID]],TableauProduit[ID],TableauProduit[Total (kg) N3],0,0,1)*TableauRecette[[#This Row],[poids / unite]]</f>
        <v>0</v>
      </c>
      <c r="O317" s="822">
        <f>_xlfn.XLOOKUP(TableauRecette[[#This Row],[ID]],TableauProduit[ID],TableauProduit[Total (kg) N4],0,0,1)*TableauRecette[[#This Row],[poids / unite]]</f>
        <v>0</v>
      </c>
      <c r="P317" s="822">
        <f>_xlfn.XLOOKUP(TableauRecette[[#This Row],[ID]],TableauProduit[ID],TableauProduit[Total (kg) N5],0,0,1)*TableauRecette[[#This Row],[poids / unite]]</f>
        <v>0</v>
      </c>
      <c r="Q317" s="822">
        <f>_xlfn.XLOOKUP(TableauRecette[[#This Row],[ID]],TableauProduit[ID],TableauProduit[Total (kg) N6],0,0,1)*TableauRecette[[#This Row],[poids / unite]]</f>
        <v>0</v>
      </c>
      <c r="R317" s="822">
        <f>_xlfn.XLOOKUP(TableauRecette[[#This Row],[ID]],TableauProduit[ID],TableauProduit[Total (kg) N7],0,0,1)*TableauRecette[[#This Row],[poids / unite]]</f>
        <v>0</v>
      </c>
      <c r="S317" s="822">
        <f>_xlfn.XLOOKUP(TableauRecette[[#This Row],[ID]],TableauProduit[ID],TableauProduit[Total (kg) N8],0,0,1)*TableauRecette[[#This Row],[poids / unite]]</f>
        <v>0</v>
      </c>
      <c r="T317" s="822">
        <f>_xlfn.XLOOKUP(TableauRecette[[#This Row],[ID]],TableauProduit[ID],TableauProduit[Total (kg) N9],0,0,1)*TableauRecette[[#This Row],[poids / unite]]</f>
        <v>0</v>
      </c>
    </row>
    <row r="318" spans="1:20">
      <c r="A318" s="98" t="s">
        <v>83</v>
      </c>
      <c r="B318" s="98" t="str">
        <f>TableauRecette[[#This Row],[Recette]]&amp;TableauRecette[[#This Row],[Conditionnement]]</f>
        <v>Shichimi togarashiEpice 100ml</v>
      </c>
      <c r="C318" s="662" t="s">
        <v>299</v>
      </c>
      <c r="D318" s="221">
        <v>2</v>
      </c>
      <c r="E318" s="98" t="s">
        <v>55</v>
      </c>
      <c r="F318" s="221">
        <f>D318/SUMIFS(TableauRecette[Proportion],TableauRecette[Recette],TableauRecette[[#This Row],[Recette]],TableauRecette[Conditionnement],TableauRecette[[#This Row],[Conditionnement]])</f>
        <v>0.1</v>
      </c>
      <c r="G318" s="221">
        <f ca="1">_xlfn.XLOOKUP(TableauRecette[[#This Row],[Ingredients]],TableauIngredients[Ingredients],TableauIngredients[Prix d''achat (kg)],0)*TableauRecette[[#This Row],[poids / unite]]</f>
        <v>0</v>
      </c>
      <c r="H318" s="221">
        <f>SUMIFS(TableauRecette[Proportion],TableauRecette[Recette],TableauRecette[[#This Row],[Recette]],TableauRecette[Conditionnement],TableauRecette[[#This Row],[Conditionnement]])</f>
        <v>20</v>
      </c>
      <c r="I318" s="221">
        <f ca="1">TableauRecette[[#This Row],[Proportion]]*TableauRecette[[#This Row],[Prix d''achat / kg]]/TableauRecette[[#This Row],[Total Proportion]]</f>
        <v>0</v>
      </c>
      <c r="J318" s="221"/>
      <c r="K318" s="820"/>
      <c r="L318" s="821">
        <f>_xlfn.XLOOKUP(TableauRecette[[#This Row],[ID]],TableauProduit[ID],TableauProduit[Total (kg) N1],0,0,1)*TableauRecette[[#This Row],[poids / unite]]</f>
        <v>0</v>
      </c>
      <c r="M318" s="822">
        <f>_xlfn.XLOOKUP(TableauRecette[[#This Row],[ID]],TableauProduit[ID],TableauProduit[Total (kg) N2],0,0,1)*TableauRecette[[#This Row],[poids / unite]]</f>
        <v>0</v>
      </c>
      <c r="N318" s="822">
        <f>_xlfn.XLOOKUP(TableauRecette[[#This Row],[ID]],TableauProduit[ID],TableauProduit[Total (kg) N3],0,0,1)*TableauRecette[[#This Row],[poids / unite]]</f>
        <v>0</v>
      </c>
      <c r="O318" s="822">
        <f>_xlfn.XLOOKUP(TableauRecette[[#This Row],[ID]],TableauProduit[ID],TableauProduit[Total (kg) N4],0,0,1)*TableauRecette[[#This Row],[poids / unite]]</f>
        <v>0</v>
      </c>
      <c r="P318" s="822">
        <f>_xlfn.XLOOKUP(TableauRecette[[#This Row],[ID]],TableauProduit[ID],TableauProduit[Total (kg) N5],0,0,1)*TableauRecette[[#This Row],[poids / unite]]</f>
        <v>0</v>
      </c>
      <c r="Q318" s="822">
        <f>_xlfn.XLOOKUP(TableauRecette[[#This Row],[ID]],TableauProduit[ID],TableauProduit[Total (kg) N6],0,0,1)*TableauRecette[[#This Row],[poids / unite]]</f>
        <v>0</v>
      </c>
      <c r="R318" s="822">
        <f>_xlfn.XLOOKUP(TableauRecette[[#This Row],[ID]],TableauProduit[ID],TableauProduit[Total (kg) N7],0,0,1)*TableauRecette[[#This Row],[poids / unite]]</f>
        <v>0</v>
      </c>
      <c r="S318" s="822">
        <f>_xlfn.XLOOKUP(TableauRecette[[#This Row],[ID]],TableauProduit[ID],TableauProduit[Total (kg) N8],0,0,1)*TableauRecette[[#This Row],[poids / unite]]</f>
        <v>0</v>
      </c>
      <c r="T318" s="822">
        <f>_xlfn.XLOOKUP(TableauRecette[[#This Row],[ID]],TableauProduit[ID],TableauProduit[Total (kg) N9],0,0,1)*TableauRecette[[#This Row],[poids / unite]]</f>
        <v>0</v>
      </c>
    </row>
    <row r="319" spans="1:20">
      <c r="A319" s="534" t="s">
        <v>68</v>
      </c>
      <c r="B319" s="534" t="str">
        <f>TableauRecette[[#This Row],[Recette]]&amp;TableauRecette[[#This Row],[Conditionnement]]</f>
        <v>Sirop aux fleuresSirop 500 ml</v>
      </c>
      <c r="C319" s="661" t="s">
        <v>377</v>
      </c>
      <c r="D319" s="535">
        <v>610.5</v>
      </c>
      <c r="E319" s="534" t="s">
        <v>61</v>
      </c>
      <c r="F319" s="535">
        <f>D319/SUMIFS(TableauRecette[Proportion],TableauRecette[Recette],TableauRecette[[#This Row],[Recette]],TableauRecette[Conditionnement],TableauRecette[[#This Row],[Conditionnement]])</f>
        <v>0.35691318327974275</v>
      </c>
      <c r="G319" s="535" t="e">
        <f ca="1">_xlfn.XLOOKUP(TableauRecette[[#This Row],[Ingredients]],TableauIngredients[Ingredients],TableauIngredients[Prix d''achat (kg)],0)*TableauRecette[[#This Row],[poids / unite]]</f>
        <v>#DIV/0!</v>
      </c>
      <c r="H319" s="535">
        <f>SUMIFS(TableauRecette[Proportion],TableauRecette[Recette],TableauRecette[[#This Row],[Recette]],TableauRecette[Conditionnement],TableauRecette[[#This Row],[Conditionnement]])</f>
        <v>1710.5</v>
      </c>
      <c r="I319" s="535">
        <f ca="1">TableauRecette[[#This Row],[Proportion]]*TableauRecette[[#This Row],[Prix d''achat / kg]]/TableauRecette[[#This Row],[Total Proportion]]</f>
        <v>0</v>
      </c>
      <c r="J319" s="535"/>
      <c r="K319" s="823"/>
      <c r="L319" s="824">
        <f>_xlfn.XLOOKUP(TableauRecette[[#This Row],[ID]],TableauProduit[ID],TableauProduit[Total (kg) N1],0,0,1)*TableauRecette[[#This Row],[poids / unite]]</f>
        <v>32.122186495176848</v>
      </c>
      <c r="M319" s="825">
        <f>_xlfn.XLOOKUP(TableauRecette[[#This Row],[ID]],TableauProduit[ID],TableauProduit[Total (kg) N2],0,0,1)*TableauRecette[[#This Row],[poids / unite]]</f>
        <v>32.122186495176848</v>
      </c>
      <c r="N319" s="825">
        <f>_xlfn.XLOOKUP(TableauRecette[[#This Row],[ID]],TableauProduit[ID],TableauProduit[Total (kg) N3],0,0,1)*TableauRecette[[#This Row],[poids / unite]]</f>
        <v>32.122186495176848</v>
      </c>
      <c r="O319" s="825">
        <f>_xlfn.XLOOKUP(TableauRecette[[#This Row],[ID]],TableauProduit[ID],TableauProduit[Total (kg) N4],0,0,1)*TableauRecette[[#This Row],[poids / unite]]</f>
        <v>32.122186495176848</v>
      </c>
      <c r="P319" s="825">
        <f>_xlfn.XLOOKUP(TableauRecette[[#This Row],[ID]],TableauProduit[ID],TableauProduit[Total (kg) N5],0,0,1)*TableauRecette[[#This Row],[poids / unite]]</f>
        <v>32.122186495176848</v>
      </c>
      <c r="Q319" s="825">
        <f>_xlfn.XLOOKUP(TableauRecette[[#This Row],[ID]],TableauProduit[ID],TableauProduit[Total (kg) N6],0,0,1)*TableauRecette[[#This Row],[poids / unite]]</f>
        <v>32.122186495176848</v>
      </c>
      <c r="R319" s="825">
        <f>_xlfn.XLOOKUP(TableauRecette[[#This Row],[ID]],TableauProduit[ID],TableauProduit[Total (kg) N7],0,0,1)*TableauRecette[[#This Row],[poids / unite]]</f>
        <v>32.122186495176848</v>
      </c>
      <c r="S319" s="825">
        <f>_xlfn.XLOOKUP(TableauRecette[[#This Row],[ID]],TableauProduit[ID],TableauProduit[Total (kg) N8],0,0,1)*TableauRecette[[#This Row],[poids / unite]]</f>
        <v>32.122186495176848</v>
      </c>
      <c r="T319" s="825">
        <f>_xlfn.XLOOKUP(TableauRecette[[#This Row],[ID]],TableauProduit[ID],TableauProduit[Total (kg) N9],0,0,1)*TableauRecette[[#This Row],[poids / unite]]</f>
        <v>32.122186495176848</v>
      </c>
    </row>
    <row r="320" spans="1:20">
      <c r="A320" s="534" t="s">
        <v>68</v>
      </c>
      <c r="B320" s="534" t="str">
        <f>TableauRecette[[#This Row],[Recette]]&amp;TableauRecette[[#This Row],[Conditionnement]]</f>
        <v>Sirop aux fleuresSirop 500 ml</v>
      </c>
      <c r="C320" s="534" t="s">
        <v>361</v>
      </c>
      <c r="D320" s="535">
        <v>1000</v>
      </c>
      <c r="E320" s="534" t="s">
        <v>61</v>
      </c>
      <c r="F320" s="535" t="e">
        <f>#REF!/SUMIFS(TableauRecette[Proportion],TableauRecette[Recette],TableauRecette[[#This Row],[Recette]],TableauRecette[Conditionnement],TableauRecette[[#This Row],[Conditionnement]])</f>
        <v>#REF!</v>
      </c>
      <c r="G320" s="535" t="e">
        <f ca="1">_xlfn.XLOOKUP(TableauRecette[[#This Row],[Ingredients]],TableauIngredients[Ingredients],TableauIngredients[Prix d''achat (kg)],0)*TableauRecette[[#This Row],[poids / unite]]</f>
        <v>#DIV/0!</v>
      </c>
      <c r="H320" s="535">
        <f>SUMIFS(TableauRecette[Proportion],TableauRecette[Recette],TableauRecette[[#This Row],[Recette]],TableauRecette[Conditionnement],TableauRecette[[#This Row],[Conditionnement]])</f>
        <v>1710.5</v>
      </c>
      <c r="I320" s="535">
        <f ca="1">TableauRecette[[#This Row],[Proportion]]*TableauRecette[[#This Row],[Prix d''achat / kg]]/TableauRecette[[#This Row],[Total Proportion]]</f>
        <v>0</v>
      </c>
      <c r="J320" s="535"/>
      <c r="K320" s="823"/>
      <c r="L320" s="824" t="e">
        <f>_xlfn.XLOOKUP(TableauRecette[[#This Row],[ID]],TableauProduit[ID],TableauProduit[Total (kg) N1],0,0,1)*TableauRecette[[#This Row],[poids / unite]]</f>
        <v>#REF!</v>
      </c>
      <c r="M320" s="825" t="e">
        <f>_xlfn.XLOOKUP(TableauRecette[[#This Row],[ID]],TableauProduit[ID],TableauProduit[Total (kg) N2],0,0,1)*TableauRecette[[#This Row],[poids / unite]]</f>
        <v>#REF!</v>
      </c>
      <c r="N320" s="825" t="e">
        <f>_xlfn.XLOOKUP(TableauRecette[[#This Row],[ID]],TableauProduit[ID],TableauProduit[Total (kg) N3],0,0,1)*TableauRecette[[#This Row],[poids / unite]]</f>
        <v>#REF!</v>
      </c>
      <c r="O320" s="825" t="e">
        <f>_xlfn.XLOOKUP(TableauRecette[[#This Row],[ID]],TableauProduit[ID],TableauProduit[Total (kg) N4],0,0,1)*TableauRecette[[#This Row],[poids / unite]]</f>
        <v>#REF!</v>
      </c>
      <c r="P320" s="825" t="e">
        <f>_xlfn.XLOOKUP(TableauRecette[[#This Row],[ID]],TableauProduit[ID],TableauProduit[Total (kg) N5],0,0,1)*TableauRecette[[#This Row],[poids / unite]]</f>
        <v>#REF!</v>
      </c>
      <c r="Q320" s="825" t="e">
        <f>_xlfn.XLOOKUP(TableauRecette[[#This Row],[ID]],TableauProduit[ID],TableauProduit[Total (kg) N6],0,0,1)*TableauRecette[[#This Row],[poids / unite]]</f>
        <v>#REF!</v>
      </c>
      <c r="R320" s="825" t="e">
        <f>_xlfn.XLOOKUP(TableauRecette[[#This Row],[ID]],TableauProduit[ID],TableauProduit[Total (kg) N7],0,0,1)*TableauRecette[[#This Row],[poids / unite]]</f>
        <v>#REF!</v>
      </c>
      <c r="S320" s="825" t="e">
        <f>_xlfn.XLOOKUP(TableauRecette[[#This Row],[ID]],TableauProduit[ID],TableauProduit[Total (kg) N8],0,0,1)*TableauRecette[[#This Row],[poids / unite]]</f>
        <v>#REF!</v>
      </c>
      <c r="T320" s="825" t="e">
        <f>_xlfn.XLOOKUP(TableauRecette[[#This Row],[ID]],TableauProduit[ID],TableauProduit[Total (kg) N9],0,0,1)*TableauRecette[[#This Row],[poids / unite]]</f>
        <v>#REF!</v>
      </c>
    </row>
    <row r="321" spans="1:20">
      <c r="A321" s="534" t="s">
        <v>68</v>
      </c>
      <c r="B321" s="534" t="str">
        <f>TableauRecette[[#This Row],[Recette]]&amp;TableauRecette[[#This Row],[Conditionnement]]</f>
        <v>Sirop aux fleuresSirop 500 ml</v>
      </c>
      <c r="C321" s="534" t="s">
        <v>378</v>
      </c>
      <c r="D321" s="535">
        <v>40</v>
      </c>
      <c r="E321" s="534" t="s">
        <v>61</v>
      </c>
      <c r="F321" s="535">
        <f>D320/SUMIFS(TableauRecette[Proportion],TableauRecette[Recette],TableauRecette[[#This Row],[Recette]],TableauRecette[Conditionnement],TableauRecette[[#This Row],[Conditionnement]])</f>
        <v>0.58462437883659746</v>
      </c>
      <c r="G321" s="535">
        <f ca="1">_xlfn.XLOOKUP(TableauRecette[[#This Row],[Ingredients]],TableauIngredients[Ingredients],TableauIngredients[Prix d''achat (kg)],0)*TableauRecette[[#This Row],[poids / unite]]</f>
        <v>0</v>
      </c>
      <c r="H321" s="535">
        <f>SUMIFS(TableauRecette[Proportion],TableauRecette[Recette],TableauRecette[[#This Row],[Recette]],TableauRecette[Conditionnement],TableauRecette[[#This Row],[Conditionnement]])</f>
        <v>1710.5</v>
      </c>
      <c r="I321" s="535">
        <f ca="1">TableauRecette[[#This Row],[Proportion]]*TableauRecette[[#This Row],[Prix d''achat / kg]]/TableauRecette[[#This Row],[Total Proportion]]</f>
        <v>0</v>
      </c>
      <c r="J321" s="535"/>
      <c r="K321" s="823"/>
      <c r="L321" s="824">
        <f>_xlfn.XLOOKUP(TableauRecette[[#This Row],[ID]],TableauProduit[ID],TableauProduit[Total (kg) N1],0,0,1)*TableauRecette[[#This Row],[poids / unite]]</f>
        <v>52.616194095293771</v>
      </c>
      <c r="M321" s="825">
        <f>_xlfn.XLOOKUP(TableauRecette[[#This Row],[ID]],TableauProduit[ID],TableauProduit[Total (kg) N2],0,0,1)*TableauRecette[[#This Row],[poids / unite]]</f>
        <v>52.616194095293771</v>
      </c>
      <c r="N321" s="825">
        <f>_xlfn.XLOOKUP(TableauRecette[[#This Row],[ID]],TableauProduit[ID],TableauProduit[Total (kg) N3],0,0,1)*TableauRecette[[#This Row],[poids / unite]]</f>
        <v>52.616194095293771</v>
      </c>
      <c r="O321" s="825">
        <f>_xlfn.XLOOKUP(TableauRecette[[#This Row],[ID]],TableauProduit[ID],TableauProduit[Total (kg) N4],0,0,1)*TableauRecette[[#This Row],[poids / unite]]</f>
        <v>52.616194095293771</v>
      </c>
      <c r="P321" s="825">
        <f>_xlfn.XLOOKUP(TableauRecette[[#This Row],[ID]],TableauProduit[ID],TableauProduit[Total (kg) N5],0,0,1)*TableauRecette[[#This Row],[poids / unite]]</f>
        <v>52.616194095293771</v>
      </c>
      <c r="Q321" s="825">
        <f>_xlfn.XLOOKUP(TableauRecette[[#This Row],[ID]],TableauProduit[ID],TableauProduit[Total (kg) N6],0,0,1)*TableauRecette[[#This Row],[poids / unite]]</f>
        <v>52.616194095293771</v>
      </c>
      <c r="R321" s="825">
        <f>_xlfn.XLOOKUP(TableauRecette[[#This Row],[ID]],TableauProduit[ID],TableauProduit[Total (kg) N7],0,0,1)*TableauRecette[[#This Row],[poids / unite]]</f>
        <v>52.616194095293771</v>
      </c>
      <c r="S321" s="825">
        <f>_xlfn.XLOOKUP(TableauRecette[[#This Row],[ID]],TableauProduit[ID],TableauProduit[Total (kg) N8],0,0,1)*TableauRecette[[#This Row],[poids / unite]]</f>
        <v>52.616194095293771</v>
      </c>
      <c r="T321" s="825">
        <f>_xlfn.XLOOKUP(TableauRecette[[#This Row],[ID]],TableauProduit[ID],TableauProduit[Total (kg) N9],0,0,1)*TableauRecette[[#This Row],[poids / unite]]</f>
        <v>52.616194095293771</v>
      </c>
    </row>
    <row r="322" spans="1:20">
      <c r="A322" s="534" t="s">
        <v>68</v>
      </c>
      <c r="B322" s="534" t="str">
        <f>TableauRecette[[#This Row],[Recette]]&amp;TableauRecette[[#This Row],[Conditionnement]]</f>
        <v>Sirop aux fleuresSirop 500 ml</v>
      </c>
      <c r="C322" s="534" t="s">
        <v>379</v>
      </c>
      <c r="D322" s="535">
        <v>40</v>
      </c>
      <c r="E322" s="534" t="s">
        <v>61</v>
      </c>
      <c r="F322" s="535">
        <f>D321/SUMIFS(TableauRecette[Proportion],TableauRecette[Recette],TableauRecette[[#This Row],[Recette]],TableauRecette[Conditionnement],TableauRecette[[#This Row],[Conditionnement]])</f>
        <v>2.33849751534639E-2</v>
      </c>
      <c r="G322" s="535">
        <f ca="1">_xlfn.XLOOKUP(TableauRecette[[#This Row],[Ingredients]],TableauIngredients[Ingredients],TableauIngredients[Prix d''achat (kg)],0)*TableauRecette[[#This Row],[poids / unite]]</f>
        <v>0</v>
      </c>
      <c r="H322" s="535">
        <f>SUMIFS(TableauRecette[Proportion],TableauRecette[Recette],TableauRecette[[#This Row],[Recette]],TableauRecette[Conditionnement],TableauRecette[[#This Row],[Conditionnement]])</f>
        <v>1710.5</v>
      </c>
      <c r="I322" s="535">
        <f ca="1">TableauRecette[[#This Row],[Proportion]]*TableauRecette[[#This Row],[Prix d''achat / kg]]/TableauRecette[[#This Row],[Total Proportion]]</f>
        <v>0</v>
      </c>
      <c r="J322" s="535"/>
      <c r="K322" s="823"/>
      <c r="L322" s="824">
        <f>_xlfn.XLOOKUP(TableauRecette[[#This Row],[ID]],TableauProduit[ID],TableauProduit[Total (kg) N1],0,0,1)*TableauRecette[[#This Row],[poids / unite]]</f>
        <v>2.1046477638117511</v>
      </c>
      <c r="M322" s="825">
        <f>_xlfn.XLOOKUP(TableauRecette[[#This Row],[ID]],TableauProduit[ID],TableauProduit[Total (kg) N2],0,0,1)*TableauRecette[[#This Row],[poids / unite]]</f>
        <v>2.1046477638117511</v>
      </c>
      <c r="N322" s="825">
        <f>_xlfn.XLOOKUP(TableauRecette[[#This Row],[ID]],TableauProduit[ID],TableauProduit[Total (kg) N3],0,0,1)*TableauRecette[[#This Row],[poids / unite]]</f>
        <v>2.1046477638117511</v>
      </c>
      <c r="O322" s="825">
        <f>_xlfn.XLOOKUP(TableauRecette[[#This Row],[ID]],TableauProduit[ID],TableauProduit[Total (kg) N4],0,0,1)*TableauRecette[[#This Row],[poids / unite]]</f>
        <v>2.1046477638117511</v>
      </c>
      <c r="P322" s="825">
        <f>_xlfn.XLOOKUP(TableauRecette[[#This Row],[ID]],TableauProduit[ID],TableauProduit[Total (kg) N5],0,0,1)*TableauRecette[[#This Row],[poids / unite]]</f>
        <v>2.1046477638117511</v>
      </c>
      <c r="Q322" s="825">
        <f>_xlfn.XLOOKUP(TableauRecette[[#This Row],[ID]],TableauProduit[ID],TableauProduit[Total (kg) N6],0,0,1)*TableauRecette[[#This Row],[poids / unite]]</f>
        <v>2.1046477638117511</v>
      </c>
      <c r="R322" s="825">
        <f>_xlfn.XLOOKUP(TableauRecette[[#This Row],[ID]],TableauProduit[ID],TableauProduit[Total (kg) N7],0,0,1)*TableauRecette[[#This Row],[poids / unite]]</f>
        <v>2.1046477638117511</v>
      </c>
      <c r="S322" s="825">
        <f>_xlfn.XLOOKUP(TableauRecette[[#This Row],[ID]],TableauProduit[ID],TableauProduit[Total (kg) N8],0,0,1)*TableauRecette[[#This Row],[poids / unite]]</f>
        <v>2.1046477638117511</v>
      </c>
      <c r="T322" s="825">
        <f>_xlfn.XLOOKUP(TableauRecette[[#This Row],[ID]],TableauProduit[ID],TableauProduit[Total (kg) N9],0,0,1)*TableauRecette[[#This Row],[poids / unite]]</f>
        <v>2.1046477638117511</v>
      </c>
    </row>
    <row r="323" spans="1:20">
      <c r="A323" s="534" t="s">
        <v>68</v>
      </c>
      <c r="B323" s="534" t="str">
        <f>TableauRecette[[#This Row],[Recette]]&amp;TableauRecette[[#This Row],[Conditionnement]]</f>
        <v>Sirop aux fleuresSirop 500 ml</v>
      </c>
      <c r="C323" s="534" t="s">
        <v>785</v>
      </c>
      <c r="D323" s="535">
        <v>20</v>
      </c>
      <c r="E323" s="534" t="s">
        <v>61</v>
      </c>
      <c r="F323" s="535">
        <f>D323/SUMIFS(TableauRecette[Proportion],TableauRecette[Recette],TableauRecette[[#This Row],[Recette]],TableauRecette[Conditionnement],TableauRecette[[#This Row],[Conditionnement]])</f>
        <v>1.169248757673195E-2</v>
      </c>
      <c r="G323" s="535">
        <f ca="1">_xlfn.XLOOKUP(TableauRecette[[#This Row],[Ingredients]],TableauIngredients[Ingredients],TableauIngredients[Prix d''achat (kg)],0)*TableauRecette[[#This Row],[poids / unite]]</f>
        <v>0</v>
      </c>
      <c r="H323" s="535">
        <f>SUMIFS(TableauRecette[Proportion],TableauRecette[Recette],TableauRecette[[#This Row],[Recette]],TableauRecette[Conditionnement],TableauRecette[[#This Row],[Conditionnement]])</f>
        <v>1710.5</v>
      </c>
      <c r="I323" s="535">
        <f ca="1">TableauRecette[[#This Row],[Proportion]]*TableauRecette[[#This Row],[Prix d''achat / kg]]/TableauRecette[[#This Row],[Total Proportion]]</f>
        <v>0</v>
      </c>
      <c r="J323" s="535"/>
      <c r="K323" s="823"/>
      <c r="L323" s="824">
        <f>_xlfn.XLOOKUP(TableauRecette[[#This Row],[ID]],TableauProduit[ID],TableauProduit[Total (kg) N1],0,0,1)*TableauRecette[[#This Row],[poids / unite]]</f>
        <v>1.0523238819058756</v>
      </c>
      <c r="M323" s="825">
        <f>_xlfn.XLOOKUP(TableauRecette[[#This Row],[ID]],TableauProduit[ID],TableauProduit[Total (kg) N2],0,0,1)*TableauRecette[[#This Row],[poids / unite]]</f>
        <v>1.0523238819058756</v>
      </c>
      <c r="N323" s="825">
        <f>_xlfn.XLOOKUP(TableauRecette[[#This Row],[ID]],TableauProduit[ID],TableauProduit[Total (kg) N3],0,0,1)*TableauRecette[[#This Row],[poids / unite]]</f>
        <v>1.0523238819058756</v>
      </c>
      <c r="O323" s="825">
        <f>_xlfn.XLOOKUP(TableauRecette[[#This Row],[ID]],TableauProduit[ID],TableauProduit[Total (kg) N4],0,0,1)*TableauRecette[[#This Row],[poids / unite]]</f>
        <v>1.0523238819058756</v>
      </c>
      <c r="P323" s="825">
        <f>_xlfn.XLOOKUP(TableauRecette[[#This Row],[ID]],TableauProduit[ID],TableauProduit[Total (kg) N5],0,0,1)*TableauRecette[[#This Row],[poids / unite]]</f>
        <v>1.0523238819058756</v>
      </c>
      <c r="Q323" s="825">
        <f>_xlfn.XLOOKUP(TableauRecette[[#This Row],[ID]],TableauProduit[ID],TableauProduit[Total (kg) N6],0,0,1)*TableauRecette[[#This Row],[poids / unite]]</f>
        <v>1.0523238819058756</v>
      </c>
      <c r="R323" s="825">
        <f>_xlfn.XLOOKUP(TableauRecette[[#This Row],[ID]],TableauProduit[ID],TableauProduit[Total (kg) N7],0,0,1)*TableauRecette[[#This Row],[poids / unite]]</f>
        <v>1.0523238819058756</v>
      </c>
      <c r="S323" s="825">
        <f>_xlfn.XLOOKUP(TableauRecette[[#This Row],[ID]],TableauProduit[ID],TableauProduit[Total (kg) N8],0,0,1)*TableauRecette[[#This Row],[poids / unite]]</f>
        <v>1.0523238819058756</v>
      </c>
      <c r="T323" s="825">
        <f>_xlfn.XLOOKUP(TableauRecette[[#This Row],[ID]],TableauProduit[ID],TableauProduit[Total (kg) N9],0,0,1)*TableauRecette[[#This Row],[poids / unite]]</f>
        <v>1.0523238819058756</v>
      </c>
    </row>
    <row r="324" spans="1:20">
      <c r="A324" s="551" t="s">
        <v>69</v>
      </c>
      <c r="B324" s="551" t="str">
        <f>TableauRecette[[#This Row],[Recette]]&amp;TableauRecette[[#This Row],[Conditionnement]]</f>
        <v>Sirop de basilicSirop 500 ml</v>
      </c>
      <c r="C324" s="551" t="s">
        <v>377</v>
      </c>
      <c r="D324" s="552">
        <v>616</v>
      </c>
      <c r="E324" s="534" t="s">
        <v>61</v>
      </c>
      <c r="F324" s="552">
        <f>D324/SUMIFS(TableauRecette[Proportion],TableauRecette[Recette],TableauRecette[[#This Row],[Recette]],TableauRecette[Conditionnement],TableauRecette[[#This Row],[Conditionnement]])</f>
        <v>0.35483870967741937</v>
      </c>
      <c r="G324" s="552">
        <f ca="1">_xlfn.XLOOKUP(TableauRecette[[#This Row],[Ingredients]],TableauIngredients[Ingredients],TableauIngredients[Prix d''achat (kg)],0)*TableauRecette[[#This Row],[poids / unite]]</f>
        <v>0</v>
      </c>
      <c r="H324" s="552">
        <f>SUMIFS(TableauRecette[Proportion],TableauRecette[Recette],TableauRecette[[#This Row],[Recette]],TableauRecette[Conditionnement],TableauRecette[[#This Row],[Conditionnement]])</f>
        <v>1736</v>
      </c>
      <c r="I324" s="552">
        <f ca="1">TableauRecette[[#This Row],[Proportion]]*TableauRecette[[#This Row],[Prix d''achat / kg]]/TableauRecette[[#This Row],[Total Proportion]]</f>
        <v>0</v>
      </c>
      <c r="J324" s="552"/>
      <c r="K324" s="826"/>
      <c r="L324" s="827">
        <f>_xlfn.XLOOKUP(TableauRecette[[#This Row],[ID]],TableauProduit[ID],TableauProduit[Total (kg) N1],0,0,1)*TableauRecette[[#This Row],[poids / unite]]</f>
        <v>31.935483870967744</v>
      </c>
      <c r="M324" s="828">
        <f>_xlfn.XLOOKUP(TableauRecette[[#This Row],[ID]],TableauProduit[ID],TableauProduit[Total (kg) N2],0,0,1)*TableauRecette[[#This Row],[poids / unite]]</f>
        <v>31.935483870967744</v>
      </c>
      <c r="N324" s="828">
        <f>_xlfn.XLOOKUP(TableauRecette[[#This Row],[ID]],TableauProduit[ID],TableauProduit[Total (kg) N3],0,0,1)*TableauRecette[[#This Row],[poids / unite]]</f>
        <v>31.935483870967744</v>
      </c>
      <c r="O324" s="828">
        <f>_xlfn.XLOOKUP(TableauRecette[[#This Row],[ID]],TableauProduit[ID],TableauProduit[Total (kg) N4],0,0,1)*TableauRecette[[#This Row],[poids / unite]]</f>
        <v>31.935483870967744</v>
      </c>
      <c r="P324" s="828">
        <f>_xlfn.XLOOKUP(TableauRecette[[#This Row],[ID]],TableauProduit[ID],TableauProduit[Total (kg) N5],0,0,1)*TableauRecette[[#This Row],[poids / unite]]</f>
        <v>31.935483870967744</v>
      </c>
      <c r="Q324" s="828">
        <f>_xlfn.XLOOKUP(TableauRecette[[#This Row],[ID]],TableauProduit[ID],TableauProduit[Total (kg) N6],0,0,1)*TableauRecette[[#This Row],[poids / unite]]</f>
        <v>31.935483870967744</v>
      </c>
      <c r="R324" s="828">
        <f>_xlfn.XLOOKUP(TableauRecette[[#This Row],[ID]],TableauProduit[ID],TableauProduit[Total (kg) N7],0,0,1)*TableauRecette[[#This Row],[poids / unite]]</f>
        <v>31.935483870967744</v>
      </c>
      <c r="S324" s="828">
        <f>_xlfn.XLOOKUP(TableauRecette[[#This Row],[ID]],TableauProduit[ID],TableauProduit[Total (kg) N8],0,0,1)*TableauRecette[[#This Row],[poids / unite]]</f>
        <v>31.935483870967744</v>
      </c>
      <c r="T324" s="828">
        <f>_xlfn.XLOOKUP(TableauRecette[[#This Row],[ID]],TableauProduit[ID],TableauProduit[Total (kg) N9],0,0,1)*TableauRecette[[#This Row],[poids / unite]]</f>
        <v>31.935483870967744</v>
      </c>
    </row>
    <row r="325" spans="1:20">
      <c r="A325" s="551" t="s">
        <v>69</v>
      </c>
      <c r="B325" s="551" t="str">
        <f>TableauRecette[[#This Row],[Recette]]&amp;TableauRecette[[#This Row],[Conditionnement]]</f>
        <v>Sirop de basilicSirop 500 ml</v>
      </c>
      <c r="C325" s="551" t="s">
        <v>381</v>
      </c>
      <c r="D325" s="552">
        <v>100</v>
      </c>
      <c r="E325" s="534" t="s">
        <v>61</v>
      </c>
      <c r="F325" s="552">
        <f>D325/SUMIFS(TableauRecette[Proportion],TableauRecette[Recette],TableauRecette[[#This Row],[Recette]],TableauRecette[Conditionnement],TableauRecette[[#This Row],[Conditionnement]])</f>
        <v>5.7603686635944701E-2</v>
      </c>
      <c r="G325" s="552">
        <f ca="1">_xlfn.XLOOKUP(TableauRecette[[#This Row],[Ingredients]],TableauIngredients[Ingredients],TableauIngredients[Prix d''achat (kg)],0)*TableauRecette[[#This Row],[poids / unite]]</f>
        <v>0</v>
      </c>
      <c r="H325" s="552">
        <f>SUMIFS(TableauRecette[Proportion],TableauRecette[Recette],TableauRecette[[#This Row],[Recette]],TableauRecette[Conditionnement],TableauRecette[[#This Row],[Conditionnement]])</f>
        <v>1736</v>
      </c>
      <c r="I325" s="552">
        <f ca="1">TableauRecette[[#This Row],[Proportion]]*TableauRecette[[#This Row],[Prix d''achat / kg]]/TableauRecette[[#This Row],[Total Proportion]]</f>
        <v>0</v>
      </c>
      <c r="J325" s="552"/>
      <c r="K325" s="826"/>
      <c r="L325" s="827">
        <f>_xlfn.XLOOKUP(TableauRecette[[#This Row],[ID]],TableauProduit[ID],TableauProduit[Total (kg) N1],0,0,1)*TableauRecette[[#This Row],[poids / unite]]</f>
        <v>5.1843317972350231</v>
      </c>
      <c r="M325" s="828">
        <f>_xlfn.XLOOKUP(TableauRecette[[#This Row],[ID]],TableauProduit[ID],TableauProduit[Total (kg) N2],0,0,1)*TableauRecette[[#This Row],[poids / unite]]</f>
        <v>5.1843317972350231</v>
      </c>
      <c r="N325" s="828">
        <f>_xlfn.XLOOKUP(TableauRecette[[#This Row],[ID]],TableauProduit[ID],TableauProduit[Total (kg) N3],0,0,1)*TableauRecette[[#This Row],[poids / unite]]</f>
        <v>5.1843317972350231</v>
      </c>
      <c r="O325" s="828">
        <f>_xlfn.XLOOKUP(TableauRecette[[#This Row],[ID]],TableauProduit[ID],TableauProduit[Total (kg) N4],0,0,1)*TableauRecette[[#This Row],[poids / unite]]</f>
        <v>5.1843317972350231</v>
      </c>
      <c r="P325" s="828">
        <f>_xlfn.XLOOKUP(TableauRecette[[#This Row],[ID]],TableauProduit[ID],TableauProduit[Total (kg) N5],0,0,1)*TableauRecette[[#This Row],[poids / unite]]</f>
        <v>5.1843317972350231</v>
      </c>
      <c r="Q325" s="828">
        <f>_xlfn.XLOOKUP(TableauRecette[[#This Row],[ID]],TableauProduit[ID],TableauProduit[Total (kg) N6],0,0,1)*TableauRecette[[#This Row],[poids / unite]]</f>
        <v>5.1843317972350231</v>
      </c>
      <c r="R325" s="828">
        <f>_xlfn.XLOOKUP(TableauRecette[[#This Row],[ID]],TableauProduit[ID],TableauProduit[Total (kg) N7],0,0,1)*TableauRecette[[#This Row],[poids / unite]]</f>
        <v>5.1843317972350231</v>
      </c>
      <c r="S325" s="828">
        <f>_xlfn.XLOOKUP(TableauRecette[[#This Row],[ID]],TableauProduit[ID],TableauProduit[Total (kg) N8],0,0,1)*TableauRecette[[#This Row],[poids / unite]]</f>
        <v>5.1843317972350231</v>
      </c>
      <c r="T325" s="828">
        <f>_xlfn.XLOOKUP(TableauRecette[[#This Row],[ID]],TableauProduit[ID],TableauProduit[Total (kg) N9],0,0,1)*TableauRecette[[#This Row],[poids / unite]]</f>
        <v>5.1843317972350231</v>
      </c>
    </row>
    <row r="326" spans="1:20">
      <c r="A326" s="551" t="s">
        <v>69</v>
      </c>
      <c r="B326" s="551" t="str">
        <f>TableauRecette[[#This Row],[Recette]]&amp;TableauRecette[[#This Row],[Conditionnement]]</f>
        <v>Sirop de basilicSirop 500 ml</v>
      </c>
      <c r="C326" s="551" t="s">
        <v>361</v>
      </c>
      <c r="D326" s="552">
        <v>1000</v>
      </c>
      <c r="E326" s="534" t="s">
        <v>61</v>
      </c>
      <c r="F326" s="552">
        <f>D326/SUMIFS(TableauRecette[Proportion],TableauRecette[Recette],TableauRecette[[#This Row],[Recette]],TableauRecette[Conditionnement],TableauRecette[[#This Row],[Conditionnement]])</f>
        <v>0.57603686635944695</v>
      </c>
      <c r="G326" s="552">
        <f ca="1">_xlfn.XLOOKUP(TableauRecette[[#This Row],[Ingredients]],TableauIngredients[Ingredients],TableauIngredients[Prix d''achat (kg)],0)*TableauRecette[[#This Row],[poids / unite]]</f>
        <v>0</v>
      </c>
      <c r="H326" s="552">
        <f>SUMIFS(TableauRecette[Proportion],TableauRecette[Recette],TableauRecette[[#This Row],[Recette]],TableauRecette[Conditionnement],TableauRecette[[#This Row],[Conditionnement]])</f>
        <v>1736</v>
      </c>
      <c r="I326" s="552">
        <f ca="1">TableauRecette[[#This Row],[Proportion]]*TableauRecette[[#This Row],[Prix d''achat / kg]]/TableauRecette[[#This Row],[Total Proportion]]</f>
        <v>0</v>
      </c>
      <c r="J326" s="552"/>
      <c r="K326" s="826"/>
      <c r="L326" s="827">
        <f>_xlfn.XLOOKUP(TableauRecette[[#This Row],[ID]],TableauProduit[ID],TableauProduit[Total (kg) N1],0,0,1)*TableauRecette[[#This Row],[poids / unite]]</f>
        <v>51.843317972350228</v>
      </c>
      <c r="M326" s="828">
        <f>_xlfn.XLOOKUP(TableauRecette[[#This Row],[ID]],TableauProduit[ID],TableauProduit[Total (kg) N2],0,0,1)*TableauRecette[[#This Row],[poids / unite]]</f>
        <v>51.843317972350228</v>
      </c>
      <c r="N326" s="828">
        <f>_xlfn.XLOOKUP(TableauRecette[[#This Row],[ID]],TableauProduit[ID],TableauProduit[Total (kg) N3],0,0,1)*TableauRecette[[#This Row],[poids / unite]]</f>
        <v>51.843317972350228</v>
      </c>
      <c r="O326" s="828">
        <f>_xlfn.XLOOKUP(TableauRecette[[#This Row],[ID]],TableauProduit[ID],TableauProduit[Total (kg) N4],0,0,1)*TableauRecette[[#This Row],[poids / unite]]</f>
        <v>51.843317972350228</v>
      </c>
      <c r="P326" s="828">
        <f>_xlfn.XLOOKUP(TableauRecette[[#This Row],[ID]],TableauProduit[ID],TableauProduit[Total (kg) N5],0,0,1)*TableauRecette[[#This Row],[poids / unite]]</f>
        <v>51.843317972350228</v>
      </c>
      <c r="Q326" s="828">
        <f>_xlfn.XLOOKUP(TableauRecette[[#This Row],[ID]],TableauProduit[ID],TableauProduit[Total (kg) N6],0,0,1)*TableauRecette[[#This Row],[poids / unite]]</f>
        <v>51.843317972350228</v>
      </c>
      <c r="R326" s="828">
        <f>_xlfn.XLOOKUP(TableauRecette[[#This Row],[ID]],TableauProduit[ID],TableauProduit[Total (kg) N7],0,0,1)*TableauRecette[[#This Row],[poids / unite]]</f>
        <v>51.843317972350228</v>
      </c>
      <c r="S326" s="828">
        <f>_xlfn.XLOOKUP(TableauRecette[[#This Row],[ID]],TableauProduit[ID],TableauProduit[Total (kg) N8],0,0,1)*TableauRecette[[#This Row],[poids / unite]]</f>
        <v>51.843317972350228</v>
      </c>
      <c r="T326" s="828">
        <f>_xlfn.XLOOKUP(TableauRecette[[#This Row],[ID]],TableauProduit[ID],TableauProduit[Total (kg) N9],0,0,1)*TableauRecette[[#This Row],[poids / unite]]</f>
        <v>51.843317972350228</v>
      </c>
    </row>
    <row r="327" spans="1:20">
      <c r="A327" s="551" t="s">
        <v>69</v>
      </c>
      <c r="B327" s="551" t="str">
        <f>TableauRecette[[#This Row],[Recette]]&amp;TableauRecette[[#This Row],[Conditionnement]]</f>
        <v>Sirop de basilicSirop 500 ml</v>
      </c>
      <c r="C327" s="551" t="s">
        <v>382</v>
      </c>
      <c r="D327" s="552">
        <v>20</v>
      </c>
      <c r="E327" s="534" t="s">
        <v>61</v>
      </c>
      <c r="F327" s="552">
        <f>D327/SUMIFS(TableauRecette[Proportion],TableauRecette[Recette],TableauRecette[[#This Row],[Recette]],TableauRecette[Conditionnement],TableauRecette[[#This Row],[Conditionnement]])</f>
        <v>1.1520737327188941E-2</v>
      </c>
      <c r="G327" s="552">
        <f ca="1">_xlfn.XLOOKUP(TableauRecette[[#This Row],[Ingredients]],TableauIngredients[Ingredients],TableauIngredients[Prix d''achat (kg)],0)*TableauRecette[[#This Row],[poids / unite]]</f>
        <v>0</v>
      </c>
      <c r="H327" s="552">
        <f>SUMIFS(TableauRecette[Proportion],TableauRecette[Recette],TableauRecette[[#This Row],[Recette]],TableauRecette[Conditionnement],TableauRecette[[#This Row],[Conditionnement]])</f>
        <v>1736</v>
      </c>
      <c r="I327" s="552">
        <f ca="1">TableauRecette[[#This Row],[Proportion]]*TableauRecette[[#This Row],[Prix d''achat / kg]]/TableauRecette[[#This Row],[Total Proportion]]</f>
        <v>0</v>
      </c>
      <c r="J327" s="552"/>
      <c r="K327" s="826"/>
      <c r="L327" s="827">
        <f>_xlfn.XLOOKUP(TableauRecette[[#This Row],[ID]],TableauProduit[ID],TableauProduit[Total (kg) N1],0,0,1)*TableauRecette[[#This Row],[poids / unite]]</f>
        <v>1.0368663594470047</v>
      </c>
      <c r="M327" s="828">
        <f>_xlfn.XLOOKUP(TableauRecette[[#This Row],[ID]],TableauProduit[ID],TableauProduit[Total (kg) N2],0,0,1)*TableauRecette[[#This Row],[poids / unite]]</f>
        <v>1.0368663594470047</v>
      </c>
      <c r="N327" s="828">
        <f>_xlfn.XLOOKUP(TableauRecette[[#This Row],[ID]],TableauProduit[ID],TableauProduit[Total (kg) N3],0,0,1)*TableauRecette[[#This Row],[poids / unite]]</f>
        <v>1.0368663594470047</v>
      </c>
      <c r="O327" s="828">
        <f>_xlfn.XLOOKUP(TableauRecette[[#This Row],[ID]],TableauProduit[ID],TableauProduit[Total (kg) N4],0,0,1)*TableauRecette[[#This Row],[poids / unite]]</f>
        <v>1.0368663594470047</v>
      </c>
      <c r="P327" s="828">
        <f>_xlfn.XLOOKUP(TableauRecette[[#This Row],[ID]],TableauProduit[ID],TableauProduit[Total (kg) N5],0,0,1)*TableauRecette[[#This Row],[poids / unite]]</f>
        <v>1.0368663594470047</v>
      </c>
      <c r="Q327" s="828">
        <f>_xlfn.XLOOKUP(TableauRecette[[#This Row],[ID]],TableauProduit[ID],TableauProduit[Total (kg) N6],0,0,1)*TableauRecette[[#This Row],[poids / unite]]</f>
        <v>1.0368663594470047</v>
      </c>
      <c r="R327" s="828">
        <f>_xlfn.XLOOKUP(TableauRecette[[#This Row],[ID]],TableauProduit[ID],TableauProduit[Total (kg) N7],0,0,1)*TableauRecette[[#This Row],[poids / unite]]</f>
        <v>1.0368663594470047</v>
      </c>
      <c r="S327" s="828">
        <f>_xlfn.XLOOKUP(TableauRecette[[#This Row],[ID]],TableauProduit[ID],TableauProduit[Total (kg) N8],0,0,1)*TableauRecette[[#This Row],[poids / unite]]</f>
        <v>1.0368663594470047</v>
      </c>
      <c r="T327" s="828">
        <f>_xlfn.XLOOKUP(TableauRecette[[#This Row],[ID]],TableauProduit[ID],TableauProduit[Total (kg) N9],0,0,1)*TableauRecette[[#This Row],[poids / unite]]</f>
        <v>1.0368663594470047</v>
      </c>
    </row>
    <row r="328" spans="1:20">
      <c r="A328" s="549" t="s">
        <v>60</v>
      </c>
      <c r="B328" s="549" t="str">
        <f>TableauRecette[[#This Row],[Recette]]&amp;TableauRecette[[#This Row],[Conditionnement]]</f>
        <v>Sirop de mentheSirop 500 ml</v>
      </c>
      <c r="C328" s="549" t="s">
        <v>364</v>
      </c>
      <c r="D328" s="550">
        <v>10</v>
      </c>
      <c r="E328" s="534" t="s">
        <v>61</v>
      </c>
      <c r="F328" s="550">
        <f>D328/SUMIFS(TableauRecette[Proportion],TableauRecette[Recette],TableauRecette[[#This Row],[Recette]],TableauRecette[Conditionnement],TableauRecette[[#This Row],[Conditionnement]])</f>
        <v>5.812263876780006E-3</v>
      </c>
      <c r="G328" s="550">
        <f ca="1">_xlfn.XLOOKUP(TableauRecette[[#This Row],[Ingredients]],TableauIngredients[Ingredients],TableauIngredients[Prix d''achat (kg)],0)*TableauRecette[[#This Row],[poids / unite]]</f>
        <v>0</v>
      </c>
      <c r="H328" s="550">
        <f>SUMIFS(TableauRecette[Proportion],TableauRecette[Recette],TableauRecette[[#This Row],[Recette]],TableauRecette[Conditionnement],TableauRecette[[#This Row],[Conditionnement]])</f>
        <v>1720.5</v>
      </c>
      <c r="I328" s="550">
        <f ca="1">TableauRecette[[#This Row],[Proportion]]*TableauRecette[[#This Row],[Prix d''achat / kg]]/TableauRecette[[#This Row],[Total Proportion]]</f>
        <v>0</v>
      </c>
      <c r="J328" s="550"/>
      <c r="K328" s="829"/>
      <c r="L328" s="830">
        <f>_xlfn.XLOOKUP(TableauRecette[[#This Row],[ID]],TableauProduit[ID],TableauProduit[Total (kg) N1],0,0,1)*TableauRecette[[#This Row],[poids / unite]]</f>
        <v>1.2205754141238012</v>
      </c>
      <c r="M328" s="831">
        <f>_xlfn.XLOOKUP(TableauRecette[[#This Row],[ID]],TableauProduit[ID],TableauProduit[Total (kg) N2],0,0,1)*TableauRecette[[#This Row],[poids / unite]]</f>
        <v>1.2205754141238012</v>
      </c>
      <c r="N328" s="831">
        <f>_xlfn.XLOOKUP(TableauRecette[[#This Row],[ID]],TableauProduit[ID],TableauProduit[Total (kg) N3],0,0,1)*TableauRecette[[#This Row],[poids / unite]]</f>
        <v>1.2205754141238012</v>
      </c>
      <c r="O328" s="831">
        <f>_xlfn.XLOOKUP(TableauRecette[[#This Row],[ID]],TableauProduit[ID],TableauProduit[Total (kg) N4],0,0,1)*TableauRecette[[#This Row],[poids / unite]]</f>
        <v>1.2205754141238012</v>
      </c>
      <c r="P328" s="831">
        <f>_xlfn.XLOOKUP(TableauRecette[[#This Row],[ID]],TableauProduit[ID],TableauProduit[Total (kg) N5],0,0,1)*TableauRecette[[#This Row],[poids / unite]]</f>
        <v>1.2205754141238012</v>
      </c>
      <c r="Q328" s="831">
        <f>_xlfn.XLOOKUP(TableauRecette[[#This Row],[ID]],TableauProduit[ID],TableauProduit[Total (kg) N6],0,0,1)*TableauRecette[[#This Row],[poids / unite]]</f>
        <v>1.2205754141238012</v>
      </c>
      <c r="R328" s="831">
        <f>_xlfn.XLOOKUP(TableauRecette[[#This Row],[ID]],TableauProduit[ID],TableauProduit[Total (kg) N7],0,0,1)*TableauRecette[[#This Row],[poids / unite]]</f>
        <v>1.2205754141238012</v>
      </c>
      <c r="S328" s="831">
        <f>_xlfn.XLOOKUP(TableauRecette[[#This Row],[ID]],TableauProduit[ID],TableauProduit[Total (kg) N8],0,0,1)*TableauRecette[[#This Row],[poids / unite]]</f>
        <v>1.2205754141238012</v>
      </c>
      <c r="T328" s="831">
        <f>_xlfn.XLOOKUP(TableauRecette[[#This Row],[ID]],TableauProduit[ID],TableauProduit[Total (kg) N9],0,0,1)*TableauRecette[[#This Row],[poids / unite]]</f>
        <v>1.2205754141238012</v>
      </c>
    </row>
    <row r="329" spans="1:20">
      <c r="A329" s="549" t="s">
        <v>60</v>
      </c>
      <c r="B329" s="549" t="str">
        <f>TableauRecette[[#This Row],[Recette]]&amp;TableauRecette[[#This Row],[Conditionnement]]</f>
        <v>Sirop de mentheSirop 500 ml</v>
      </c>
      <c r="C329" s="549" t="s">
        <v>377</v>
      </c>
      <c r="D329" s="550">
        <v>610.5</v>
      </c>
      <c r="E329" s="534" t="s">
        <v>61</v>
      </c>
      <c r="F329" s="550">
        <f>D329/SUMIFS(TableauRecette[Proportion],TableauRecette[Recette],TableauRecette[[#This Row],[Recette]],TableauRecette[Conditionnement],TableauRecette[[#This Row],[Conditionnement]])</f>
        <v>0.35483870967741937</v>
      </c>
      <c r="G329" s="550">
        <f ca="1">_xlfn.XLOOKUP(TableauRecette[[#This Row],[Ingredients]],TableauIngredients[Ingredients],TableauIngredients[Prix d''achat (kg)],0)*TableauRecette[[#This Row],[poids / unite]]</f>
        <v>0</v>
      </c>
      <c r="H329" s="550">
        <f>SUMIFS(TableauRecette[Proportion],TableauRecette[Recette],TableauRecette[[#This Row],[Recette]],TableauRecette[Conditionnement],TableauRecette[[#This Row],[Conditionnement]])</f>
        <v>1720.5</v>
      </c>
      <c r="I329" s="550">
        <f ca="1">TableauRecette[[#This Row],[Proportion]]*TableauRecette[[#This Row],[Prix d''achat / kg]]/TableauRecette[[#This Row],[Total Proportion]]</f>
        <v>0</v>
      </c>
      <c r="J329" s="550"/>
      <c r="K329" s="829"/>
      <c r="L329" s="830">
        <f>_xlfn.XLOOKUP(TableauRecette[[#This Row],[ID]],TableauProduit[ID],TableauProduit[Total (kg) N1],0,0,1)*TableauRecette[[#This Row],[poids / unite]]</f>
        <v>74.516129032258064</v>
      </c>
      <c r="M329" s="831">
        <f>_xlfn.XLOOKUP(TableauRecette[[#This Row],[ID]],TableauProduit[ID],TableauProduit[Total (kg) N2],0,0,1)*TableauRecette[[#This Row],[poids / unite]]</f>
        <v>74.516129032258064</v>
      </c>
      <c r="N329" s="831">
        <f>_xlfn.XLOOKUP(TableauRecette[[#This Row],[ID]],TableauProduit[ID],TableauProduit[Total (kg) N3],0,0,1)*TableauRecette[[#This Row],[poids / unite]]</f>
        <v>74.516129032258064</v>
      </c>
      <c r="O329" s="831">
        <f>_xlfn.XLOOKUP(TableauRecette[[#This Row],[ID]],TableauProduit[ID],TableauProduit[Total (kg) N4],0,0,1)*TableauRecette[[#This Row],[poids / unite]]</f>
        <v>74.516129032258064</v>
      </c>
      <c r="P329" s="831">
        <f>_xlfn.XLOOKUP(TableauRecette[[#This Row],[ID]],TableauProduit[ID],TableauProduit[Total (kg) N5],0,0,1)*TableauRecette[[#This Row],[poids / unite]]</f>
        <v>74.516129032258064</v>
      </c>
      <c r="Q329" s="831">
        <f>_xlfn.XLOOKUP(TableauRecette[[#This Row],[ID]],TableauProduit[ID],TableauProduit[Total (kg) N6],0,0,1)*TableauRecette[[#This Row],[poids / unite]]</f>
        <v>74.516129032258064</v>
      </c>
      <c r="R329" s="831">
        <f>_xlfn.XLOOKUP(TableauRecette[[#This Row],[ID]],TableauProduit[ID],TableauProduit[Total (kg) N7],0,0,1)*TableauRecette[[#This Row],[poids / unite]]</f>
        <v>74.516129032258064</v>
      </c>
      <c r="S329" s="831">
        <f>_xlfn.XLOOKUP(TableauRecette[[#This Row],[ID]],TableauProduit[ID],TableauProduit[Total (kg) N8],0,0,1)*TableauRecette[[#This Row],[poids / unite]]</f>
        <v>74.516129032258064</v>
      </c>
      <c r="T329" s="831">
        <f>_xlfn.XLOOKUP(TableauRecette[[#This Row],[ID]],TableauProduit[ID],TableauProduit[Total (kg) N9],0,0,1)*TableauRecette[[#This Row],[poids / unite]]</f>
        <v>74.516129032258064</v>
      </c>
    </row>
    <row r="330" spans="1:20">
      <c r="A330" s="549" t="s">
        <v>60</v>
      </c>
      <c r="B330" s="549" t="str">
        <f>TableauRecette[[#This Row],[Recette]]&amp;TableauRecette[[#This Row],[Conditionnement]]</f>
        <v>Sirop de mentheSirop 500 ml</v>
      </c>
      <c r="C330" s="549" t="s">
        <v>206</v>
      </c>
      <c r="D330" s="550">
        <v>100</v>
      </c>
      <c r="E330" s="534" t="s">
        <v>61</v>
      </c>
      <c r="F330" s="550">
        <f>D330/SUMIFS(TableauRecette[Proportion],TableauRecette[Recette],TableauRecette[[#This Row],[Recette]],TableauRecette[Conditionnement],TableauRecette[[#This Row],[Conditionnement]])</f>
        <v>5.8122638767800057E-2</v>
      </c>
      <c r="G330" s="550">
        <f ca="1">_xlfn.XLOOKUP(TableauRecette[[#This Row],[Ingredients]],TableauIngredients[Ingredients],TableauIngredients[Prix d''achat (kg)],0)*TableauRecette[[#This Row],[poids / unite]]</f>
        <v>0</v>
      </c>
      <c r="H330" s="550">
        <f>SUMIFS(TableauRecette[Proportion],TableauRecette[Recette],TableauRecette[[#This Row],[Recette]],TableauRecette[Conditionnement],TableauRecette[[#This Row],[Conditionnement]])</f>
        <v>1720.5</v>
      </c>
      <c r="I330" s="550">
        <f ca="1">TableauRecette[[#This Row],[Proportion]]*TableauRecette[[#This Row],[Prix d''achat / kg]]/TableauRecette[[#This Row],[Total Proportion]]</f>
        <v>0</v>
      </c>
      <c r="J330" s="550"/>
      <c r="K330" s="829"/>
      <c r="L330" s="830">
        <f>_xlfn.XLOOKUP(TableauRecette[[#This Row],[ID]],TableauProduit[ID],TableauProduit[Total (kg) N1],0,0,1)*TableauRecette[[#This Row],[poids / unite]]</f>
        <v>12.205754141238012</v>
      </c>
      <c r="M330" s="831">
        <f>_xlfn.XLOOKUP(TableauRecette[[#This Row],[ID]],TableauProduit[ID],TableauProduit[Total (kg) N2],0,0,1)*TableauRecette[[#This Row],[poids / unite]]</f>
        <v>12.205754141238012</v>
      </c>
      <c r="N330" s="831">
        <f>_xlfn.XLOOKUP(TableauRecette[[#This Row],[ID]],TableauProduit[ID],TableauProduit[Total (kg) N3],0,0,1)*TableauRecette[[#This Row],[poids / unite]]</f>
        <v>12.205754141238012</v>
      </c>
      <c r="O330" s="831">
        <f>_xlfn.XLOOKUP(TableauRecette[[#This Row],[ID]],TableauProduit[ID],TableauProduit[Total (kg) N4],0,0,1)*TableauRecette[[#This Row],[poids / unite]]</f>
        <v>12.205754141238012</v>
      </c>
      <c r="P330" s="831">
        <f>_xlfn.XLOOKUP(TableauRecette[[#This Row],[ID]],TableauProduit[ID],TableauProduit[Total (kg) N5],0,0,1)*TableauRecette[[#This Row],[poids / unite]]</f>
        <v>12.205754141238012</v>
      </c>
      <c r="Q330" s="831">
        <f>_xlfn.XLOOKUP(TableauRecette[[#This Row],[ID]],TableauProduit[ID],TableauProduit[Total (kg) N6],0,0,1)*TableauRecette[[#This Row],[poids / unite]]</f>
        <v>12.205754141238012</v>
      </c>
      <c r="R330" s="831">
        <f>_xlfn.XLOOKUP(TableauRecette[[#This Row],[ID]],TableauProduit[ID],TableauProduit[Total (kg) N7],0,0,1)*TableauRecette[[#This Row],[poids / unite]]</f>
        <v>12.205754141238012</v>
      </c>
      <c r="S330" s="831">
        <f>_xlfn.XLOOKUP(TableauRecette[[#This Row],[ID]],TableauProduit[ID],TableauProduit[Total (kg) N8],0,0,1)*TableauRecette[[#This Row],[poids / unite]]</f>
        <v>12.205754141238012</v>
      </c>
      <c r="T330" s="831">
        <f>_xlfn.XLOOKUP(TableauRecette[[#This Row],[ID]],TableauProduit[ID],TableauProduit[Total (kg) N9],0,0,1)*TableauRecette[[#This Row],[poids / unite]]</f>
        <v>12.205754141238012</v>
      </c>
    </row>
    <row r="331" spans="1:20">
      <c r="A331" s="549" t="s">
        <v>60</v>
      </c>
      <c r="B331" s="549" t="str">
        <f>TableauRecette[[#This Row],[Recette]]&amp;TableauRecette[[#This Row],[Conditionnement]]</f>
        <v>Sirop de mentheSirop 500 ml</v>
      </c>
      <c r="C331" s="549" t="s">
        <v>361</v>
      </c>
      <c r="D331" s="550">
        <v>1000</v>
      </c>
      <c r="E331" s="534" t="s">
        <v>61</v>
      </c>
      <c r="F331" s="550">
        <f>D331/SUMIFS(TableauRecette[Proportion],TableauRecette[Recette],TableauRecette[[#This Row],[Recette]],TableauRecette[Conditionnement],TableauRecette[[#This Row],[Conditionnement]])</f>
        <v>0.58122638767800061</v>
      </c>
      <c r="G331" s="550">
        <f ca="1">_xlfn.XLOOKUP(TableauRecette[[#This Row],[Ingredients]],TableauIngredients[Ingredients],TableauIngredients[Prix d''achat (kg)],0)*TableauRecette[[#This Row],[poids / unite]]</f>
        <v>0</v>
      </c>
      <c r="H331" s="550">
        <f>SUMIFS(TableauRecette[Proportion],TableauRecette[Recette],TableauRecette[[#This Row],[Recette]],TableauRecette[Conditionnement],TableauRecette[[#This Row],[Conditionnement]])</f>
        <v>1720.5</v>
      </c>
      <c r="I331" s="550">
        <f ca="1">TableauRecette[[#This Row],[Proportion]]*TableauRecette[[#This Row],[Prix d''achat / kg]]/TableauRecette[[#This Row],[Total Proportion]]</f>
        <v>0</v>
      </c>
      <c r="J331" s="550"/>
      <c r="K331" s="829"/>
      <c r="L331" s="830">
        <f>_xlfn.XLOOKUP(TableauRecette[[#This Row],[ID]],TableauProduit[ID],TableauProduit[Total (kg) N1],0,0,1)*TableauRecette[[#This Row],[poids / unite]]</f>
        <v>122.05754141238013</v>
      </c>
      <c r="M331" s="831">
        <f>_xlfn.XLOOKUP(TableauRecette[[#This Row],[ID]],TableauProduit[ID],TableauProduit[Total (kg) N2],0,0,1)*TableauRecette[[#This Row],[poids / unite]]</f>
        <v>122.05754141238013</v>
      </c>
      <c r="N331" s="831">
        <f>_xlfn.XLOOKUP(TableauRecette[[#This Row],[ID]],TableauProduit[ID],TableauProduit[Total (kg) N3],0,0,1)*TableauRecette[[#This Row],[poids / unite]]</f>
        <v>122.05754141238013</v>
      </c>
      <c r="O331" s="831">
        <f>_xlfn.XLOOKUP(TableauRecette[[#This Row],[ID]],TableauProduit[ID],TableauProduit[Total (kg) N4],0,0,1)*TableauRecette[[#This Row],[poids / unite]]</f>
        <v>122.05754141238013</v>
      </c>
      <c r="P331" s="831">
        <f>_xlfn.XLOOKUP(TableauRecette[[#This Row],[ID]],TableauProduit[ID],TableauProduit[Total (kg) N5],0,0,1)*TableauRecette[[#This Row],[poids / unite]]</f>
        <v>122.05754141238013</v>
      </c>
      <c r="Q331" s="831">
        <f>_xlfn.XLOOKUP(TableauRecette[[#This Row],[ID]],TableauProduit[ID],TableauProduit[Total (kg) N6],0,0,1)*TableauRecette[[#This Row],[poids / unite]]</f>
        <v>122.05754141238013</v>
      </c>
      <c r="R331" s="831">
        <f>_xlfn.XLOOKUP(TableauRecette[[#This Row],[ID]],TableauProduit[ID],TableauProduit[Total (kg) N7],0,0,1)*TableauRecette[[#This Row],[poids / unite]]</f>
        <v>122.05754141238013</v>
      </c>
      <c r="S331" s="831">
        <f>_xlfn.XLOOKUP(TableauRecette[[#This Row],[ID]],TableauProduit[ID],TableauProduit[Total (kg) N8],0,0,1)*TableauRecette[[#This Row],[poids / unite]]</f>
        <v>122.05754141238013</v>
      </c>
      <c r="T331" s="831">
        <f>_xlfn.XLOOKUP(TableauRecette[[#This Row],[ID]],TableauProduit[ID],TableauProduit[Total (kg) N9],0,0,1)*TableauRecette[[#This Row],[poids / unite]]</f>
        <v>122.05754141238013</v>
      </c>
    </row>
    <row r="332" spans="1:20">
      <c r="A332" s="532" t="s">
        <v>70</v>
      </c>
      <c r="B332" s="532" t="str">
        <f>TableauRecette[[#This Row],[Recette]]&amp;TableauRecette[[#This Row],[Conditionnement]]</f>
        <v>Sirop de thymSirop 500 ml</v>
      </c>
      <c r="C332" s="532" t="s">
        <v>377</v>
      </c>
      <c r="D332" s="533">
        <v>610.5</v>
      </c>
      <c r="E332" s="534" t="s">
        <v>61</v>
      </c>
      <c r="F332" s="533">
        <f>D332/SUMIFS(TableauRecette[Proportion],TableauRecette[Recette],TableauRecette[[#This Row],[Recette]],TableauRecette[Conditionnement],TableauRecette[[#This Row],[Conditionnement]])</f>
        <v>0.35483870967741937</v>
      </c>
      <c r="G332" s="533" t="e">
        <f ca="1">_xlfn.XLOOKUP(TableauRecette[[#This Row],[Ingredients]],TableauIngredients[Ingredients],TableauIngredients[Prix d''achat (kg)],0)*TableauRecette[[#This Row],[poids / unite]]</f>
        <v>#DIV/0!</v>
      </c>
      <c r="H332" s="533">
        <f>SUMIFS(TableauRecette[Proportion],TableauRecette[Recette],TableauRecette[[#This Row],[Recette]],TableauRecette[Conditionnement],TableauRecette[[#This Row],[Conditionnement]])</f>
        <v>1720.5</v>
      </c>
      <c r="I332" s="533">
        <f ca="1">TableauRecette[[#This Row],[Proportion]]*TableauRecette[[#This Row],[Prix d''achat / kg]]/TableauRecette[[#This Row],[Total Proportion]]</f>
        <v>0</v>
      </c>
      <c r="J332" s="533"/>
      <c r="K332" s="832"/>
      <c r="L332" s="833">
        <f>_xlfn.XLOOKUP(TableauRecette[[#This Row],[ID]],TableauProduit[ID],TableauProduit[Total (kg) N1],0,0,1)*TableauRecette[[#This Row],[poids / unite]]</f>
        <v>31.935483870967744</v>
      </c>
      <c r="M332" s="834">
        <f>_xlfn.XLOOKUP(TableauRecette[[#This Row],[ID]],TableauProduit[ID],TableauProduit[Total (kg) N2],0,0,1)*TableauRecette[[#This Row],[poids / unite]]</f>
        <v>31.935483870967744</v>
      </c>
      <c r="N332" s="834">
        <f>_xlfn.XLOOKUP(TableauRecette[[#This Row],[ID]],TableauProduit[ID],TableauProduit[Total (kg) N3],0,0,1)*TableauRecette[[#This Row],[poids / unite]]</f>
        <v>31.935483870967744</v>
      </c>
      <c r="O332" s="834">
        <f>_xlfn.XLOOKUP(TableauRecette[[#This Row],[ID]],TableauProduit[ID],TableauProduit[Total (kg) N4],0,0,1)*TableauRecette[[#This Row],[poids / unite]]</f>
        <v>31.935483870967744</v>
      </c>
      <c r="P332" s="834">
        <f>_xlfn.XLOOKUP(TableauRecette[[#This Row],[ID]],TableauProduit[ID],TableauProduit[Total (kg) N5],0,0,1)*TableauRecette[[#This Row],[poids / unite]]</f>
        <v>31.935483870967744</v>
      </c>
      <c r="Q332" s="834">
        <f>_xlfn.XLOOKUP(TableauRecette[[#This Row],[ID]],TableauProduit[ID],TableauProduit[Total (kg) N6],0,0,1)*TableauRecette[[#This Row],[poids / unite]]</f>
        <v>31.935483870967744</v>
      </c>
      <c r="R332" s="834">
        <f>_xlfn.XLOOKUP(TableauRecette[[#This Row],[ID]],TableauProduit[ID],TableauProduit[Total (kg) N7],0,0,1)*TableauRecette[[#This Row],[poids / unite]]</f>
        <v>31.935483870967744</v>
      </c>
      <c r="S332" s="834">
        <f>_xlfn.XLOOKUP(TableauRecette[[#This Row],[ID]],TableauProduit[ID],TableauProduit[Total (kg) N8],0,0,1)*TableauRecette[[#This Row],[poids / unite]]</f>
        <v>31.935483870967744</v>
      </c>
      <c r="T332" s="834">
        <f>_xlfn.XLOOKUP(TableauRecette[[#This Row],[ID]],TableauProduit[ID],TableauProduit[Total (kg) N9],0,0,1)*TableauRecette[[#This Row],[poids / unite]]</f>
        <v>31.935483870967744</v>
      </c>
    </row>
    <row r="333" spans="1:20">
      <c r="A333" s="532" t="s">
        <v>70</v>
      </c>
      <c r="B333" s="532" t="str">
        <f>TableauRecette[[#This Row],[Recette]]&amp;TableauRecette[[#This Row],[Conditionnement]]</f>
        <v>Sirop de thymSirop 500 ml</v>
      </c>
      <c r="C333" s="532" t="s">
        <v>316</v>
      </c>
      <c r="D333" s="533">
        <v>100</v>
      </c>
      <c r="E333" s="534" t="s">
        <v>61</v>
      </c>
      <c r="F333" s="533">
        <f>D333/SUMIFS(TableauRecette[Proportion],TableauRecette[Recette],TableauRecette[[#This Row],[Recette]],TableauRecette[Conditionnement],TableauRecette[[#This Row],[Conditionnement]])</f>
        <v>5.8122638767800057E-2</v>
      </c>
      <c r="G333" s="533" t="e">
        <f ca="1">_xlfn.XLOOKUP(TableauRecette[[#This Row],[Ingredients]],TableauIngredients[Ingredients],TableauIngredients[Prix d''achat (kg)],0)*TableauRecette[[#This Row],[poids / unite]]</f>
        <v>#DIV/0!</v>
      </c>
      <c r="H333" s="533">
        <f>SUMIFS(TableauRecette[Proportion],TableauRecette[Recette],TableauRecette[[#This Row],[Recette]],TableauRecette[Conditionnement],TableauRecette[[#This Row],[Conditionnement]])</f>
        <v>1720.5</v>
      </c>
      <c r="I333" s="533">
        <f ca="1">TableauRecette[[#This Row],[Proportion]]*TableauRecette[[#This Row],[Prix d''achat / kg]]/TableauRecette[[#This Row],[Total Proportion]]</f>
        <v>0</v>
      </c>
      <c r="J333" s="533"/>
      <c r="K333" s="832"/>
      <c r="L333" s="833">
        <f>_xlfn.XLOOKUP(TableauRecette[[#This Row],[ID]],TableauProduit[ID],TableauProduit[Total (kg) N1],0,0,1)*TableauRecette[[#This Row],[poids / unite]]</f>
        <v>5.2310374891020048</v>
      </c>
      <c r="M333" s="834">
        <f>_xlfn.XLOOKUP(TableauRecette[[#This Row],[ID]],TableauProduit[ID],TableauProduit[Total (kg) N2],0,0,1)*TableauRecette[[#This Row],[poids / unite]]</f>
        <v>5.2310374891020048</v>
      </c>
      <c r="N333" s="834">
        <f>_xlfn.XLOOKUP(TableauRecette[[#This Row],[ID]],TableauProduit[ID],TableauProduit[Total (kg) N3],0,0,1)*TableauRecette[[#This Row],[poids / unite]]</f>
        <v>5.2310374891020048</v>
      </c>
      <c r="O333" s="834">
        <f>_xlfn.XLOOKUP(TableauRecette[[#This Row],[ID]],TableauProduit[ID],TableauProduit[Total (kg) N4],0,0,1)*TableauRecette[[#This Row],[poids / unite]]</f>
        <v>5.2310374891020048</v>
      </c>
      <c r="P333" s="834">
        <f>_xlfn.XLOOKUP(TableauRecette[[#This Row],[ID]],TableauProduit[ID],TableauProduit[Total (kg) N5],0,0,1)*TableauRecette[[#This Row],[poids / unite]]</f>
        <v>5.2310374891020048</v>
      </c>
      <c r="Q333" s="834">
        <f>_xlfn.XLOOKUP(TableauRecette[[#This Row],[ID]],TableauProduit[ID],TableauProduit[Total (kg) N6],0,0,1)*TableauRecette[[#This Row],[poids / unite]]</f>
        <v>5.2310374891020048</v>
      </c>
      <c r="R333" s="834">
        <f>_xlfn.XLOOKUP(TableauRecette[[#This Row],[ID]],TableauProduit[ID],TableauProduit[Total (kg) N7],0,0,1)*TableauRecette[[#This Row],[poids / unite]]</f>
        <v>5.2310374891020048</v>
      </c>
      <c r="S333" s="834">
        <f>_xlfn.XLOOKUP(TableauRecette[[#This Row],[ID]],TableauProduit[ID],TableauProduit[Total (kg) N8],0,0,1)*TableauRecette[[#This Row],[poids / unite]]</f>
        <v>5.2310374891020048</v>
      </c>
      <c r="T333" s="834">
        <f>_xlfn.XLOOKUP(TableauRecette[[#This Row],[ID]],TableauProduit[ID],TableauProduit[Total (kg) N9],0,0,1)*TableauRecette[[#This Row],[poids / unite]]</f>
        <v>5.2310374891020048</v>
      </c>
    </row>
    <row r="334" spans="1:20">
      <c r="A334" s="532" t="s">
        <v>70</v>
      </c>
      <c r="B334" s="532" t="str">
        <f>TableauRecette[[#This Row],[Recette]]&amp;TableauRecette[[#This Row],[Conditionnement]]</f>
        <v>Sirop de thymSirop 500 ml</v>
      </c>
      <c r="C334" s="532" t="s">
        <v>364</v>
      </c>
      <c r="D334" s="533">
        <v>10</v>
      </c>
      <c r="E334" s="534" t="s">
        <v>61</v>
      </c>
      <c r="F334" s="533">
        <f>D334/SUMIFS(TableauRecette[Proportion],TableauRecette[Recette],TableauRecette[[#This Row],[Recette]],TableauRecette[Conditionnement],TableauRecette[[#This Row],[Conditionnement]])</f>
        <v>5.812263876780006E-3</v>
      </c>
      <c r="G334" s="533">
        <f ca="1">_xlfn.XLOOKUP(TableauRecette[[#This Row],[Ingredients]],TableauIngredients[Ingredients],TableauIngredients[Prix d''achat (kg)],0)*TableauRecette[[#This Row],[poids / unite]]</f>
        <v>0</v>
      </c>
      <c r="H334" s="533">
        <f>SUMIFS(TableauRecette[Proportion],TableauRecette[Recette],TableauRecette[[#This Row],[Recette]],TableauRecette[Conditionnement],TableauRecette[[#This Row],[Conditionnement]])</f>
        <v>1720.5</v>
      </c>
      <c r="I334" s="533">
        <f ca="1">TableauRecette[[#This Row],[Proportion]]*TableauRecette[[#This Row],[Prix d''achat / kg]]/TableauRecette[[#This Row],[Total Proportion]]</f>
        <v>0</v>
      </c>
      <c r="J334" s="533"/>
      <c r="K334" s="832"/>
      <c r="L334" s="833">
        <f>_xlfn.XLOOKUP(TableauRecette[[#This Row],[ID]],TableauProduit[ID],TableauProduit[Total (kg) N1],0,0,1)*TableauRecette[[#This Row],[poids / unite]]</f>
        <v>0.52310374891020051</v>
      </c>
      <c r="M334" s="834">
        <f>_xlfn.XLOOKUP(TableauRecette[[#This Row],[ID]],TableauProduit[ID],TableauProduit[Total (kg) N2],0,0,1)*TableauRecette[[#This Row],[poids / unite]]</f>
        <v>0.52310374891020051</v>
      </c>
      <c r="N334" s="834">
        <f>_xlfn.XLOOKUP(TableauRecette[[#This Row],[ID]],TableauProduit[ID],TableauProduit[Total (kg) N3],0,0,1)*TableauRecette[[#This Row],[poids / unite]]</f>
        <v>0.52310374891020051</v>
      </c>
      <c r="O334" s="834">
        <f>_xlfn.XLOOKUP(TableauRecette[[#This Row],[ID]],TableauProduit[ID],TableauProduit[Total (kg) N4],0,0,1)*TableauRecette[[#This Row],[poids / unite]]</f>
        <v>0.52310374891020051</v>
      </c>
      <c r="P334" s="834">
        <f>_xlfn.XLOOKUP(TableauRecette[[#This Row],[ID]],TableauProduit[ID],TableauProduit[Total (kg) N5],0,0,1)*TableauRecette[[#This Row],[poids / unite]]</f>
        <v>0.52310374891020051</v>
      </c>
      <c r="Q334" s="834">
        <f>_xlfn.XLOOKUP(TableauRecette[[#This Row],[ID]],TableauProduit[ID],TableauProduit[Total (kg) N6],0,0,1)*TableauRecette[[#This Row],[poids / unite]]</f>
        <v>0.52310374891020051</v>
      </c>
      <c r="R334" s="834">
        <f>_xlfn.XLOOKUP(TableauRecette[[#This Row],[ID]],TableauProduit[ID],TableauProduit[Total (kg) N7],0,0,1)*TableauRecette[[#This Row],[poids / unite]]</f>
        <v>0.52310374891020051</v>
      </c>
      <c r="S334" s="834">
        <f>_xlfn.XLOOKUP(TableauRecette[[#This Row],[ID]],TableauProduit[ID],TableauProduit[Total (kg) N8],0,0,1)*TableauRecette[[#This Row],[poids / unite]]</f>
        <v>0.52310374891020051</v>
      </c>
      <c r="T334" s="834">
        <f>_xlfn.XLOOKUP(TableauRecette[[#This Row],[ID]],TableauProduit[ID],TableauProduit[Total (kg) N9],0,0,1)*TableauRecette[[#This Row],[poids / unite]]</f>
        <v>0.52310374891020051</v>
      </c>
    </row>
    <row r="335" spans="1:20">
      <c r="A335" s="532" t="s">
        <v>70</v>
      </c>
      <c r="B335" s="532" t="str">
        <f>TableauRecette[[#This Row],[Recette]]&amp;TableauRecette[[#This Row],[Conditionnement]]</f>
        <v>Sirop de thymSirop 500 ml</v>
      </c>
      <c r="C335" s="532" t="s">
        <v>361</v>
      </c>
      <c r="D335" s="533">
        <v>1000</v>
      </c>
      <c r="E335" s="534" t="s">
        <v>61</v>
      </c>
      <c r="F335" s="533">
        <f>D335/SUMIFS(TableauRecette[Proportion],TableauRecette[Recette],TableauRecette[[#This Row],[Recette]],TableauRecette[Conditionnement],TableauRecette[[#This Row],[Conditionnement]])</f>
        <v>0.58122638767800061</v>
      </c>
      <c r="G335" s="533" t="e">
        <f ca="1">_xlfn.XLOOKUP(TableauRecette[[#This Row],[Ingredients]],TableauIngredients[Ingredients],TableauIngredients[Prix d''achat (kg)],0)*TableauRecette[[#This Row],[poids / unite]]</f>
        <v>#DIV/0!</v>
      </c>
      <c r="H335" s="533">
        <f>SUMIFS(TableauRecette[Proportion],TableauRecette[Recette],TableauRecette[[#This Row],[Recette]],TableauRecette[Conditionnement],TableauRecette[[#This Row],[Conditionnement]])</f>
        <v>1720.5</v>
      </c>
      <c r="I335" s="533">
        <f ca="1">TableauRecette[[#This Row],[Proportion]]*TableauRecette[[#This Row],[Prix d''achat / kg]]/TableauRecette[[#This Row],[Total Proportion]]</f>
        <v>0</v>
      </c>
      <c r="J335" s="533"/>
      <c r="K335" s="832"/>
      <c r="L335" s="833">
        <f>_xlfn.XLOOKUP(TableauRecette[[#This Row],[ID]],TableauProduit[ID],TableauProduit[Total (kg) N1],0,0,1)*TableauRecette[[#This Row],[poids / unite]]</f>
        <v>52.310374891020054</v>
      </c>
      <c r="M335" s="834">
        <f>_xlfn.XLOOKUP(TableauRecette[[#This Row],[ID]],TableauProduit[ID],TableauProduit[Total (kg) N2],0,0,1)*TableauRecette[[#This Row],[poids / unite]]</f>
        <v>52.310374891020054</v>
      </c>
      <c r="N335" s="834">
        <f>_xlfn.XLOOKUP(TableauRecette[[#This Row],[ID]],TableauProduit[ID],TableauProduit[Total (kg) N3],0,0,1)*TableauRecette[[#This Row],[poids / unite]]</f>
        <v>52.310374891020054</v>
      </c>
      <c r="O335" s="834">
        <f>_xlfn.XLOOKUP(TableauRecette[[#This Row],[ID]],TableauProduit[ID],TableauProduit[Total (kg) N4],0,0,1)*TableauRecette[[#This Row],[poids / unite]]</f>
        <v>52.310374891020054</v>
      </c>
      <c r="P335" s="834">
        <f>_xlfn.XLOOKUP(TableauRecette[[#This Row],[ID]],TableauProduit[ID],TableauProduit[Total (kg) N5],0,0,1)*TableauRecette[[#This Row],[poids / unite]]</f>
        <v>52.310374891020054</v>
      </c>
      <c r="Q335" s="834">
        <f>_xlfn.XLOOKUP(TableauRecette[[#This Row],[ID]],TableauProduit[ID],TableauProduit[Total (kg) N6],0,0,1)*TableauRecette[[#This Row],[poids / unite]]</f>
        <v>52.310374891020054</v>
      </c>
      <c r="R335" s="834">
        <f>_xlfn.XLOOKUP(TableauRecette[[#This Row],[ID]],TableauProduit[ID],TableauProduit[Total (kg) N7],0,0,1)*TableauRecette[[#This Row],[poids / unite]]</f>
        <v>52.310374891020054</v>
      </c>
      <c r="S335" s="834">
        <f>_xlfn.XLOOKUP(TableauRecette[[#This Row],[ID]],TableauProduit[ID],TableauProduit[Total (kg) N8],0,0,1)*TableauRecette[[#This Row],[poids / unite]]</f>
        <v>52.310374891020054</v>
      </c>
      <c r="T335" s="834">
        <f>_xlfn.XLOOKUP(TableauRecette[[#This Row],[ID]],TableauProduit[ID],TableauProduit[Total (kg) N9],0,0,1)*TableauRecette[[#This Row],[poids / unite]]</f>
        <v>52.310374891020054</v>
      </c>
    </row>
    <row r="336" spans="1:20">
      <c r="A336" s="99" t="s">
        <v>97</v>
      </c>
      <c r="B336" s="99" t="str">
        <f>TableauRecette[[#This Row],[Recette]]&amp;TableauRecette[[#This Row],[Conditionnement]]</f>
        <v>SriratchaEpice 100ml</v>
      </c>
      <c r="C336" s="99" t="s">
        <v>383</v>
      </c>
      <c r="D336" s="222">
        <v>9</v>
      </c>
      <c r="E336" s="99" t="s">
        <v>55</v>
      </c>
      <c r="F336" s="222">
        <f>D336/SUMIFS(TableauRecette[Proportion],TableauRecette[Recette],TableauRecette[[#This Row],[Recette]],TableauRecette[Conditionnement],TableauRecette[[#This Row],[Conditionnement]])</f>
        <v>0.11392405063291139</v>
      </c>
      <c r="G336" s="222">
        <f ca="1">_xlfn.XLOOKUP(TableauRecette[[#This Row],[Ingredients]],TableauIngredients[Ingredients],TableauIngredients[Prix d''achat (kg)],0)*TableauRecette[[#This Row],[poids / unite]]</f>
        <v>0</v>
      </c>
      <c r="H336" s="222">
        <f>SUMIFS(TableauRecette[Proportion],TableauRecette[Recette],TableauRecette[[#This Row],[Recette]],TableauRecette[Conditionnement],TableauRecette[[#This Row],[Conditionnement]])</f>
        <v>79</v>
      </c>
      <c r="I336" s="222">
        <f ca="1">TableauRecette[[#This Row],[Proportion]]*TableauRecette[[#This Row],[Prix d''achat / kg]]/TableauRecette[[#This Row],[Total Proportion]]</f>
        <v>0</v>
      </c>
      <c r="J336" s="222"/>
      <c r="K336" s="835"/>
      <c r="L336" s="836">
        <f>_xlfn.XLOOKUP(TableauRecette[[#This Row],[ID]],TableauProduit[ID],TableauProduit[Total (kg) N1],0,0,1)*TableauRecette[[#This Row],[poids / unite]]</f>
        <v>0</v>
      </c>
      <c r="M336" s="837">
        <f>_xlfn.XLOOKUP(TableauRecette[[#This Row],[ID]],TableauProduit[ID],TableauProduit[Total (kg) N2],0,0,1)*TableauRecette[[#This Row],[poids / unite]]</f>
        <v>0</v>
      </c>
      <c r="N336" s="837">
        <f>_xlfn.XLOOKUP(TableauRecette[[#This Row],[ID]],TableauProduit[ID],TableauProduit[Total (kg) N3],0,0,1)*TableauRecette[[#This Row],[poids / unite]]</f>
        <v>0</v>
      </c>
      <c r="O336" s="837">
        <f>_xlfn.XLOOKUP(TableauRecette[[#This Row],[ID]],TableauProduit[ID],TableauProduit[Total (kg) N4],0,0,1)*TableauRecette[[#This Row],[poids / unite]]</f>
        <v>0</v>
      </c>
      <c r="P336" s="837">
        <f>_xlfn.XLOOKUP(TableauRecette[[#This Row],[ID]],TableauProduit[ID],TableauProduit[Total (kg) N5],0,0,1)*TableauRecette[[#This Row],[poids / unite]]</f>
        <v>0</v>
      </c>
      <c r="Q336" s="837">
        <f>_xlfn.XLOOKUP(TableauRecette[[#This Row],[ID]],TableauProduit[ID],TableauProduit[Total (kg) N6],0,0,1)*TableauRecette[[#This Row],[poids / unite]]</f>
        <v>0</v>
      </c>
      <c r="R336" s="837">
        <f>_xlfn.XLOOKUP(TableauRecette[[#This Row],[ID]],TableauProduit[ID],TableauProduit[Total (kg) N7],0,0,1)*TableauRecette[[#This Row],[poids / unite]]</f>
        <v>0</v>
      </c>
      <c r="S336" s="837">
        <f>_xlfn.XLOOKUP(TableauRecette[[#This Row],[ID]],TableauProduit[ID],TableauProduit[Total (kg) N8],0,0,1)*TableauRecette[[#This Row],[poids / unite]]</f>
        <v>0</v>
      </c>
      <c r="T336" s="837">
        <f>_xlfn.XLOOKUP(TableauRecette[[#This Row],[ID]],TableauProduit[ID],TableauProduit[Total (kg) N9],0,0,1)*TableauRecette[[#This Row],[poids / unite]]</f>
        <v>0</v>
      </c>
    </row>
    <row r="337" spans="1:20">
      <c r="A337" s="99" t="s">
        <v>97</v>
      </c>
      <c r="B337" s="99" t="str">
        <f>TableauRecette[[#This Row],[Recette]]&amp;TableauRecette[[#This Row],[Conditionnement]]</f>
        <v>SriratchaEpice 100ml</v>
      </c>
      <c r="C337" s="99" t="s">
        <v>384</v>
      </c>
      <c r="D337" s="222">
        <v>3</v>
      </c>
      <c r="E337" s="99" t="s">
        <v>55</v>
      </c>
      <c r="F337" s="222">
        <f>D337/SUMIFS(TableauRecette[Proportion],TableauRecette[Recette],TableauRecette[[#This Row],[Recette]],TableauRecette[Conditionnement],TableauRecette[[#This Row],[Conditionnement]])</f>
        <v>3.7974683544303799E-2</v>
      </c>
      <c r="G337" s="222">
        <f ca="1">_xlfn.XLOOKUP(TableauRecette[[#This Row],[Ingredients]],TableauIngredients[Ingredients],TableauIngredients[Prix d''achat (kg)],0)*TableauRecette[[#This Row],[poids / unite]]</f>
        <v>0</v>
      </c>
      <c r="H337" s="222">
        <f>SUMIFS(TableauRecette[Proportion],TableauRecette[Recette],TableauRecette[[#This Row],[Recette]],TableauRecette[Conditionnement],TableauRecette[[#This Row],[Conditionnement]])</f>
        <v>79</v>
      </c>
      <c r="I337" s="222">
        <f ca="1">TableauRecette[[#This Row],[Proportion]]*TableauRecette[[#This Row],[Prix d''achat / kg]]/TableauRecette[[#This Row],[Total Proportion]]</f>
        <v>0</v>
      </c>
      <c r="J337" s="222"/>
      <c r="K337" s="835"/>
      <c r="L337" s="836">
        <f>_xlfn.XLOOKUP(TableauRecette[[#This Row],[ID]],TableauProduit[ID],TableauProduit[Total (kg) N1],0,0,1)*TableauRecette[[#This Row],[poids / unite]]</f>
        <v>0</v>
      </c>
      <c r="M337" s="837">
        <f>_xlfn.XLOOKUP(TableauRecette[[#This Row],[ID]],TableauProduit[ID],TableauProduit[Total (kg) N2],0,0,1)*TableauRecette[[#This Row],[poids / unite]]</f>
        <v>0</v>
      </c>
      <c r="N337" s="837">
        <f>_xlfn.XLOOKUP(TableauRecette[[#This Row],[ID]],TableauProduit[ID],TableauProduit[Total (kg) N3],0,0,1)*TableauRecette[[#This Row],[poids / unite]]</f>
        <v>0</v>
      </c>
      <c r="O337" s="837">
        <f>_xlfn.XLOOKUP(TableauRecette[[#This Row],[ID]],TableauProduit[ID],TableauProduit[Total (kg) N4],0,0,1)*TableauRecette[[#This Row],[poids / unite]]</f>
        <v>0</v>
      </c>
      <c r="P337" s="837">
        <f>_xlfn.XLOOKUP(TableauRecette[[#This Row],[ID]],TableauProduit[ID],TableauProduit[Total (kg) N5],0,0,1)*TableauRecette[[#This Row],[poids / unite]]</f>
        <v>0</v>
      </c>
      <c r="Q337" s="837">
        <f>_xlfn.XLOOKUP(TableauRecette[[#This Row],[ID]],TableauProduit[ID],TableauProduit[Total (kg) N6],0,0,1)*TableauRecette[[#This Row],[poids / unite]]</f>
        <v>0</v>
      </c>
      <c r="R337" s="837">
        <f>_xlfn.XLOOKUP(TableauRecette[[#This Row],[ID]],TableauProduit[ID],TableauProduit[Total (kg) N7],0,0,1)*TableauRecette[[#This Row],[poids / unite]]</f>
        <v>0</v>
      </c>
      <c r="S337" s="837">
        <f>_xlfn.XLOOKUP(TableauRecette[[#This Row],[ID]],TableauProduit[ID],TableauProduit[Total (kg) N8],0,0,1)*TableauRecette[[#This Row],[poids / unite]]</f>
        <v>0</v>
      </c>
      <c r="T337" s="837">
        <f>_xlfn.XLOOKUP(TableauRecette[[#This Row],[ID]],TableauProduit[ID],TableauProduit[Total (kg) N9],0,0,1)*TableauRecette[[#This Row],[poids / unite]]</f>
        <v>0</v>
      </c>
    </row>
    <row r="338" spans="1:20">
      <c r="A338" s="99" t="s">
        <v>97</v>
      </c>
      <c r="B338" s="99" t="str">
        <f>TableauRecette[[#This Row],[Recette]]&amp;TableauRecette[[#This Row],[Conditionnement]]</f>
        <v>SriratchaEpice 100ml</v>
      </c>
      <c r="C338" s="99" t="s">
        <v>359</v>
      </c>
      <c r="D338" s="222">
        <v>8</v>
      </c>
      <c r="E338" s="99" t="s">
        <v>55</v>
      </c>
      <c r="F338" s="222">
        <f>D338/SUMIFS(TableauRecette[Proportion],TableauRecette[Recette],TableauRecette[[#This Row],[Recette]],TableauRecette[Conditionnement],TableauRecette[[#This Row],[Conditionnement]])</f>
        <v>0.10126582278481013</v>
      </c>
      <c r="G338" s="222">
        <f ca="1">_xlfn.XLOOKUP(TableauRecette[[#This Row],[Ingredients]],TableauIngredients[Ingredients],TableauIngredients[Prix d''achat (kg)],0)*TableauRecette[[#This Row],[poids / unite]]</f>
        <v>0</v>
      </c>
      <c r="H338" s="222">
        <f>SUMIFS(TableauRecette[Proportion],TableauRecette[Recette],TableauRecette[[#This Row],[Recette]],TableauRecette[Conditionnement],TableauRecette[[#This Row],[Conditionnement]])</f>
        <v>79</v>
      </c>
      <c r="I338" s="222">
        <f ca="1">TableauRecette[[#This Row],[Proportion]]*TableauRecette[[#This Row],[Prix d''achat / kg]]/TableauRecette[[#This Row],[Total Proportion]]</f>
        <v>0</v>
      </c>
      <c r="J338" s="222"/>
      <c r="K338" s="835"/>
      <c r="L338" s="836">
        <f>_xlfn.XLOOKUP(TableauRecette[[#This Row],[ID]],TableauProduit[ID],TableauProduit[Total (kg) N1],0,0,1)*TableauRecette[[#This Row],[poids / unite]]</f>
        <v>0</v>
      </c>
      <c r="M338" s="837">
        <f>_xlfn.XLOOKUP(TableauRecette[[#This Row],[ID]],TableauProduit[ID],TableauProduit[Total (kg) N2],0,0,1)*TableauRecette[[#This Row],[poids / unite]]</f>
        <v>0</v>
      </c>
      <c r="N338" s="837">
        <f>_xlfn.XLOOKUP(TableauRecette[[#This Row],[ID]],TableauProduit[ID],TableauProduit[Total (kg) N3],0,0,1)*TableauRecette[[#This Row],[poids / unite]]</f>
        <v>0</v>
      </c>
      <c r="O338" s="837">
        <f>_xlfn.XLOOKUP(TableauRecette[[#This Row],[ID]],TableauProduit[ID],TableauProduit[Total (kg) N4],0,0,1)*TableauRecette[[#This Row],[poids / unite]]</f>
        <v>0</v>
      </c>
      <c r="P338" s="837">
        <f>_xlfn.XLOOKUP(TableauRecette[[#This Row],[ID]],TableauProduit[ID],TableauProduit[Total (kg) N5],0,0,1)*TableauRecette[[#This Row],[poids / unite]]</f>
        <v>0</v>
      </c>
      <c r="Q338" s="837">
        <f>_xlfn.XLOOKUP(TableauRecette[[#This Row],[ID]],TableauProduit[ID],TableauProduit[Total (kg) N6],0,0,1)*TableauRecette[[#This Row],[poids / unite]]</f>
        <v>0</v>
      </c>
      <c r="R338" s="837">
        <f>_xlfn.XLOOKUP(TableauRecette[[#This Row],[ID]],TableauProduit[ID],TableauProduit[Total (kg) N7],0,0,1)*TableauRecette[[#This Row],[poids / unite]]</f>
        <v>0</v>
      </c>
      <c r="S338" s="837">
        <f>_xlfn.XLOOKUP(TableauRecette[[#This Row],[ID]],TableauProduit[ID],TableauProduit[Total (kg) N8],0,0,1)*TableauRecette[[#This Row],[poids / unite]]</f>
        <v>0</v>
      </c>
      <c r="T338" s="837">
        <f>_xlfn.XLOOKUP(TableauRecette[[#This Row],[ID]],TableauProduit[ID],TableauProduit[Total (kg) N9],0,0,1)*TableauRecette[[#This Row],[poids / unite]]</f>
        <v>0</v>
      </c>
    </row>
    <row r="339" spans="1:20">
      <c r="A339" s="99" t="s">
        <v>97</v>
      </c>
      <c r="B339" s="99" t="str">
        <f>TableauRecette[[#This Row],[Recette]]&amp;TableauRecette[[#This Row],[Conditionnement]]</f>
        <v>SriratchaEpice 100ml</v>
      </c>
      <c r="C339" s="99" t="s">
        <v>385</v>
      </c>
      <c r="D339" s="222">
        <v>7</v>
      </c>
      <c r="E339" s="99" t="s">
        <v>55</v>
      </c>
      <c r="F339" s="222">
        <f>D339/SUMIFS(TableauRecette[Proportion],TableauRecette[Recette],TableauRecette[[#This Row],[Recette]],TableauRecette[Conditionnement],TableauRecette[[#This Row],[Conditionnement]])</f>
        <v>8.8607594936708861E-2</v>
      </c>
      <c r="G339" s="222">
        <f ca="1">_xlfn.XLOOKUP(TableauRecette[[#This Row],[Ingredients]],TableauIngredients[Ingredients],TableauIngredients[Prix d''achat (kg)],0)*TableauRecette[[#This Row],[poids / unite]]</f>
        <v>0</v>
      </c>
      <c r="H339" s="222">
        <f>SUMIFS(TableauRecette[Proportion],TableauRecette[Recette],TableauRecette[[#This Row],[Recette]],TableauRecette[Conditionnement],TableauRecette[[#This Row],[Conditionnement]])</f>
        <v>79</v>
      </c>
      <c r="I339" s="222">
        <f ca="1">TableauRecette[[#This Row],[Proportion]]*TableauRecette[[#This Row],[Prix d''achat / kg]]/TableauRecette[[#This Row],[Total Proportion]]</f>
        <v>0</v>
      </c>
      <c r="J339" s="222"/>
      <c r="K339" s="835"/>
      <c r="L339" s="836">
        <f>_xlfn.XLOOKUP(TableauRecette[[#This Row],[ID]],TableauProduit[ID],TableauProduit[Total (kg) N1],0,0,1)*TableauRecette[[#This Row],[poids / unite]]</f>
        <v>0</v>
      </c>
      <c r="M339" s="837">
        <f>_xlfn.XLOOKUP(TableauRecette[[#This Row],[ID]],TableauProduit[ID],TableauProduit[Total (kg) N2],0,0,1)*TableauRecette[[#This Row],[poids / unite]]</f>
        <v>0</v>
      </c>
      <c r="N339" s="837">
        <f>_xlfn.XLOOKUP(TableauRecette[[#This Row],[ID]],TableauProduit[ID],TableauProduit[Total (kg) N3],0,0,1)*TableauRecette[[#This Row],[poids / unite]]</f>
        <v>0</v>
      </c>
      <c r="O339" s="837">
        <f>_xlfn.XLOOKUP(TableauRecette[[#This Row],[ID]],TableauProduit[ID],TableauProduit[Total (kg) N4],0,0,1)*TableauRecette[[#This Row],[poids / unite]]</f>
        <v>0</v>
      </c>
      <c r="P339" s="837">
        <f>_xlfn.XLOOKUP(TableauRecette[[#This Row],[ID]],TableauProduit[ID],TableauProduit[Total (kg) N5],0,0,1)*TableauRecette[[#This Row],[poids / unite]]</f>
        <v>0</v>
      </c>
      <c r="Q339" s="837">
        <f>_xlfn.XLOOKUP(TableauRecette[[#This Row],[ID]],TableauProduit[ID],TableauProduit[Total (kg) N6],0,0,1)*TableauRecette[[#This Row],[poids / unite]]</f>
        <v>0</v>
      </c>
      <c r="R339" s="837">
        <f>_xlfn.XLOOKUP(TableauRecette[[#This Row],[ID]],TableauProduit[ID],TableauProduit[Total (kg) N7],0,0,1)*TableauRecette[[#This Row],[poids / unite]]</f>
        <v>0</v>
      </c>
      <c r="S339" s="837">
        <f>_xlfn.XLOOKUP(TableauRecette[[#This Row],[ID]],TableauProduit[ID],TableauProduit[Total (kg) N8],0,0,1)*TableauRecette[[#This Row],[poids / unite]]</f>
        <v>0</v>
      </c>
      <c r="T339" s="837">
        <f>_xlfn.XLOOKUP(TableauRecette[[#This Row],[ID]],TableauProduit[ID],TableauProduit[Total (kg) N9],0,0,1)*TableauRecette[[#This Row],[poids / unite]]</f>
        <v>0</v>
      </c>
    </row>
    <row r="340" spans="1:20">
      <c r="A340" s="99" t="s">
        <v>97</v>
      </c>
      <c r="B340" s="99" t="str">
        <f>TableauRecette[[#This Row],[Recette]]&amp;TableauRecette[[#This Row],[Conditionnement]]</f>
        <v>SriratchaEpice 100ml</v>
      </c>
      <c r="C340" s="99" t="s">
        <v>386</v>
      </c>
      <c r="D340" s="222">
        <v>15</v>
      </c>
      <c r="E340" s="99" t="s">
        <v>55</v>
      </c>
      <c r="F340" s="222">
        <f>D340/SUMIFS(TableauRecette[Proportion],TableauRecette[Recette],TableauRecette[[#This Row],[Recette]],TableauRecette[Conditionnement],TableauRecette[[#This Row],[Conditionnement]])</f>
        <v>0.189873417721519</v>
      </c>
      <c r="G340" s="222">
        <f ca="1">_xlfn.XLOOKUP(TableauRecette[[#This Row],[Ingredients]],TableauIngredients[Ingredients],TableauIngredients[Prix d''achat (kg)],0)*TableauRecette[[#This Row],[poids / unite]]</f>
        <v>3.037974683544304</v>
      </c>
      <c r="H340" s="222">
        <f>SUMIFS(TableauRecette[Proportion],TableauRecette[Recette],TableauRecette[[#This Row],[Recette]],TableauRecette[Conditionnement],TableauRecette[[#This Row],[Conditionnement]])</f>
        <v>79</v>
      </c>
      <c r="I340" s="222">
        <f ca="1">TableauRecette[[#This Row],[Proportion]]*TableauRecette[[#This Row],[Prix d''achat / kg]]/TableauRecette[[#This Row],[Total Proportion]]</f>
        <v>0</v>
      </c>
      <c r="J340" s="222"/>
      <c r="K340" s="835"/>
      <c r="L340" s="836">
        <f>_xlfn.XLOOKUP(TableauRecette[[#This Row],[ID]],TableauProduit[ID],TableauProduit[Total (kg) N1],0,0,1)*TableauRecette[[#This Row],[poids / unite]]</f>
        <v>0</v>
      </c>
      <c r="M340" s="837">
        <f>_xlfn.XLOOKUP(TableauRecette[[#This Row],[ID]],TableauProduit[ID],TableauProduit[Total (kg) N2],0,0,1)*TableauRecette[[#This Row],[poids / unite]]</f>
        <v>0</v>
      </c>
      <c r="N340" s="837">
        <f>_xlfn.XLOOKUP(TableauRecette[[#This Row],[ID]],TableauProduit[ID],TableauProduit[Total (kg) N3],0,0,1)*TableauRecette[[#This Row],[poids / unite]]</f>
        <v>0</v>
      </c>
      <c r="O340" s="837">
        <f>_xlfn.XLOOKUP(TableauRecette[[#This Row],[ID]],TableauProduit[ID],TableauProduit[Total (kg) N4],0,0,1)*TableauRecette[[#This Row],[poids / unite]]</f>
        <v>0</v>
      </c>
      <c r="P340" s="837">
        <f>_xlfn.XLOOKUP(TableauRecette[[#This Row],[ID]],TableauProduit[ID],TableauProduit[Total (kg) N5],0,0,1)*TableauRecette[[#This Row],[poids / unite]]</f>
        <v>0</v>
      </c>
      <c r="Q340" s="837">
        <f>_xlfn.XLOOKUP(TableauRecette[[#This Row],[ID]],TableauProduit[ID],TableauProduit[Total (kg) N6],0,0,1)*TableauRecette[[#This Row],[poids / unite]]</f>
        <v>0</v>
      </c>
      <c r="R340" s="837">
        <f>_xlfn.XLOOKUP(TableauRecette[[#This Row],[ID]],TableauProduit[ID],TableauProduit[Total (kg) N7],0,0,1)*TableauRecette[[#This Row],[poids / unite]]</f>
        <v>0</v>
      </c>
      <c r="S340" s="837">
        <f>_xlfn.XLOOKUP(TableauRecette[[#This Row],[ID]],TableauProduit[ID],TableauProduit[Total (kg) N8],0,0,1)*TableauRecette[[#This Row],[poids / unite]]</f>
        <v>0</v>
      </c>
      <c r="T340" s="837">
        <f>_xlfn.XLOOKUP(TableauRecette[[#This Row],[ID]],TableauProduit[ID],TableauProduit[Total (kg) N9],0,0,1)*TableauRecette[[#This Row],[poids / unite]]</f>
        <v>0</v>
      </c>
    </row>
    <row r="341" spans="1:20">
      <c r="A341" s="99" t="s">
        <v>97</v>
      </c>
      <c r="B341" s="99" t="str">
        <f>TableauRecette[[#This Row],[Recette]]&amp;TableauRecette[[#This Row],[Conditionnement]]</f>
        <v>SriratchaEpice 100ml</v>
      </c>
      <c r="C341" s="99" t="s">
        <v>341</v>
      </c>
      <c r="D341" s="222">
        <v>10</v>
      </c>
      <c r="E341" s="99" t="s">
        <v>55</v>
      </c>
      <c r="F341" s="222">
        <f>D341/SUMIFS(TableauRecette[Proportion],TableauRecette[Recette],TableauRecette[[#This Row],[Recette]],TableauRecette[Conditionnement],TableauRecette[[#This Row],[Conditionnement]])</f>
        <v>0.12658227848101267</v>
      </c>
      <c r="G341" s="222">
        <f ca="1">_xlfn.XLOOKUP(TableauRecette[[#This Row],[Ingredients]],TableauIngredients[Ingredients],TableauIngredients[Prix d''achat (kg)],0)*TableauRecette[[#This Row],[poids / unite]]</f>
        <v>1.0126582278481013</v>
      </c>
      <c r="H341" s="222">
        <f>SUMIFS(TableauRecette[Proportion],TableauRecette[Recette],TableauRecette[[#This Row],[Recette]],TableauRecette[Conditionnement],TableauRecette[[#This Row],[Conditionnement]])</f>
        <v>79</v>
      </c>
      <c r="I341" s="222">
        <f ca="1">TableauRecette[[#This Row],[Proportion]]*TableauRecette[[#This Row],[Prix d''achat / kg]]/TableauRecette[[#This Row],[Total Proportion]]</f>
        <v>0</v>
      </c>
      <c r="J341" s="222"/>
      <c r="K341" s="835"/>
      <c r="L341" s="836">
        <f>_xlfn.XLOOKUP(TableauRecette[[#This Row],[ID]],TableauProduit[ID],TableauProduit[Total (kg) N1],0,0,1)*TableauRecette[[#This Row],[poids / unite]]</f>
        <v>0</v>
      </c>
      <c r="M341" s="837">
        <f>_xlfn.XLOOKUP(TableauRecette[[#This Row],[ID]],TableauProduit[ID],TableauProduit[Total (kg) N2],0,0,1)*TableauRecette[[#This Row],[poids / unite]]</f>
        <v>0</v>
      </c>
      <c r="N341" s="837">
        <f>_xlfn.XLOOKUP(TableauRecette[[#This Row],[ID]],TableauProduit[ID],TableauProduit[Total (kg) N3],0,0,1)*TableauRecette[[#This Row],[poids / unite]]</f>
        <v>0</v>
      </c>
      <c r="O341" s="837">
        <f>_xlfn.XLOOKUP(TableauRecette[[#This Row],[ID]],TableauProduit[ID],TableauProduit[Total (kg) N4],0,0,1)*TableauRecette[[#This Row],[poids / unite]]</f>
        <v>0</v>
      </c>
      <c r="P341" s="837">
        <f>_xlfn.XLOOKUP(TableauRecette[[#This Row],[ID]],TableauProduit[ID],TableauProduit[Total (kg) N5],0,0,1)*TableauRecette[[#This Row],[poids / unite]]</f>
        <v>0</v>
      </c>
      <c r="Q341" s="837">
        <f>_xlfn.XLOOKUP(TableauRecette[[#This Row],[ID]],TableauProduit[ID],TableauProduit[Total (kg) N6],0,0,1)*TableauRecette[[#This Row],[poids / unite]]</f>
        <v>0</v>
      </c>
      <c r="R341" s="837">
        <f>_xlfn.XLOOKUP(TableauRecette[[#This Row],[ID]],TableauProduit[ID],TableauProduit[Total (kg) N7],0,0,1)*TableauRecette[[#This Row],[poids / unite]]</f>
        <v>0</v>
      </c>
      <c r="S341" s="837">
        <f>_xlfn.XLOOKUP(TableauRecette[[#This Row],[ID]],TableauProduit[ID],TableauProduit[Total (kg) N8],0,0,1)*TableauRecette[[#This Row],[poids / unite]]</f>
        <v>0</v>
      </c>
      <c r="T341" s="837">
        <f>_xlfn.XLOOKUP(TableauRecette[[#This Row],[ID]],TableauProduit[ID],TableauProduit[Total (kg) N9],0,0,1)*TableauRecette[[#This Row],[poids / unite]]</f>
        <v>0</v>
      </c>
    </row>
    <row r="342" spans="1:20">
      <c r="A342" s="99" t="s">
        <v>97</v>
      </c>
      <c r="B342" s="99" t="str">
        <f>TableauRecette[[#This Row],[Recette]]&amp;TableauRecette[[#This Row],[Conditionnement]]</f>
        <v>SriratchaEpice 100ml</v>
      </c>
      <c r="C342" s="99" t="s">
        <v>358</v>
      </c>
      <c r="D342" s="222">
        <v>15</v>
      </c>
      <c r="E342" s="99" t="s">
        <v>55</v>
      </c>
      <c r="F342" s="222">
        <f>D342/SUMIFS(TableauRecette[Proportion],TableauRecette[Recette],TableauRecette[[#This Row],[Recette]],TableauRecette[Conditionnement],TableauRecette[[#This Row],[Conditionnement]])</f>
        <v>0.189873417721519</v>
      </c>
      <c r="G342" s="222">
        <f ca="1">_xlfn.XLOOKUP(TableauRecette[[#This Row],[Ingredients]],TableauIngredients[Ingredients],TableauIngredients[Prix d''achat (kg)],0)*TableauRecette[[#This Row],[poids / unite]]</f>
        <v>0.72949367088607597</v>
      </c>
      <c r="H342" s="222">
        <f>SUMIFS(TableauRecette[Proportion],TableauRecette[Recette],TableauRecette[[#This Row],[Recette]],TableauRecette[Conditionnement],TableauRecette[[#This Row],[Conditionnement]])</f>
        <v>79</v>
      </c>
      <c r="I342" s="222">
        <f ca="1">TableauRecette[[#This Row],[Proportion]]*TableauRecette[[#This Row],[Prix d''achat / kg]]/TableauRecette[[#This Row],[Total Proportion]]</f>
        <v>0</v>
      </c>
      <c r="J342" s="222"/>
      <c r="K342" s="835"/>
      <c r="L342" s="836">
        <f>_xlfn.XLOOKUP(TableauRecette[[#This Row],[ID]],TableauProduit[ID],TableauProduit[Total (kg) N1],0,0,1)*TableauRecette[[#This Row],[poids / unite]]</f>
        <v>0</v>
      </c>
      <c r="M342" s="837">
        <f>_xlfn.XLOOKUP(TableauRecette[[#This Row],[ID]],TableauProduit[ID],TableauProduit[Total (kg) N2],0,0,1)*TableauRecette[[#This Row],[poids / unite]]</f>
        <v>0</v>
      </c>
      <c r="N342" s="837">
        <f>_xlfn.XLOOKUP(TableauRecette[[#This Row],[ID]],TableauProduit[ID],TableauProduit[Total (kg) N3],0,0,1)*TableauRecette[[#This Row],[poids / unite]]</f>
        <v>0</v>
      </c>
      <c r="O342" s="837">
        <f>_xlfn.XLOOKUP(TableauRecette[[#This Row],[ID]],TableauProduit[ID],TableauProduit[Total (kg) N4],0,0,1)*TableauRecette[[#This Row],[poids / unite]]</f>
        <v>0</v>
      </c>
      <c r="P342" s="837">
        <f>_xlfn.XLOOKUP(TableauRecette[[#This Row],[ID]],TableauProduit[ID],TableauProduit[Total (kg) N5],0,0,1)*TableauRecette[[#This Row],[poids / unite]]</f>
        <v>0</v>
      </c>
      <c r="Q342" s="837">
        <f>_xlfn.XLOOKUP(TableauRecette[[#This Row],[ID]],TableauProduit[ID],TableauProduit[Total (kg) N6],0,0,1)*TableauRecette[[#This Row],[poids / unite]]</f>
        <v>0</v>
      </c>
      <c r="R342" s="837">
        <f>_xlfn.XLOOKUP(TableauRecette[[#This Row],[ID]],TableauProduit[ID],TableauProduit[Total (kg) N7],0,0,1)*TableauRecette[[#This Row],[poids / unite]]</f>
        <v>0</v>
      </c>
      <c r="S342" s="837">
        <f>_xlfn.XLOOKUP(TableauRecette[[#This Row],[ID]],TableauProduit[ID],TableauProduit[Total (kg) N8],0,0,1)*TableauRecette[[#This Row],[poids / unite]]</f>
        <v>0</v>
      </c>
      <c r="T342" s="837">
        <f>_xlfn.XLOOKUP(TableauRecette[[#This Row],[ID]],TableauProduit[ID],TableauProduit[Total (kg) N9],0,0,1)*TableauRecette[[#This Row],[poids / unite]]</f>
        <v>0</v>
      </c>
    </row>
    <row r="343" spans="1:20">
      <c r="A343" s="99" t="s">
        <v>97</v>
      </c>
      <c r="B343" s="99" t="str">
        <f>TableauRecette[[#This Row],[Recette]]&amp;TableauRecette[[#This Row],[Conditionnement]]</f>
        <v>SriratchaEpice 100ml</v>
      </c>
      <c r="C343" s="99" t="s">
        <v>387</v>
      </c>
      <c r="D343" s="222">
        <v>5</v>
      </c>
      <c r="E343" s="99" t="s">
        <v>55</v>
      </c>
      <c r="F343" s="222">
        <f>D343/SUMIFS(TableauRecette[Proportion],TableauRecette[Recette],TableauRecette[[#This Row],[Recette]],TableauRecette[Conditionnement],TableauRecette[[#This Row],[Conditionnement]])</f>
        <v>6.3291139240506333E-2</v>
      </c>
      <c r="G343" s="222">
        <f ca="1">_xlfn.XLOOKUP(TableauRecette[[#This Row],[Ingredients]],TableauIngredients[Ingredients],TableauIngredients[Prix d''achat (kg)],0)*TableauRecette[[#This Row],[poids / unite]]</f>
        <v>3.5727848101265827</v>
      </c>
      <c r="H343" s="222">
        <f>SUMIFS(TableauRecette[Proportion],TableauRecette[Recette],TableauRecette[[#This Row],[Recette]],TableauRecette[Conditionnement],TableauRecette[[#This Row],[Conditionnement]])</f>
        <v>79</v>
      </c>
      <c r="I343" s="222">
        <f ca="1">TableauRecette[[#This Row],[Proportion]]*TableauRecette[[#This Row],[Prix d''achat / kg]]/TableauRecette[[#This Row],[Total Proportion]]</f>
        <v>0</v>
      </c>
      <c r="J343" s="222"/>
      <c r="K343" s="835"/>
      <c r="L343" s="836">
        <f>_xlfn.XLOOKUP(TableauRecette[[#This Row],[ID]],TableauProduit[ID],TableauProduit[Total (kg) N1],0,0,1)*TableauRecette[[#This Row],[poids / unite]]</f>
        <v>0</v>
      </c>
      <c r="M343" s="837">
        <f>_xlfn.XLOOKUP(TableauRecette[[#This Row],[ID]],TableauProduit[ID],TableauProduit[Total (kg) N2],0,0,1)*TableauRecette[[#This Row],[poids / unite]]</f>
        <v>0</v>
      </c>
      <c r="N343" s="837">
        <f>_xlfn.XLOOKUP(TableauRecette[[#This Row],[ID]],TableauProduit[ID],TableauProduit[Total (kg) N3],0,0,1)*TableauRecette[[#This Row],[poids / unite]]</f>
        <v>0</v>
      </c>
      <c r="O343" s="837">
        <f>_xlfn.XLOOKUP(TableauRecette[[#This Row],[ID]],TableauProduit[ID],TableauProduit[Total (kg) N4],0,0,1)*TableauRecette[[#This Row],[poids / unite]]</f>
        <v>0</v>
      </c>
      <c r="P343" s="837">
        <f>_xlfn.XLOOKUP(TableauRecette[[#This Row],[ID]],TableauProduit[ID],TableauProduit[Total (kg) N5],0,0,1)*TableauRecette[[#This Row],[poids / unite]]</f>
        <v>0</v>
      </c>
      <c r="Q343" s="837">
        <f>_xlfn.XLOOKUP(TableauRecette[[#This Row],[ID]],TableauProduit[ID],TableauProduit[Total (kg) N6],0,0,1)*TableauRecette[[#This Row],[poids / unite]]</f>
        <v>0</v>
      </c>
      <c r="R343" s="837">
        <f>_xlfn.XLOOKUP(TableauRecette[[#This Row],[ID]],TableauProduit[ID],TableauProduit[Total (kg) N7],0,0,1)*TableauRecette[[#This Row],[poids / unite]]</f>
        <v>0</v>
      </c>
      <c r="S343" s="837">
        <f>_xlfn.XLOOKUP(TableauRecette[[#This Row],[ID]],TableauProduit[ID],TableauProduit[Total (kg) N8],0,0,1)*TableauRecette[[#This Row],[poids / unite]]</f>
        <v>0</v>
      </c>
      <c r="T343" s="837">
        <f>_xlfn.XLOOKUP(TableauRecette[[#This Row],[ID]],TableauProduit[ID],TableauProduit[Total (kg) N9],0,0,1)*TableauRecette[[#This Row],[poids / unite]]</f>
        <v>0</v>
      </c>
    </row>
    <row r="344" spans="1:20">
      <c r="A344" s="99" t="s">
        <v>97</v>
      </c>
      <c r="B344" s="99" t="str">
        <f>TableauRecette[[#This Row],[Recette]]&amp;TableauRecette[[#This Row],[Conditionnement]]</f>
        <v>SriratchaEpice 100ml</v>
      </c>
      <c r="C344" s="99" t="s">
        <v>388</v>
      </c>
      <c r="D344" s="222">
        <v>7</v>
      </c>
      <c r="E344" s="99" t="s">
        <v>55</v>
      </c>
      <c r="F344" s="222">
        <f>D344/SUMIFS(TableauRecette[Proportion],TableauRecette[Recette],TableauRecette[[#This Row],[Recette]],TableauRecette[Conditionnement],TableauRecette[[#This Row],[Conditionnement]])</f>
        <v>8.8607594936708861E-2</v>
      </c>
      <c r="G344" s="222">
        <f ca="1">_xlfn.XLOOKUP(TableauRecette[[#This Row],[Ingredients]],TableauIngredients[Ingredients],TableauIngredients[Prix d''achat (kg)],0)*TableauRecette[[#This Row],[poids / unite]]</f>
        <v>1.7721518987341773</v>
      </c>
      <c r="H344" s="222">
        <f>SUMIFS(TableauRecette[Proportion],TableauRecette[Recette],TableauRecette[[#This Row],[Recette]],TableauRecette[Conditionnement],TableauRecette[[#This Row],[Conditionnement]])</f>
        <v>79</v>
      </c>
      <c r="I344" s="222">
        <f ca="1">TableauRecette[[#This Row],[Proportion]]*TableauRecette[[#This Row],[Prix d''achat / kg]]/TableauRecette[[#This Row],[Total Proportion]]</f>
        <v>0</v>
      </c>
      <c r="J344" s="222"/>
      <c r="K344" s="835"/>
      <c r="L344" s="836">
        <f>_xlfn.XLOOKUP(TableauRecette[[#This Row],[ID]],TableauProduit[ID],TableauProduit[Total (kg) N1],0,0,1)*TableauRecette[[#This Row],[poids / unite]]</f>
        <v>0</v>
      </c>
      <c r="M344" s="837">
        <f>_xlfn.XLOOKUP(TableauRecette[[#This Row],[ID]],TableauProduit[ID],TableauProduit[Total (kg) N2],0,0,1)*TableauRecette[[#This Row],[poids / unite]]</f>
        <v>0</v>
      </c>
      <c r="N344" s="837">
        <f>_xlfn.XLOOKUP(TableauRecette[[#This Row],[ID]],TableauProduit[ID],TableauProduit[Total (kg) N3],0,0,1)*TableauRecette[[#This Row],[poids / unite]]</f>
        <v>0</v>
      </c>
      <c r="O344" s="837">
        <f>_xlfn.XLOOKUP(TableauRecette[[#This Row],[ID]],TableauProduit[ID],TableauProduit[Total (kg) N4],0,0,1)*TableauRecette[[#This Row],[poids / unite]]</f>
        <v>0</v>
      </c>
      <c r="P344" s="837">
        <f>_xlfn.XLOOKUP(TableauRecette[[#This Row],[ID]],TableauProduit[ID],TableauProduit[Total (kg) N5],0,0,1)*TableauRecette[[#This Row],[poids / unite]]</f>
        <v>0</v>
      </c>
      <c r="Q344" s="837">
        <f>_xlfn.XLOOKUP(TableauRecette[[#This Row],[ID]],TableauProduit[ID],TableauProduit[Total (kg) N6],0,0,1)*TableauRecette[[#This Row],[poids / unite]]</f>
        <v>0</v>
      </c>
      <c r="R344" s="837">
        <f>_xlfn.XLOOKUP(TableauRecette[[#This Row],[ID]],TableauProduit[ID],TableauProduit[Total (kg) N7],0,0,1)*TableauRecette[[#This Row],[poids / unite]]</f>
        <v>0</v>
      </c>
      <c r="S344" s="837">
        <f>_xlfn.XLOOKUP(TableauRecette[[#This Row],[ID]],TableauProduit[ID],TableauProduit[Total (kg) N8],0,0,1)*TableauRecette[[#This Row],[poids / unite]]</f>
        <v>0</v>
      </c>
      <c r="T344" s="837">
        <f>_xlfn.XLOOKUP(TableauRecette[[#This Row],[ID]],TableauProduit[ID],TableauProduit[Total (kg) N9],0,0,1)*TableauRecette[[#This Row],[poids / unite]]</f>
        <v>0</v>
      </c>
    </row>
    <row r="345" spans="1:20">
      <c r="A345" s="100" t="s">
        <v>698</v>
      </c>
      <c r="B345" s="100" t="str">
        <f>TableauRecette[[#This Row],[Recette]]&amp;TableauRecette[[#This Row],[Conditionnement]]</f>
        <v>Steak de MontrealEpice 100ml</v>
      </c>
      <c r="C345" s="100" t="s">
        <v>67</v>
      </c>
      <c r="D345" s="223">
        <v>1</v>
      </c>
      <c r="E345" s="100" t="s">
        <v>55</v>
      </c>
      <c r="F345" s="223">
        <f>D345/SUMIFS(TableauRecette[Proportion],TableauRecette[Recette],TableauRecette[[#This Row],[Recette]],TableauRecette[Conditionnement],TableauRecette[[#This Row],[Conditionnement]])</f>
        <v>4.9180327868852465E-2</v>
      </c>
      <c r="G345" s="223">
        <f ca="1">_xlfn.XLOOKUP(TableauRecette[[#This Row],[Ingredients]],TableauIngredients[Ingredients],TableauIngredients[Prix d''achat (kg)],0)*TableauRecette[[#This Row],[poids / unite]]</f>
        <v>0</v>
      </c>
      <c r="H345" s="223">
        <f>SUMIFS(TableauRecette[Proportion],TableauRecette[Recette],TableauRecette[[#This Row],[Recette]],TableauRecette[Conditionnement],TableauRecette[[#This Row],[Conditionnement]])</f>
        <v>20.333333333333332</v>
      </c>
      <c r="I345" s="223">
        <f ca="1">TableauRecette[[#This Row],[Proportion]]*TableauRecette[[#This Row],[Prix d''achat / kg]]/TableauRecette[[#This Row],[Total Proportion]]</f>
        <v>0</v>
      </c>
      <c r="J345" s="223"/>
      <c r="K345" s="838"/>
      <c r="L345" s="839">
        <f>_xlfn.XLOOKUP(TableauRecette[[#This Row],[ID]],TableauProduit[ID],TableauProduit[Total (kg) N1],0,0,1)*TableauRecette[[#This Row],[poids / unite]]</f>
        <v>0</v>
      </c>
      <c r="M345" s="840">
        <f>_xlfn.XLOOKUP(TableauRecette[[#This Row],[ID]],TableauProduit[ID],TableauProduit[Total (kg) N2],0,0,1)*TableauRecette[[#This Row],[poids / unite]]</f>
        <v>0</v>
      </c>
      <c r="N345" s="840">
        <f>_xlfn.XLOOKUP(TableauRecette[[#This Row],[ID]],TableauProduit[ID],TableauProduit[Total (kg) N3],0,0,1)*TableauRecette[[#This Row],[poids / unite]]</f>
        <v>0</v>
      </c>
      <c r="O345" s="840">
        <f>_xlfn.XLOOKUP(TableauRecette[[#This Row],[ID]],TableauProduit[ID],TableauProduit[Total (kg) N4],0,0,1)*TableauRecette[[#This Row],[poids / unite]]</f>
        <v>0</v>
      </c>
      <c r="P345" s="840">
        <f>_xlfn.XLOOKUP(TableauRecette[[#This Row],[ID]],TableauProduit[ID],TableauProduit[Total (kg) N5],0,0,1)*TableauRecette[[#This Row],[poids / unite]]</f>
        <v>0</v>
      </c>
      <c r="Q345" s="840">
        <f>_xlfn.XLOOKUP(TableauRecette[[#This Row],[ID]],TableauProduit[ID],TableauProduit[Total (kg) N6],0,0,1)*TableauRecette[[#This Row],[poids / unite]]</f>
        <v>0</v>
      </c>
      <c r="R345" s="840">
        <f>_xlfn.XLOOKUP(TableauRecette[[#This Row],[ID]],TableauProduit[ID],TableauProduit[Total (kg) N7],0,0,1)*TableauRecette[[#This Row],[poids / unite]]</f>
        <v>0</v>
      </c>
      <c r="S345" s="840">
        <f>_xlfn.XLOOKUP(TableauRecette[[#This Row],[ID]],TableauProduit[ID],TableauProduit[Total (kg) N8],0,0,1)*TableauRecette[[#This Row],[poids / unite]]</f>
        <v>0</v>
      </c>
      <c r="T345" s="840">
        <f>_xlfn.XLOOKUP(TableauRecette[[#This Row],[ID]],TableauProduit[ID],TableauProduit[Total (kg) N9],0,0,1)*TableauRecette[[#This Row],[poids / unite]]</f>
        <v>0</v>
      </c>
    </row>
    <row r="346" spans="1:20">
      <c r="A346" s="100" t="s">
        <v>698</v>
      </c>
      <c r="B346" s="100" t="str">
        <f>TableauRecette[[#This Row],[Recette]]&amp;TableauRecette[[#This Row],[Conditionnement]]</f>
        <v>Steak de MontrealEpice 100ml</v>
      </c>
      <c r="C346" s="100" t="s">
        <v>287</v>
      </c>
      <c r="D346" s="223">
        <v>4</v>
      </c>
      <c r="E346" s="100" t="s">
        <v>55</v>
      </c>
      <c r="F346" s="223">
        <f>D346/SUMIFS(TableauRecette[Proportion],TableauRecette[Recette],TableauRecette[[#This Row],[Recette]],TableauRecette[Conditionnement],TableauRecette[[#This Row],[Conditionnement]])</f>
        <v>0.19672131147540986</v>
      </c>
      <c r="G346" s="223">
        <f ca="1">_xlfn.XLOOKUP(TableauRecette[[#This Row],[Ingredients]],TableauIngredients[Ingredients],TableauIngredients[Prix d''achat (kg)],0)*TableauRecette[[#This Row],[poids / unite]]</f>
        <v>7.2491803278688538</v>
      </c>
      <c r="H346" s="223">
        <f>SUMIFS(TableauRecette[Proportion],TableauRecette[Recette],TableauRecette[[#This Row],[Recette]],TableauRecette[Conditionnement],TableauRecette[[#This Row],[Conditionnement]])</f>
        <v>20.333333333333332</v>
      </c>
      <c r="I346" s="223">
        <f ca="1">TableauRecette[[#This Row],[Proportion]]*TableauRecette[[#This Row],[Prix d''achat / kg]]/TableauRecette[[#This Row],[Total Proportion]]</f>
        <v>0</v>
      </c>
      <c r="J346" s="223"/>
      <c r="K346" s="838"/>
      <c r="L346" s="839">
        <f>_xlfn.XLOOKUP(TableauRecette[[#This Row],[ID]],TableauProduit[ID],TableauProduit[Total (kg) N1],0,0,1)*TableauRecette[[#This Row],[poids / unite]]</f>
        <v>0</v>
      </c>
      <c r="M346" s="840">
        <f>_xlfn.XLOOKUP(TableauRecette[[#This Row],[ID]],TableauProduit[ID],TableauProduit[Total (kg) N2],0,0,1)*TableauRecette[[#This Row],[poids / unite]]</f>
        <v>0</v>
      </c>
      <c r="N346" s="840">
        <f>_xlfn.XLOOKUP(TableauRecette[[#This Row],[ID]],TableauProduit[ID],TableauProduit[Total (kg) N3],0,0,1)*TableauRecette[[#This Row],[poids / unite]]</f>
        <v>0</v>
      </c>
      <c r="O346" s="840">
        <f>_xlfn.XLOOKUP(TableauRecette[[#This Row],[ID]],TableauProduit[ID],TableauProduit[Total (kg) N4],0,0,1)*TableauRecette[[#This Row],[poids / unite]]</f>
        <v>0</v>
      </c>
      <c r="P346" s="840">
        <f>_xlfn.XLOOKUP(TableauRecette[[#This Row],[ID]],TableauProduit[ID],TableauProduit[Total (kg) N5],0,0,1)*TableauRecette[[#This Row],[poids / unite]]</f>
        <v>0</v>
      </c>
      <c r="Q346" s="840">
        <f>_xlfn.XLOOKUP(TableauRecette[[#This Row],[ID]],TableauProduit[ID],TableauProduit[Total (kg) N6],0,0,1)*TableauRecette[[#This Row],[poids / unite]]</f>
        <v>0</v>
      </c>
      <c r="R346" s="840">
        <f>_xlfn.XLOOKUP(TableauRecette[[#This Row],[ID]],TableauProduit[ID],TableauProduit[Total (kg) N7],0,0,1)*TableauRecette[[#This Row],[poids / unite]]</f>
        <v>0</v>
      </c>
      <c r="S346" s="840">
        <f>_xlfn.XLOOKUP(TableauRecette[[#This Row],[ID]],TableauProduit[ID],TableauProduit[Total (kg) N8],0,0,1)*TableauRecette[[#This Row],[poids / unite]]</f>
        <v>0</v>
      </c>
      <c r="T346" s="840">
        <f>_xlfn.XLOOKUP(TableauRecette[[#This Row],[ID]],TableauProduit[ID],TableauProduit[Total (kg) N9],0,0,1)*TableauRecette[[#This Row],[poids / unite]]</f>
        <v>0</v>
      </c>
    </row>
    <row r="347" spans="1:20">
      <c r="A347" s="100" t="s">
        <v>698</v>
      </c>
      <c r="B347" s="100" t="str">
        <f>TableauRecette[[#This Row],[Recette]]&amp;TableauRecette[[#This Row],[Conditionnement]]</f>
        <v>Steak de MontrealEpice 100ml</v>
      </c>
      <c r="C347" s="100" t="s">
        <v>319</v>
      </c>
      <c r="D347" s="223">
        <v>2</v>
      </c>
      <c r="E347" s="100" t="s">
        <v>55</v>
      </c>
      <c r="F347" s="223">
        <f>D347/SUMIFS(TableauRecette[Proportion],TableauRecette[Recette],TableauRecette[[#This Row],[Recette]],TableauRecette[Conditionnement],TableauRecette[[#This Row],[Conditionnement]])</f>
        <v>9.836065573770493E-2</v>
      </c>
      <c r="G347" s="223">
        <f ca="1">_xlfn.XLOOKUP(TableauRecette[[#This Row],[Ingredients]],TableauIngredients[Ingredients],TableauIngredients[Prix d''achat (kg)],0)*TableauRecette[[#This Row],[poids / unite]]</f>
        <v>0</v>
      </c>
      <c r="H347" s="223">
        <f>SUMIFS(TableauRecette[Proportion],TableauRecette[Recette],TableauRecette[[#This Row],[Recette]],TableauRecette[Conditionnement],TableauRecette[[#This Row],[Conditionnement]])</f>
        <v>20.333333333333332</v>
      </c>
      <c r="I347" s="223">
        <f ca="1">TableauRecette[[#This Row],[Proportion]]*TableauRecette[[#This Row],[Prix d''achat / kg]]/TableauRecette[[#This Row],[Total Proportion]]</f>
        <v>0</v>
      </c>
      <c r="J347" s="223"/>
      <c r="K347" s="838"/>
      <c r="L347" s="839">
        <f>_xlfn.XLOOKUP(TableauRecette[[#This Row],[ID]],TableauProduit[ID],TableauProduit[Total (kg) N1],0,0,1)*TableauRecette[[#This Row],[poids / unite]]</f>
        <v>0</v>
      </c>
      <c r="M347" s="840">
        <f>_xlfn.XLOOKUP(TableauRecette[[#This Row],[ID]],TableauProduit[ID],TableauProduit[Total (kg) N2],0,0,1)*TableauRecette[[#This Row],[poids / unite]]</f>
        <v>0</v>
      </c>
      <c r="N347" s="840">
        <f>_xlfn.XLOOKUP(TableauRecette[[#This Row],[ID]],TableauProduit[ID],TableauProduit[Total (kg) N3],0,0,1)*TableauRecette[[#This Row],[poids / unite]]</f>
        <v>0</v>
      </c>
      <c r="O347" s="840">
        <f>_xlfn.XLOOKUP(TableauRecette[[#This Row],[ID]],TableauProduit[ID],TableauProduit[Total (kg) N4],0,0,1)*TableauRecette[[#This Row],[poids / unite]]</f>
        <v>0</v>
      </c>
      <c r="P347" s="840">
        <f>_xlfn.XLOOKUP(TableauRecette[[#This Row],[ID]],TableauProduit[ID],TableauProduit[Total (kg) N5],0,0,1)*TableauRecette[[#This Row],[poids / unite]]</f>
        <v>0</v>
      </c>
      <c r="Q347" s="840">
        <f>_xlfn.XLOOKUP(TableauRecette[[#This Row],[ID]],TableauProduit[ID],TableauProduit[Total (kg) N6],0,0,1)*TableauRecette[[#This Row],[poids / unite]]</f>
        <v>0</v>
      </c>
      <c r="R347" s="840">
        <f>_xlfn.XLOOKUP(TableauRecette[[#This Row],[ID]],TableauProduit[ID],TableauProduit[Total (kg) N7],0,0,1)*TableauRecette[[#This Row],[poids / unite]]</f>
        <v>0</v>
      </c>
      <c r="S347" s="840">
        <f>_xlfn.XLOOKUP(TableauRecette[[#This Row],[ID]],TableauProduit[ID],TableauProduit[Total (kg) N8],0,0,1)*TableauRecette[[#This Row],[poids / unite]]</f>
        <v>0</v>
      </c>
      <c r="T347" s="840">
        <f>_xlfn.XLOOKUP(TableauRecette[[#This Row],[ID]],TableauProduit[ID],TableauProduit[Total (kg) N9],0,0,1)*TableauRecette[[#This Row],[poids / unite]]</f>
        <v>0</v>
      </c>
    </row>
    <row r="348" spans="1:20">
      <c r="A348" s="100" t="s">
        <v>698</v>
      </c>
      <c r="B348" s="100" t="str">
        <f>TableauRecette[[#This Row],[Recette]]&amp;TableauRecette[[#This Row],[Conditionnement]]</f>
        <v>Steak de MontrealEpice 100ml</v>
      </c>
      <c r="C348" s="100" t="s">
        <v>389</v>
      </c>
      <c r="D348" s="223">
        <v>2</v>
      </c>
      <c r="E348" s="100" t="s">
        <v>55</v>
      </c>
      <c r="F348" s="223">
        <f>D348/SUMIFS(TableauRecette[Proportion],TableauRecette[Recette],TableauRecette[[#This Row],[Recette]],TableauRecette[Conditionnement],TableauRecette[[#This Row],[Conditionnement]])</f>
        <v>9.836065573770493E-2</v>
      </c>
      <c r="G348" s="223">
        <f ca="1">_xlfn.XLOOKUP(TableauRecette[[#This Row],[Ingredients]],TableauIngredients[Ingredients],TableauIngredients[Prix d''achat (kg)],0)*TableauRecette[[#This Row],[poids / unite]]</f>
        <v>0</v>
      </c>
      <c r="H348" s="223">
        <f>SUMIFS(TableauRecette[Proportion],TableauRecette[Recette],TableauRecette[[#This Row],[Recette]],TableauRecette[Conditionnement],TableauRecette[[#This Row],[Conditionnement]])</f>
        <v>20.333333333333332</v>
      </c>
      <c r="I348" s="223">
        <f ca="1">TableauRecette[[#This Row],[Proportion]]*TableauRecette[[#This Row],[Prix d''achat / kg]]/TableauRecette[[#This Row],[Total Proportion]]</f>
        <v>0</v>
      </c>
      <c r="J348" s="223"/>
      <c r="K348" s="838"/>
      <c r="L348" s="839">
        <f>_xlfn.XLOOKUP(TableauRecette[[#This Row],[ID]],TableauProduit[ID],TableauProduit[Total (kg) N1],0,0,1)*TableauRecette[[#This Row],[poids / unite]]</f>
        <v>0</v>
      </c>
      <c r="M348" s="840">
        <f>_xlfn.XLOOKUP(TableauRecette[[#This Row],[ID]],TableauProduit[ID],TableauProduit[Total (kg) N2],0,0,1)*TableauRecette[[#This Row],[poids / unite]]</f>
        <v>0</v>
      </c>
      <c r="N348" s="840">
        <f>_xlfn.XLOOKUP(TableauRecette[[#This Row],[ID]],TableauProduit[ID],TableauProduit[Total (kg) N3],0,0,1)*TableauRecette[[#This Row],[poids / unite]]</f>
        <v>0</v>
      </c>
      <c r="O348" s="840">
        <f>_xlfn.XLOOKUP(TableauRecette[[#This Row],[ID]],TableauProduit[ID],TableauProduit[Total (kg) N4],0,0,1)*TableauRecette[[#This Row],[poids / unite]]</f>
        <v>0</v>
      </c>
      <c r="P348" s="840">
        <f>_xlfn.XLOOKUP(TableauRecette[[#This Row],[ID]],TableauProduit[ID],TableauProduit[Total (kg) N5],0,0,1)*TableauRecette[[#This Row],[poids / unite]]</f>
        <v>0</v>
      </c>
      <c r="Q348" s="840">
        <f>_xlfn.XLOOKUP(TableauRecette[[#This Row],[ID]],TableauProduit[ID],TableauProduit[Total (kg) N6],0,0,1)*TableauRecette[[#This Row],[poids / unite]]</f>
        <v>0</v>
      </c>
      <c r="R348" s="840">
        <f>_xlfn.XLOOKUP(TableauRecette[[#This Row],[ID]],TableauProduit[ID],TableauProduit[Total (kg) N7],0,0,1)*TableauRecette[[#This Row],[poids / unite]]</f>
        <v>0</v>
      </c>
      <c r="S348" s="840">
        <f>_xlfn.XLOOKUP(TableauRecette[[#This Row],[ID]],TableauProduit[ID],TableauProduit[Total (kg) N8],0,0,1)*TableauRecette[[#This Row],[poids / unite]]</f>
        <v>0</v>
      </c>
      <c r="T348" s="840">
        <f>_xlfn.XLOOKUP(TableauRecette[[#This Row],[ID]],TableauProduit[ID],TableauProduit[Total (kg) N9],0,0,1)*TableauRecette[[#This Row],[poids / unite]]</f>
        <v>0</v>
      </c>
    </row>
    <row r="349" spans="1:20">
      <c r="A349" s="100" t="s">
        <v>698</v>
      </c>
      <c r="B349" s="100" t="str">
        <f>TableauRecette[[#This Row],[Recette]]&amp;TableauRecette[[#This Row],[Conditionnement]]</f>
        <v>Steak de MontrealEpice 100ml</v>
      </c>
      <c r="C349" s="100" t="s">
        <v>289</v>
      </c>
      <c r="D349" s="223">
        <v>2</v>
      </c>
      <c r="E349" s="100" t="s">
        <v>55</v>
      </c>
      <c r="F349" s="223">
        <f>D349/SUMIFS(TableauRecette[Proportion],TableauRecette[Recette],TableauRecette[[#This Row],[Recette]],TableauRecette[Conditionnement],TableauRecette[[#This Row],[Conditionnement]])</f>
        <v>9.836065573770493E-2</v>
      </c>
      <c r="G349" s="223">
        <f ca="1">_xlfn.XLOOKUP(TableauRecette[[#This Row],[Ingredients]],TableauIngredients[Ingredients],TableauIngredients[Prix d''achat (kg)],0)*TableauRecette[[#This Row],[poids / unite]]</f>
        <v>0</v>
      </c>
      <c r="H349" s="223">
        <f>SUMIFS(TableauRecette[Proportion],TableauRecette[Recette],TableauRecette[[#This Row],[Recette]],TableauRecette[Conditionnement],TableauRecette[[#This Row],[Conditionnement]])</f>
        <v>20.333333333333332</v>
      </c>
      <c r="I349" s="223">
        <f ca="1">TableauRecette[[#This Row],[Proportion]]*TableauRecette[[#This Row],[Prix d''achat / kg]]/TableauRecette[[#This Row],[Total Proportion]]</f>
        <v>0</v>
      </c>
      <c r="J349" s="223"/>
      <c r="K349" s="838"/>
      <c r="L349" s="839">
        <f>_xlfn.XLOOKUP(TableauRecette[[#This Row],[ID]],TableauProduit[ID],TableauProduit[Total (kg) N1],0,0,1)*TableauRecette[[#This Row],[poids / unite]]</f>
        <v>0</v>
      </c>
      <c r="M349" s="840">
        <f>_xlfn.XLOOKUP(TableauRecette[[#This Row],[ID]],TableauProduit[ID],TableauProduit[Total (kg) N2],0,0,1)*TableauRecette[[#This Row],[poids / unite]]</f>
        <v>0</v>
      </c>
      <c r="N349" s="840">
        <f>_xlfn.XLOOKUP(TableauRecette[[#This Row],[ID]],TableauProduit[ID],TableauProduit[Total (kg) N3],0,0,1)*TableauRecette[[#This Row],[poids / unite]]</f>
        <v>0</v>
      </c>
      <c r="O349" s="840">
        <f>_xlfn.XLOOKUP(TableauRecette[[#This Row],[ID]],TableauProduit[ID],TableauProduit[Total (kg) N4],0,0,1)*TableauRecette[[#This Row],[poids / unite]]</f>
        <v>0</v>
      </c>
      <c r="P349" s="840">
        <f>_xlfn.XLOOKUP(TableauRecette[[#This Row],[ID]],TableauProduit[ID],TableauProduit[Total (kg) N5],0,0,1)*TableauRecette[[#This Row],[poids / unite]]</f>
        <v>0</v>
      </c>
      <c r="Q349" s="840">
        <f>_xlfn.XLOOKUP(TableauRecette[[#This Row],[ID]],TableauProduit[ID],TableauProduit[Total (kg) N6],0,0,1)*TableauRecette[[#This Row],[poids / unite]]</f>
        <v>0</v>
      </c>
      <c r="R349" s="840">
        <f>_xlfn.XLOOKUP(TableauRecette[[#This Row],[ID]],TableauProduit[ID],TableauProduit[Total (kg) N7],0,0,1)*TableauRecette[[#This Row],[poids / unite]]</f>
        <v>0</v>
      </c>
      <c r="S349" s="840">
        <f>_xlfn.XLOOKUP(TableauRecette[[#This Row],[ID]],TableauProduit[ID],TableauProduit[Total (kg) N8],0,0,1)*TableauRecette[[#This Row],[poids / unite]]</f>
        <v>0</v>
      </c>
      <c r="T349" s="840">
        <f>_xlfn.XLOOKUP(TableauRecette[[#This Row],[ID]],TableauProduit[ID],TableauProduit[Total (kg) N9],0,0,1)*TableauRecette[[#This Row],[poids / unite]]</f>
        <v>0</v>
      </c>
    </row>
    <row r="350" spans="1:20">
      <c r="A350" s="100" t="s">
        <v>698</v>
      </c>
      <c r="B350" s="100" t="str">
        <f>TableauRecette[[#This Row],[Recette]]&amp;TableauRecette[[#This Row],[Conditionnement]]</f>
        <v>Steak de MontrealEpice 100ml</v>
      </c>
      <c r="C350" s="100" t="s">
        <v>342</v>
      </c>
      <c r="D350" s="223">
        <v>1</v>
      </c>
      <c r="E350" s="100" t="s">
        <v>55</v>
      </c>
      <c r="F350" s="223">
        <f>D350/SUMIFS(TableauRecette[Proportion],TableauRecette[Recette],TableauRecette[[#This Row],[Recette]],TableauRecette[Conditionnement],TableauRecette[[#This Row],[Conditionnement]])</f>
        <v>4.9180327868852465E-2</v>
      </c>
      <c r="G350" s="223">
        <f ca="1">_xlfn.XLOOKUP(TableauRecette[[#This Row],[Ingredients]],TableauIngredients[Ingredients],TableauIngredients[Prix d''achat (kg)],0)*TableauRecette[[#This Row],[poids / unite]]</f>
        <v>0</v>
      </c>
      <c r="H350" s="223">
        <f>SUMIFS(TableauRecette[Proportion],TableauRecette[Recette],TableauRecette[[#This Row],[Recette]],TableauRecette[Conditionnement],TableauRecette[[#This Row],[Conditionnement]])</f>
        <v>20.333333333333332</v>
      </c>
      <c r="I350" s="223">
        <f ca="1">TableauRecette[[#This Row],[Proportion]]*TableauRecette[[#This Row],[Prix d''achat / kg]]/TableauRecette[[#This Row],[Total Proportion]]</f>
        <v>0</v>
      </c>
      <c r="J350" s="223"/>
      <c r="K350" s="838"/>
      <c r="L350" s="839">
        <f>_xlfn.XLOOKUP(TableauRecette[[#This Row],[ID]],TableauProduit[ID],TableauProduit[Total (kg) N1],0,0,1)*TableauRecette[[#This Row],[poids / unite]]</f>
        <v>0</v>
      </c>
      <c r="M350" s="840">
        <f>_xlfn.XLOOKUP(TableauRecette[[#This Row],[ID]],TableauProduit[ID],TableauProduit[Total (kg) N2],0,0,1)*TableauRecette[[#This Row],[poids / unite]]</f>
        <v>0</v>
      </c>
      <c r="N350" s="840">
        <f>_xlfn.XLOOKUP(TableauRecette[[#This Row],[ID]],TableauProduit[ID],TableauProduit[Total (kg) N3],0,0,1)*TableauRecette[[#This Row],[poids / unite]]</f>
        <v>0</v>
      </c>
      <c r="O350" s="840">
        <f>_xlfn.XLOOKUP(TableauRecette[[#This Row],[ID]],TableauProduit[ID],TableauProduit[Total (kg) N4],0,0,1)*TableauRecette[[#This Row],[poids / unite]]</f>
        <v>0</v>
      </c>
      <c r="P350" s="840">
        <f>_xlfn.XLOOKUP(TableauRecette[[#This Row],[ID]],TableauProduit[ID],TableauProduit[Total (kg) N5],0,0,1)*TableauRecette[[#This Row],[poids / unite]]</f>
        <v>0</v>
      </c>
      <c r="Q350" s="840">
        <f>_xlfn.XLOOKUP(TableauRecette[[#This Row],[ID]],TableauProduit[ID],TableauProduit[Total (kg) N6],0,0,1)*TableauRecette[[#This Row],[poids / unite]]</f>
        <v>0</v>
      </c>
      <c r="R350" s="840">
        <f>_xlfn.XLOOKUP(TableauRecette[[#This Row],[ID]],TableauProduit[ID],TableauProduit[Total (kg) N7],0,0,1)*TableauRecette[[#This Row],[poids / unite]]</f>
        <v>0</v>
      </c>
      <c r="S350" s="840">
        <f>_xlfn.XLOOKUP(TableauRecette[[#This Row],[ID]],TableauProduit[ID],TableauProduit[Total (kg) N8],0,0,1)*TableauRecette[[#This Row],[poids / unite]]</f>
        <v>0</v>
      </c>
      <c r="T350" s="840">
        <f>_xlfn.XLOOKUP(TableauRecette[[#This Row],[ID]],TableauProduit[ID],TableauProduit[Total (kg) N9],0,0,1)*TableauRecette[[#This Row],[poids / unite]]</f>
        <v>0</v>
      </c>
    </row>
    <row r="351" spans="1:20">
      <c r="A351" s="100" t="s">
        <v>698</v>
      </c>
      <c r="B351" s="100" t="str">
        <f>TableauRecette[[#This Row],[Recette]]&amp;TableauRecette[[#This Row],[Conditionnement]]</f>
        <v>Steak de MontrealEpice 100ml</v>
      </c>
      <c r="C351" s="100" t="s">
        <v>305</v>
      </c>
      <c r="D351" s="223">
        <v>1</v>
      </c>
      <c r="E351" s="100" t="s">
        <v>55</v>
      </c>
      <c r="F351" s="223">
        <f>D351/SUMIFS(TableauRecette[Proportion],TableauRecette[Recette],TableauRecette[[#This Row],[Recette]],TableauRecette[Conditionnement],TableauRecette[[#This Row],[Conditionnement]])</f>
        <v>4.9180327868852465E-2</v>
      </c>
      <c r="G351" s="223">
        <f ca="1">_xlfn.XLOOKUP(TableauRecette[[#This Row],[Ingredients]],TableauIngredients[Ingredients],TableauIngredients[Prix d''achat (kg)],0)*TableauRecette[[#This Row],[poids / unite]]</f>
        <v>0</v>
      </c>
      <c r="H351" s="223">
        <f>SUMIFS(TableauRecette[Proportion],TableauRecette[Recette],TableauRecette[[#This Row],[Recette]],TableauRecette[Conditionnement],TableauRecette[[#This Row],[Conditionnement]])</f>
        <v>20.333333333333332</v>
      </c>
      <c r="I351" s="223">
        <f ca="1">TableauRecette[[#This Row],[Proportion]]*TableauRecette[[#This Row],[Prix d''achat / kg]]/TableauRecette[[#This Row],[Total Proportion]]</f>
        <v>0</v>
      </c>
      <c r="J351" s="223"/>
      <c r="K351" s="838"/>
      <c r="L351" s="839">
        <f>_xlfn.XLOOKUP(TableauRecette[[#This Row],[ID]],TableauProduit[ID],TableauProduit[Total (kg) N1],0,0,1)*TableauRecette[[#This Row],[poids / unite]]</f>
        <v>0</v>
      </c>
      <c r="M351" s="840">
        <f>_xlfn.XLOOKUP(TableauRecette[[#This Row],[ID]],TableauProduit[ID],TableauProduit[Total (kg) N2],0,0,1)*TableauRecette[[#This Row],[poids / unite]]</f>
        <v>0</v>
      </c>
      <c r="N351" s="840">
        <f>_xlfn.XLOOKUP(TableauRecette[[#This Row],[ID]],TableauProduit[ID],TableauProduit[Total (kg) N3],0,0,1)*TableauRecette[[#This Row],[poids / unite]]</f>
        <v>0</v>
      </c>
      <c r="O351" s="840">
        <f>_xlfn.XLOOKUP(TableauRecette[[#This Row],[ID]],TableauProduit[ID],TableauProduit[Total (kg) N4],0,0,1)*TableauRecette[[#This Row],[poids / unite]]</f>
        <v>0</v>
      </c>
      <c r="P351" s="840">
        <f>_xlfn.XLOOKUP(TableauRecette[[#This Row],[ID]],TableauProduit[ID],TableauProduit[Total (kg) N5],0,0,1)*TableauRecette[[#This Row],[poids / unite]]</f>
        <v>0</v>
      </c>
      <c r="Q351" s="840">
        <f>_xlfn.XLOOKUP(TableauRecette[[#This Row],[ID]],TableauProduit[ID],TableauProduit[Total (kg) N6],0,0,1)*TableauRecette[[#This Row],[poids / unite]]</f>
        <v>0</v>
      </c>
      <c r="R351" s="840">
        <f>_xlfn.XLOOKUP(TableauRecette[[#This Row],[ID]],TableauProduit[ID],TableauProduit[Total (kg) N7],0,0,1)*TableauRecette[[#This Row],[poids / unite]]</f>
        <v>0</v>
      </c>
      <c r="S351" s="840">
        <f>_xlfn.XLOOKUP(TableauRecette[[#This Row],[ID]],TableauProduit[ID],TableauProduit[Total (kg) N8],0,0,1)*TableauRecette[[#This Row],[poids / unite]]</f>
        <v>0</v>
      </c>
      <c r="T351" s="840">
        <f>_xlfn.XLOOKUP(TableauRecette[[#This Row],[ID]],TableauProduit[ID],TableauProduit[Total (kg) N9],0,0,1)*TableauRecette[[#This Row],[poids / unite]]</f>
        <v>0</v>
      </c>
    </row>
    <row r="352" spans="1:20">
      <c r="A352" s="100" t="s">
        <v>698</v>
      </c>
      <c r="B352" s="100" t="str">
        <f>TableauRecette[[#This Row],[Recette]]&amp;TableauRecette[[#This Row],[Conditionnement]]</f>
        <v>Steak de MontrealEpice 100ml</v>
      </c>
      <c r="C352" s="100" t="s">
        <v>284</v>
      </c>
      <c r="D352" s="223">
        <v>1</v>
      </c>
      <c r="E352" s="100" t="s">
        <v>55</v>
      </c>
      <c r="F352" s="223">
        <f>D352/SUMIFS(TableauRecette[Proportion],TableauRecette[Recette],TableauRecette[[#This Row],[Recette]],TableauRecette[Conditionnement],TableauRecette[[#This Row],[Conditionnement]])</f>
        <v>4.9180327868852465E-2</v>
      </c>
      <c r="G352" s="223">
        <f ca="1">_xlfn.XLOOKUP(TableauRecette[[#This Row],[Ingredients]],TableauIngredients[Ingredients],TableauIngredients[Prix d''achat (kg)],0)*TableauRecette[[#This Row],[poids / unite]]</f>
        <v>0</v>
      </c>
      <c r="H352" s="223">
        <f>SUMIFS(TableauRecette[Proportion],TableauRecette[Recette],TableauRecette[[#This Row],[Recette]],TableauRecette[Conditionnement],TableauRecette[[#This Row],[Conditionnement]])</f>
        <v>20.333333333333332</v>
      </c>
      <c r="I352" s="223">
        <f ca="1">TableauRecette[[#This Row],[Proportion]]*TableauRecette[[#This Row],[Prix d''achat / kg]]/TableauRecette[[#This Row],[Total Proportion]]</f>
        <v>0</v>
      </c>
      <c r="J352" s="223"/>
      <c r="K352" s="838"/>
      <c r="L352" s="839">
        <f>_xlfn.XLOOKUP(TableauRecette[[#This Row],[ID]],TableauProduit[ID],TableauProduit[Total (kg) N1],0,0,1)*TableauRecette[[#This Row],[poids / unite]]</f>
        <v>0</v>
      </c>
      <c r="M352" s="840">
        <f>_xlfn.XLOOKUP(TableauRecette[[#This Row],[ID]],TableauProduit[ID],TableauProduit[Total (kg) N2],0,0,1)*TableauRecette[[#This Row],[poids / unite]]</f>
        <v>0</v>
      </c>
      <c r="N352" s="840">
        <f>_xlfn.XLOOKUP(TableauRecette[[#This Row],[ID]],TableauProduit[ID],TableauProduit[Total (kg) N3],0,0,1)*TableauRecette[[#This Row],[poids / unite]]</f>
        <v>0</v>
      </c>
      <c r="O352" s="840">
        <f>_xlfn.XLOOKUP(TableauRecette[[#This Row],[ID]],TableauProduit[ID],TableauProduit[Total (kg) N4],0,0,1)*TableauRecette[[#This Row],[poids / unite]]</f>
        <v>0</v>
      </c>
      <c r="P352" s="840">
        <f>_xlfn.XLOOKUP(TableauRecette[[#This Row],[ID]],TableauProduit[ID],TableauProduit[Total (kg) N5],0,0,1)*TableauRecette[[#This Row],[poids / unite]]</f>
        <v>0</v>
      </c>
      <c r="Q352" s="840">
        <f>_xlfn.XLOOKUP(TableauRecette[[#This Row],[ID]],TableauProduit[ID],TableauProduit[Total (kg) N6],0,0,1)*TableauRecette[[#This Row],[poids / unite]]</f>
        <v>0</v>
      </c>
      <c r="R352" s="840">
        <f>_xlfn.XLOOKUP(TableauRecette[[#This Row],[ID]],TableauProduit[ID],TableauProduit[Total (kg) N7],0,0,1)*TableauRecette[[#This Row],[poids / unite]]</f>
        <v>0</v>
      </c>
      <c r="S352" s="840">
        <f>_xlfn.XLOOKUP(TableauRecette[[#This Row],[ID]],TableauProduit[ID],TableauProduit[Total (kg) N8],0,0,1)*TableauRecette[[#This Row],[poids / unite]]</f>
        <v>0</v>
      </c>
      <c r="T352" s="840">
        <f>_xlfn.XLOOKUP(TableauRecette[[#This Row],[ID]],TableauProduit[ID],TableauProduit[Total (kg) N9],0,0,1)*TableauRecette[[#This Row],[poids / unite]]</f>
        <v>0</v>
      </c>
    </row>
    <row r="353" spans="1:20">
      <c r="A353" s="100" t="s">
        <v>698</v>
      </c>
      <c r="B353" s="100" t="str">
        <f>TableauRecette[[#This Row],[Recette]]&amp;TableauRecette[[#This Row],[Conditionnement]]</f>
        <v>Steak de MontrealEpice 100ml</v>
      </c>
      <c r="C353" s="100" t="s">
        <v>326</v>
      </c>
      <c r="D353" s="223">
        <v>1</v>
      </c>
      <c r="E353" s="100" t="s">
        <v>55</v>
      </c>
      <c r="F353" s="223">
        <f>D353/SUMIFS(TableauRecette[Proportion],TableauRecette[Recette],TableauRecette[[#This Row],[Recette]],TableauRecette[Conditionnement],TableauRecette[[#This Row],[Conditionnement]])</f>
        <v>4.9180327868852465E-2</v>
      </c>
      <c r="G353" s="223">
        <f ca="1">_xlfn.XLOOKUP(TableauRecette[[#This Row],[Ingredients]],TableauIngredients[Ingredients],TableauIngredients[Prix d''achat (kg)],0)*TableauRecette[[#This Row],[poids / unite]]</f>
        <v>0</v>
      </c>
      <c r="H353" s="223">
        <f>SUMIFS(TableauRecette[Proportion],TableauRecette[Recette],TableauRecette[[#This Row],[Recette]],TableauRecette[Conditionnement],TableauRecette[[#This Row],[Conditionnement]])</f>
        <v>20.333333333333332</v>
      </c>
      <c r="I353" s="223">
        <f ca="1">TableauRecette[[#This Row],[Proportion]]*TableauRecette[[#This Row],[Prix d''achat / kg]]/TableauRecette[[#This Row],[Total Proportion]]</f>
        <v>0</v>
      </c>
      <c r="J353" s="223"/>
      <c r="K353" s="838"/>
      <c r="L353" s="839">
        <f>_xlfn.XLOOKUP(TableauRecette[[#This Row],[ID]],TableauProduit[ID],TableauProduit[Total (kg) N1],0,0,1)*TableauRecette[[#This Row],[poids / unite]]</f>
        <v>0</v>
      </c>
      <c r="M353" s="840">
        <f>_xlfn.XLOOKUP(TableauRecette[[#This Row],[ID]],TableauProduit[ID],TableauProduit[Total (kg) N2],0,0,1)*TableauRecette[[#This Row],[poids / unite]]</f>
        <v>0</v>
      </c>
      <c r="N353" s="840">
        <f>_xlfn.XLOOKUP(TableauRecette[[#This Row],[ID]],TableauProduit[ID],TableauProduit[Total (kg) N3],0,0,1)*TableauRecette[[#This Row],[poids / unite]]</f>
        <v>0</v>
      </c>
      <c r="O353" s="840">
        <f>_xlfn.XLOOKUP(TableauRecette[[#This Row],[ID]],TableauProduit[ID],TableauProduit[Total (kg) N4],0,0,1)*TableauRecette[[#This Row],[poids / unite]]</f>
        <v>0</v>
      </c>
      <c r="P353" s="840">
        <f>_xlfn.XLOOKUP(TableauRecette[[#This Row],[ID]],TableauProduit[ID],TableauProduit[Total (kg) N5],0,0,1)*TableauRecette[[#This Row],[poids / unite]]</f>
        <v>0</v>
      </c>
      <c r="Q353" s="840">
        <f>_xlfn.XLOOKUP(TableauRecette[[#This Row],[ID]],TableauProduit[ID],TableauProduit[Total (kg) N6],0,0,1)*TableauRecette[[#This Row],[poids / unite]]</f>
        <v>0</v>
      </c>
      <c r="R353" s="840">
        <f>_xlfn.XLOOKUP(TableauRecette[[#This Row],[ID]],TableauProduit[ID],TableauProduit[Total (kg) N7],0,0,1)*TableauRecette[[#This Row],[poids / unite]]</f>
        <v>0</v>
      </c>
      <c r="S353" s="840">
        <f>_xlfn.XLOOKUP(TableauRecette[[#This Row],[ID]],TableauProduit[ID],TableauProduit[Total (kg) N8],0,0,1)*TableauRecette[[#This Row],[poids / unite]]</f>
        <v>0</v>
      </c>
      <c r="T353" s="840">
        <f>_xlfn.XLOOKUP(TableauRecette[[#This Row],[ID]],TableauProduit[ID],TableauProduit[Total (kg) N9],0,0,1)*TableauRecette[[#This Row],[poids / unite]]</f>
        <v>0</v>
      </c>
    </row>
    <row r="354" spans="1:20">
      <c r="A354" s="100" t="s">
        <v>698</v>
      </c>
      <c r="B354" s="100" t="str">
        <f>TableauRecette[[#This Row],[Recette]]&amp;TableauRecette[[#This Row],[Conditionnement]]</f>
        <v>Steak de MontrealEpice 100ml</v>
      </c>
      <c r="C354" s="100" t="s">
        <v>344</v>
      </c>
      <c r="D354" s="223">
        <v>1</v>
      </c>
      <c r="E354" s="100" t="s">
        <v>55</v>
      </c>
      <c r="F354" s="223">
        <f>D354/SUMIFS(TableauRecette[Proportion],TableauRecette[Recette],TableauRecette[[#This Row],[Recette]],TableauRecette[Conditionnement],TableauRecette[[#This Row],[Conditionnement]])</f>
        <v>4.9180327868852465E-2</v>
      </c>
      <c r="G354" s="223">
        <f ca="1">_xlfn.XLOOKUP(TableauRecette[[#This Row],[Ingredients]],TableauIngredients[Ingredients],TableauIngredients[Prix d''achat (kg)],0)*TableauRecette[[#This Row],[poids / unite]]</f>
        <v>0</v>
      </c>
      <c r="H354" s="223">
        <f>SUMIFS(TableauRecette[Proportion],TableauRecette[Recette],TableauRecette[[#This Row],[Recette]],TableauRecette[Conditionnement],TableauRecette[[#This Row],[Conditionnement]])</f>
        <v>20.333333333333332</v>
      </c>
      <c r="I354" s="223">
        <f ca="1">TableauRecette[[#This Row],[Proportion]]*TableauRecette[[#This Row],[Prix d''achat / kg]]/TableauRecette[[#This Row],[Total Proportion]]</f>
        <v>0</v>
      </c>
      <c r="J354" s="223"/>
      <c r="K354" s="838"/>
      <c r="L354" s="839">
        <f>_xlfn.XLOOKUP(TableauRecette[[#This Row],[ID]],TableauProduit[ID],TableauProduit[Total (kg) N1],0,0,1)*TableauRecette[[#This Row],[poids / unite]]</f>
        <v>0</v>
      </c>
      <c r="M354" s="840">
        <f>_xlfn.XLOOKUP(TableauRecette[[#This Row],[ID]],TableauProduit[ID],TableauProduit[Total (kg) N2],0,0,1)*TableauRecette[[#This Row],[poids / unite]]</f>
        <v>0</v>
      </c>
      <c r="N354" s="840">
        <f>_xlfn.XLOOKUP(TableauRecette[[#This Row],[ID]],TableauProduit[ID],TableauProduit[Total (kg) N3],0,0,1)*TableauRecette[[#This Row],[poids / unite]]</f>
        <v>0</v>
      </c>
      <c r="O354" s="840">
        <f>_xlfn.XLOOKUP(TableauRecette[[#This Row],[ID]],TableauProduit[ID],TableauProduit[Total (kg) N4],0,0,1)*TableauRecette[[#This Row],[poids / unite]]</f>
        <v>0</v>
      </c>
      <c r="P354" s="840">
        <f>_xlfn.XLOOKUP(TableauRecette[[#This Row],[ID]],TableauProduit[ID],TableauProduit[Total (kg) N5],0,0,1)*TableauRecette[[#This Row],[poids / unite]]</f>
        <v>0</v>
      </c>
      <c r="Q354" s="840">
        <f>_xlfn.XLOOKUP(TableauRecette[[#This Row],[ID]],TableauProduit[ID],TableauProduit[Total (kg) N6],0,0,1)*TableauRecette[[#This Row],[poids / unite]]</f>
        <v>0</v>
      </c>
      <c r="R354" s="840">
        <f>_xlfn.XLOOKUP(TableauRecette[[#This Row],[ID]],TableauProduit[ID],TableauProduit[Total (kg) N7],0,0,1)*TableauRecette[[#This Row],[poids / unite]]</f>
        <v>0</v>
      </c>
      <c r="S354" s="840">
        <f>_xlfn.XLOOKUP(TableauRecette[[#This Row],[ID]],TableauProduit[ID],TableauProduit[Total (kg) N8],0,0,1)*TableauRecette[[#This Row],[poids / unite]]</f>
        <v>0</v>
      </c>
      <c r="T354" s="840">
        <f>_xlfn.XLOOKUP(TableauRecette[[#This Row],[ID]],TableauProduit[ID],TableauProduit[Total (kg) N9],0,0,1)*TableauRecette[[#This Row],[poids / unite]]</f>
        <v>0</v>
      </c>
    </row>
    <row r="355" spans="1:20">
      <c r="A355" s="100" t="s">
        <v>698</v>
      </c>
      <c r="B355" s="100" t="str">
        <f>TableauRecette[[#This Row],[Recette]]&amp;TableauRecette[[#This Row],[Conditionnement]]</f>
        <v>Steak de MontrealEpice 100ml</v>
      </c>
      <c r="C355" s="100" t="s">
        <v>390</v>
      </c>
      <c r="D355" s="223">
        <v>1</v>
      </c>
      <c r="E355" s="100" t="s">
        <v>55</v>
      </c>
      <c r="F355" s="223">
        <f>D355/SUMIFS(TableauRecette[Proportion],TableauRecette[Recette],TableauRecette[[#This Row],[Recette]],TableauRecette[Conditionnement],TableauRecette[[#This Row],[Conditionnement]])</f>
        <v>4.9180327868852465E-2</v>
      </c>
      <c r="G355" s="223">
        <f ca="1">_xlfn.XLOOKUP(TableauRecette[[#This Row],[Ingredients]],TableauIngredients[Ingredients],TableauIngredients[Prix d''achat (kg)],0)*TableauRecette[[#This Row],[poids / unite]]</f>
        <v>0</v>
      </c>
      <c r="H355" s="223">
        <f>SUMIFS(TableauRecette[Proportion],TableauRecette[Recette],TableauRecette[[#This Row],[Recette]],TableauRecette[Conditionnement],TableauRecette[[#This Row],[Conditionnement]])</f>
        <v>20.333333333333332</v>
      </c>
      <c r="I355" s="223">
        <f ca="1">TableauRecette[[#This Row],[Proportion]]*TableauRecette[[#This Row],[Prix d''achat / kg]]/TableauRecette[[#This Row],[Total Proportion]]</f>
        <v>0</v>
      </c>
      <c r="J355" s="223"/>
      <c r="K355" s="838"/>
      <c r="L355" s="839">
        <f>_xlfn.XLOOKUP(TableauRecette[[#This Row],[ID]],TableauProduit[ID],TableauProduit[Total (kg) N1],0,0,1)*TableauRecette[[#This Row],[poids / unite]]</f>
        <v>0</v>
      </c>
      <c r="M355" s="840">
        <f>_xlfn.XLOOKUP(TableauRecette[[#This Row],[ID]],TableauProduit[ID],TableauProduit[Total (kg) N2],0,0,1)*TableauRecette[[#This Row],[poids / unite]]</f>
        <v>0</v>
      </c>
      <c r="N355" s="840">
        <f>_xlfn.XLOOKUP(TableauRecette[[#This Row],[ID]],TableauProduit[ID],TableauProduit[Total (kg) N3],0,0,1)*TableauRecette[[#This Row],[poids / unite]]</f>
        <v>0</v>
      </c>
      <c r="O355" s="840">
        <f>_xlfn.XLOOKUP(TableauRecette[[#This Row],[ID]],TableauProduit[ID],TableauProduit[Total (kg) N4],0,0,1)*TableauRecette[[#This Row],[poids / unite]]</f>
        <v>0</v>
      </c>
      <c r="P355" s="840">
        <f>_xlfn.XLOOKUP(TableauRecette[[#This Row],[ID]],TableauProduit[ID],TableauProduit[Total (kg) N5],0,0,1)*TableauRecette[[#This Row],[poids / unite]]</f>
        <v>0</v>
      </c>
      <c r="Q355" s="840">
        <f>_xlfn.XLOOKUP(TableauRecette[[#This Row],[ID]],TableauProduit[ID],TableauProduit[Total (kg) N6],0,0,1)*TableauRecette[[#This Row],[poids / unite]]</f>
        <v>0</v>
      </c>
      <c r="R355" s="840">
        <f>_xlfn.XLOOKUP(TableauRecette[[#This Row],[ID]],TableauProduit[ID],TableauProduit[Total (kg) N7],0,0,1)*TableauRecette[[#This Row],[poids / unite]]</f>
        <v>0</v>
      </c>
      <c r="S355" s="840">
        <f>_xlfn.XLOOKUP(TableauRecette[[#This Row],[ID]],TableauProduit[ID],TableauProduit[Total (kg) N8],0,0,1)*TableauRecette[[#This Row],[poids / unite]]</f>
        <v>0</v>
      </c>
      <c r="T355" s="840">
        <f>_xlfn.XLOOKUP(TableauRecette[[#This Row],[ID]],TableauProduit[ID],TableauProduit[Total (kg) N9],0,0,1)*TableauRecette[[#This Row],[poids / unite]]</f>
        <v>0</v>
      </c>
    </row>
    <row r="356" spans="1:20">
      <c r="A356" s="100" t="s">
        <v>698</v>
      </c>
      <c r="B356" s="100" t="str">
        <f>TableauRecette[[#This Row],[Recette]]&amp;TableauRecette[[#This Row],[Conditionnement]]</f>
        <v>Steak de MontrealEpice 100ml</v>
      </c>
      <c r="C356" s="100" t="s">
        <v>316</v>
      </c>
      <c r="D356" s="223">
        <v>1</v>
      </c>
      <c r="E356" s="100" t="s">
        <v>55</v>
      </c>
      <c r="F356" s="223">
        <f>D356/SUMIFS(TableauRecette[Proportion],TableauRecette[Recette],TableauRecette[[#This Row],[Recette]],TableauRecette[Conditionnement],TableauRecette[[#This Row],[Conditionnement]])</f>
        <v>4.9180327868852465E-2</v>
      </c>
      <c r="G356" s="223">
        <f ca="1">_xlfn.XLOOKUP(TableauRecette[[#This Row],[Ingredients]],TableauIngredients[Ingredients],TableauIngredients[Prix d''achat (kg)],0)*TableauRecette[[#This Row],[poids / unite]]</f>
        <v>0</v>
      </c>
      <c r="H356" s="223">
        <f>SUMIFS(TableauRecette[Proportion],TableauRecette[Recette],TableauRecette[[#This Row],[Recette]],TableauRecette[Conditionnement],TableauRecette[[#This Row],[Conditionnement]])</f>
        <v>20.333333333333332</v>
      </c>
      <c r="I356" s="223">
        <f ca="1">TableauRecette[[#This Row],[Proportion]]*TableauRecette[[#This Row],[Prix d''achat / kg]]/TableauRecette[[#This Row],[Total Proportion]]</f>
        <v>0</v>
      </c>
      <c r="J356" s="223"/>
      <c r="K356" s="838"/>
      <c r="L356" s="839">
        <f>_xlfn.XLOOKUP(TableauRecette[[#This Row],[ID]],TableauProduit[ID],TableauProduit[Total (kg) N1],0,0,1)*TableauRecette[[#This Row],[poids / unite]]</f>
        <v>0</v>
      </c>
      <c r="M356" s="840">
        <f>_xlfn.XLOOKUP(TableauRecette[[#This Row],[ID]],TableauProduit[ID],TableauProduit[Total (kg) N2],0,0,1)*TableauRecette[[#This Row],[poids / unite]]</f>
        <v>0</v>
      </c>
      <c r="N356" s="840">
        <f>_xlfn.XLOOKUP(TableauRecette[[#This Row],[ID]],TableauProduit[ID],TableauProduit[Total (kg) N3],0,0,1)*TableauRecette[[#This Row],[poids / unite]]</f>
        <v>0</v>
      </c>
      <c r="O356" s="840">
        <f>_xlfn.XLOOKUP(TableauRecette[[#This Row],[ID]],TableauProduit[ID],TableauProduit[Total (kg) N4],0,0,1)*TableauRecette[[#This Row],[poids / unite]]</f>
        <v>0</v>
      </c>
      <c r="P356" s="840">
        <f>_xlfn.XLOOKUP(TableauRecette[[#This Row],[ID]],TableauProduit[ID],TableauProduit[Total (kg) N5],0,0,1)*TableauRecette[[#This Row],[poids / unite]]</f>
        <v>0</v>
      </c>
      <c r="Q356" s="840">
        <f>_xlfn.XLOOKUP(TableauRecette[[#This Row],[ID]],TableauProduit[ID],TableauProduit[Total (kg) N6],0,0,1)*TableauRecette[[#This Row],[poids / unite]]</f>
        <v>0</v>
      </c>
      <c r="R356" s="840">
        <f>_xlfn.XLOOKUP(TableauRecette[[#This Row],[ID]],TableauProduit[ID],TableauProduit[Total (kg) N7],0,0,1)*TableauRecette[[#This Row],[poids / unite]]</f>
        <v>0</v>
      </c>
      <c r="S356" s="840">
        <f>_xlfn.XLOOKUP(TableauRecette[[#This Row],[ID]],TableauProduit[ID],TableauProduit[Total (kg) N8],0,0,1)*TableauRecette[[#This Row],[poids / unite]]</f>
        <v>0</v>
      </c>
      <c r="T356" s="840">
        <f>_xlfn.XLOOKUP(TableauRecette[[#This Row],[ID]],TableauProduit[ID],TableauProduit[Total (kg) N9],0,0,1)*TableauRecette[[#This Row],[poids / unite]]</f>
        <v>0</v>
      </c>
    </row>
    <row r="357" spans="1:20">
      <c r="A357" s="100" t="s">
        <v>698</v>
      </c>
      <c r="B357" s="100" t="str">
        <f>TableauRecette[[#This Row],[Recette]]&amp;TableauRecette[[#This Row],[Conditionnement]]</f>
        <v>Steak de MontrealEpice 100ml</v>
      </c>
      <c r="C357" s="100" t="s">
        <v>330</v>
      </c>
      <c r="D357" s="223">
        <f>1/3</f>
        <v>0.33333333333333331</v>
      </c>
      <c r="E357" s="100" t="s">
        <v>55</v>
      </c>
      <c r="F357" s="223">
        <f>D357/SUMIFS(TableauRecette[Proportion],TableauRecette[Recette],TableauRecette[[#This Row],[Recette]],TableauRecette[Conditionnement],TableauRecette[[#This Row],[Conditionnement]])</f>
        <v>1.6393442622950821E-2</v>
      </c>
      <c r="G357" s="223">
        <f ca="1">_xlfn.XLOOKUP(TableauRecette[[#This Row],[Ingredients]],TableauIngredients[Ingredients],TableauIngredients[Prix d''achat (kg)],0)*TableauRecette[[#This Row],[poids / unite]]</f>
        <v>0</v>
      </c>
      <c r="H357" s="223">
        <f>SUMIFS(TableauRecette[Proportion],TableauRecette[Recette],TableauRecette[[#This Row],[Recette]],TableauRecette[Conditionnement],TableauRecette[[#This Row],[Conditionnement]])</f>
        <v>20.333333333333332</v>
      </c>
      <c r="I357" s="223">
        <f ca="1">TableauRecette[[#This Row],[Proportion]]*TableauRecette[[#This Row],[Prix d''achat / kg]]/TableauRecette[[#This Row],[Total Proportion]]</f>
        <v>0</v>
      </c>
      <c r="J357" s="223"/>
      <c r="K357" s="838"/>
      <c r="L357" s="839">
        <f>_xlfn.XLOOKUP(TableauRecette[[#This Row],[ID]],TableauProduit[ID],TableauProduit[Total (kg) N1],0,0,1)*TableauRecette[[#This Row],[poids / unite]]</f>
        <v>0</v>
      </c>
      <c r="M357" s="840">
        <f>_xlfn.XLOOKUP(TableauRecette[[#This Row],[ID]],TableauProduit[ID],TableauProduit[Total (kg) N2],0,0,1)*TableauRecette[[#This Row],[poids / unite]]</f>
        <v>0</v>
      </c>
      <c r="N357" s="840">
        <f>_xlfn.XLOOKUP(TableauRecette[[#This Row],[ID]],TableauProduit[ID],TableauProduit[Total (kg) N3],0,0,1)*TableauRecette[[#This Row],[poids / unite]]</f>
        <v>0</v>
      </c>
      <c r="O357" s="840">
        <f>_xlfn.XLOOKUP(TableauRecette[[#This Row],[ID]],TableauProduit[ID],TableauProduit[Total (kg) N4],0,0,1)*TableauRecette[[#This Row],[poids / unite]]</f>
        <v>0</v>
      </c>
      <c r="P357" s="840">
        <f>_xlfn.XLOOKUP(TableauRecette[[#This Row],[ID]],TableauProduit[ID],TableauProduit[Total (kg) N5],0,0,1)*TableauRecette[[#This Row],[poids / unite]]</f>
        <v>0</v>
      </c>
      <c r="Q357" s="840">
        <f>_xlfn.XLOOKUP(TableauRecette[[#This Row],[ID]],TableauProduit[ID],TableauProduit[Total (kg) N6],0,0,1)*TableauRecette[[#This Row],[poids / unite]]</f>
        <v>0</v>
      </c>
      <c r="R357" s="840">
        <f>_xlfn.XLOOKUP(TableauRecette[[#This Row],[ID]],TableauProduit[ID],TableauProduit[Total (kg) N7],0,0,1)*TableauRecette[[#This Row],[poids / unite]]</f>
        <v>0</v>
      </c>
      <c r="S357" s="840">
        <f>_xlfn.XLOOKUP(TableauRecette[[#This Row],[ID]],TableauProduit[ID],TableauProduit[Total (kg) N8],0,0,1)*TableauRecette[[#This Row],[poids / unite]]</f>
        <v>0</v>
      </c>
      <c r="T357" s="840">
        <f>_xlfn.XLOOKUP(TableauRecette[[#This Row],[ID]],TableauProduit[ID],TableauProduit[Total (kg) N9],0,0,1)*TableauRecette[[#This Row],[poids / unite]]</f>
        <v>0</v>
      </c>
    </row>
    <row r="358" spans="1:20">
      <c r="A358" s="100" t="s">
        <v>698</v>
      </c>
      <c r="B358" s="100" t="str">
        <f>TableauRecette[[#This Row],[Recette]]&amp;TableauRecette[[#This Row],[Conditionnement]]</f>
        <v>Steak de MontrealEpice 100ml</v>
      </c>
      <c r="C358" s="100" t="s">
        <v>777</v>
      </c>
      <c r="D358" s="223">
        <v>2</v>
      </c>
      <c r="E358" s="100" t="s">
        <v>55</v>
      </c>
      <c r="F358" s="223">
        <f>D358/SUMIFS(TableauRecette[Proportion],TableauRecette[Recette],TableauRecette[[#This Row],[Recette]],TableauRecette[Conditionnement],TableauRecette[[#This Row],[Conditionnement]])</f>
        <v>9.836065573770493E-2</v>
      </c>
      <c r="G358" s="223">
        <f ca="1">_xlfn.XLOOKUP(TableauRecette[[#This Row],[Ingredients]],TableauIngredients[Ingredients],TableauIngredients[Prix d''achat (kg)],0)*TableauRecette[[#This Row],[poids / unite]]</f>
        <v>0</v>
      </c>
      <c r="H358" s="223">
        <f>SUMIFS(TableauRecette[Proportion],TableauRecette[Recette],TableauRecette[[#This Row],[Recette]],TableauRecette[Conditionnement],TableauRecette[[#This Row],[Conditionnement]])</f>
        <v>20.333333333333332</v>
      </c>
      <c r="I358" s="223">
        <f ca="1">TableauRecette[[#This Row],[Proportion]]*TableauRecette[[#This Row],[Prix d''achat / kg]]/TableauRecette[[#This Row],[Total Proportion]]</f>
        <v>0</v>
      </c>
      <c r="J358" s="223"/>
      <c r="K358" s="838"/>
      <c r="L358" s="839">
        <f>_xlfn.XLOOKUP(TableauRecette[[#This Row],[ID]],TableauProduit[ID],TableauProduit[Total (kg) N1],0,0,1)*TableauRecette[[#This Row],[poids / unite]]</f>
        <v>0</v>
      </c>
      <c r="M358" s="840">
        <f>_xlfn.XLOOKUP(TableauRecette[[#This Row],[ID]],TableauProduit[ID],TableauProduit[Total (kg) N2],0,0,1)*TableauRecette[[#This Row],[poids / unite]]</f>
        <v>0</v>
      </c>
      <c r="N358" s="840">
        <f>_xlfn.XLOOKUP(TableauRecette[[#This Row],[ID]],TableauProduit[ID],TableauProduit[Total (kg) N3],0,0,1)*TableauRecette[[#This Row],[poids / unite]]</f>
        <v>0</v>
      </c>
      <c r="O358" s="840">
        <f>_xlfn.XLOOKUP(TableauRecette[[#This Row],[ID]],TableauProduit[ID],TableauProduit[Total (kg) N4],0,0,1)*TableauRecette[[#This Row],[poids / unite]]</f>
        <v>0</v>
      </c>
      <c r="P358" s="840">
        <f>_xlfn.XLOOKUP(TableauRecette[[#This Row],[ID]],TableauProduit[ID],TableauProduit[Total (kg) N5],0,0,1)*TableauRecette[[#This Row],[poids / unite]]</f>
        <v>0</v>
      </c>
      <c r="Q358" s="840">
        <f>_xlfn.XLOOKUP(TableauRecette[[#This Row],[ID]],TableauProduit[ID],TableauProduit[Total (kg) N6],0,0,1)*TableauRecette[[#This Row],[poids / unite]]</f>
        <v>0</v>
      </c>
      <c r="R358" s="840">
        <f>_xlfn.XLOOKUP(TableauRecette[[#This Row],[ID]],TableauProduit[ID],TableauProduit[Total (kg) N7],0,0,1)*TableauRecette[[#This Row],[poids / unite]]</f>
        <v>0</v>
      </c>
      <c r="S358" s="840">
        <f>_xlfn.XLOOKUP(TableauRecette[[#This Row],[ID]],TableauProduit[ID],TableauProduit[Total (kg) N8],0,0,1)*TableauRecette[[#This Row],[poids / unite]]</f>
        <v>0</v>
      </c>
      <c r="T358" s="840">
        <f>_xlfn.XLOOKUP(TableauRecette[[#This Row],[ID]],TableauProduit[ID],TableauProduit[Total (kg) N9],0,0,1)*TableauRecette[[#This Row],[poids / unite]]</f>
        <v>0</v>
      </c>
    </row>
    <row r="359" spans="1:20">
      <c r="A359" s="521" t="s">
        <v>71</v>
      </c>
      <c r="B359" s="521" t="str">
        <f>TableauRecette[[#This Row],[Recette]]&amp;TableauRecette[[#This Row],[Conditionnement]]</f>
        <v>Sucre à l'hibiscusEpice 100ml</v>
      </c>
      <c r="C359" s="671" t="s">
        <v>391</v>
      </c>
      <c r="D359" s="522">
        <v>94</v>
      </c>
      <c r="E359" s="521" t="s">
        <v>55</v>
      </c>
      <c r="F359" s="522">
        <f>D359/SUMIFS(TableauRecette[Proportion],TableauRecette[Recette],TableauRecette[[#This Row],[Recette]],TableauRecette[Conditionnement],TableauRecette[[#This Row],[Conditionnement]])</f>
        <v>0.94</v>
      </c>
      <c r="G359" s="522">
        <f ca="1">_xlfn.XLOOKUP(TableauRecette[[#This Row],[Ingredients]],TableauIngredients[Ingredients],TableauIngredients[Prix d''achat (kg)],0)*TableauRecette[[#This Row],[poids / unite]]</f>
        <v>0</v>
      </c>
      <c r="H359" s="522">
        <f>SUMIFS(TableauRecette[Proportion],TableauRecette[Recette],TableauRecette[[#This Row],[Recette]],TableauRecette[Conditionnement],TableauRecette[[#This Row],[Conditionnement]])</f>
        <v>100</v>
      </c>
      <c r="I359" s="522">
        <f ca="1">TableauRecette[[#This Row],[Proportion]]*TableauRecette[[#This Row],[Prix d''achat / kg]]/TableauRecette[[#This Row],[Total Proportion]]</f>
        <v>0</v>
      </c>
      <c r="J359" s="522"/>
      <c r="K359" s="841"/>
      <c r="L359" s="842">
        <f>_xlfn.XLOOKUP(TableauRecette[[#This Row],[ID]],TableauProduit[ID],TableauProduit[Total (kg) N1],0,0,1)*TableauRecette[[#This Row],[poids / unite]]</f>
        <v>0</v>
      </c>
      <c r="M359" s="843">
        <f>_xlfn.XLOOKUP(TableauRecette[[#This Row],[ID]],TableauProduit[ID],TableauProduit[Total (kg) N2],0,0,1)*TableauRecette[[#This Row],[poids / unite]]</f>
        <v>0</v>
      </c>
      <c r="N359" s="843">
        <f>_xlfn.XLOOKUP(TableauRecette[[#This Row],[ID]],TableauProduit[ID],TableauProduit[Total (kg) N3],0,0,1)*TableauRecette[[#This Row],[poids / unite]]</f>
        <v>0</v>
      </c>
      <c r="O359" s="843">
        <f>_xlfn.XLOOKUP(TableauRecette[[#This Row],[ID]],TableauProduit[ID],TableauProduit[Total (kg) N4],0,0,1)*TableauRecette[[#This Row],[poids / unite]]</f>
        <v>0</v>
      </c>
      <c r="P359" s="843">
        <f>_xlfn.XLOOKUP(TableauRecette[[#This Row],[ID]],TableauProduit[ID],TableauProduit[Total (kg) N5],0,0,1)*TableauRecette[[#This Row],[poids / unite]]</f>
        <v>0</v>
      </c>
      <c r="Q359" s="843">
        <f>_xlfn.XLOOKUP(TableauRecette[[#This Row],[ID]],TableauProduit[ID],TableauProduit[Total (kg) N6],0,0,1)*TableauRecette[[#This Row],[poids / unite]]</f>
        <v>0</v>
      </c>
      <c r="R359" s="843">
        <f>_xlfn.XLOOKUP(TableauRecette[[#This Row],[ID]],TableauProduit[ID],TableauProduit[Total (kg) N7],0,0,1)*TableauRecette[[#This Row],[poids / unite]]</f>
        <v>0</v>
      </c>
      <c r="S359" s="843">
        <f>_xlfn.XLOOKUP(TableauRecette[[#This Row],[ID]],TableauProduit[ID],TableauProduit[Total (kg) N8],0,0,1)*TableauRecette[[#This Row],[poids / unite]]</f>
        <v>0</v>
      </c>
      <c r="T359" s="843">
        <f>_xlfn.XLOOKUP(TableauRecette[[#This Row],[ID]],TableauProduit[ID],TableauProduit[Total (kg) N9],0,0,1)*TableauRecette[[#This Row],[poids / unite]]</f>
        <v>0</v>
      </c>
    </row>
    <row r="360" spans="1:20">
      <c r="A360" s="521" t="s">
        <v>71</v>
      </c>
      <c r="B360" s="521" t="str">
        <f>TableauRecette[[#This Row],[Recette]]&amp;TableauRecette[[#This Row],[Conditionnement]]</f>
        <v>Sucre à l'hibiscusEpice 100ml</v>
      </c>
      <c r="C360" s="521" t="s">
        <v>377</v>
      </c>
      <c r="D360" s="522">
        <v>6</v>
      </c>
      <c r="E360" s="521" t="s">
        <v>55</v>
      </c>
      <c r="F360" s="522">
        <f>D360/SUMIFS(TableauRecette[Proportion],TableauRecette[Recette],TableauRecette[[#This Row],[Recette]],TableauRecette[Conditionnement],TableauRecette[[#This Row],[Conditionnement]])</f>
        <v>0.06</v>
      </c>
      <c r="G360" s="522">
        <f ca="1">_xlfn.XLOOKUP(TableauRecette[[#This Row],[Ingredients]],TableauIngredients[Ingredients],TableauIngredients[Prix d''achat (kg)],0)*TableauRecette[[#This Row],[poids / unite]]</f>
        <v>0.17600000000000002</v>
      </c>
      <c r="H360" s="522">
        <f>SUMIFS(TableauRecette[Proportion],TableauRecette[Recette],TableauRecette[[#This Row],[Recette]],TableauRecette[Conditionnement],TableauRecette[[#This Row],[Conditionnement]])</f>
        <v>100</v>
      </c>
      <c r="I360" s="522">
        <f ca="1">TableauRecette[[#This Row],[Proportion]]*TableauRecette[[#This Row],[Prix d''achat / kg]]/TableauRecette[[#This Row],[Total Proportion]]</f>
        <v>0</v>
      </c>
      <c r="J360" s="522"/>
      <c r="K360" s="841"/>
      <c r="L360" s="842">
        <f>_xlfn.XLOOKUP(TableauRecette[[#This Row],[ID]],TableauProduit[ID],TableauProduit[Total (kg) N1],0,0,1)*TableauRecette[[#This Row],[poids / unite]]</f>
        <v>0</v>
      </c>
      <c r="M360" s="843">
        <f>_xlfn.XLOOKUP(TableauRecette[[#This Row],[ID]],TableauProduit[ID],TableauProduit[Total (kg) N2],0,0,1)*TableauRecette[[#This Row],[poids / unite]]</f>
        <v>0</v>
      </c>
      <c r="N360" s="843">
        <f>_xlfn.XLOOKUP(TableauRecette[[#This Row],[ID]],TableauProduit[ID],TableauProduit[Total (kg) N3],0,0,1)*TableauRecette[[#This Row],[poids / unite]]</f>
        <v>0</v>
      </c>
      <c r="O360" s="843">
        <f>_xlfn.XLOOKUP(TableauRecette[[#This Row],[ID]],TableauProduit[ID],TableauProduit[Total (kg) N4],0,0,1)*TableauRecette[[#This Row],[poids / unite]]</f>
        <v>0</v>
      </c>
      <c r="P360" s="843">
        <f>_xlfn.XLOOKUP(TableauRecette[[#This Row],[ID]],TableauProduit[ID],TableauProduit[Total (kg) N5],0,0,1)*TableauRecette[[#This Row],[poids / unite]]</f>
        <v>0</v>
      </c>
      <c r="Q360" s="843">
        <f>_xlfn.XLOOKUP(TableauRecette[[#This Row],[ID]],TableauProduit[ID],TableauProduit[Total (kg) N6],0,0,1)*TableauRecette[[#This Row],[poids / unite]]</f>
        <v>0</v>
      </c>
      <c r="R360" s="843">
        <f>_xlfn.XLOOKUP(TableauRecette[[#This Row],[ID]],TableauProduit[ID],TableauProduit[Total (kg) N7],0,0,1)*TableauRecette[[#This Row],[poids / unite]]</f>
        <v>0</v>
      </c>
      <c r="S360" s="843">
        <f>_xlfn.XLOOKUP(TableauRecette[[#This Row],[ID]],TableauProduit[ID],TableauProduit[Total (kg) N8],0,0,1)*TableauRecette[[#This Row],[poids / unite]]</f>
        <v>0</v>
      </c>
      <c r="T360" s="843">
        <f>_xlfn.XLOOKUP(TableauRecette[[#This Row],[ID]],TableauProduit[ID],TableauProduit[Total (kg) N9],0,0,1)*TableauRecette[[#This Row],[poids / unite]]</f>
        <v>0</v>
      </c>
    </row>
    <row r="361" spans="1:20">
      <c r="A361" s="511" t="s">
        <v>62</v>
      </c>
      <c r="B361" s="511" t="str">
        <f>TableauRecette[[#This Row],[Recette]]&amp;TableauRecette[[#This Row],[Conditionnement]]</f>
        <v>Sucre aux fleuresEpice 100ml</v>
      </c>
      <c r="C361" s="511" t="s">
        <v>377</v>
      </c>
      <c r="D361" s="512">
        <v>220</v>
      </c>
      <c r="E361" s="511" t="s">
        <v>55</v>
      </c>
      <c r="F361" s="512">
        <f>D361/SUMIFS(TableauRecette[Proportion],TableauRecette[Recette],TableauRecette[[#This Row],[Recette]],TableauRecette[Conditionnement],TableauRecette[[#This Row],[Conditionnement]])</f>
        <v>0.94017094017094016</v>
      </c>
      <c r="G361" s="512">
        <f ca="1">_xlfn.XLOOKUP(TableauRecette[[#This Row],[Ingredients]],TableauIngredients[Ingredients],TableauIngredients[Prix d''achat (kg)],0)*TableauRecette[[#This Row],[poids / unite]]</f>
        <v>1.6719999999999999</v>
      </c>
      <c r="H361" s="512">
        <f>SUMIFS(TableauRecette[Proportion],TableauRecette[Recette],TableauRecette[[#This Row],[Recette]],TableauRecette[Conditionnement],TableauRecette[[#This Row],[Conditionnement]])</f>
        <v>234</v>
      </c>
      <c r="I361" s="512">
        <f ca="1">TableauRecette[[#This Row],[Proportion]]*TableauRecette[[#This Row],[Prix d''achat / kg]]/TableauRecette[[#This Row],[Total Proportion]]</f>
        <v>0</v>
      </c>
      <c r="J361" s="512"/>
      <c r="K361" s="844"/>
      <c r="L361" s="845">
        <f>_xlfn.XLOOKUP(TableauRecette[[#This Row],[ID]],TableauProduit[ID],TableauProduit[Total (kg) N1],0,0,1)*TableauRecette[[#This Row],[poids / unite]]</f>
        <v>29.615384615384617</v>
      </c>
      <c r="M361" s="846">
        <f>_xlfn.XLOOKUP(TableauRecette[[#This Row],[ID]],TableauProduit[ID],TableauProduit[Total (kg) N2],0,0,1)*TableauRecette[[#This Row],[poids / unite]]</f>
        <v>29.615384615384617</v>
      </c>
      <c r="N361" s="846">
        <f>_xlfn.XLOOKUP(TableauRecette[[#This Row],[ID]],TableauProduit[ID],TableauProduit[Total (kg) N3],0,0,1)*TableauRecette[[#This Row],[poids / unite]]</f>
        <v>29.615384615384617</v>
      </c>
      <c r="O361" s="846">
        <f>_xlfn.XLOOKUP(TableauRecette[[#This Row],[ID]],TableauProduit[ID],TableauProduit[Total (kg) N4],0,0,1)*TableauRecette[[#This Row],[poids / unite]]</f>
        <v>29.615384615384617</v>
      </c>
      <c r="P361" s="846">
        <f>_xlfn.XLOOKUP(TableauRecette[[#This Row],[ID]],TableauProduit[ID],TableauProduit[Total (kg) N5],0,0,1)*TableauRecette[[#This Row],[poids / unite]]</f>
        <v>29.615384615384617</v>
      </c>
      <c r="Q361" s="846">
        <f>_xlfn.XLOOKUP(TableauRecette[[#This Row],[ID]],TableauProduit[ID],TableauProduit[Total (kg) N6],0,0,1)*TableauRecette[[#This Row],[poids / unite]]</f>
        <v>29.615384615384617</v>
      </c>
      <c r="R361" s="846">
        <f>_xlfn.XLOOKUP(TableauRecette[[#This Row],[ID]],TableauProduit[ID],TableauProduit[Total (kg) N7],0,0,1)*TableauRecette[[#This Row],[poids / unite]]</f>
        <v>29.615384615384617</v>
      </c>
      <c r="S361" s="846">
        <f>_xlfn.XLOOKUP(TableauRecette[[#This Row],[ID]],TableauProduit[ID],TableauProduit[Total (kg) N8],0,0,1)*TableauRecette[[#This Row],[poids / unite]]</f>
        <v>29.615384615384617</v>
      </c>
      <c r="T361" s="846">
        <f>_xlfn.XLOOKUP(TableauRecette[[#This Row],[ID]],TableauProduit[ID],TableauProduit[Total (kg) N9],0,0,1)*TableauRecette[[#This Row],[poids / unite]]</f>
        <v>29.615384615384617</v>
      </c>
    </row>
    <row r="362" spans="1:20">
      <c r="A362" s="511" t="s">
        <v>62</v>
      </c>
      <c r="B362" s="511" t="str">
        <f>TableauRecette[[#This Row],[Recette]]&amp;TableauRecette[[#This Row],[Conditionnement]]</f>
        <v>Sucre aux fleuresEpice 100ml</v>
      </c>
      <c r="C362" s="511" t="s">
        <v>378</v>
      </c>
      <c r="D362" s="512">
        <v>1</v>
      </c>
      <c r="E362" s="511" t="s">
        <v>55</v>
      </c>
      <c r="F362" s="512">
        <f>D362/SUMIFS(TableauRecette[Proportion],TableauRecette[Recette],TableauRecette[[#This Row],[Recette]],TableauRecette[Conditionnement],TableauRecette[[#This Row],[Conditionnement]])</f>
        <v>4.2735042735042739E-3</v>
      </c>
      <c r="G362" s="512">
        <f ca="1">_xlfn.XLOOKUP(TableauRecette[[#This Row],[Ingredients]],TableauIngredients[Ingredients],TableauIngredients[Prix d''achat (kg)],0)*TableauRecette[[#This Row],[poids / unite]]</f>
        <v>0</v>
      </c>
      <c r="H362" s="512">
        <f>SUMIFS(TableauRecette[Proportion],TableauRecette[Recette],TableauRecette[[#This Row],[Recette]],TableauRecette[Conditionnement],TableauRecette[[#This Row],[Conditionnement]])</f>
        <v>234</v>
      </c>
      <c r="I362" s="512">
        <f ca="1">TableauRecette[[#This Row],[Proportion]]*TableauRecette[[#This Row],[Prix d''achat / kg]]/TableauRecette[[#This Row],[Total Proportion]]</f>
        <v>0</v>
      </c>
      <c r="J362" s="512"/>
      <c r="K362" s="844"/>
      <c r="L362" s="845">
        <f>_xlfn.XLOOKUP(TableauRecette[[#This Row],[ID]],TableauProduit[ID],TableauProduit[Total (kg) N1],0,0,1)*TableauRecette[[#This Row],[poids / unite]]</f>
        <v>0.13461538461538464</v>
      </c>
      <c r="M362" s="846">
        <f>_xlfn.XLOOKUP(TableauRecette[[#This Row],[ID]],TableauProduit[ID],TableauProduit[Total (kg) N2],0,0,1)*TableauRecette[[#This Row],[poids / unite]]</f>
        <v>0.13461538461538464</v>
      </c>
      <c r="N362" s="846">
        <f>_xlfn.XLOOKUP(TableauRecette[[#This Row],[ID]],TableauProduit[ID],TableauProduit[Total (kg) N3],0,0,1)*TableauRecette[[#This Row],[poids / unite]]</f>
        <v>0.13461538461538464</v>
      </c>
      <c r="O362" s="846">
        <f>_xlfn.XLOOKUP(TableauRecette[[#This Row],[ID]],TableauProduit[ID],TableauProduit[Total (kg) N4],0,0,1)*TableauRecette[[#This Row],[poids / unite]]</f>
        <v>0.13461538461538464</v>
      </c>
      <c r="P362" s="846">
        <f>_xlfn.XLOOKUP(TableauRecette[[#This Row],[ID]],TableauProduit[ID],TableauProduit[Total (kg) N5],0,0,1)*TableauRecette[[#This Row],[poids / unite]]</f>
        <v>0.13461538461538464</v>
      </c>
      <c r="Q362" s="846">
        <f>_xlfn.XLOOKUP(TableauRecette[[#This Row],[ID]],TableauProduit[ID],TableauProduit[Total (kg) N6],0,0,1)*TableauRecette[[#This Row],[poids / unite]]</f>
        <v>0.13461538461538464</v>
      </c>
      <c r="R362" s="846">
        <f>_xlfn.XLOOKUP(TableauRecette[[#This Row],[ID]],TableauProduit[ID],TableauProduit[Total (kg) N7],0,0,1)*TableauRecette[[#This Row],[poids / unite]]</f>
        <v>0.13461538461538464</v>
      </c>
      <c r="S362" s="846">
        <f>_xlfn.XLOOKUP(TableauRecette[[#This Row],[ID]],TableauProduit[ID],TableauProduit[Total (kg) N8],0,0,1)*TableauRecette[[#This Row],[poids / unite]]</f>
        <v>0.13461538461538464</v>
      </c>
      <c r="T362" s="846">
        <f>_xlfn.XLOOKUP(TableauRecette[[#This Row],[ID]],TableauProduit[ID],TableauProduit[Total (kg) N9],0,0,1)*TableauRecette[[#This Row],[poids / unite]]</f>
        <v>0.13461538461538464</v>
      </c>
    </row>
    <row r="363" spans="1:20">
      <c r="A363" s="511" t="s">
        <v>62</v>
      </c>
      <c r="B363" s="511" t="str">
        <f>TableauRecette[[#This Row],[Recette]]&amp;TableauRecette[[#This Row],[Conditionnement]]</f>
        <v>Sucre aux fleuresEpice 100ml</v>
      </c>
      <c r="C363" s="511" t="s">
        <v>379</v>
      </c>
      <c r="D363" s="512">
        <v>1</v>
      </c>
      <c r="E363" s="511" t="s">
        <v>55</v>
      </c>
      <c r="F363" s="512">
        <f>D363/SUMIFS(TableauRecette[Proportion],TableauRecette[Recette],TableauRecette[[#This Row],[Recette]],TableauRecette[Conditionnement],TableauRecette[[#This Row],[Conditionnement]])</f>
        <v>4.2735042735042739E-3</v>
      </c>
      <c r="G363" s="512">
        <f ca="1">_xlfn.XLOOKUP(TableauRecette[[#This Row],[Ingredients]],TableauIngredients[Ingredients],TableauIngredients[Prix d''achat (kg)],0)*TableauRecette[[#This Row],[poids / unite]]</f>
        <v>0</v>
      </c>
      <c r="H363" s="512">
        <f>SUMIFS(TableauRecette[Proportion],TableauRecette[Recette],TableauRecette[[#This Row],[Recette]],TableauRecette[Conditionnement],TableauRecette[[#This Row],[Conditionnement]])</f>
        <v>234</v>
      </c>
      <c r="I363" s="512">
        <f ca="1">TableauRecette[[#This Row],[Proportion]]*TableauRecette[[#This Row],[Prix d''achat / kg]]/TableauRecette[[#This Row],[Total Proportion]]</f>
        <v>0</v>
      </c>
      <c r="J363" s="512"/>
      <c r="K363" s="844"/>
      <c r="L363" s="845">
        <f>_xlfn.XLOOKUP(TableauRecette[[#This Row],[ID]],TableauProduit[ID],TableauProduit[Total (kg) N1],0,0,1)*TableauRecette[[#This Row],[poids / unite]]</f>
        <v>0.13461538461538464</v>
      </c>
      <c r="M363" s="846">
        <f>_xlfn.XLOOKUP(TableauRecette[[#This Row],[ID]],TableauProduit[ID],TableauProduit[Total (kg) N2],0,0,1)*TableauRecette[[#This Row],[poids / unite]]</f>
        <v>0.13461538461538464</v>
      </c>
      <c r="N363" s="846">
        <f>_xlfn.XLOOKUP(TableauRecette[[#This Row],[ID]],TableauProduit[ID],TableauProduit[Total (kg) N3],0,0,1)*TableauRecette[[#This Row],[poids / unite]]</f>
        <v>0.13461538461538464</v>
      </c>
      <c r="O363" s="846">
        <f>_xlfn.XLOOKUP(TableauRecette[[#This Row],[ID]],TableauProduit[ID],TableauProduit[Total (kg) N4],0,0,1)*TableauRecette[[#This Row],[poids / unite]]</f>
        <v>0.13461538461538464</v>
      </c>
      <c r="P363" s="846">
        <f>_xlfn.XLOOKUP(TableauRecette[[#This Row],[ID]],TableauProduit[ID],TableauProduit[Total (kg) N5],0,0,1)*TableauRecette[[#This Row],[poids / unite]]</f>
        <v>0.13461538461538464</v>
      </c>
      <c r="Q363" s="846">
        <f>_xlfn.XLOOKUP(TableauRecette[[#This Row],[ID]],TableauProduit[ID],TableauProduit[Total (kg) N6],0,0,1)*TableauRecette[[#This Row],[poids / unite]]</f>
        <v>0.13461538461538464</v>
      </c>
      <c r="R363" s="846">
        <f>_xlfn.XLOOKUP(TableauRecette[[#This Row],[ID]],TableauProduit[ID],TableauProduit[Total (kg) N7],0,0,1)*TableauRecette[[#This Row],[poids / unite]]</f>
        <v>0.13461538461538464</v>
      </c>
      <c r="S363" s="846">
        <f>_xlfn.XLOOKUP(TableauRecette[[#This Row],[ID]],TableauProduit[ID],TableauProduit[Total (kg) N8],0,0,1)*TableauRecette[[#This Row],[poids / unite]]</f>
        <v>0.13461538461538464</v>
      </c>
      <c r="T363" s="846">
        <f>_xlfn.XLOOKUP(TableauRecette[[#This Row],[ID]],TableauProduit[ID],TableauProduit[Total (kg) N9],0,0,1)*TableauRecette[[#This Row],[poids / unite]]</f>
        <v>0.13461538461538464</v>
      </c>
    </row>
    <row r="364" spans="1:20">
      <c r="A364" s="511" t="s">
        <v>62</v>
      </c>
      <c r="B364" s="511" t="str">
        <f>TableauRecette[[#This Row],[Recette]]&amp;TableauRecette[[#This Row],[Conditionnement]]</f>
        <v>Sucre aux fleuresEpice 100ml</v>
      </c>
      <c r="C364" s="511" t="s">
        <v>392</v>
      </c>
      <c r="D364" s="512">
        <v>1</v>
      </c>
      <c r="E364" s="511" t="s">
        <v>55</v>
      </c>
      <c r="F364" s="512">
        <f>D364/SUMIFS(TableauRecette[Proportion],TableauRecette[Recette],TableauRecette[[#This Row],[Recette]],TableauRecette[Conditionnement],TableauRecette[[#This Row],[Conditionnement]])</f>
        <v>4.2735042735042739E-3</v>
      </c>
      <c r="G364" s="512">
        <f ca="1">_xlfn.XLOOKUP(TableauRecette[[#This Row],[Ingredients]],TableauIngredients[Ingredients],TableauIngredients[Prix d''achat (kg)],0)*TableauRecette[[#This Row],[poids / unite]]</f>
        <v>0</v>
      </c>
      <c r="H364" s="512">
        <f>SUMIFS(TableauRecette[Proportion],TableauRecette[Recette],TableauRecette[[#This Row],[Recette]],TableauRecette[Conditionnement],TableauRecette[[#This Row],[Conditionnement]])</f>
        <v>234</v>
      </c>
      <c r="I364" s="512">
        <f ca="1">TableauRecette[[#This Row],[Proportion]]*TableauRecette[[#This Row],[Prix d''achat / kg]]/TableauRecette[[#This Row],[Total Proportion]]</f>
        <v>0</v>
      </c>
      <c r="J364" s="512"/>
      <c r="K364" s="844"/>
      <c r="L364" s="845">
        <f>_xlfn.XLOOKUP(TableauRecette[[#This Row],[ID]],TableauProduit[ID],TableauProduit[Total (kg) N1],0,0,1)*TableauRecette[[#This Row],[poids / unite]]</f>
        <v>0.13461538461538464</v>
      </c>
      <c r="M364" s="846">
        <f>_xlfn.XLOOKUP(TableauRecette[[#This Row],[ID]],TableauProduit[ID],TableauProduit[Total (kg) N2],0,0,1)*TableauRecette[[#This Row],[poids / unite]]</f>
        <v>0.13461538461538464</v>
      </c>
      <c r="N364" s="846">
        <f>_xlfn.XLOOKUP(TableauRecette[[#This Row],[ID]],TableauProduit[ID],TableauProduit[Total (kg) N3],0,0,1)*TableauRecette[[#This Row],[poids / unite]]</f>
        <v>0.13461538461538464</v>
      </c>
      <c r="O364" s="846">
        <f>_xlfn.XLOOKUP(TableauRecette[[#This Row],[ID]],TableauProduit[ID],TableauProduit[Total (kg) N4],0,0,1)*TableauRecette[[#This Row],[poids / unite]]</f>
        <v>0.13461538461538464</v>
      </c>
      <c r="P364" s="846">
        <f>_xlfn.XLOOKUP(TableauRecette[[#This Row],[ID]],TableauProduit[ID],TableauProduit[Total (kg) N5],0,0,1)*TableauRecette[[#This Row],[poids / unite]]</f>
        <v>0.13461538461538464</v>
      </c>
      <c r="Q364" s="846">
        <f>_xlfn.XLOOKUP(TableauRecette[[#This Row],[ID]],TableauProduit[ID],TableauProduit[Total (kg) N6],0,0,1)*TableauRecette[[#This Row],[poids / unite]]</f>
        <v>0.13461538461538464</v>
      </c>
      <c r="R364" s="846">
        <f>_xlfn.XLOOKUP(TableauRecette[[#This Row],[ID]],TableauProduit[ID],TableauProduit[Total (kg) N7],0,0,1)*TableauRecette[[#This Row],[poids / unite]]</f>
        <v>0.13461538461538464</v>
      </c>
      <c r="S364" s="846">
        <f>_xlfn.XLOOKUP(TableauRecette[[#This Row],[ID]],TableauProduit[ID],TableauProduit[Total (kg) N8],0,0,1)*TableauRecette[[#This Row],[poids / unite]]</f>
        <v>0.13461538461538464</v>
      </c>
      <c r="T364" s="846">
        <f>_xlfn.XLOOKUP(TableauRecette[[#This Row],[ID]],TableauProduit[ID],TableauProduit[Total (kg) N9],0,0,1)*TableauRecette[[#This Row],[poids / unite]]</f>
        <v>0.13461538461538464</v>
      </c>
    </row>
    <row r="365" spans="1:20">
      <c r="A365" s="511" t="s">
        <v>62</v>
      </c>
      <c r="B365" s="511" t="str">
        <f>TableauRecette[[#This Row],[Recette]]&amp;TableauRecette[[#This Row],[Conditionnement]]</f>
        <v>Sucre aux fleuresEpice 100ml</v>
      </c>
      <c r="C365" s="511" t="s">
        <v>393</v>
      </c>
      <c r="D365" s="512">
        <v>1</v>
      </c>
      <c r="E365" s="511" t="s">
        <v>55</v>
      </c>
      <c r="F365" s="512">
        <f>D365/SUMIFS(TableauRecette[Proportion],TableauRecette[Recette],TableauRecette[[#This Row],[Recette]],TableauRecette[Conditionnement],TableauRecette[[#This Row],[Conditionnement]])</f>
        <v>4.2735042735042739E-3</v>
      </c>
      <c r="G365" s="512">
        <f ca="1">_xlfn.XLOOKUP(TableauRecette[[#This Row],[Ingredients]],TableauIngredients[Ingredients],TableauIngredients[Prix d''achat (kg)],0)*TableauRecette[[#This Row],[poids / unite]]</f>
        <v>0</v>
      </c>
      <c r="H365" s="512">
        <f>SUMIFS(TableauRecette[Proportion],TableauRecette[Recette],TableauRecette[[#This Row],[Recette]],TableauRecette[Conditionnement],TableauRecette[[#This Row],[Conditionnement]])</f>
        <v>234</v>
      </c>
      <c r="I365" s="512">
        <f ca="1">TableauRecette[[#This Row],[Proportion]]*TableauRecette[[#This Row],[Prix d''achat / kg]]/TableauRecette[[#This Row],[Total Proportion]]</f>
        <v>0</v>
      </c>
      <c r="J365" s="512"/>
      <c r="K365" s="844"/>
      <c r="L365" s="845">
        <f>_xlfn.XLOOKUP(TableauRecette[[#This Row],[ID]],TableauProduit[ID],TableauProduit[Total (kg) N1],0,0,1)*TableauRecette[[#This Row],[poids / unite]]</f>
        <v>0.13461538461538464</v>
      </c>
      <c r="M365" s="846">
        <f>_xlfn.XLOOKUP(TableauRecette[[#This Row],[ID]],TableauProduit[ID],TableauProduit[Total (kg) N2],0,0,1)*TableauRecette[[#This Row],[poids / unite]]</f>
        <v>0.13461538461538464</v>
      </c>
      <c r="N365" s="846">
        <f>_xlfn.XLOOKUP(TableauRecette[[#This Row],[ID]],TableauProduit[ID],TableauProduit[Total (kg) N3],0,0,1)*TableauRecette[[#This Row],[poids / unite]]</f>
        <v>0.13461538461538464</v>
      </c>
      <c r="O365" s="846">
        <f>_xlfn.XLOOKUP(TableauRecette[[#This Row],[ID]],TableauProduit[ID],TableauProduit[Total (kg) N4],0,0,1)*TableauRecette[[#This Row],[poids / unite]]</f>
        <v>0.13461538461538464</v>
      </c>
      <c r="P365" s="846">
        <f>_xlfn.XLOOKUP(TableauRecette[[#This Row],[ID]],TableauProduit[ID],TableauProduit[Total (kg) N5],0,0,1)*TableauRecette[[#This Row],[poids / unite]]</f>
        <v>0.13461538461538464</v>
      </c>
      <c r="Q365" s="846">
        <f>_xlfn.XLOOKUP(TableauRecette[[#This Row],[ID]],TableauProduit[ID],TableauProduit[Total (kg) N6],0,0,1)*TableauRecette[[#This Row],[poids / unite]]</f>
        <v>0.13461538461538464</v>
      </c>
      <c r="R365" s="846">
        <f>_xlfn.XLOOKUP(TableauRecette[[#This Row],[ID]],TableauProduit[ID],TableauProduit[Total (kg) N7],0,0,1)*TableauRecette[[#This Row],[poids / unite]]</f>
        <v>0.13461538461538464</v>
      </c>
      <c r="S365" s="846">
        <f>_xlfn.XLOOKUP(TableauRecette[[#This Row],[ID]],TableauProduit[ID],TableauProduit[Total (kg) N8],0,0,1)*TableauRecette[[#This Row],[poids / unite]]</f>
        <v>0.13461538461538464</v>
      </c>
      <c r="T365" s="846">
        <f>_xlfn.XLOOKUP(TableauRecette[[#This Row],[ID]],TableauProduit[ID],TableauProduit[Total (kg) N9],0,0,1)*TableauRecette[[#This Row],[poids / unite]]</f>
        <v>0.13461538461538464</v>
      </c>
    </row>
    <row r="366" spans="1:20">
      <c r="A366" s="511" t="s">
        <v>62</v>
      </c>
      <c r="B366" s="511" t="str">
        <f>TableauRecette[[#This Row],[Recette]]&amp;TableauRecette[[#This Row],[Conditionnement]]</f>
        <v>Sucre aux fleuresEpice 100ml</v>
      </c>
      <c r="C366" s="511" t="s">
        <v>394</v>
      </c>
      <c r="D366" s="512">
        <v>1</v>
      </c>
      <c r="E366" s="511" t="s">
        <v>55</v>
      </c>
      <c r="F366" s="512">
        <f>D366/SUMIFS(TableauRecette[Proportion],TableauRecette[Recette],TableauRecette[[#This Row],[Recette]],TableauRecette[Conditionnement],TableauRecette[[#This Row],[Conditionnement]])</f>
        <v>4.2735042735042739E-3</v>
      </c>
      <c r="G366" s="512">
        <f ca="1">_xlfn.XLOOKUP(TableauRecette[[#This Row],[Ingredients]],TableauIngredients[Ingredients],TableauIngredients[Prix d''achat (kg)],0)*TableauRecette[[#This Row],[poids / unite]]</f>
        <v>0</v>
      </c>
      <c r="H366" s="512">
        <f>SUMIFS(TableauRecette[Proportion],TableauRecette[Recette],TableauRecette[[#This Row],[Recette]],TableauRecette[Conditionnement],TableauRecette[[#This Row],[Conditionnement]])</f>
        <v>234</v>
      </c>
      <c r="I366" s="512">
        <f ca="1">TableauRecette[[#This Row],[Proportion]]*TableauRecette[[#This Row],[Prix d''achat / kg]]/TableauRecette[[#This Row],[Total Proportion]]</f>
        <v>0</v>
      </c>
      <c r="J366" s="512"/>
      <c r="K366" s="844"/>
      <c r="L366" s="845">
        <f>_xlfn.XLOOKUP(TableauRecette[[#This Row],[ID]],TableauProduit[ID],TableauProduit[Total (kg) N1],0,0,1)*TableauRecette[[#This Row],[poids / unite]]</f>
        <v>0.13461538461538464</v>
      </c>
      <c r="M366" s="846">
        <f>_xlfn.XLOOKUP(TableauRecette[[#This Row],[ID]],TableauProduit[ID],TableauProduit[Total (kg) N2],0,0,1)*TableauRecette[[#This Row],[poids / unite]]</f>
        <v>0.13461538461538464</v>
      </c>
      <c r="N366" s="846">
        <f>_xlfn.XLOOKUP(TableauRecette[[#This Row],[ID]],TableauProduit[ID],TableauProduit[Total (kg) N3],0,0,1)*TableauRecette[[#This Row],[poids / unite]]</f>
        <v>0.13461538461538464</v>
      </c>
      <c r="O366" s="846">
        <f>_xlfn.XLOOKUP(TableauRecette[[#This Row],[ID]],TableauProduit[ID],TableauProduit[Total (kg) N4],0,0,1)*TableauRecette[[#This Row],[poids / unite]]</f>
        <v>0.13461538461538464</v>
      </c>
      <c r="P366" s="846">
        <f>_xlfn.XLOOKUP(TableauRecette[[#This Row],[ID]],TableauProduit[ID],TableauProduit[Total (kg) N5],0,0,1)*TableauRecette[[#This Row],[poids / unite]]</f>
        <v>0.13461538461538464</v>
      </c>
      <c r="Q366" s="846">
        <f>_xlfn.XLOOKUP(TableauRecette[[#This Row],[ID]],TableauProduit[ID],TableauProduit[Total (kg) N6],0,0,1)*TableauRecette[[#This Row],[poids / unite]]</f>
        <v>0.13461538461538464</v>
      </c>
      <c r="R366" s="846">
        <f>_xlfn.XLOOKUP(TableauRecette[[#This Row],[ID]],TableauProduit[ID],TableauProduit[Total (kg) N7],0,0,1)*TableauRecette[[#This Row],[poids / unite]]</f>
        <v>0.13461538461538464</v>
      </c>
      <c r="S366" s="846">
        <f>_xlfn.XLOOKUP(TableauRecette[[#This Row],[ID]],TableauProduit[ID],TableauProduit[Total (kg) N8],0,0,1)*TableauRecette[[#This Row],[poids / unite]]</f>
        <v>0.13461538461538464</v>
      </c>
      <c r="T366" s="846">
        <f>_xlfn.XLOOKUP(TableauRecette[[#This Row],[ID]],TableauProduit[ID],TableauProduit[Total (kg) N9],0,0,1)*TableauRecette[[#This Row],[poids / unite]]</f>
        <v>0.13461538461538464</v>
      </c>
    </row>
    <row r="367" spans="1:20">
      <c r="A367" s="511" t="s">
        <v>62</v>
      </c>
      <c r="B367" s="511" t="str">
        <f>TableauRecette[[#This Row],[Recette]]&amp;TableauRecette[[#This Row],[Conditionnement]]</f>
        <v>Sucre aux fleuresEpice 100ml</v>
      </c>
      <c r="C367" s="511" t="s">
        <v>786</v>
      </c>
      <c r="D367" s="512">
        <v>1</v>
      </c>
      <c r="E367" s="511" t="s">
        <v>55</v>
      </c>
      <c r="F367" s="512">
        <f>D367/SUMIFS(TableauRecette[Proportion],TableauRecette[Recette],TableauRecette[[#This Row],[Recette]],TableauRecette[Conditionnement],TableauRecette[[#This Row],[Conditionnement]])</f>
        <v>4.2735042735042739E-3</v>
      </c>
      <c r="G367" s="512">
        <f ca="1">_xlfn.XLOOKUP(TableauRecette[[#This Row],[Ingredients]],TableauIngredients[Ingredients],TableauIngredients[Prix d''achat (kg)],0)*TableauRecette[[#This Row],[poids / unite]]</f>
        <v>0</v>
      </c>
      <c r="H367" s="512">
        <f>SUMIFS(TableauRecette[Proportion],TableauRecette[Recette],TableauRecette[[#This Row],[Recette]],TableauRecette[Conditionnement],TableauRecette[[#This Row],[Conditionnement]])</f>
        <v>234</v>
      </c>
      <c r="I367" s="512">
        <f ca="1">TableauRecette[[#This Row],[Proportion]]*TableauRecette[[#This Row],[Prix d''achat / kg]]/TableauRecette[[#This Row],[Total Proportion]]</f>
        <v>0</v>
      </c>
      <c r="J367" s="512"/>
      <c r="K367" s="844"/>
      <c r="L367" s="845">
        <f>_xlfn.XLOOKUP(TableauRecette[[#This Row],[ID]],TableauProduit[ID],TableauProduit[Total (kg) N1],0,0,1)*TableauRecette[[#This Row],[poids / unite]]</f>
        <v>0.13461538461538464</v>
      </c>
      <c r="M367" s="846">
        <f>_xlfn.XLOOKUP(TableauRecette[[#This Row],[ID]],TableauProduit[ID],TableauProduit[Total (kg) N2],0,0,1)*TableauRecette[[#This Row],[poids / unite]]</f>
        <v>0.13461538461538464</v>
      </c>
      <c r="N367" s="846">
        <f>_xlfn.XLOOKUP(TableauRecette[[#This Row],[ID]],TableauProduit[ID],TableauProduit[Total (kg) N3],0,0,1)*TableauRecette[[#This Row],[poids / unite]]</f>
        <v>0.13461538461538464</v>
      </c>
      <c r="O367" s="846">
        <f>_xlfn.XLOOKUP(TableauRecette[[#This Row],[ID]],TableauProduit[ID],TableauProduit[Total (kg) N4],0,0,1)*TableauRecette[[#This Row],[poids / unite]]</f>
        <v>0.13461538461538464</v>
      </c>
      <c r="P367" s="846">
        <f>_xlfn.XLOOKUP(TableauRecette[[#This Row],[ID]],TableauProduit[ID],TableauProduit[Total (kg) N5],0,0,1)*TableauRecette[[#This Row],[poids / unite]]</f>
        <v>0.13461538461538464</v>
      </c>
      <c r="Q367" s="846">
        <f>_xlfn.XLOOKUP(TableauRecette[[#This Row],[ID]],TableauProduit[ID],TableauProduit[Total (kg) N6],0,0,1)*TableauRecette[[#This Row],[poids / unite]]</f>
        <v>0.13461538461538464</v>
      </c>
      <c r="R367" s="846">
        <f>_xlfn.XLOOKUP(TableauRecette[[#This Row],[ID]],TableauProduit[ID],TableauProduit[Total (kg) N7],0,0,1)*TableauRecette[[#This Row],[poids / unite]]</f>
        <v>0.13461538461538464</v>
      </c>
      <c r="S367" s="846">
        <f>_xlfn.XLOOKUP(TableauRecette[[#This Row],[ID]],TableauProduit[ID],TableauProduit[Total (kg) N8],0,0,1)*TableauRecette[[#This Row],[poids / unite]]</f>
        <v>0.13461538461538464</v>
      </c>
      <c r="T367" s="846">
        <f>_xlfn.XLOOKUP(TableauRecette[[#This Row],[ID]],TableauProduit[ID],TableauProduit[Total (kg) N9],0,0,1)*TableauRecette[[#This Row],[poids / unite]]</f>
        <v>0.13461538461538464</v>
      </c>
    </row>
    <row r="368" spans="1:20">
      <c r="A368" s="511" t="s">
        <v>62</v>
      </c>
      <c r="B368" s="511" t="str">
        <f>TableauRecette[[#This Row],[Recette]]&amp;TableauRecette[[#This Row],[Conditionnement]]</f>
        <v>Sucre aux fleuresEpice 100ml</v>
      </c>
      <c r="C368" s="511" t="s">
        <v>396</v>
      </c>
      <c r="D368" s="512">
        <v>1</v>
      </c>
      <c r="E368" s="511" t="s">
        <v>55</v>
      </c>
      <c r="F368" s="512">
        <f>D368/SUMIFS(TableauRecette[Proportion],TableauRecette[Recette],TableauRecette[[#This Row],[Recette]],TableauRecette[Conditionnement],TableauRecette[[#This Row],[Conditionnement]])</f>
        <v>4.2735042735042739E-3</v>
      </c>
      <c r="G368" s="512">
        <f ca="1">_xlfn.XLOOKUP(TableauRecette[[#This Row],[Ingredients]],TableauIngredients[Ingredients],TableauIngredients[Prix d''achat (kg)],0)*TableauRecette[[#This Row],[poids / unite]]</f>
        <v>0</v>
      </c>
      <c r="H368" s="512">
        <f>SUMIFS(TableauRecette[Proportion],TableauRecette[Recette],TableauRecette[[#This Row],[Recette]],TableauRecette[Conditionnement],TableauRecette[[#This Row],[Conditionnement]])</f>
        <v>234</v>
      </c>
      <c r="I368" s="512">
        <f ca="1">TableauRecette[[#This Row],[Proportion]]*TableauRecette[[#This Row],[Prix d''achat / kg]]/TableauRecette[[#This Row],[Total Proportion]]</f>
        <v>0</v>
      </c>
      <c r="J368" s="512"/>
      <c r="K368" s="844"/>
      <c r="L368" s="845">
        <f>_xlfn.XLOOKUP(TableauRecette[[#This Row],[ID]],TableauProduit[ID],TableauProduit[Total (kg) N1],0,0,1)*TableauRecette[[#This Row],[poids / unite]]</f>
        <v>0.13461538461538464</v>
      </c>
      <c r="M368" s="846">
        <f>_xlfn.XLOOKUP(TableauRecette[[#This Row],[ID]],TableauProduit[ID],TableauProduit[Total (kg) N2],0,0,1)*TableauRecette[[#This Row],[poids / unite]]</f>
        <v>0.13461538461538464</v>
      </c>
      <c r="N368" s="846">
        <f>_xlfn.XLOOKUP(TableauRecette[[#This Row],[ID]],TableauProduit[ID],TableauProduit[Total (kg) N3],0,0,1)*TableauRecette[[#This Row],[poids / unite]]</f>
        <v>0.13461538461538464</v>
      </c>
      <c r="O368" s="846">
        <f>_xlfn.XLOOKUP(TableauRecette[[#This Row],[ID]],TableauProduit[ID],TableauProduit[Total (kg) N4],0,0,1)*TableauRecette[[#This Row],[poids / unite]]</f>
        <v>0.13461538461538464</v>
      </c>
      <c r="P368" s="846">
        <f>_xlfn.XLOOKUP(TableauRecette[[#This Row],[ID]],TableauProduit[ID],TableauProduit[Total (kg) N5],0,0,1)*TableauRecette[[#This Row],[poids / unite]]</f>
        <v>0.13461538461538464</v>
      </c>
      <c r="Q368" s="846">
        <f>_xlfn.XLOOKUP(TableauRecette[[#This Row],[ID]],TableauProduit[ID],TableauProduit[Total (kg) N6],0,0,1)*TableauRecette[[#This Row],[poids / unite]]</f>
        <v>0.13461538461538464</v>
      </c>
      <c r="R368" s="846">
        <f>_xlfn.XLOOKUP(TableauRecette[[#This Row],[ID]],TableauProduit[ID],TableauProduit[Total (kg) N7],0,0,1)*TableauRecette[[#This Row],[poids / unite]]</f>
        <v>0.13461538461538464</v>
      </c>
      <c r="S368" s="846">
        <f>_xlfn.XLOOKUP(TableauRecette[[#This Row],[ID]],TableauProduit[ID],TableauProduit[Total (kg) N8],0,0,1)*TableauRecette[[#This Row],[poids / unite]]</f>
        <v>0.13461538461538464</v>
      </c>
      <c r="T368" s="846">
        <f>_xlfn.XLOOKUP(TableauRecette[[#This Row],[ID]],TableauProduit[ID],TableauProduit[Total (kg) N9],0,0,1)*TableauRecette[[#This Row],[poids / unite]]</f>
        <v>0.13461538461538464</v>
      </c>
    </row>
    <row r="369" spans="1:20">
      <c r="A369" s="511" t="s">
        <v>62</v>
      </c>
      <c r="B369" s="511" t="str">
        <f>TableauRecette[[#This Row],[Recette]]&amp;TableauRecette[[#This Row],[Conditionnement]]</f>
        <v>Sucre aux fleuresEpice 100ml</v>
      </c>
      <c r="C369" s="511" t="s">
        <v>787</v>
      </c>
      <c r="D369" s="512">
        <v>1</v>
      </c>
      <c r="E369" s="511" t="s">
        <v>55</v>
      </c>
      <c r="F369" s="512">
        <f>D369/SUMIFS(TableauRecette[Proportion],TableauRecette[Recette],TableauRecette[[#This Row],[Recette]],TableauRecette[Conditionnement],TableauRecette[[#This Row],[Conditionnement]])</f>
        <v>4.2735042735042739E-3</v>
      </c>
      <c r="G369" s="512">
        <f ca="1">_xlfn.XLOOKUP(TableauRecette[[#This Row],[Ingredients]],TableauIngredients[Ingredients],TableauIngredients[Prix d''achat (kg)],0)*TableauRecette[[#This Row],[poids / unite]]</f>
        <v>0</v>
      </c>
      <c r="H369" s="512">
        <f>SUMIFS(TableauRecette[Proportion],TableauRecette[Recette],TableauRecette[[#This Row],[Recette]],TableauRecette[Conditionnement],TableauRecette[[#This Row],[Conditionnement]])</f>
        <v>234</v>
      </c>
      <c r="I369" s="512">
        <f ca="1">TableauRecette[[#This Row],[Proportion]]*TableauRecette[[#This Row],[Prix d''achat / kg]]/TableauRecette[[#This Row],[Total Proportion]]</f>
        <v>0</v>
      </c>
      <c r="J369" s="512"/>
      <c r="K369" s="844"/>
      <c r="L369" s="845">
        <f>_xlfn.XLOOKUP(TableauRecette[[#This Row],[ID]],TableauProduit[ID],TableauProduit[Total (kg) N1],0,0,1)*TableauRecette[[#This Row],[poids / unite]]</f>
        <v>0.13461538461538464</v>
      </c>
      <c r="M369" s="846">
        <f>_xlfn.XLOOKUP(TableauRecette[[#This Row],[ID]],TableauProduit[ID],TableauProduit[Total (kg) N2],0,0,1)*TableauRecette[[#This Row],[poids / unite]]</f>
        <v>0.13461538461538464</v>
      </c>
      <c r="N369" s="846">
        <f>_xlfn.XLOOKUP(TableauRecette[[#This Row],[ID]],TableauProduit[ID],TableauProduit[Total (kg) N3],0,0,1)*TableauRecette[[#This Row],[poids / unite]]</f>
        <v>0.13461538461538464</v>
      </c>
      <c r="O369" s="846">
        <f>_xlfn.XLOOKUP(TableauRecette[[#This Row],[ID]],TableauProduit[ID],TableauProduit[Total (kg) N4],0,0,1)*TableauRecette[[#This Row],[poids / unite]]</f>
        <v>0.13461538461538464</v>
      </c>
      <c r="P369" s="846">
        <f>_xlfn.XLOOKUP(TableauRecette[[#This Row],[ID]],TableauProduit[ID],TableauProduit[Total (kg) N5],0,0,1)*TableauRecette[[#This Row],[poids / unite]]</f>
        <v>0.13461538461538464</v>
      </c>
      <c r="Q369" s="846">
        <f>_xlfn.XLOOKUP(TableauRecette[[#This Row],[ID]],TableauProduit[ID],TableauProduit[Total (kg) N6],0,0,1)*TableauRecette[[#This Row],[poids / unite]]</f>
        <v>0.13461538461538464</v>
      </c>
      <c r="R369" s="846">
        <f>_xlfn.XLOOKUP(TableauRecette[[#This Row],[ID]],TableauProduit[ID],TableauProduit[Total (kg) N7],0,0,1)*TableauRecette[[#This Row],[poids / unite]]</f>
        <v>0.13461538461538464</v>
      </c>
      <c r="S369" s="846">
        <f>_xlfn.XLOOKUP(TableauRecette[[#This Row],[ID]],TableauProduit[ID],TableauProduit[Total (kg) N8],0,0,1)*TableauRecette[[#This Row],[poids / unite]]</f>
        <v>0.13461538461538464</v>
      </c>
      <c r="T369" s="846">
        <f>_xlfn.XLOOKUP(TableauRecette[[#This Row],[ID]],TableauProduit[ID],TableauProduit[Total (kg) N9],0,0,1)*TableauRecette[[#This Row],[poids / unite]]</f>
        <v>0.13461538461538464</v>
      </c>
    </row>
    <row r="370" spans="1:20">
      <c r="A370" s="511" t="s">
        <v>62</v>
      </c>
      <c r="B370" s="511" t="str">
        <f>TableauRecette[[#This Row],[Recette]]&amp;TableauRecette[[#This Row],[Conditionnement]]</f>
        <v>Sucre aux fleuresEpice 100ml</v>
      </c>
      <c r="C370" s="511" t="s">
        <v>398</v>
      </c>
      <c r="D370" s="512">
        <v>1</v>
      </c>
      <c r="E370" s="511" t="s">
        <v>55</v>
      </c>
      <c r="F370" s="512">
        <f>D370/SUMIFS(TableauRecette[Proportion],TableauRecette[Recette],TableauRecette[[#This Row],[Recette]],TableauRecette[Conditionnement],TableauRecette[[#This Row],[Conditionnement]])</f>
        <v>4.2735042735042739E-3</v>
      </c>
      <c r="G370" s="512">
        <f ca="1">_xlfn.XLOOKUP(TableauRecette[[#This Row],[Ingredients]],TableauIngredients[Ingredients],TableauIngredients[Prix d''achat (kg)],0)*TableauRecette[[#This Row],[poids / unite]]</f>
        <v>0</v>
      </c>
      <c r="H370" s="512">
        <f>SUMIFS(TableauRecette[Proportion],TableauRecette[Recette],TableauRecette[[#This Row],[Recette]],TableauRecette[Conditionnement],TableauRecette[[#This Row],[Conditionnement]])</f>
        <v>234</v>
      </c>
      <c r="I370" s="512">
        <f ca="1">TableauRecette[[#This Row],[Proportion]]*TableauRecette[[#This Row],[Prix d''achat / kg]]/TableauRecette[[#This Row],[Total Proportion]]</f>
        <v>0</v>
      </c>
      <c r="J370" s="512"/>
      <c r="K370" s="844"/>
      <c r="L370" s="845">
        <f>_xlfn.XLOOKUP(TableauRecette[[#This Row],[ID]],TableauProduit[ID],TableauProduit[Total (kg) N1],0,0,1)*TableauRecette[[#This Row],[poids / unite]]</f>
        <v>0.13461538461538464</v>
      </c>
      <c r="M370" s="846">
        <f>_xlfn.XLOOKUP(TableauRecette[[#This Row],[ID]],TableauProduit[ID],TableauProduit[Total (kg) N2],0,0,1)*TableauRecette[[#This Row],[poids / unite]]</f>
        <v>0.13461538461538464</v>
      </c>
      <c r="N370" s="846">
        <f>_xlfn.XLOOKUP(TableauRecette[[#This Row],[ID]],TableauProduit[ID],TableauProduit[Total (kg) N3],0,0,1)*TableauRecette[[#This Row],[poids / unite]]</f>
        <v>0.13461538461538464</v>
      </c>
      <c r="O370" s="846">
        <f>_xlfn.XLOOKUP(TableauRecette[[#This Row],[ID]],TableauProduit[ID],TableauProduit[Total (kg) N4],0,0,1)*TableauRecette[[#This Row],[poids / unite]]</f>
        <v>0.13461538461538464</v>
      </c>
      <c r="P370" s="846">
        <f>_xlfn.XLOOKUP(TableauRecette[[#This Row],[ID]],TableauProduit[ID],TableauProduit[Total (kg) N5],0,0,1)*TableauRecette[[#This Row],[poids / unite]]</f>
        <v>0.13461538461538464</v>
      </c>
      <c r="Q370" s="846">
        <f>_xlfn.XLOOKUP(TableauRecette[[#This Row],[ID]],TableauProduit[ID],TableauProduit[Total (kg) N6],0,0,1)*TableauRecette[[#This Row],[poids / unite]]</f>
        <v>0.13461538461538464</v>
      </c>
      <c r="R370" s="846">
        <f>_xlfn.XLOOKUP(TableauRecette[[#This Row],[ID]],TableauProduit[ID],TableauProduit[Total (kg) N7],0,0,1)*TableauRecette[[#This Row],[poids / unite]]</f>
        <v>0.13461538461538464</v>
      </c>
      <c r="S370" s="846">
        <f>_xlfn.XLOOKUP(TableauRecette[[#This Row],[ID]],TableauProduit[ID],TableauProduit[Total (kg) N8],0,0,1)*TableauRecette[[#This Row],[poids / unite]]</f>
        <v>0.13461538461538464</v>
      </c>
      <c r="T370" s="846">
        <f>_xlfn.XLOOKUP(TableauRecette[[#This Row],[ID]],TableauProduit[ID],TableauProduit[Total (kg) N9],0,0,1)*TableauRecette[[#This Row],[poids / unite]]</f>
        <v>0.13461538461538464</v>
      </c>
    </row>
    <row r="371" spans="1:20">
      <c r="A371" s="511" t="s">
        <v>62</v>
      </c>
      <c r="B371" s="511" t="str">
        <f>TableauRecette[[#This Row],[Recette]]&amp;TableauRecette[[#This Row],[Conditionnement]]</f>
        <v>Sucre aux fleuresEpice 100ml</v>
      </c>
      <c r="C371" s="511" t="s">
        <v>399</v>
      </c>
      <c r="D371" s="512">
        <v>1</v>
      </c>
      <c r="E371" s="511" t="s">
        <v>55</v>
      </c>
      <c r="F371" s="512">
        <f>D371/SUMIFS(TableauRecette[Proportion],TableauRecette[Recette],TableauRecette[[#This Row],[Recette]],TableauRecette[Conditionnement],TableauRecette[[#This Row],[Conditionnement]])</f>
        <v>4.2735042735042739E-3</v>
      </c>
      <c r="G371" s="512">
        <f ca="1">_xlfn.XLOOKUP(TableauRecette[[#This Row],[Ingredients]],TableauIngredients[Ingredients],TableauIngredients[Prix d''achat (kg)],0)*TableauRecette[[#This Row],[poids / unite]]</f>
        <v>0</v>
      </c>
      <c r="H371" s="512">
        <f>SUMIFS(TableauRecette[Proportion],TableauRecette[Recette],TableauRecette[[#This Row],[Recette]],TableauRecette[Conditionnement],TableauRecette[[#This Row],[Conditionnement]])</f>
        <v>234</v>
      </c>
      <c r="I371" s="512">
        <f ca="1">TableauRecette[[#This Row],[Proportion]]*TableauRecette[[#This Row],[Prix d''achat / kg]]/TableauRecette[[#This Row],[Total Proportion]]</f>
        <v>0</v>
      </c>
      <c r="J371" s="512"/>
      <c r="K371" s="844"/>
      <c r="L371" s="845">
        <f>_xlfn.XLOOKUP(TableauRecette[[#This Row],[ID]],TableauProduit[ID],TableauProduit[Total (kg) N1],0,0,1)*TableauRecette[[#This Row],[poids / unite]]</f>
        <v>0.13461538461538464</v>
      </c>
      <c r="M371" s="846">
        <f>_xlfn.XLOOKUP(TableauRecette[[#This Row],[ID]],TableauProduit[ID],TableauProduit[Total (kg) N2],0,0,1)*TableauRecette[[#This Row],[poids / unite]]</f>
        <v>0.13461538461538464</v>
      </c>
      <c r="N371" s="846">
        <f>_xlfn.XLOOKUP(TableauRecette[[#This Row],[ID]],TableauProduit[ID],TableauProduit[Total (kg) N3],0,0,1)*TableauRecette[[#This Row],[poids / unite]]</f>
        <v>0.13461538461538464</v>
      </c>
      <c r="O371" s="846">
        <f>_xlfn.XLOOKUP(TableauRecette[[#This Row],[ID]],TableauProduit[ID],TableauProduit[Total (kg) N4],0,0,1)*TableauRecette[[#This Row],[poids / unite]]</f>
        <v>0.13461538461538464</v>
      </c>
      <c r="P371" s="846">
        <f>_xlfn.XLOOKUP(TableauRecette[[#This Row],[ID]],TableauProduit[ID],TableauProduit[Total (kg) N5],0,0,1)*TableauRecette[[#This Row],[poids / unite]]</f>
        <v>0.13461538461538464</v>
      </c>
      <c r="Q371" s="846">
        <f>_xlfn.XLOOKUP(TableauRecette[[#This Row],[ID]],TableauProduit[ID],TableauProduit[Total (kg) N6],0,0,1)*TableauRecette[[#This Row],[poids / unite]]</f>
        <v>0.13461538461538464</v>
      </c>
      <c r="R371" s="846">
        <f>_xlfn.XLOOKUP(TableauRecette[[#This Row],[ID]],TableauProduit[ID],TableauProduit[Total (kg) N7],0,0,1)*TableauRecette[[#This Row],[poids / unite]]</f>
        <v>0.13461538461538464</v>
      </c>
      <c r="S371" s="846">
        <f>_xlfn.XLOOKUP(TableauRecette[[#This Row],[ID]],TableauProduit[ID],TableauProduit[Total (kg) N8],0,0,1)*TableauRecette[[#This Row],[poids / unite]]</f>
        <v>0.13461538461538464</v>
      </c>
      <c r="T371" s="846">
        <f>_xlfn.XLOOKUP(TableauRecette[[#This Row],[ID]],TableauProduit[ID],TableauProduit[Total (kg) N9],0,0,1)*TableauRecette[[#This Row],[poids / unite]]</f>
        <v>0.13461538461538464</v>
      </c>
    </row>
    <row r="372" spans="1:20">
      <c r="A372" s="511" t="s">
        <v>62</v>
      </c>
      <c r="B372" s="511" t="str">
        <f>TableauRecette[[#This Row],[Recette]]&amp;TableauRecette[[#This Row],[Conditionnement]]</f>
        <v>Sucre aux fleuresEpice 100ml</v>
      </c>
      <c r="C372" s="511" t="s">
        <v>784</v>
      </c>
      <c r="D372" s="512">
        <v>1</v>
      </c>
      <c r="E372" s="511" t="s">
        <v>55</v>
      </c>
      <c r="F372" s="512">
        <f>D372/SUMIFS(TableauRecette[Proportion],TableauRecette[Recette],TableauRecette[[#This Row],[Recette]],TableauRecette[Conditionnement],TableauRecette[[#This Row],[Conditionnement]])</f>
        <v>4.2735042735042739E-3</v>
      </c>
      <c r="G372" s="512">
        <f ca="1">_xlfn.XLOOKUP(TableauRecette[[#This Row],[Ingredients]],TableauIngredients[Ingredients],TableauIngredients[Prix d''achat (kg)],0)*TableauRecette[[#This Row],[poids / unite]]</f>
        <v>0</v>
      </c>
      <c r="H372" s="512">
        <f>SUMIFS(TableauRecette[Proportion],TableauRecette[Recette],TableauRecette[[#This Row],[Recette]],TableauRecette[Conditionnement],TableauRecette[[#This Row],[Conditionnement]])</f>
        <v>234</v>
      </c>
      <c r="I372" s="512">
        <f ca="1">TableauRecette[[#This Row],[Proportion]]*TableauRecette[[#This Row],[Prix d''achat / kg]]/TableauRecette[[#This Row],[Total Proportion]]</f>
        <v>0</v>
      </c>
      <c r="J372" s="512"/>
      <c r="K372" s="844"/>
      <c r="L372" s="845">
        <f>_xlfn.XLOOKUP(TableauRecette[[#This Row],[ID]],TableauProduit[ID],TableauProduit[Total (kg) N1],0,0,1)*TableauRecette[[#This Row],[poids / unite]]</f>
        <v>0.13461538461538464</v>
      </c>
      <c r="M372" s="846">
        <f>_xlfn.XLOOKUP(TableauRecette[[#This Row],[ID]],TableauProduit[ID],TableauProduit[Total (kg) N2],0,0,1)*TableauRecette[[#This Row],[poids / unite]]</f>
        <v>0.13461538461538464</v>
      </c>
      <c r="N372" s="846">
        <f>_xlfn.XLOOKUP(TableauRecette[[#This Row],[ID]],TableauProduit[ID],TableauProduit[Total (kg) N3],0,0,1)*TableauRecette[[#This Row],[poids / unite]]</f>
        <v>0.13461538461538464</v>
      </c>
      <c r="O372" s="846">
        <f>_xlfn.XLOOKUP(TableauRecette[[#This Row],[ID]],TableauProduit[ID],TableauProduit[Total (kg) N4],0,0,1)*TableauRecette[[#This Row],[poids / unite]]</f>
        <v>0.13461538461538464</v>
      </c>
      <c r="P372" s="846">
        <f>_xlfn.XLOOKUP(TableauRecette[[#This Row],[ID]],TableauProduit[ID],TableauProduit[Total (kg) N5],0,0,1)*TableauRecette[[#This Row],[poids / unite]]</f>
        <v>0.13461538461538464</v>
      </c>
      <c r="Q372" s="846">
        <f>_xlfn.XLOOKUP(TableauRecette[[#This Row],[ID]],TableauProduit[ID],TableauProduit[Total (kg) N6],0,0,1)*TableauRecette[[#This Row],[poids / unite]]</f>
        <v>0.13461538461538464</v>
      </c>
      <c r="R372" s="846">
        <f>_xlfn.XLOOKUP(TableauRecette[[#This Row],[ID]],TableauProduit[ID],TableauProduit[Total (kg) N7],0,0,1)*TableauRecette[[#This Row],[poids / unite]]</f>
        <v>0.13461538461538464</v>
      </c>
      <c r="S372" s="846">
        <f>_xlfn.XLOOKUP(TableauRecette[[#This Row],[ID]],TableauProduit[ID],TableauProduit[Total (kg) N8],0,0,1)*TableauRecette[[#This Row],[poids / unite]]</f>
        <v>0.13461538461538464</v>
      </c>
      <c r="T372" s="846">
        <f>_xlfn.XLOOKUP(TableauRecette[[#This Row],[ID]],TableauProduit[ID],TableauProduit[Total (kg) N9],0,0,1)*TableauRecette[[#This Row],[poids / unite]]</f>
        <v>0.13461538461538464</v>
      </c>
    </row>
    <row r="373" spans="1:20">
      <c r="A373" s="511" t="s">
        <v>62</v>
      </c>
      <c r="B373" s="511" t="str">
        <f>TableauRecette[[#This Row],[Recette]]&amp;TableauRecette[[#This Row],[Conditionnement]]</f>
        <v>Sucre aux fleuresEpice 100ml</v>
      </c>
      <c r="C373" s="511" t="s">
        <v>400</v>
      </c>
      <c r="D373" s="512">
        <v>1</v>
      </c>
      <c r="E373" s="511" t="s">
        <v>55</v>
      </c>
      <c r="F373" s="512">
        <f>D373/SUMIFS(TableauRecette[Proportion],TableauRecette[Recette],TableauRecette[[#This Row],[Recette]],TableauRecette[Conditionnement],TableauRecette[[#This Row],[Conditionnement]])</f>
        <v>4.2735042735042739E-3</v>
      </c>
      <c r="G373" s="512">
        <f ca="1">_xlfn.XLOOKUP(TableauRecette[[#This Row],[Ingredients]],TableauIngredients[Ingredients],TableauIngredients[Prix d''achat (kg)],0)*TableauRecette[[#This Row],[poids / unite]]</f>
        <v>0</v>
      </c>
      <c r="H373" s="512">
        <f>SUMIFS(TableauRecette[Proportion],TableauRecette[Recette],TableauRecette[[#This Row],[Recette]],TableauRecette[Conditionnement],TableauRecette[[#This Row],[Conditionnement]])</f>
        <v>234</v>
      </c>
      <c r="I373" s="512">
        <f ca="1">TableauRecette[[#This Row],[Proportion]]*TableauRecette[[#This Row],[Prix d''achat / kg]]/TableauRecette[[#This Row],[Total Proportion]]</f>
        <v>0</v>
      </c>
      <c r="J373" s="512"/>
      <c r="K373" s="844"/>
      <c r="L373" s="845">
        <f>_xlfn.XLOOKUP(TableauRecette[[#This Row],[ID]],TableauProduit[ID],TableauProduit[Total (kg) N1],0,0,1)*TableauRecette[[#This Row],[poids / unite]]</f>
        <v>0.13461538461538464</v>
      </c>
      <c r="M373" s="846">
        <f>_xlfn.XLOOKUP(TableauRecette[[#This Row],[ID]],TableauProduit[ID],TableauProduit[Total (kg) N2],0,0,1)*TableauRecette[[#This Row],[poids / unite]]</f>
        <v>0.13461538461538464</v>
      </c>
      <c r="N373" s="846">
        <f>_xlfn.XLOOKUP(TableauRecette[[#This Row],[ID]],TableauProduit[ID],TableauProduit[Total (kg) N3],0,0,1)*TableauRecette[[#This Row],[poids / unite]]</f>
        <v>0.13461538461538464</v>
      </c>
      <c r="O373" s="846">
        <f>_xlfn.XLOOKUP(TableauRecette[[#This Row],[ID]],TableauProduit[ID],TableauProduit[Total (kg) N4],0,0,1)*TableauRecette[[#This Row],[poids / unite]]</f>
        <v>0.13461538461538464</v>
      </c>
      <c r="P373" s="846">
        <f>_xlfn.XLOOKUP(TableauRecette[[#This Row],[ID]],TableauProduit[ID],TableauProduit[Total (kg) N5],0,0,1)*TableauRecette[[#This Row],[poids / unite]]</f>
        <v>0.13461538461538464</v>
      </c>
      <c r="Q373" s="846">
        <f>_xlfn.XLOOKUP(TableauRecette[[#This Row],[ID]],TableauProduit[ID],TableauProduit[Total (kg) N6],0,0,1)*TableauRecette[[#This Row],[poids / unite]]</f>
        <v>0.13461538461538464</v>
      </c>
      <c r="R373" s="846">
        <f>_xlfn.XLOOKUP(TableauRecette[[#This Row],[ID]],TableauProduit[ID],TableauProduit[Total (kg) N7],0,0,1)*TableauRecette[[#This Row],[poids / unite]]</f>
        <v>0.13461538461538464</v>
      </c>
      <c r="S373" s="846">
        <f>_xlfn.XLOOKUP(TableauRecette[[#This Row],[ID]],TableauProduit[ID],TableauProduit[Total (kg) N8],0,0,1)*TableauRecette[[#This Row],[poids / unite]]</f>
        <v>0.13461538461538464</v>
      </c>
      <c r="T373" s="846">
        <f>_xlfn.XLOOKUP(TableauRecette[[#This Row],[ID]],TableauProduit[ID],TableauProduit[Total (kg) N9],0,0,1)*TableauRecette[[#This Row],[poids / unite]]</f>
        <v>0.13461538461538464</v>
      </c>
    </row>
    <row r="374" spans="1:20">
      <c r="A374" s="511" t="s">
        <v>62</v>
      </c>
      <c r="B374" s="511" t="str">
        <f>TableauRecette[[#This Row],[Recette]]&amp;TableauRecette[[#This Row],[Conditionnement]]</f>
        <v>Sucre aux fleuresEpice 100ml</v>
      </c>
      <c r="C374" s="511" t="s">
        <v>401</v>
      </c>
      <c r="D374" s="512">
        <v>1</v>
      </c>
      <c r="E374" s="511" t="s">
        <v>55</v>
      </c>
      <c r="F374" s="512">
        <f>D374/SUMIFS(TableauRecette[Proportion],TableauRecette[Recette],TableauRecette[[#This Row],[Recette]],TableauRecette[Conditionnement],TableauRecette[[#This Row],[Conditionnement]])</f>
        <v>4.2735042735042739E-3</v>
      </c>
      <c r="G374" s="512">
        <f ca="1">_xlfn.XLOOKUP(TableauRecette[[#This Row],[Ingredients]],TableauIngredients[Ingredients],TableauIngredients[Prix d''achat (kg)],0)*TableauRecette[[#This Row],[poids / unite]]</f>
        <v>0</v>
      </c>
      <c r="H374" s="512">
        <f>SUMIFS(TableauRecette[Proportion],TableauRecette[Recette],TableauRecette[[#This Row],[Recette]],TableauRecette[Conditionnement],TableauRecette[[#This Row],[Conditionnement]])</f>
        <v>234</v>
      </c>
      <c r="I374" s="512">
        <f ca="1">TableauRecette[[#This Row],[Proportion]]*TableauRecette[[#This Row],[Prix d''achat / kg]]/TableauRecette[[#This Row],[Total Proportion]]</f>
        <v>0</v>
      </c>
      <c r="J374" s="512"/>
      <c r="K374" s="844"/>
      <c r="L374" s="845">
        <f>_xlfn.XLOOKUP(TableauRecette[[#This Row],[ID]],TableauProduit[ID],TableauProduit[Total (kg) N1],0,0,1)*TableauRecette[[#This Row],[poids / unite]]</f>
        <v>0.13461538461538464</v>
      </c>
      <c r="M374" s="846">
        <f>_xlfn.XLOOKUP(TableauRecette[[#This Row],[ID]],TableauProduit[ID],TableauProduit[Total (kg) N2],0,0,1)*TableauRecette[[#This Row],[poids / unite]]</f>
        <v>0.13461538461538464</v>
      </c>
      <c r="N374" s="846">
        <f>_xlfn.XLOOKUP(TableauRecette[[#This Row],[ID]],TableauProduit[ID],TableauProduit[Total (kg) N3],0,0,1)*TableauRecette[[#This Row],[poids / unite]]</f>
        <v>0.13461538461538464</v>
      </c>
      <c r="O374" s="846">
        <f>_xlfn.XLOOKUP(TableauRecette[[#This Row],[ID]],TableauProduit[ID],TableauProduit[Total (kg) N4],0,0,1)*TableauRecette[[#This Row],[poids / unite]]</f>
        <v>0.13461538461538464</v>
      </c>
      <c r="P374" s="846">
        <f>_xlfn.XLOOKUP(TableauRecette[[#This Row],[ID]],TableauProduit[ID],TableauProduit[Total (kg) N5],0,0,1)*TableauRecette[[#This Row],[poids / unite]]</f>
        <v>0.13461538461538464</v>
      </c>
      <c r="Q374" s="846">
        <f>_xlfn.XLOOKUP(TableauRecette[[#This Row],[ID]],TableauProduit[ID],TableauProduit[Total (kg) N6],0,0,1)*TableauRecette[[#This Row],[poids / unite]]</f>
        <v>0.13461538461538464</v>
      </c>
      <c r="R374" s="846">
        <f>_xlfn.XLOOKUP(TableauRecette[[#This Row],[ID]],TableauProduit[ID],TableauProduit[Total (kg) N7],0,0,1)*TableauRecette[[#This Row],[poids / unite]]</f>
        <v>0.13461538461538464</v>
      </c>
      <c r="S374" s="846">
        <f>_xlfn.XLOOKUP(TableauRecette[[#This Row],[ID]],TableauProduit[ID],TableauProduit[Total (kg) N8],0,0,1)*TableauRecette[[#This Row],[poids / unite]]</f>
        <v>0.13461538461538464</v>
      </c>
      <c r="T374" s="846">
        <f>_xlfn.XLOOKUP(TableauRecette[[#This Row],[ID]],TableauProduit[ID],TableauProduit[Total (kg) N9],0,0,1)*TableauRecette[[#This Row],[poids / unite]]</f>
        <v>0.13461538461538464</v>
      </c>
    </row>
    <row r="375" spans="1:20">
      <c r="A375" s="511" t="s">
        <v>62</v>
      </c>
      <c r="B375" s="511" t="str">
        <f>TableauRecette[[#This Row],[Recette]]&amp;TableauRecette[[#This Row],[Conditionnement]]</f>
        <v>Sucre aux fleuresEpice 100ml</v>
      </c>
      <c r="C375" s="511" t="s">
        <v>402</v>
      </c>
      <c r="D375" s="512">
        <v>1</v>
      </c>
      <c r="E375" s="511" t="s">
        <v>55</v>
      </c>
      <c r="F375" s="512">
        <f>D375/SUMIFS(TableauRecette[Proportion],TableauRecette[Recette],TableauRecette[[#This Row],[Recette]],TableauRecette[Conditionnement],TableauRecette[[#This Row],[Conditionnement]])</f>
        <v>4.2735042735042739E-3</v>
      </c>
      <c r="G375" s="512">
        <f ca="1">_xlfn.XLOOKUP(TableauRecette[[#This Row],[Ingredients]],TableauIngredients[Ingredients],TableauIngredients[Prix d''achat (kg)],0)*TableauRecette[[#This Row],[poids / unite]]</f>
        <v>0</v>
      </c>
      <c r="H375" s="512">
        <f>SUMIFS(TableauRecette[Proportion],TableauRecette[Recette],TableauRecette[[#This Row],[Recette]],TableauRecette[Conditionnement],TableauRecette[[#This Row],[Conditionnement]])</f>
        <v>234</v>
      </c>
      <c r="I375" s="512">
        <f ca="1">TableauRecette[[#This Row],[Proportion]]*TableauRecette[[#This Row],[Prix d''achat / kg]]/TableauRecette[[#This Row],[Total Proportion]]</f>
        <v>0</v>
      </c>
      <c r="J375" s="512"/>
      <c r="K375" s="844"/>
      <c r="L375" s="845">
        <f>_xlfn.XLOOKUP(TableauRecette[[#This Row],[ID]],TableauProduit[ID],TableauProduit[Total (kg) N1],0,0,1)*TableauRecette[[#This Row],[poids / unite]]</f>
        <v>0.13461538461538464</v>
      </c>
      <c r="M375" s="846">
        <f>_xlfn.XLOOKUP(TableauRecette[[#This Row],[ID]],TableauProduit[ID],TableauProduit[Total (kg) N2],0,0,1)*TableauRecette[[#This Row],[poids / unite]]</f>
        <v>0.13461538461538464</v>
      </c>
      <c r="N375" s="846">
        <f>_xlfn.XLOOKUP(TableauRecette[[#This Row],[ID]],TableauProduit[ID],TableauProduit[Total (kg) N3],0,0,1)*TableauRecette[[#This Row],[poids / unite]]</f>
        <v>0.13461538461538464</v>
      </c>
      <c r="O375" s="846">
        <f>_xlfn.XLOOKUP(TableauRecette[[#This Row],[ID]],TableauProduit[ID],TableauProduit[Total (kg) N4],0,0,1)*TableauRecette[[#This Row],[poids / unite]]</f>
        <v>0.13461538461538464</v>
      </c>
      <c r="P375" s="846">
        <f>_xlfn.XLOOKUP(TableauRecette[[#This Row],[ID]],TableauProduit[ID],TableauProduit[Total (kg) N5],0,0,1)*TableauRecette[[#This Row],[poids / unite]]</f>
        <v>0.13461538461538464</v>
      </c>
      <c r="Q375" s="846">
        <f>_xlfn.XLOOKUP(TableauRecette[[#This Row],[ID]],TableauProduit[ID],TableauProduit[Total (kg) N6],0,0,1)*TableauRecette[[#This Row],[poids / unite]]</f>
        <v>0.13461538461538464</v>
      </c>
      <c r="R375" s="846">
        <f>_xlfn.XLOOKUP(TableauRecette[[#This Row],[ID]],TableauProduit[ID],TableauProduit[Total (kg) N7],0,0,1)*TableauRecette[[#This Row],[poids / unite]]</f>
        <v>0.13461538461538464</v>
      </c>
      <c r="S375" s="846">
        <f>_xlfn.XLOOKUP(TableauRecette[[#This Row],[ID]],TableauProduit[ID],TableauProduit[Total (kg) N8],0,0,1)*TableauRecette[[#This Row],[poids / unite]]</f>
        <v>0.13461538461538464</v>
      </c>
      <c r="T375" s="846">
        <f>_xlfn.XLOOKUP(TableauRecette[[#This Row],[ID]],TableauProduit[ID],TableauProduit[Total (kg) N9],0,0,1)*TableauRecette[[#This Row],[poids / unite]]</f>
        <v>0.13461538461538464</v>
      </c>
    </row>
    <row r="376" spans="1:20">
      <c r="A376" s="523" t="s">
        <v>403</v>
      </c>
      <c r="B376" s="523" t="str">
        <f>TableauRecette[[#This Row],[Recette]]&amp;TableauRecette[[#This Row],[Conditionnement]]</f>
        <v>Sucre de roseEpice 100ml</v>
      </c>
      <c r="C376" s="666" t="s">
        <v>404</v>
      </c>
      <c r="D376" s="524">
        <v>6</v>
      </c>
      <c r="E376" s="523" t="s">
        <v>55</v>
      </c>
      <c r="F376" s="524">
        <f>D376/SUMIFS(TableauRecette[Proportion],TableauRecette[Recette],TableauRecette[[#This Row],[Recette]],TableauRecette[Conditionnement],TableauRecette[[#This Row],[Conditionnement]])</f>
        <v>0.06</v>
      </c>
      <c r="G376" s="524">
        <f ca="1">_xlfn.XLOOKUP(TableauRecette[[#This Row],[Ingredients]],TableauIngredients[Ingredients],TableauIngredients[Prix d''achat (kg)],0)*TableauRecette[[#This Row],[poids / unite]]</f>
        <v>0</v>
      </c>
      <c r="H376" s="524">
        <f>SUMIFS(TableauRecette[Proportion],TableauRecette[Recette],TableauRecette[[#This Row],[Recette]],TableauRecette[Conditionnement],TableauRecette[[#This Row],[Conditionnement]])</f>
        <v>100</v>
      </c>
      <c r="I376" s="524">
        <f ca="1">TableauRecette[[#This Row],[Proportion]]*TableauRecette[[#This Row],[Prix d''achat / kg]]/TableauRecette[[#This Row],[Total Proportion]]</f>
        <v>0</v>
      </c>
      <c r="J376" s="524"/>
      <c r="K376" s="847"/>
      <c r="L376" s="848">
        <f>_xlfn.XLOOKUP(TableauRecette[[#This Row],[ID]],TableauProduit[ID],TableauProduit[Total (kg) N1],0,0,1)*TableauRecette[[#This Row],[poids / unite]]</f>
        <v>0</v>
      </c>
      <c r="M376" s="849">
        <f>_xlfn.XLOOKUP(TableauRecette[[#This Row],[ID]],TableauProduit[ID],TableauProduit[Total (kg) N2],0,0,1)*TableauRecette[[#This Row],[poids / unite]]</f>
        <v>0</v>
      </c>
      <c r="N376" s="849">
        <f>_xlfn.XLOOKUP(TableauRecette[[#This Row],[ID]],TableauProduit[ID],TableauProduit[Total (kg) N3],0,0,1)*TableauRecette[[#This Row],[poids / unite]]</f>
        <v>0</v>
      </c>
      <c r="O376" s="849">
        <f>_xlfn.XLOOKUP(TableauRecette[[#This Row],[ID]],TableauProduit[ID],TableauProduit[Total (kg) N4],0,0,1)*TableauRecette[[#This Row],[poids / unite]]</f>
        <v>0</v>
      </c>
      <c r="P376" s="849">
        <f>_xlfn.XLOOKUP(TableauRecette[[#This Row],[ID]],TableauProduit[ID],TableauProduit[Total (kg) N5],0,0,1)*TableauRecette[[#This Row],[poids / unite]]</f>
        <v>0</v>
      </c>
      <c r="Q376" s="849">
        <f>_xlfn.XLOOKUP(TableauRecette[[#This Row],[ID]],TableauProduit[ID],TableauProduit[Total (kg) N6],0,0,1)*TableauRecette[[#This Row],[poids / unite]]</f>
        <v>0</v>
      </c>
      <c r="R376" s="849">
        <f>_xlfn.XLOOKUP(TableauRecette[[#This Row],[ID]],TableauProduit[ID],TableauProduit[Total (kg) N7],0,0,1)*TableauRecette[[#This Row],[poids / unite]]</f>
        <v>0</v>
      </c>
      <c r="S376" s="849">
        <f>_xlfn.XLOOKUP(TableauRecette[[#This Row],[ID]],TableauProduit[ID],TableauProduit[Total (kg) N8],0,0,1)*TableauRecette[[#This Row],[poids / unite]]</f>
        <v>0</v>
      </c>
      <c r="T376" s="849">
        <f>_xlfn.XLOOKUP(TableauRecette[[#This Row],[ID]],TableauProduit[ID],TableauProduit[Total (kg) N9],0,0,1)*TableauRecette[[#This Row],[poids / unite]]</f>
        <v>0</v>
      </c>
    </row>
    <row r="377" spans="1:20">
      <c r="A377" s="523" t="s">
        <v>403</v>
      </c>
      <c r="B377" s="523" t="str">
        <f>TableauRecette[[#This Row],[Recette]]&amp;TableauRecette[[#This Row],[Conditionnement]]</f>
        <v>Sucre de roseEpice 100ml</v>
      </c>
      <c r="C377" s="523" t="s">
        <v>377</v>
      </c>
      <c r="D377" s="524">
        <v>94</v>
      </c>
      <c r="E377" s="523" t="s">
        <v>55</v>
      </c>
      <c r="F377" s="524">
        <f>D377/SUMIFS(TableauRecette[Proportion],TableauRecette[Recette],TableauRecette[[#This Row],[Recette]],TableauRecette[Conditionnement],TableauRecette[[#This Row],[Conditionnement]])</f>
        <v>0.94</v>
      </c>
      <c r="G377" s="524">
        <f ca="1">_xlfn.XLOOKUP(TableauRecette[[#This Row],[Ingredients]],TableauIngredients[Ingredients],TableauIngredients[Prix d''achat (kg)],0)*TableauRecette[[#This Row],[poids / unite]]</f>
        <v>0.17600000000000002</v>
      </c>
      <c r="H377" s="524">
        <f>SUMIFS(TableauRecette[Proportion],TableauRecette[Recette],TableauRecette[[#This Row],[Recette]],TableauRecette[Conditionnement],TableauRecette[[#This Row],[Conditionnement]])</f>
        <v>100</v>
      </c>
      <c r="I377" s="524">
        <f ca="1">TableauRecette[[#This Row],[Proportion]]*TableauRecette[[#This Row],[Prix d''achat / kg]]/TableauRecette[[#This Row],[Total Proportion]]</f>
        <v>0</v>
      </c>
      <c r="J377" s="524"/>
      <c r="K377" s="847"/>
      <c r="L377" s="848">
        <f>_xlfn.XLOOKUP(TableauRecette[[#This Row],[ID]],TableauProduit[ID],TableauProduit[Total (kg) N1],0,0,1)*TableauRecette[[#This Row],[poids / unite]]</f>
        <v>0</v>
      </c>
      <c r="M377" s="849">
        <f>_xlfn.XLOOKUP(TableauRecette[[#This Row],[ID]],TableauProduit[ID],TableauProduit[Total (kg) N2],0,0,1)*TableauRecette[[#This Row],[poids / unite]]</f>
        <v>0</v>
      </c>
      <c r="N377" s="849">
        <f>_xlfn.XLOOKUP(TableauRecette[[#This Row],[ID]],TableauProduit[ID],TableauProduit[Total (kg) N3],0,0,1)*TableauRecette[[#This Row],[poids / unite]]</f>
        <v>0</v>
      </c>
      <c r="O377" s="849">
        <f>_xlfn.XLOOKUP(TableauRecette[[#This Row],[ID]],TableauProduit[ID],TableauProduit[Total (kg) N4],0,0,1)*TableauRecette[[#This Row],[poids / unite]]</f>
        <v>0</v>
      </c>
      <c r="P377" s="849">
        <f>_xlfn.XLOOKUP(TableauRecette[[#This Row],[ID]],TableauProduit[ID],TableauProduit[Total (kg) N5],0,0,1)*TableauRecette[[#This Row],[poids / unite]]</f>
        <v>0</v>
      </c>
      <c r="Q377" s="849">
        <f>_xlfn.XLOOKUP(TableauRecette[[#This Row],[ID]],TableauProduit[ID],TableauProduit[Total (kg) N6],0,0,1)*TableauRecette[[#This Row],[poids / unite]]</f>
        <v>0</v>
      </c>
      <c r="R377" s="849">
        <f>_xlfn.XLOOKUP(TableauRecette[[#This Row],[ID]],TableauProduit[ID],TableauProduit[Total (kg) N7],0,0,1)*TableauRecette[[#This Row],[poids / unite]]</f>
        <v>0</v>
      </c>
      <c r="S377" s="849">
        <f>_xlfn.XLOOKUP(TableauRecette[[#This Row],[ID]],TableauProduit[ID],TableauProduit[Total (kg) N8],0,0,1)*TableauRecette[[#This Row],[poids / unite]]</f>
        <v>0</v>
      </c>
      <c r="T377" s="849">
        <f>_xlfn.XLOOKUP(TableauRecette[[#This Row],[ID]],TableauProduit[ID],TableauProduit[Total (kg) N9],0,0,1)*TableauRecette[[#This Row],[poids / unite]]</f>
        <v>0</v>
      </c>
    </row>
    <row r="378" spans="1:20">
      <c r="A378" s="101" t="s">
        <v>697</v>
      </c>
      <c r="B378" s="101" t="str">
        <f>TableauRecette[[#This Row],[Recette]]&amp;TableauRecette[[#This Row],[Conditionnement]]</f>
        <v>Suya ghaneenEpice 100ml</v>
      </c>
      <c r="C378" s="101" t="s">
        <v>309</v>
      </c>
      <c r="D378" s="224">
        <v>5</v>
      </c>
      <c r="E378" s="101" t="s">
        <v>55</v>
      </c>
      <c r="F378" s="224">
        <f>D378/SUMIFS(TableauRecette[Proportion],TableauRecette[Recette],TableauRecette[[#This Row],[Recette]],TableauRecette[Conditionnement],TableauRecette[[#This Row],[Conditionnement]])</f>
        <v>5.0505050505050504E-2</v>
      </c>
      <c r="G378" s="224">
        <f ca="1">_xlfn.XLOOKUP(TableauRecette[[#This Row],[Ingredients]],TableauIngredients[Ingredients],TableauIngredients[Prix d''achat (kg)],0)*TableauRecette[[#This Row],[poids / unite]]</f>
        <v>0</v>
      </c>
      <c r="H378" s="224">
        <f>SUMIFS(TableauRecette[Proportion],TableauRecette[Recette],TableauRecette[[#This Row],[Recette]],TableauRecette[Conditionnement],TableauRecette[[#This Row],[Conditionnement]])</f>
        <v>99</v>
      </c>
      <c r="I378" s="224">
        <f ca="1">TableauRecette[[#This Row],[Proportion]]*TableauRecette[[#This Row],[Prix d''achat / kg]]/TableauRecette[[#This Row],[Total Proportion]]</f>
        <v>0</v>
      </c>
      <c r="J378" s="224"/>
      <c r="K378" s="850"/>
      <c r="L378" s="851">
        <f>_xlfn.XLOOKUP(TableauRecette[[#This Row],[ID]],TableauProduit[ID],TableauProduit[Total (kg) N1],0,0,1)*TableauRecette[[#This Row],[poids / unite]]</f>
        <v>0</v>
      </c>
      <c r="M378" s="852">
        <f>_xlfn.XLOOKUP(TableauRecette[[#This Row],[ID]],TableauProduit[ID],TableauProduit[Total (kg) N2],0,0,1)*TableauRecette[[#This Row],[poids / unite]]</f>
        <v>0</v>
      </c>
      <c r="N378" s="852">
        <f>_xlfn.XLOOKUP(TableauRecette[[#This Row],[ID]],TableauProduit[ID],TableauProduit[Total (kg) N3],0,0,1)*TableauRecette[[#This Row],[poids / unite]]</f>
        <v>0</v>
      </c>
      <c r="O378" s="852">
        <f>_xlfn.XLOOKUP(TableauRecette[[#This Row],[ID]],TableauProduit[ID],TableauProduit[Total (kg) N4],0,0,1)*TableauRecette[[#This Row],[poids / unite]]</f>
        <v>0</v>
      </c>
      <c r="P378" s="852">
        <f>_xlfn.XLOOKUP(TableauRecette[[#This Row],[ID]],TableauProduit[ID],TableauProduit[Total (kg) N5],0,0,1)*TableauRecette[[#This Row],[poids / unite]]</f>
        <v>0</v>
      </c>
      <c r="Q378" s="852">
        <f>_xlfn.XLOOKUP(TableauRecette[[#This Row],[ID]],TableauProduit[ID],TableauProduit[Total (kg) N6],0,0,1)*TableauRecette[[#This Row],[poids / unite]]</f>
        <v>0</v>
      </c>
      <c r="R378" s="852">
        <f>_xlfn.XLOOKUP(TableauRecette[[#This Row],[ID]],TableauProduit[ID],TableauProduit[Total (kg) N7],0,0,1)*TableauRecette[[#This Row],[poids / unite]]</f>
        <v>0</v>
      </c>
      <c r="S378" s="852">
        <f>_xlfn.XLOOKUP(TableauRecette[[#This Row],[ID]],TableauProduit[ID],TableauProduit[Total (kg) N8],0,0,1)*TableauRecette[[#This Row],[poids / unite]]</f>
        <v>0</v>
      </c>
      <c r="T378" s="852">
        <f>_xlfn.XLOOKUP(TableauRecette[[#This Row],[ID]],TableauProduit[ID],TableauProduit[Total (kg) N9],0,0,1)*TableauRecette[[#This Row],[poids / unite]]</f>
        <v>0</v>
      </c>
    </row>
    <row r="379" spans="1:20">
      <c r="A379" s="101" t="s">
        <v>697</v>
      </c>
      <c r="B379" s="101" t="str">
        <f>TableauRecette[[#This Row],[Recette]]&amp;TableauRecette[[#This Row],[Conditionnement]]</f>
        <v>Suya ghaneenEpice 100ml</v>
      </c>
      <c r="C379" s="558" t="s">
        <v>299</v>
      </c>
      <c r="D379" s="224">
        <v>25</v>
      </c>
      <c r="E379" s="101" t="s">
        <v>55</v>
      </c>
      <c r="F379" s="224">
        <f>D379/SUMIFS(TableauRecette[Proportion],TableauRecette[Recette],TableauRecette[[#This Row],[Recette]],TableauRecette[Conditionnement],TableauRecette[[#This Row],[Conditionnement]])</f>
        <v>0.25252525252525254</v>
      </c>
      <c r="G379" s="224">
        <f ca="1">_xlfn.XLOOKUP(TableauRecette[[#This Row],[Ingredients]],TableauIngredients[Ingredients],TableauIngredients[Prix d''achat (kg)],0)*TableauRecette[[#This Row],[poids / unite]]</f>
        <v>0</v>
      </c>
      <c r="H379" s="224">
        <f>SUMIFS(TableauRecette[Proportion],TableauRecette[Recette],TableauRecette[[#This Row],[Recette]],TableauRecette[Conditionnement],TableauRecette[[#This Row],[Conditionnement]])</f>
        <v>99</v>
      </c>
      <c r="I379" s="224">
        <f ca="1">TableauRecette[[#This Row],[Proportion]]*TableauRecette[[#This Row],[Prix d''achat / kg]]/TableauRecette[[#This Row],[Total Proportion]]</f>
        <v>0</v>
      </c>
      <c r="J379" s="224"/>
      <c r="K379" s="850"/>
      <c r="L379" s="851">
        <f>_xlfn.XLOOKUP(TableauRecette[[#This Row],[ID]],TableauProduit[ID],TableauProduit[Total (kg) N1],0,0,1)*TableauRecette[[#This Row],[poids / unite]]</f>
        <v>0</v>
      </c>
      <c r="M379" s="852">
        <f>_xlfn.XLOOKUP(TableauRecette[[#This Row],[ID]],TableauProduit[ID],TableauProduit[Total (kg) N2],0,0,1)*TableauRecette[[#This Row],[poids / unite]]</f>
        <v>0</v>
      </c>
      <c r="N379" s="852">
        <f>_xlfn.XLOOKUP(TableauRecette[[#This Row],[ID]],TableauProduit[ID],TableauProduit[Total (kg) N3],0,0,1)*TableauRecette[[#This Row],[poids / unite]]</f>
        <v>0</v>
      </c>
      <c r="O379" s="852">
        <f>_xlfn.XLOOKUP(TableauRecette[[#This Row],[ID]],TableauProduit[ID],TableauProduit[Total (kg) N4],0,0,1)*TableauRecette[[#This Row],[poids / unite]]</f>
        <v>0</v>
      </c>
      <c r="P379" s="852">
        <f>_xlfn.XLOOKUP(TableauRecette[[#This Row],[ID]],TableauProduit[ID],TableauProduit[Total (kg) N5],0,0,1)*TableauRecette[[#This Row],[poids / unite]]</f>
        <v>0</v>
      </c>
      <c r="Q379" s="852">
        <f>_xlfn.XLOOKUP(TableauRecette[[#This Row],[ID]],TableauProduit[ID],TableauProduit[Total (kg) N6],0,0,1)*TableauRecette[[#This Row],[poids / unite]]</f>
        <v>0</v>
      </c>
      <c r="R379" s="852">
        <f>_xlfn.XLOOKUP(TableauRecette[[#This Row],[ID]],TableauProduit[ID],TableauProduit[Total (kg) N7],0,0,1)*TableauRecette[[#This Row],[poids / unite]]</f>
        <v>0</v>
      </c>
      <c r="S379" s="852">
        <f>_xlfn.XLOOKUP(TableauRecette[[#This Row],[ID]],TableauProduit[ID],TableauProduit[Total (kg) N8],0,0,1)*TableauRecette[[#This Row],[poids / unite]]</f>
        <v>0</v>
      </c>
      <c r="T379" s="852">
        <f>_xlfn.XLOOKUP(TableauRecette[[#This Row],[ID]],TableauProduit[ID],TableauProduit[Total (kg) N9],0,0,1)*TableauRecette[[#This Row],[poids / unite]]</f>
        <v>0</v>
      </c>
    </row>
    <row r="380" spans="1:20">
      <c r="A380" s="101" t="s">
        <v>697</v>
      </c>
      <c r="B380" s="101" t="str">
        <f>TableauRecette[[#This Row],[Recette]]&amp;TableauRecette[[#This Row],[Conditionnement]]</f>
        <v>Suya ghaneenEpice 100ml</v>
      </c>
      <c r="C380" s="101" t="s">
        <v>405</v>
      </c>
      <c r="D380" s="224">
        <v>30</v>
      </c>
      <c r="E380" s="101" t="s">
        <v>55</v>
      </c>
      <c r="F380" s="224">
        <f>D380/SUMIFS(TableauRecette[Proportion],TableauRecette[Recette],TableauRecette[[#This Row],[Recette]],TableauRecette[Conditionnement],TableauRecette[[#This Row],[Conditionnement]])</f>
        <v>0.30303030303030304</v>
      </c>
      <c r="G380" s="224">
        <f ca="1">_xlfn.XLOOKUP(TableauRecette[[#This Row],[Ingredients]],TableauIngredients[Ingredients],TableauIngredients[Prix d''achat (kg)],0)*TableauRecette[[#This Row],[poids / unite]]</f>
        <v>2.393939393939394</v>
      </c>
      <c r="H380" s="224">
        <f>SUMIFS(TableauRecette[Proportion],TableauRecette[Recette],TableauRecette[[#This Row],[Recette]],TableauRecette[Conditionnement],TableauRecette[[#This Row],[Conditionnement]])</f>
        <v>99</v>
      </c>
      <c r="I380" s="224">
        <f ca="1">TableauRecette[[#This Row],[Proportion]]*TableauRecette[[#This Row],[Prix d''achat / kg]]/TableauRecette[[#This Row],[Total Proportion]]</f>
        <v>0</v>
      </c>
      <c r="J380" s="224"/>
      <c r="K380" s="850"/>
      <c r="L380" s="851">
        <f>_xlfn.XLOOKUP(TableauRecette[[#This Row],[ID]],TableauProduit[ID],TableauProduit[Total (kg) N1],0,0,1)*TableauRecette[[#This Row],[poids / unite]]</f>
        <v>0</v>
      </c>
      <c r="M380" s="852">
        <f>_xlfn.XLOOKUP(TableauRecette[[#This Row],[ID]],TableauProduit[ID],TableauProduit[Total (kg) N2],0,0,1)*TableauRecette[[#This Row],[poids / unite]]</f>
        <v>0</v>
      </c>
      <c r="N380" s="852">
        <f>_xlfn.XLOOKUP(TableauRecette[[#This Row],[ID]],TableauProduit[ID],TableauProduit[Total (kg) N3],0,0,1)*TableauRecette[[#This Row],[poids / unite]]</f>
        <v>0</v>
      </c>
      <c r="O380" s="852">
        <f>_xlfn.XLOOKUP(TableauRecette[[#This Row],[ID]],TableauProduit[ID],TableauProduit[Total (kg) N4],0,0,1)*TableauRecette[[#This Row],[poids / unite]]</f>
        <v>0</v>
      </c>
      <c r="P380" s="852">
        <f>_xlfn.XLOOKUP(TableauRecette[[#This Row],[ID]],TableauProduit[ID],TableauProduit[Total (kg) N5],0,0,1)*TableauRecette[[#This Row],[poids / unite]]</f>
        <v>0</v>
      </c>
      <c r="Q380" s="852">
        <f>_xlfn.XLOOKUP(TableauRecette[[#This Row],[ID]],TableauProduit[ID],TableauProduit[Total (kg) N6],0,0,1)*TableauRecette[[#This Row],[poids / unite]]</f>
        <v>0</v>
      </c>
      <c r="R380" s="852">
        <f>_xlfn.XLOOKUP(TableauRecette[[#This Row],[ID]],TableauProduit[ID],TableauProduit[Total (kg) N7],0,0,1)*TableauRecette[[#This Row],[poids / unite]]</f>
        <v>0</v>
      </c>
      <c r="S380" s="852">
        <f>_xlfn.XLOOKUP(TableauRecette[[#This Row],[ID]],TableauProduit[ID],TableauProduit[Total (kg) N8],0,0,1)*TableauRecette[[#This Row],[poids / unite]]</f>
        <v>0</v>
      </c>
      <c r="T380" s="852">
        <f>_xlfn.XLOOKUP(TableauRecette[[#This Row],[ID]],TableauProduit[ID],TableauProduit[Total (kg) N9],0,0,1)*TableauRecette[[#This Row],[poids / unite]]</f>
        <v>0</v>
      </c>
    </row>
    <row r="381" spans="1:20">
      <c r="A381" s="101" t="s">
        <v>697</v>
      </c>
      <c r="B381" s="101" t="str">
        <f>TableauRecette[[#This Row],[Recette]]&amp;TableauRecette[[#This Row],[Conditionnement]]</f>
        <v>Suya ghaneenEpice 100ml</v>
      </c>
      <c r="C381" s="101" t="s">
        <v>406</v>
      </c>
      <c r="D381" s="224">
        <v>10</v>
      </c>
      <c r="E381" s="101" t="s">
        <v>55</v>
      </c>
      <c r="F381" s="224">
        <f>D381/SUMIFS(TableauRecette[Proportion],TableauRecette[Recette],TableauRecette[[#This Row],[Recette]],TableauRecette[Conditionnement],TableauRecette[[#This Row],[Conditionnement]])</f>
        <v>0.10101010101010101</v>
      </c>
      <c r="G381" s="224">
        <f ca="1">_xlfn.XLOOKUP(TableauRecette[[#This Row],[Ingredients]],TableauIngredients[Ingredients],TableauIngredients[Prix d''achat (kg)],0)*TableauRecette[[#This Row],[poids / unite]]</f>
        <v>2.8282828282828283</v>
      </c>
      <c r="H381" s="224">
        <f>SUMIFS(TableauRecette[Proportion],TableauRecette[Recette],TableauRecette[[#This Row],[Recette]],TableauRecette[Conditionnement],TableauRecette[[#This Row],[Conditionnement]])</f>
        <v>99</v>
      </c>
      <c r="I381" s="224">
        <f ca="1">TableauRecette[[#This Row],[Proportion]]*TableauRecette[[#This Row],[Prix d''achat / kg]]/TableauRecette[[#This Row],[Total Proportion]]</f>
        <v>0</v>
      </c>
      <c r="J381" s="224"/>
      <c r="K381" s="850"/>
      <c r="L381" s="851">
        <f>_xlfn.XLOOKUP(TableauRecette[[#This Row],[ID]],TableauProduit[ID],TableauProduit[Total (kg) N1],0,0,1)*TableauRecette[[#This Row],[poids / unite]]</f>
        <v>0</v>
      </c>
      <c r="M381" s="852">
        <f>_xlfn.XLOOKUP(TableauRecette[[#This Row],[ID]],TableauProduit[ID],TableauProduit[Total (kg) N2],0,0,1)*TableauRecette[[#This Row],[poids / unite]]</f>
        <v>0</v>
      </c>
      <c r="N381" s="852">
        <f>_xlfn.XLOOKUP(TableauRecette[[#This Row],[ID]],TableauProduit[ID],TableauProduit[Total (kg) N3],0,0,1)*TableauRecette[[#This Row],[poids / unite]]</f>
        <v>0</v>
      </c>
      <c r="O381" s="852">
        <f>_xlfn.XLOOKUP(TableauRecette[[#This Row],[ID]],TableauProduit[ID],TableauProduit[Total (kg) N4],0,0,1)*TableauRecette[[#This Row],[poids / unite]]</f>
        <v>0</v>
      </c>
      <c r="P381" s="852">
        <f>_xlfn.XLOOKUP(TableauRecette[[#This Row],[ID]],TableauProduit[ID],TableauProduit[Total (kg) N5],0,0,1)*TableauRecette[[#This Row],[poids / unite]]</f>
        <v>0</v>
      </c>
      <c r="Q381" s="852">
        <f>_xlfn.XLOOKUP(TableauRecette[[#This Row],[ID]],TableauProduit[ID],TableauProduit[Total (kg) N6],0,0,1)*TableauRecette[[#This Row],[poids / unite]]</f>
        <v>0</v>
      </c>
      <c r="R381" s="852">
        <f>_xlfn.XLOOKUP(TableauRecette[[#This Row],[ID]],TableauProduit[ID],TableauProduit[Total (kg) N7],0,0,1)*TableauRecette[[#This Row],[poids / unite]]</f>
        <v>0</v>
      </c>
      <c r="S381" s="852">
        <f>_xlfn.XLOOKUP(TableauRecette[[#This Row],[ID]],TableauProduit[ID],TableauProduit[Total (kg) N8],0,0,1)*TableauRecette[[#This Row],[poids / unite]]</f>
        <v>0</v>
      </c>
      <c r="T381" s="852">
        <f>_xlfn.XLOOKUP(TableauRecette[[#This Row],[ID]],TableauProduit[ID],TableauProduit[Total (kg) N9],0,0,1)*TableauRecette[[#This Row],[poids / unite]]</f>
        <v>0</v>
      </c>
    </row>
    <row r="382" spans="1:20">
      <c r="A382" s="101" t="s">
        <v>697</v>
      </c>
      <c r="B382" s="101" t="str">
        <f>TableauRecette[[#This Row],[Recette]]&amp;TableauRecette[[#This Row],[Conditionnement]]</f>
        <v>Suya ghaneenEpice 100ml</v>
      </c>
      <c r="C382" s="101" t="s">
        <v>319</v>
      </c>
      <c r="D382" s="224">
        <v>7</v>
      </c>
      <c r="E382" s="101" t="s">
        <v>55</v>
      </c>
      <c r="F382" s="224">
        <f>D382/SUMIFS(TableauRecette[Proportion],TableauRecette[Recette],TableauRecette[[#This Row],[Recette]],TableauRecette[Conditionnement],TableauRecette[[#This Row],[Conditionnement]])</f>
        <v>7.0707070707070704E-2</v>
      </c>
      <c r="G382" s="224">
        <f ca="1">_xlfn.XLOOKUP(TableauRecette[[#This Row],[Ingredients]],TableauIngredients[Ingredients],TableauIngredients[Prix d''achat (kg)],0)*TableauRecette[[#This Row],[poids / unite]]</f>
        <v>0</v>
      </c>
      <c r="H382" s="224">
        <f>SUMIFS(TableauRecette[Proportion],TableauRecette[Recette],TableauRecette[[#This Row],[Recette]],TableauRecette[Conditionnement],TableauRecette[[#This Row],[Conditionnement]])</f>
        <v>99</v>
      </c>
      <c r="I382" s="224">
        <f ca="1">TableauRecette[[#This Row],[Proportion]]*TableauRecette[[#This Row],[Prix d''achat / kg]]/TableauRecette[[#This Row],[Total Proportion]]</f>
        <v>0</v>
      </c>
      <c r="J382" s="224"/>
      <c r="K382" s="850"/>
      <c r="L382" s="851">
        <f>_xlfn.XLOOKUP(TableauRecette[[#This Row],[ID]],TableauProduit[ID],TableauProduit[Total (kg) N1],0,0,1)*TableauRecette[[#This Row],[poids / unite]]</f>
        <v>0</v>
      </c>
      <c r="M382" s="852">
        <f>_xlfn.XLOOKUP(TableauRecette[[#This Row],[ID]],TableauProduit[ID],TableauProduit[Total (kg) N2],0,0,1)*TableauRecette[[#This Row],[poids / unite]]</f>
        <v>0</v>
      </c>
      <c r="N382" s="852">
        <f>_xlfn.XLOOKUP(TableauRecette[[#This Row],[ID]],TableauProduit[ID],TableauProduit[Total (kg) N3],0,0,1)*TableauRecette[[#This Row],[poids / unite]]</f>
        <v>0</v>
      </c>
      <c r="O382" s="852">
        <f>_xlfn.XLOOKUP(TableauRecette[[#This Row],[ID]],TableauProduit[ID],TableauProduit[Total (kg) N4],0,0,1)*TableauRecette[[#This Row],[poids / unite]]</f>
        <v>0</v>
      </c>
      <c r="P382" s="852">
        <f>_xlfn.XLOOKUP(TableauRecette[[#This Row],[ID]],TableauProduit[ID],TableauProduit[Total (kg) N5],0,0,1)*TableauRecette[[#This Row],[poids / unite]]</f>
        <v>0</v>
      </c>
      <c r="Q382" s="852">
        <f>_xlfn.XLOOKUP(TableauRecette[[#This Row],[ID]],TableauProduit[ID],TableauProduit[Total (kg) N6],0,0,1)*TableauRecette[[#This Row],[poids / unite]]</f>
        <v>0</v>
      </c>
      <c r="R382" s="852">
        <f>_xlfn.XLOOKUP(TableauRecette[[#This Row],[ID]],TableauProduit[ID],TableauProduit[Total (kg) N7],0,0,1)*TableauRecette[[#This Row],[poids / unite]]</f>
        <v>0</v>
      </c>
      <c r="S382" s="852">
        <f>_xlfn.XLOOKUP(TableauRecette[[#This Row],[ID]],TableauProduit[ID],TableauProduit[Total (kg) N8],0,0,1)*TableauRecette[[#This Row],[poids / unite]]</f>
        <v>0</v>
      </c>
      <c r="T382" s="852">
        <f>_xlfn.XLOOKUP(TableauRecette[[#This Row],[ID]],TableauProduit[ID],TableauProduit[Total (kg) N9],0,0,1)*TableauRecette[[#This Row],[poids / unite]]</f>
        <v>0</v>
      </c>
    </row>
    <row r="383" spans="1:20">
      <c r="A383" s="101" t="s">
        <v>697</v>
      </c>
      <c r="B383" s="101" t="str">
        <f>TableauRecette[[#This Row],[Recette]]&amp;TableauRecette[[#This Row],[Conditionnement]]</f>
        <v>Suya ghaneenEpice 100ml</v>
      </c>
      <c r="C383" s="101" t="s">
        <v>303</v>
      </c>
      <c r="D383" s="224">
        <v>5</v>
      </c>
      <c r="E383" s="101" t="s">
        <v>55</v>
      </c>
      <c r="F383" s="224">
        <f>D383/SUMIFS(TableauRecette[Proportion],TableauRecette[Recette],TableauRecette[[#This Row],[Recette]],TableauRecette[Conditionnement],TableauRecette[[#This Row],[Conditionnement]])</f>
        <v>5.0505050505050504E-2</v>
      </c>
      <c r="G383" s="224">
        <f ca="1">_xlfn.XLOOKUP(TableauRecette[[#This Row],[Ingredients]],TableauIngredients[Ingredients],TableauIngredients[Prix d''achat (kg)],0)*TableauRecette[[#This Row],[poids / unite]]</f>
        <v>7.0707070707070704E-2</v>
      </c>
      <c r="H383" s="224">
        <f>SUMIFS(TableauRecette[Proportion],TableauRecette[Recette],TableauRecette[[#This Row],[Recette]],TableauRecette[Conditionnement],TableauRecette[[#This Row],[Conditionnement]])</f>
        <v>99</v>
      </c>
      <c r="I383" s="224">
        <f ca="1">TableauRecette[[#This Row],[Proportion]]*TableauRecette[[#This Row],[Prix d''achat / kg]]/TableauRecette[[#This Row],[Total Proportion]]</f>
        <v>0</v>
      </c>
      <c r="J383" s="224"/>
      <c r="K383" s="850"/>
      <c r="L383" s="851">
        <f>_xlfn.XLOOKUP(TableauRecette[[#This Row],[ID]],TableauProduit[ID],TableauProduit[Total (kg) N1],0,0,1)*TableauRecette[[#This Row],[poids / unite]]</f>
        <v>0</v>
      </c>
      <c r="M383" s="852">
        <f>_xlfn.XLOOKUP(TableauRecette[[#This Row],[ID]],TableauProduit[ID],TableauProduit[Total (kg) N2],0,0,1)*TableauRecette[[#This Row],[poids / unite]]</f>
        <v>0</v>
      </c>
      <c r="N383" s="852">
        <f>_xlfn.XLOOKUP(TableauRecette[[#This Row],[ID]],TableauProduit[ID],TableauProduit[Total (kg) N3],0,0,1)*TableauRecette[[#This Row],[poids / unite]]</f>
        <v>0</v>
      </c>
      <c r="O383" s="852">
        <f>_xlfn.XLOOKUP(TableauRecette[[#This Row],[ID]],TableauProduit[ID],TableauProduit[Total (kg) N4],0,0,1)*TableauRecette[[#This Row],[poids / unite]]</f>
        <v>0</v>
      </c>
      <c r="P383" s="852">
        <f>_xlfn.XLOOKUP(TableauRecette[[#This Row],[ID]],TableauProduit[ID],TableauProduit[Total (kg) N5],0,0,1)*TableauRecette[[#This Row],[poids / unite]]</f>
        <v>0</v>
      </c>
      <c r="Q383" s="852">
        <f>_xlfn.XLOOKUP(TableauRecette[[#This Row],[ID]],TableauProduit[ID],TableauProduit[Total (kg) N6],0,0,1)*TableauRecette[[#This Row],[poids / unite]]</f>
        <v>0</v>
      </c>
      <c r="R383" s="852">
        <f>_xlfn.XLOOKUP(TableauRecette[[#This Row],[ID]],TableauProduit[ID],TableauProduit[Total (kg) N7],0,0,1)*TableauRecette[[#This Row],[poids / unite]]</f>
        <v>0</v>
      </c>
      <c r="S383" s="852">
        <f>_xlfn.XLOOKUP(TableauRecette[[#This Row],[ID]],TableauProduit[ID],TableauProduit[Total (kg) N8],0,0,1)*TableauRecette[[#This Row],[poids / unite]]</f>
        <v>0</v>
      </c>
      <c r="T383" s="852">
        <f>_xlfn.XLOOKUP(TableauRecette[[#This Row],[ID]],TableauProduit[ID],TableauProduit[Total (kg) N9],0,0,1)*TableauRecette[[#This Row],[poids / unite]]</f>
        <v>0</v>
      </c>
    </row>
    <row r="384" spans="1:20">
      <c r="A384" s="101" t="s">
        <v>697</v>
      </c>
      <c r="B384" s="101" t="str">
        <f>TableauRecette[[#This Row],[Recette]]&amp;TableauRecette[[#This Row],[Conditionnement]]</f>
        <v>Suya ghaneenEpice 100ml</v>
      </c>
      <c r="C384" s="101" t="s">
        <v>287</v>
      </c>
      <c r="D384" s="224">
        <v>3</v>
      </c>
      <c r="E384" s="101" t="s">
        <v>55</v>
      </c>
      <c r="F384" s="224">
        <f>D384/SUMIFS(TableauRecette[Proportion],TableauRecette[Recette],TableauRecette[[#This Row],[Recette]],TableauRecette[Conditionnement],TableauRecette[[#This Row],[Conditionnement]])</f>
        <v>3.0303030303030304E-2</v>
      </c>
      <c r="G384" s="224">
        <f ca="1">_xlfn.XLOOKUP(TableauRecette[[#This Row],[Ingredients]],TableauIngredients[Ingredients],TableauIngredients[Prix d''achat (kg)],0)*TableauRecette[[#This Row],[poids / unite]]</f>
        <v>1.1166666666666667</v>
      </c>
      <c r="H384" s="224">
        <f>SUMIFS(TableauRecette[Proportion],TableauRecette[Recette],TableauRecette[[#This Row],[Recette]],TableauRecette[Conditionnement],TableauRecette[[#This Row],[Conditionnement]])</f>
        <v>99</v>
      </c>
      <c r="I384" s="224">
        <f ca="1">TableauRecette[[#This Row],[Proportion]]*TableauRecette[[#This Row],[Prix d''achat / kg]]/TableauRecette[[#This Row],[Total Proportion]]</f>
        <v>0</v>
      </c>
      <c r="J384" s="224"/>
      <c r="K384" s="850"/>
      <c r="L384" s="851">
        <f>_xlfn.XLOOKUP(TableauRecette[[#This Row],[ID]],TableauProduit[ID],TableauProduit[Total (kg) N1],0,0,1)*TableauRecette[[#This Row],[poids / unite]]</f>
        <v>0</v>
      </c>
      <c r="M384" s="852">
        <f>_xlfn.XLOOKUP(TableauRecette[[#This Row],[ID]],TableauProduit[ID],TableauProduit[Total (kg) N2],0,0,1)*TableauRecette[[#This Row],[poids / unite]]</f>
        <v>0</v>
      </c>
      <c r="N384" s="852">
        <f>_xlfn.XLOOKUP(TableauRecette[[#This Row],[ID]],TableauProduit[ID],TableauProduit[Total (kg) N3],0,0,1)*TableauRecette[[#This Row],[poids / unite]]</f>
        <v>0</v>
      </c>
      <c r="O384" s="852">
        <f>_xlfn.XLOOKUP(TableauRecette[[#This Row],[ID]],TableauProduit[ID],TableauProduit[Total (kg) N4],0,0,1)*TableauRecette[[#This Row],[poids / unite]]</f>
        <v>0</v>
      </c>
      <c r="P384" s="852">
        <f>_xlfn.XLOOKUP(TableauRecette[[#This Row],[ID]],TableauProduit[ID],TableauProduit[Total (kg) N5],0,0,1)*TableauRecette[[#This Row],[poids / unite]]</f>
        <v>0</v>
      </c>
      <c r="Q384" s="852">
        <f>_xlfn.XLOOKUP(TableauRecette[[#This Row],[ID]],TableauProduit[ID],TableauProduit[Total (kg) N6],0,0,1)*TableauRecette[[#This Row],[poids / unite]]</f>
        <v>0</v>
      </c>
      <c r="R384" s="852">
        <f>_xlfn.XLOOKUP(TableauRecette[[#This Row],[ID]],TableauProduit[ID],TableauProduit[Total (kg) N7],0,0,1)*TableauRecette[[#This Row],[poids / unite]]</f>
        <v>0</v>
      </c>
      <c r="S384" s="852">
        <f>_xlfn.XLOOKUP(TableauRecette[[#This Row],[ID]],TableauProduit[ID],TableauProduit[Total (kg) N8],0,0,1)*TableauRecette[[#This Row],[poids / unite]]</f>
        <v>0</v>
      </c>
      <c r="T384" s="852">
        <f>_xlfn.XLOOKUP(TableauRecette[[#This Row],[ID]],TableauProduit[ID],TableauProduit[Total (kg) N9],0,0,1)*TableauRecette[[#This Row],[poids / unite]]</f>
        <v>0</v>
      </c>
    </row>
    <row r="385" spans="1:20">
      <c r="A385" s="101" t="s">
        <v>697</v>
      </c>
      <c r="B385" s="101" t="str">
        <f>TableauRecette[[#This Row],[Recette]]&amp;TableauRecette[[#This Row],[Conditionnement]]</f>
        <v>Suya ghaneenEpice 100ml</v>
      </c>
      <c r="C385" s="101" t="s">
        <v>325</v>
      </c>
      <c r="D385" s="224">
        <v>4</v>
      </c>
      <c r="E385" s="101" t="s">
        <v>55</v>
      </c>
      <c r="F385" s="224">
        <f>D385/SUMIFS(TableauRecette[Proportion],TableauRecette[Recette],TableauRecette[[#This Row],[Recette]],TableauRecette[Conditionnement],TableauRecette[[#This Row],[Conditionnement]])</f>
        <v>4.0404040404040407E-2</v>
      </c>
      <c r="G385" s="224">
        <f ca="1">_xlfn.XLOOKUP(TableauRecette[[#This Row],[Ingredients]],TableauIngredients[Ingredients],TableauIngredients[Prix d''achat (kg)],0)*TableauRecette[[#This Row],[poids / unite]]</f>
        <v>0</v>
      </c>
      <c r="H385" s="224">
        <f>SUMIFS(TableauRecette[Proportion],TableauRecette[Recette],TableauRecette[[#This Row],[Recette]],TableauRecette[Conditionnement],TableauRecette[[#This Row],[Conditionnement]])</f>
        <v>99</v>
      </c>
      <c r="I385" s="224">
        <f ca="1">TableauRecette[[#This Row],[Proportion]]*TableauRecette[[#This Row],[Prix d''achat / kg]]/TableauRecette[[#This Row],[Total Proportion]]</f>
        <v>0</v>
      </c>
      <c r="J385" s="224"/>
      <c r="K385" s="850"/>
      <c r="L385" s="851">
        <f>_xlfn.XLOOKUP(TableauRecette[[#This Row],[ID]],TableauProduit[ID],TableauProduit[Total (kg) N1],0,0,1)*TableauRecette[[#This Row],[poids / unite]]</f>
        <v>0</v>
      </c>
      <c r="M385" s="852">
        <f>_xlfn.XLOOKUP(TableauRecette[[#This Row],[ID]],TableauProduit[ID],TableauProduit[Total (kg) N2],0,0,1)*TableauRecette[[#This Row],[poids / unite]]</f>
        <v>0</v>
      </c>
      <c r="N385" s="852">
        <f>_xlfn.XLOOKUP(TableauRecette[[#This Row],[ID]],TableauProduit[ID],TableauProduit[Total (kg) N3],0,0,1)*TableauRecette[[#This Row],[poids / unite]]</f>
        <v>0</v>
      </c>
      <c r="O385" s="852">
        <f>_xlfn.XLOOKUP(TableauRecette[[#This Row],[ID]],TableauProduit[ID],TableauProduit[Total (kg) N4],0,0,1)*TableauRecette[[#This Row],[poids / unite]]</f>
        <v>0</v>
      </c>
      <c r="P385" s="852">
        <f>_xlfn.XLOOKUP(TableauRecette[[#This Row],[ID]],TableauProduit[ID],TableauProduit[Total (kg) N5],0,0,1)*TableauRecette[[#This Row],[poids / unite]]</f>
        <v>0</v>
      </c>
      <c r="Q385" s="852">
        <f>_xlfn.XLOOKUP(TableauRecette[[#This Row],[ID]],TableauProduit[ID],TableauProduit[Total (kg) N6],0,0,1)*TableauRecette[[#This Row],[poids / unite]]</f>
        <v>0</v>
      </c>
      <c r="R385" s="852">
        <f>_xlfn.XLOOKUP(TableauRecette[[#This Row],[ID]],TableauProduit[ID],TableauProduit[Total (kg) N7],0,0,1)*TableauRecette[[#This Row],[poids / unite]]</f>
        <v>0</v>
      </c>
      <c r="S385" s="852">
        <f>_xlfn.XLOOKUP(TableauRecette[[#This Row],[ID]],TableauProduit[ID],TableauProduit[Total (kg) N8],0,0,1)*TableauRecette[[#This Row],[poids / unite]]</f>
        <v>0</v>
      </c>
      <c r="T385" s="852">
        <f>_xlfn.XLOOKUP(TableauRecette[[#This Row],[ID]],TableauProduit[ID],TableauProduit[Total (kg) N9],0,0,1)*TableauRecette[[#This Row],[poids / unite]]</f>
        <v>0</v>
      </c>
    </row>
    <row r="386" spans="1:20">
      <c r="A386" s="101" t="s">
        <v>697</v>
      </c>
      <c r="B386" s="101" t="str">
        <f>TableauRecette[[#This Row],[Recette]]&amp;TableauRecette[[#This Row],[Conditionnement]]</f>
        <v>Suya ghaneenEpice 100ml</v>
      </c>
      <c r="C386" s="101" t="s">
        <v>777</v>
      </c>
      <c r="D386" s="224">
        <v>10</v>
      </c>
      <c r="E386" s="101" t="s">
        <v>55</v>
      </c>
      <c r="F386" s="224">
        <f>D386/SUMIFS(TableauRecette[Proportion],TableauRecette[Recette],TableauRecette[[#This Row],[Recette]],TableauRecette[Conditionnement],TableauRecette[[#This Row],[Conditionnement]])</f>
        <v>0.10101010101010101</v>
      </c>
      <c r="G386" s="224">
        <f ca="1">_xlfn.XLOOKUP(TableauRecette[[#This Row],[Ingredients]],TableauIngredients[Ingredients],TableauIngredients[Prix d''achat (kg)],0)*TableauRecette[[#This Row],[poids / unite]]</f>
        <v>0</v>
      </c>
      <c r="H386" s="224">
        <f>SUMIFS(TableauRecette[Proportion],TableauRecette[Recette],TableauRecette[[#This Row],[Recette]],TableauRecette[Conditionnement],TableauRecette[[#This Row],[Conditionnement]])</f>
        <v>99</v>
      </c>
      <c r="I386" s="224">
        <f ca="1">TableauRecette[[#This Row],[Proportion]]*TableauRecette[[#This Row],[Prix d''achat / kg]]/TableauRecette[[#This Row],[Total Proportion]]</f>
        <v>0</v>
      </c>
      <c r="J386" s="224"/>
      <c r="K386" s="850"/>
      <c r="L386" s="851">
        <f>_xlfn.XLOOKUP(TableauRecette[[#This Row],[ID]],TableauProduit[ID],TableauProduit[Total (kg) N1],0,0,1)*TableauRecette[[#This Row],[poids / unite]]</f>
        <v>0</v>
      </c>
      <c r="M386" s="852">
        <f>_xlfn.XLOOKUP(TableauRecette[[#This Row],[ID]],TableauProduit[ID],TableauProduit[Total (kg) N2],0,0,1)*TableauRecette[[#This Row],[poids / unite]]</f>
        <v>0</v>
      </c>
      <c r="N386" s="852">
        <f>_xlfn.XLOOKUP(TableauRecette[[#This Row],[ID]],TableauProduit[ID],TableauProduit[Total (kg) N3],0,0,1)*TableauRecette[[#This Row],[poids / unite]]</f>
        <v>0</v>
      </c>
      <c r="O386" s="852">
        <f>_xlfn.XLOOKUP(TableauRecette[[#This Row],[ID]],TableauProduit[ID],TableauProduit[Total (kg) N4],0,0,1)*TableauRecette[[#This Row],[poids / unite]]</f>
        <v>0</v>
      </c>
      <c r="P386" s="852">
        <f>_xlfn.XLOOKUP(TableauRecette[[#This Row],[ID]],TableauProduit[ID],TableauProduit[Total (kg) N5],0,0,1)*TableauRecette[[#This Row],[poids / unite]]</f>
        <v>0</v>
      </c>
      <c r="Q386" s="852">
        <f>_xlfn.XLOOKUP(TableauRecette[[#This Row],[ID]],TableauProduit[ID],TableauProduit[Total (kg) N6],0,0,1)*TableauRecette[[#This Row],[poids / unite]]</f>
        <v>0</v>
      </c>
      <c r="R386" s="852">
        <f>_xlfn.XLOOKUP(TableauRecette[[#This Row],[ID]],TableauProduit[ID],TableauProduit[Total (kg) N7],0,0,1)*TableauRecette[[#This Row],[poids / unite]]</f>
        <v>0</v>
      </c>
      <c r="S386" s="852">
        <f>_xlfn.XLOOKUP(TableauRecette[[#This Row],[ID]],TableauProduit[ID],TableauProduit[Total (kg) N8],0,0,1)*TableauRecette[[#This Row],[poids / unite]]</f>
        <v>0</v>
      </c>
      <c r="T386" s="852">
        <f>_xlfn.XLOOKUP(TableauRecette[[#This Row],[ID]],TableauProduit[ID],TableauProduit[Total (kg) N9],0,0,1)*TableauRecette[[#This Row],[poids / unite]]</f>
        <v>0</v>
      </c>
    </row>
    <row r="387" spans="1:20">
      <c r="A387" s="102" t="s">
        <v>78</v>
      </c>
      <c r="B387" s="102" t="str">
        <f>TableauRecette[[#This Row],[Recette]]&amp;TableauRecette[[#This Row],[Conditionnement]]</f>
        <v>Tabasco cayenne jauneEpice 100ml</v>
      </c>
      <c r="C387" s="102" t="s">
        <v>339</v>
      </c>
      <c r="D387" s="225">
        <v>6</v>
      </c>
      <c r="E387" s="102" t="s">
        <v>55</v>
      </c>
      <c r="F387" s="225">
        <f>D387/SUMIFS(TableauRecette[Proportion],TableauRecette[Recette],TableauRecette[[#This Row],[Recette]],TableauRecette[Conditionnement],TableauRecette[[#This Row],[Conditionnement]])</f>
        <v>4.4776119402985072E-2</v>
      </c>
      <c r="G387" s="225">
        <f ca="1">_xlfn.XLOOKUP(TableauRecette[[#This Row],[Ingredients]],TableauIngredients[Ingredients],TableauIngredients[Prix d''achat (kg)],0)*TableauRecette[[#This Row],[poids / unite]]</f>
        <v>0</v>
      </c>
      <c r="H387" s="225">
        <f>SUMIFS(TableauRecette[Proportion],TableauRecette[Recette],TableauRecette[[#This Row],[Recette]],TableauRecette[Conditionnement],TableauRecette[[#This Row],[Conditionnement]])</f>
        <v>134</v>
      </c>
      <c r="I387" s="225">
        <f ca="1">TableauRecette[[#This Row],[Proportion]]*TableauRecette[[#This Row],[Prix d''achat / kg]]/TableauRecette[[#This Row],[Total Proportion]]</f>
        <v>0</v>
      </c>
      <c r="J387" s="225"/>
      <c r="K387" s="853"/>
      <c r="L387" s="854">
        <f>_xlfn.XLOOKUP(TableauRecette[[#This Row],[ID]],TableauProduit[ID],TableauProduit[Total (kg) N1],0,0,1)*TableauRecette[[#This Row],[poids / unite]]</f>
        <v>0.40298507462686567</v>
      </c>
      <c r="M387" s="855">
        <f>_xlfn.XLOOKUP(TableauRecette[[#This Row],[ID]],TableauProduit[ID],TableauProduit[Total (kg) N2],0,0,1)*TableauRecette[[#This Row],[poids / unite]]</f>
        <v>0.40298507462686567</v>
      </c>
      <c r="N387" s="855">
        <f>_xlfn.XLOOKUP(TableauRecette[[#This Row],[ID]],TableauProduit[ID],TableauProduit[Total (kg) N3],0,0,1)*TableauRecette[[#This Row],[poids / unite]]</f>
        <v>0.40298507462686567</v>
      </c>
      <c r="O387" s="855">
        <f>_xlfn.XLOOKUP(TableauRecette[[#This Row],[ID]],TableauProduit[ID],TableauProduit[Total (kg) N4],0,0,1)*TableauRecette[[#This Row],[poids / unite]]</f>
        <v>0.40298507462686567</v>
      </c>
      <c r="P387" s="855">
        <f>_xlfn.XLOOKUP(TableauRecette[[#This Row],[ID]],TableauProduit[ID],TableauProduit[Total (kg) N5],0,0,1)*TableauRecette[[#This Row],[poids / unite]]</f>
        <v>0.40298507462686567</v>
      </c>
      <c r="Q387" s="855">
        <f>_xlfn.XLOOKUP(TableauRecette[[#This Row],[ID]],TableauProduit[ID],TableauProduit[Total (kg) N6],0,0,1)*TableauRecette[[#This Row],[poids / unite]]</f>
        <v>0.40298507462686567</v>
      </c>
      <c r="R387" s="855">
        <f>_xlfn.XLOOKUP(TableauRecette[[#This Row],[ID]],TableauProduit[ID],TableauProduit[Total (kg) N7],0,0,1)*TableauRecette[[#This Row],[poids / unite]]</f>
        <v>0.40298507462686567</v>
      </c>
      <c r="S387" s="855">
        <f>_xlfn.XLOOKUP(TableauRecette[[#This Row],[ID]],TableauProduit[ID],TableauProduit[Total (kg) N8],0,0,1)*TableauRecette[[#This Row],[poids / unite]]</f>
        <v>0.40298507462686567</v>
      </c>
      <c r="T387" s="855">
        <f>_xlfn.XLOOKUP(TableauRecette[[#This Row],[ID]],TableauProduit[ID],TableauProduit[Total (kg) N9],0,0,1)*TableauRecette[[#This Row],[poids / unite]]</f>
        <v>0.40298507462686567</v>
      </c>
    </row>
    <row r="388" spans="1:20">
      <c r="A388" s="102" t="s">
        <v>78</v>
      </c>
      <c r="B388" s="102" t="str">
        <f>TableauRecette[[#This Row],[Recette]]&amp;TableauRecette[[#This Row],[Conditionnement]]</f>
        <v>Tabasco cayenne jauneEpice 100ml</v>
      </c>
      <c r="C388" s="102" t="s">
        <v>325</v>
      </c>
      <c r="D388" s="225">
        <v>100</v>
      </c>
      <c r="E388" s="102" t="s">
        <v>55</v>
      </c>
      <c r="F388" s="225">
        <f>D388/SUMIFS(TableauRecette[Proportion],TableauRecette[Recette],TableauRecette[[#This Row],[Recette]],TableauRecette[Conditionnement],TableauRecette[[#This Row],[Conditionnement]])</f>
        <v>0.74626865671641796</v>
      </c>
      <c r="G388" s="225">
        <f ca="1">_xlfn.XLOOKUP(TableauRecette[[#This Row],[Ingredients]],TableauIngredients[Ingredients],TableauIngredients[Prix d''achat (kg)],0)*TableauRecette[[#This Row],[poids / unite]]</f>
        <v>0</v>
      </c>
      <c r="H388" s="225">
        <f>SUMIFS(TableauRecette[Proportion],TableauRecette[Recette],TableauRecette[[#This Row],[Recette]],TableauRecette[Conditionnement],TableauRecette[[#This Row],[Conditionnement]])</f>
        <v>134</v>
      </c>
      <c r="I388" s="225">
        <f ca="1">TableauRecette[[#This Row],[Proportion]]*TableauRecette[[#This Row],[Prix d''achat / kg]]/TableauRecette[[#This Row],[Total Proportion]]</f>
        <v>0</v>
      </c>
      <c r="J388" s="225"/>
      <c r="K388" s="853"/>
      <c r="L388" s="854">
        <f>_xlfn.XLOOKUP(TableauRecette[[#This Row],[ID]],TableauProduit[ID],TableauProduit[Total (kg) N1],0,0,1)*TableauRecette[[#This Row],[poids / unite]]</f>
        <v>6.7164179104477615</v>
      </c>
      <c r="M388" s="855">
        <f>_xlfn.XLOOKUP(TableauRecette[[#This Row],[ID]],TableauProduit[ID],TableauProduit[Total (kg) N2],0,0,1)*TableauRecette[[#This Row],[poids / unite]]</f>
        <v>6.7164179104477615</v>
      </c>
      <c r="N388" s="855">
        <f>_xlfn.XLOOKUP(TableauRecette[[#This Row],[ID]],TableauProduit[ID],TableauProduit[Total (kg) N3],0,0,1)*TableauRecette[[#This Row],[poids / unite]]</f>
        <v>6.7164179104477615</v>
      </c>
      <c r="O388" s="855">
        <f>_xlfn.XLOOKUP(TableauRecette[[#This Row],[ID]],TableauProduit[ID],TableauProduit[Total (kg) N4],0,0,1)*TableauRecette[[#This Row],[poids / unite]]</f>
        <v>6.7164179104477615</v>
      </c>
      <c r="P388" s="855">
        <f>_xlfn.XLOOKUP(TableauRecette[[#This Row],[ID]],TableauProduit[ID],TableauProduit[Total (kg) N5],0,0,1)*TableauRecette[[#This Row],[poids / unite]]</f>
        <v>6.7164179104477615</v>
      </c>
      <c r="Q388" s="855">
        <f>_xlfn.XLOOKUP(TableauRecette[[#This Row],[ID]],TableauProduit[ID],TableauProduit[Total (kg) N6],0,0,1)*TableauRecette[[#This Row],[poids / unite]]</f>
        <v>6.7164179104477615</v>
      </c>
      <c r="R388" s="855">
        <f>_xlfn.XLOOKUP(TableauRecette[[#This Row],[ID]],TableauProduit[ID],TableauProduit[Total (kg) N7],0,0,1)*TableauRecette[[#This Row],[poids / unite]]</f>
        <v>6.7164179104477615</v>
      </c>
      <c r="S388" s="855">
        <f>_xlfn.XLOOKUP(TableauRecette[[#This Row],[ID]],TableauProduit[ID],TableauProduit[Total (kg) N8],0,0,1)*TableauRecette[[#This Row],[poids / unite]]</f>
        <v>6.7164179104477615</v>
      </c>
      <c r="T388" s="855">
        <f>_xlfn.XLOOKUP(TableauRecette[[#This Row],[ID]],TableauProduit[ID],TableauProduit[Total (kg) N9],0,0,1)*TableauRecette[[#This Row],[poids / unite]]</f>
        <v>6.7164179104477615</v>
      </c>
    </row>
    <row r="389" spans="1:20">
      <c r="A389" s="102" t="s">
        <v>78</v>
      </c>
      <c r="B389" s="102" t="str">
        <f>TableauRecette[[#This Row],[Recette]]&amp;TableauRecette[[#This Row],[Conditionnement]]</f>
        <v>Tabasco cayenne jauneEpice 100ml</v>
      </c>
      <c r="C389" s="102" t="s">
        <v>303</v>
      </c>
      <c r="D389" s="225">
        <v>10</v>
      </c>
      <c r="E389" s="102" t="s">
        <v>55</v>
      </c>
      <c r="F389" s="225">
        <f>D389/SUMIFS(TableauRecette[Proportion],TableauRecette[Recette],TableauRecette[[#This Row],[Recette]],TableauRecette[Conditionnement],TableauRecette[[#This Row],[Conditionnement]])</f>
        <v>7.4626865671641784E-2</v>
      </c>
      <c r="G389" s="225">
        <f ca="1">_xlfn.XLOOKUP(TableauRecette[[#This Row],[Ingredients]],TableauIngredients[Ingredients],TableauIngredients[Prix d''achat (kg)],0)*TableauRecette[[#This Row],[poids / unite]]</f>
        <v>0.10447761194029849</v>
      </c>
      <c r="H389" s="225">
        <f>SUMIFS(TableauRecette[Proportion],TableauRecette[Recette],TableauRecette[[#This Row],[Recette]],TableauRecette[Conditionnement],TableauRecette[[#This Row],[Conditionnement]])</f>
        <v>134</v>
      </c>
      <c r="I389" s="225">
        <f ca="1">TableauRecette[[#This Row],[Proportion]]*TableauRecette[[#This Row],[Prix d''achat / kg]]/TableauRecette[[#This Row],[Total Proportion]]</f>
        <v>0</v>
      </c>
      <c r="J389" s="225"/>
      <c r="K389" s="853"/>
      <c r="L389" s="854">
        <f>_xlfn.XLOOKUP(TableauRecette[[#This Row],[ID]],TableauProduit[ID],TableauProduit[Total (kg) N1],0,0,1)*TableauRecette[[#This Row],[poids / unite]]</f>
        <v>0.67164179104477606</v>
      </c>
      <c r="M389" s="855">
        <f>_xlfn.XLOOKUP(TableauRecette[[#This Row],[ID]],TableauProduit[ID],TableauProduit[Total (kg) N2],0,0,1)*TableauRecette[[#This Row],[poids / unite]]</f>
        <v>0.67164179104477606</v>
      </c>
      <c r="N389" s="855">
        <f>_xlfn.XLOOKUP(TableauRecette[[#This Row],[ID]],TableauProduit[ID],TableauProduit[Total (kg) N3],0,0,1)*TableauRecette[[#This Row],[poids / unite]]</f>
        <v>0.67164179104477606</v>
      </c>
      <c r="O389" s="855">
        <f>_xlfn.XLOOKUP(TableauRecette[[#This Row],[ID]],TableauProduit[ID],TableauProduit[Total (kg) N4],0,0,1)*TableauRecette[[#This Row],[poids / unite]]</f>
        <v>0.67164179104477606</v>
      </c>
      <c r="P389" s="855">
        <f>_xlfn.XLOOKUP(TableauRecette[[#This Row],[ID]],TableauProduit[ID],TableauProduit[Total (kg) N5],0,0,1)*TableauRecette[[#This Row],[poids / unite]]</f>
        <v>0.67164179104477606</v>
      </c>
      <c r="Q389" s="855">
        <f>_xlfn.XLOOKUP(TableauRecette[[#This Row],[ID]],TableauProduit[ID],TableauProduit[Total (kg) N6],0,0,1)*TableauRecette[[#This Row],[poids / unite]]</f>
        <v>0.67164179104477606</v>
      </c>
      <c r="R389" s="855">
        <f>_xlfn.XLOOKUP(TableauRecette[[#This Row],[ID]],TableauProduit[ID],TableauProduit[Total (kg) N7],0,0,1)*TableauRecette[[#This Row],[poids / unite]]</f>
        <v>0.67164179104477606</v>
      </c>
      <c r="S389" s="855">
        <f>_xlfn.XLOOKUP(TableauRecette[[#This Row],[ID]],TableauProduit[ID],TableauProduit[Total (kg) N8],0,0,1)*TableauRecette[[#This Row],[poids / unite]]</f>
        <v>0.67164179104477606</v>
      </c>
      <c r="T389" s="855">
        <f>_xlfn.XLOOKUP(TableauRecette[[#This Row],[ID]],TableauProduit[ID],TableauProduit[Total (kg) N9],0,0,1)*TableauRecette[[#This Row],[poids / unite]]</f>
        <v>0.67164179104477606</v>
      </c>
    </row>
    <row r="390" spans="1:20">
      <c r="A390" s="102" t="s">
        <v>78</v>
      </c>
      <c r="B390" s="102" t="str">
        <f>TableauRecette[[#This Row],[Recette]]&amp;TableauRecette[[#This Row],[Conditionnement]]</f>
        <v>Tabasco cayenne jauneEpice 100ml</v>
      </c>
      <c r="C390" s="102" t="s">
        <v>358</v>
      </c>
      <c r="D390" s="225">
        <v>6</v>
      </c>
      <c r="E390" s="102" t="s">
        <v>55</v>
      </c>
      <c r="F390" s="225">
        <f>D390/SUMIFS(TableauRecette[Proportion],TableauRecette[Recette],TableauRecette[[#This Row],[Recette]],TableauRecette[Conditionnement],TableauRecette[[#This Row],[Conditionnement]])</f>
        <v>4.4776119402985072E-2</v>
      </c>
      <c r="G390" s="225">
        <f ca="1">_xlfn.XLOOKUP(TableauRecette[[#This Row],[Ingredients]],TableauIngredients[Ingredients],TableauIngredients[Prix d''achat (kg)],0)*TableauRecette[[#This Row],[poids / unite]]</f>
        <v>0.17202985074626864</v>
      </c>
      <c r="H390" s="225">
        <f>SUMIFS(TableauRecette[Proportion],TableauRecette[Recette],TableauRecette[[#This Row],[Recette]],TableauRecette[Conditionnement],TableauRecette[[#This Row],[Conditionnement]])</f>
        <v>134</v>
      </c>
      <c r="I390" s="225">
        <f ca="1">TableauRecette[[#This Row],[Proportion]]*TableauRecette[[#This Row],[Prix d''achat / kg]]/TableauRecette[[#This Row],[Total Proportion]]</f>
        <v>0</v>
      </c>
      <c r="J390" s="225"/>
      <c r="K390" s="853"/>
      <c r="L390" s="854">
        <f>_xlfn.XLOOKUP(TableauRecette[[#This Row],[ID]],TableauProduit[ID],TableauProduit[Total (kg) N1],0,0,1)*TableauRecette[[#This Row],[poids / unite]]</f>
        <v>0.40298507462686567</v>
      </c>
      <c r="M390" s="855">
        <f>_xlfn.XLOOKUP(TableauRecette[[#This Row],[ID]],TableauProduit[ID],TableauProduit[Total (kg) N2],0,0,1)*TableauRecette[[#This Row],[poids / unite]]</f>
        <v>0.40298507462686567</v>
      </c>
      <c r="N390" s="855">
        <f>_xlfn.XLOOKUP(TableauRecette[[#This Row],[ID]],TableauProduit[ID],TableauProduit[Total (kg) N3],0,0,1)*TableauRecette[[#This Row],[poids / unite]]</f>
        <v>0.40298507462686567</v>
      </c>
      <c r="O390" s="855">
        <f>_xlfn.XLOOKUP(TableauRecette[[#This Row],[ID]],TableauProduit[ID],TableauProduit[Total (kg) N4],0,0,1)*TableauRecette[[#This Row],[poids / unite]]</f>
        <v>0.40298507462686567</v>
      </c>
      <c r="P390" s="855">
        <f>_xlfn.XLOOKUP(TableauRecette[[#This Row],[ID]],TableauProduit[ID],TableauProduit[Total (kg) N5],0,0,1)*TableauRecette[[#This Row],[poids / unite]]</f>
        <v>0.40298507462686567</v>
      </c>
      <c r="Q390" s="855">
        <f>_xlfn.XLOOKUP(TableauRecette[[#This Row],[ID]],TableauProduit[ID],TableauProduit[Total (kg) N6],0,0,1)*TableauRecette[[#This Row],[poids / unite]]</f>
        <v>0.40298507462686567</v>
      </c>
      <c r="R390" s="855">
        <f>_xlfn.XLOOKUP(TableauRecette[[#This Row],[ID]],TableauProduit[ID],TableauProduit[Total (kg) N7],0,0,1)*TableauRecette[[#This Row],[poids / unite]]</f>
        <v>0.40298507462686567</v>
      </c>
      <c r="S390" s="855">
        <f>_xlfn.XLOOKUP(TableauRecette[[#This Row],[ID]],TableauProduit[ID],TableauProduit[Total (kg) N8],0,0,1)*TableauRecette[[#This Row],[poids / unite]]</f>
        <v>0.40298507462686567</v>
      </c>
      <c r="T390" s="855">
        <f>_xlfn.XLOOKUP(TableauRecette[[#This Row],[ID]],TableauProduit[ID],TableauProduit[Total (kg) N9],0,0,1)*TableauRecette[[#This Row],[poids / unite]]</f>
        <v>0.40298507462686567</v>
      </c>
    </row>
    <row r="391" spans="1:20">
      <c r="A391" s="102" t="s">
        <v>78</v>
      </c>
      <c r="B391" s="102" t="str">
        <f>TableauRecette[[#This Row],[Recette]]&amp;TableauRecette[[#This Row],[Conditionnement]]</f>
        <v>Tabasco cayenne jauneEpice 100ml</v>
      </c>
      <c r="C391" s="102" t="s">
        <v>357</v>
      </c>
      <c r="D391" s="225">
        <v>12</v>
      </c>
      <c r="E391" s="102" t="s">
        <v>55</v>
      </c>
      <c r="F391" s="225">
        <f>D391/SUMIFS(TableauRecette[Proportion],TableauRecette[Recette],TableauRecette[[#This Row],[Recette]],TableauRecette[Conditionnement],TableauRecette[[#This Row],[Conditionnement]])</f>
        <v>8.9552238805970144E-2</v>
      </c>
      <c r="G391" s="225">
        <f ca="1">_xlfn.XLOOKUP(TableauRecette[[#This Row],[Ingredients]],TableauIngredients[Ingredients],TableauIngredients[Prix d''achat (kg)],0)*TableauRecette[[#This Row],[poids / unite]]</f>
        <v>0</v>
      </c>
      <c r="H391" s="225">
        <f>SUMIFS(TableauRecette[Proportion],TableauRecette[Recette],TableauRecette[[#This Row],[Recette]],TableauRecette[Conditionnement],TableauRecette[[#This Row],[Conditionnement]])</f>
        <v>134</v>
      </c>
      <c r="I391" s="225">
        <f ca="1">TableauRecette[[#This Row],[Proportion]]*TableauRecette[[#This Row],[Prix d''achat / kg]]/TableauRecette[[#This Row],[Total Proportion]]</f>
        <v>0</v>
      </c>
      <c r="J391" s="225"/>
      <c r="K391" s="853"/>
      <c r="L391" s="854">
        <f>_xlfn.XLOOKUP(TableauRecette[[#This Row],[ID]],TableauProduit[ID],TableauProduit[Total (kg) N1],0,0,1)*TableauRecette[[#This Row],[poids / unite]]</f>
        <v>0.80597014925373134</v>
      </c>
      <c r="M391" s="855">
        <f>_xlfn.XLOOKUP(TableauRecette[[#This Row],[ID]],TableauProduit[ID],TableauProduit[Total (kg) N2],0,0,1)*TableauRecette[[#This Row],[poids / unite]]</f>
        <v>0.80597014925373134</v>
      </c>
      <c r="N391" s="855">
        <f>_xlfn.XLOOKUP(TableauRecette[[#This Row],[ID]],TableauProduit[ID],TableauProduit[Total (kg) N3],0,0,1)*TableauRecette[[#This Row],[poids / unite]]</f>
        <v>0.80597014925373134</v>
      </c>
      <c r="O391" s="855">
        <f>_xlfn.XLOOKUP(TableauRecette[[#This Row],[ID]],TableauProduit[ID],TableauProduit[Total (kg) N4],0,0,1)*TableauRecette[[#This Row],[poids / unite]]</f>
        <v>0.80597014925373134</v>
      </c>
      <c r="P391" s="855">
        <f>_xlfn.XLOOKUP(TableauRecette[[#This Row],[ID]],TableauProduit[ID],TableauProduit[Total (kg) N5],0,0,1)*TableauRecette[[#This Row],[poids / unite]]</f>
        <v>0.80597014925373134</v>
      </c>
      <c r="Q391" s="855">
        <f>_xlfn.XLOOKUP(TableauRecette[[#This Row],[ID]],TableauProduit[ID],TableauProduit[Total (kg) N6],0,0,1)*TableauRecette[[#This Row],[poids / unite]]</f>
        <v>0.80597014925373134</v>
      </c>
      <c r="R391" s="855">
        <f>_xlfn.XLOOKUP(TableauRecette[[#This Row],[ID]],TableauProduit[ID],TableauProduit[Total (kg) N7],0,0,1)*TableauRecette[[#This Row],[poids / unite]]</f>
        <v>0.80597014925373134</v>
      </c>
      <c r="S391" s="855">
        <f>_xlfn.XLOOKUP(TableauRecette[[#This Row],[ID]],TableauProduit[ID],TableauProduit[Total (kg) N8],0,0,1)*TableauRecette[[#This Row],[poids / unite]]</f>
        <v>0.80597014925373134</v>
      </c>
      <c r="T391" s="855">
        <f>_xlfn.XLOOKUP(TableauRecette[[#This Row],[ID]],TableauProduit[ID],TableauProduit[Total (kg) N9],0,0,1)*TableauRecette[[#This Row],[poids / unite]]</f>
        <v>0.80597014925373134</v>
      </c>
    </row>
    <row r="392" spans="1:20">
      <c r="A392" s="103" t="s">
        <v>77</v>
      </c>
      <c r="B392" s="103" t="str">
        <f>TableauRecette[[#This Row],[Recette]]&amp;TableauRecette[[#This Row],[Conditionnement]]</f>
        <v>Tabasco jalapenoEpice 100ml</v>
      </c>
      <c r="C392" s="103" t="s">
        <v>407</v>
      </c>
      <c r="D392" s="226">
        <v>100</v>
      </c>
      <c r="E392" s="103" t="s">
        <v>55</v>
      </c>
      <c r="F392" s="226">
        <f>D392/SUMIFS(TableauRecette[Proportion],TableauRecette[Recette],TableauRecette[[#This Row],[Recette]],TableauRecette[Conditionnement],TableauRecette[[#This Row],[Conditionnement]])</f>
        <v>0.70921985815602839</v>
      </c>
      <c r="G392" s="226">
        <f ca="1">_xlfn.XLOOKUP(TableauRecette[[#This Row],[Ingredients]],TableauIngredients[Ingredients],TableauIngredients[Prix d''achat (kg)],0)*TableauRecette[[#This Row],[poids / unite]]</f>
        <v>0</v>
      </c>
      <c r="H392" s="226">
        <f>SUMIFS(TableauRecette[Proportion],TableauRecette[Recette],TableauRecette[[#This Row],[Recette]],TableauRecette[Conditionnement],TableauRecette[[#This Row],[Conditionnement]])</f>
        <v>141</v>
      </c>
      <c r="I392" s="226">
        <f ca="1">TableauRecette[[#This Row],[Proportion]]*TableauRecette[[#This Row],[Prix d''achat / kg]]/TableauRecette[[#This Row],[Total Proportion]]</f>
        <v>0</v>
      </c>
      <c r="J392" s="226"/>
      <c r="K392" s="856"/>
      <c r="L392" s="857">
        <f>_xlfn.XLOOKUP(TableauRecette[[#This Row],[ID]],TableauProduit[ID],TableauProduit[Total (kg) N1],0,0,1)*TableauRecette[[#This Row],[poids / unite]]</f>
        <v>12.76595744680851</v>
      </c>
      <c r="M392" s="858">
        <f>_xlfn.XLOOKUP(TableauRecette[[#This Row],[ID]],TableauProduit[ID],TableauProduit[Total (kg) N2],0,0,1)*TableauRecette[[#This Row],[poids / unite]]</f>
        <v>12.76595744680851</v>
      </c>
      <c r="N392" s="858">
        <f>_xlfn.XLOOKUP(TableauRecette[[#This Row],[ID]],TableauProduit[ID],TableauProduit[Total (kg) N3],0,0,1)*TableauRecette[[#This Row],[poids / unite]]</f>
        <v>12.76595744680851</v>
      </c>
      <c r="O392" s="858">
        <f>_xlfn.XLOOKUP(TableauRecette[[#This Row],[ID]],TableauProduit[ID],TableauProduit[Total (kg) N4],0,0,1)*TableauRecette[[#This Row],[poids / unite]]</f>
        <v>12.76595744680851</v>
      </c>
      <c r="P392" s="858">
        <f>_xlfn.XLOOKUP(TableauRecette[[#This Row],[ID]],TableauProduit[ID],TableauProduit[Total (kg) N5],0,0,1)*TableauRecette[[#This Row],[poids / unite]]</f>
        <v>12.76595744680851</v>
      </c>
      <c r="Q392" s="858">
        <f>_xlfn.XLOOKUP(TableauRecette[[#This Row],[ID]],TableauProduit[ID],TableauProduit[Total (kg) N6],0,0,1)*TableauRecette[[#This Row],[poids / unite]]</f>
        <v>12.76595744680851</v>
      </c>
      <c r="R392" s="858">
        <f>_xlfn.XLOOKUP(TableauRecette[[#This Row],[ID]],TableauProduit[ID],TableauProduit[Total (kg) N7],0,0,1)*TableauRecette[[#This Row],[poids / unite]]</f>
        <v>12.76595744680851</v>
      </c>
      <c r="S392" s="858">
        <f>_xlfn.XLOOKUP(TableauRecette[[#This Row],[ID]],TableauProduit[ID],TableauProduit[Total (kg) N8],0,0,1)*TableauRecette[[#This Row],[poids / unite]]</f>
        <v>12.76595744680851</v>
      </c>
      <c r="T392" s="858">
        <f>_xlfn.XLOOKUP(TableauRecette[[#This Row],[ID]],TableauProduit[ID],TableauProduit[Total (kg) N9],0,0,1)*TableauRecette[[#This Row],[poids / unite]]</f>
        <v>12.76595744680851</v>
      </c>
    </row>
    <row r="393" spans="1:20">
      <c r="A393" s="103" t="s">
        <v>77</v>
      </c>
      <c r="B393" s="103" t="str">
        <f>TableauRecette[[#This Row],[Recette]]&amp;TableauRecette[[#This Row],[Conditionnement]]</f>
        <v>Tabasco jalapenoEpice 100ml</v>
      </c>
      <c r="C393" s="103" t="s">
        <v>303</v>
      </c>
      <c r="D393" s="226">
        <v>10</v>
      </c>
      <c r="E393" s="103" t="s">
        <v>55</v>
      </c>
      <c r="F393" s="226">
        <f>D393/SUMIFS(TableauRecette[Proportion],TableauRecette[Recette],TableauRecette[[#This Row],[Recette]],TableauRecette[Conditionnement],TableauRecette[[#This Row],[Conditionnement]])</f>
        <v>7.0921985815602842E-2</v>
      </c>
      <c r="G393" s="226">
        <f ca="1">_xlfn.XLOOKUP(TableauRecette[[#This Row],[Ingredients]],TableauIngredients[Ingredients],TableauIngredients[Prix d''achat (kg)],0)*TableauRecette[[#This Row],[poids / unite]]</f>
        <v>9.9290780141843976E-2</v>
      </c>
      <c r="H393" s="226">
        <f>SUMIFS(TableauRecette[Proportion],TableauRecette[Recette],TableauRecette[[#This Row],[Recette]],TableauRecette[Conditionnement],TableauRecette[[#This Row],[Conditionnement]])</f>
        <v>141</v>
      </c>
      <c r="I393" s="226">
        <f ca="1">TableauRecette[[#This Row],[Proportion]]*TableauRecette[[#This Row],[Prix d''achat / kg]]/TableauRecette[[#This Row],[Total Proportion]]</f>
        <v>0</v>
      </c>
      <c r="J393" s="226"/>
      <c r="K393" s="856"/>
      <c r="L393" s="857">
        <f>_xlfn.XLOOKUP(TableauRecette[[#This Row],[ID]],TableauProduit[ID],TableauProduit[Total (kg) N1],0,0,1)*TableauRecette[[#This Row],[poids / unite]]</f>
        <v>1.2765957446808511</v>
      </c>
      <c r="M393" s="858">
        <f>_xlfn.XLOOKUP(TableauRecette[[#This Row],[ID]],TableauProduit[ID],TableauProduit[Total (kg) N2],0,0,1)*TableauRecette[[#This Row],[poids / unite]]</f>
        <v>1.2765957446808511</v>
      </c>
      <c r="N393" s="858">
        <f>_xlfn.XLOOKUP(TableauRecette[[#This Row],[ID]],TableauProduit[ID],TableauProduit[Total (kg) N3],0,0,1)*TableauRecette[[#This Row],[poids / unite]]</f>
        <v>1.2765957446808511</v>
      </c>
      <c r="O393" s="858">
        <f>_xlfn.XLOOKUP(TableauRecette[[#This Row],[ID]],TableauProduit[ID],TableauProduit[Total (kg) N4],0,0,1)*TableauRecette[[#This Row],[poids / unite]]</f>
        <v>1.2765957446808511</v>
      </c>
      <c r="P393" s="858">
        <f>_xlfn.XLOOKUP(TableauRecette[[#This Row],[ID]],TableauProduit[ID],TableauProduit[Total (kg) N5],0,0,1)*TableauRecette[[#This Row],[poids / unite]]</f>
        <v>1.2765957446808511</v>
      </c>
      <c r="Q393" s="858">
        <f>_xlfn.XLOOKUP(TableauRecette[[#This Row],[ID]],TableauProduit[ID],TableauProduit[Total (kg) N6],0,0,1)*TableauRecette[[#This Row],[poids / unite]]</f>
        <v>1.2765957446808511</v>
      </c>
      <c r="R393" s="858">
        <f>_xlfn.XLOOKUP(TableauRecette[[#This Row],[ID]],TableauProduit[ID],TableauProduit[Total (kg) N7],0,0,1)*TableauRecette[[#This Row],[poids / unite]]</f>
        <v>1.2765957446808511</v>
      </c>
      <c r="S393" s="858">
        <f>_xlfn.XLOOKUP(TableauRecette[[#This Row],[ID]],TableauProduit[ID],TableauProduit[Total (kg) N8],0,0,1)*TableauRecette[[#This Row],[poids / unite]]</f>
        <v>1.2765957446808511</v>
      </c>
      <c r="T393" s="858">
        <f>_xlfn.XLOOKUP(TableauRecette[[#This Row],[ID]],TableauProduit[ID],TableauProduit[Total (kg) N9],0,0,1)*TableauRecette[[#This Row],[poids / unite]]</f>
        <v>1.2765957446808511</v>
      </c>
    </row>
    <row r="394" spans="1:20">
      <c r="A394" s="103" t="s">
        <v>77</v>
      </c>
      <c r="B394" s="103" t="str">
        <f>TableauRecette[[#This Row],[Recette]]&amp;TableauRecette[[#This Row],[Conditionnement]]</f>
        <v>Tabasco jalapenoEpice 100ml</v>
      </c>
      <c r="C394" s="103" t="s">
        <v>358</v>
      </c>
      <c r="D394" s="226">
        <v>6</v>
      </c>
      <c r="E394" s="103" t="s">
        <v>55</v>
      </c>
      <c r="F394" s="226">
        <f>D394/SUMIFS(TableauRecette[Proportion],TableauRecette[Recette],TableauRecette[[#This Row],[Recette]],TableauRecette[Conditionnement],TableauRecette[[#This Row],[Conditionnement]])</f>
        <v>4.2553191489361701E-2</v>
      </c>
      <c r="G394" s="226">
        <f ca="1">_xlfn.XLOOKUP(TableauRecette[[#This Row],[Ingredients]],TableauIngredients[Ingredients],TableauIngredients[Prix d''achat (kg)],0)*TableauRecette[[#This Row],[poids / unite]]</f>
        <v>0.16348936170212766</v>
      </c>
      <c r="H394" s="226">
        <f>SUMIFS(TableauRecette[Proportion],TableauRecette[Recette],TableauRecette[[#This Row],[Recette]],TableauRecette[Conditionnement],TableauRecette[[#This Row],[Conditionnement]])</f>
        <v>141</v>
      </c>
      <c r="I394" s="226">
        <f ca="1">TableauRecette[[#This Row],[Proportion]]*TableauRecette[[#This Row],[Prix d''achat / kg]]/TableauRecette[[#This Row],[Total Proportion]]</f>
        <v>0</v>
      </c>
      <c r="J394" s="226"/>
      <c r="K394" s="856"/>
      <c r="L394" s="857">
        <f>_xlfn.XLOOKUP(TableauRecette[[#This Row],[ID]],TableauProduit[ID],TableauProduit[Total (kg) N1],0,0,1)*TableauRecette[[#This Row],[poids / unite]]</f>
        <v>0.76595744680851063</v>
      </c>
      <c r="M394" s="858">
        <f>_xlfn.XLOOKUP(TableauRecette[[#This Row],[ID]],TableauProduit[ID],TableauProduit[Total (kg) N2],0,0,1)*TableauRecette[[#This Row],[poids / unite]]</f>
        <v>0.76595744680851063</v>
      </c>
      <c r="N394" s="858">
        <f>_xlfn.XLOOKUP(TableauRecette[[#This Row],[ID]],TableauProduit[ID],TableauProduit[Total (kg) N3],0,0,1)*TableauRecette[[#This Row],[poids / unite]]</f>
        <v>0.76595744680851063</v>
      </c>
      <c r="O394" s="858">
        <f>_xlfn.XLOOKUP(TableauRecette[[#This Row],[ID]],TableauProduit[ID],TableauProduit[Total (kg) N4],0,0,1)*TableauRecette[[#This Row],[poids / unite]]</f>
        <v>0.76595744680851063</v>
      </c>
      <c r="P394" s="858">
        <f>_xlfn.XLOOKUP(TableauRecette[[#This Row],[ID]],TableauProduit[ID],TableauProduit[Total (kg) N5],0,0,1)*TableauRecette[[#This Row],[poids / unite]]</f>
        <v>0.76595744680851063</v>
      </c>
      <c r="Q394" s="858">
        <f>_xlfn.XLOOKUP(TableauRecette[[#This Row],[ID]],TableauProduit[ID],TableauProduit[Total (kg) N6],0,0,1)*TableauRecette[[#This Row],[poids / unite]]</f>
        <v>0.76595744680851063</v>
      </c>
      <c r="R394" s="858">
        <f>_xlfn.XLOOKUP(TableauRecette[[#This Row],[ID]],TableauProduit[ID],TableauProduit[Total (kg) N7],0,0,1)*TableauRecette[[#This Row],[poids / unite]]</f>
        <v>0.76595744680851063</v>
      </c>
      <c r="S394" s="858">
        <f>_xlfn.XLOOKUP(TableauRecette[[#This Row],[ID]],TableauProduit[ID],TableauProduit[Total (kg) N8],0,0,1)*TableauRecette[[#This Row],[poids / unite]]</f>
        <v>0.76595744680851063</v>
      </c>
      <c r="T394" s="858">
        <f>_xlfn.XLOOKUP(TableauRecette[[#This Row],[ID]],TableauProduit[ID],TableauProduit[Total (kg) N9],0,0,1)*TableauRecette[[#This Row],[poids / unite]]</f>
        <v>0.76595744680851063</v>
      </c>
    </row>
    <row r="395" spans="1:20">
      <c r="A395" s="103" t="s">
        <v>77</v>
      </c>
      <c r="B395" s="103" t="str">
        <f>TableauRecette[[#This Row],[Recette]]&amp;TableauRecette[[#This Row],[Conditionnement]]</f>
        <v>Tabasco jalapenoEpice 100ml</v>
      </c>
      <c r="C395" s="103" t="s">
        <v>381</v>
      </c>
      <c r="D395" s="226">
        <v>13</v>
      </c>
      <c r="E395" s="103" t="s">
        <v>55</v>
      </c>
      <c r="F395" s="226">
        <f>D395/SUMIFS(TableauRecette[Proportion],TableauRecette[Recette],TableauRecette[[#This Row],[Recette]],TableauRecette[Conditionnement],TableauRecette[[#This Row],[Conditionnement]])</f>
        <v>9.2198581560283682E-2</v>
      </c>
      <c r="G395" s="226">
        <f ca="1">_xlfn.XLOOKUP(TableauRecette[[#This Row],[Ingredients]],TableauIngredients[Ingredients],TableauIngredients[Prix d''achat (kg)],0)*TableauRecette[[#This Row],[poids / unite]]</f>
        <v>0</v>
      </c>
      <c r="H395" s="226">
        <f>SUMIFS(TableauRecette[Proportion],TableauRecette[Recette],TableauRecette[[#This Row],[Recette]],TableauRecette[Conditionnement],TableauRecette[[#This Row],[Conditionnement]])</f>
        <v>141</v>
      </c>
      <c r="I395" s="226">
        <f ca="1">TableauRecette[[#This Row],[Proportion]]*TableauRecette[[#This Row],[Prix d''achat / kg]]/TableauRecette[[#This Row],[Total Proportion]]</f>
        <v>0</v>
      </c>
      <c r="J395" s="226"/>
      <c r="K395" s="856"/>
      <c r="L395" s="857">
        <f>_xlfn.XLOOKUP(TableauRecette[[#This Row],[ID]],TableauProduit[ID],TableauProduit[Total (kg) N1],0,0,1)*TableauRecette[[#This Row],[poids / unite]]</f>
        <v>1.6595744680851063</v>
      </c>
      <c r="M395" s="858">
        <f>_xlfn.XLOOKUP(TableauRecette[[#This Row],[ID]],TableauProduit[ID],TableauProduit[Total (kg) N2],0,0,1)*TableauRecette[[#This Row],[poids / unite]]</f>
        <v>1.6595744680851063</v>
      </c>
      <c r="N395" s="858">
        <f>_xlfn.XLOOKUP(TableauRecette[[#This Row],[ID]],TableauProduit[ID],TableauProduit[Total (kg) N3],0,0,1)*TableauRecette[[#This Row],[poids / unite]]</f>
        <v>1.6595744680851063</v>
      </c>
      <c r="O395" s="858">
        <f>_xlfn.XLOOKUP(TableauRecette[[#This Row],[ID]],TableauProduit[ID],TableauProduit[Total (kg) N4],0,0,1)*TableauRecette[[#This Row],[poids / unite]]</f>
        <v>1.6595744680851063</v>
      </c>
      <c r="P395" s="858">
        <f>_xlfn.XLOOKUP(TableauRecette[[#This Row],[ID]],TableauProduit[ID],TableauProduit[Total (kg) N5],0,0,1)*TableauRecette[[#This Row],[poids / unite]]</f>
        <v>1.6595744680851063</v>
      </c>
      <c r="Q395" s="858">
        <f>_xlfn.XLOOKUP(TableauRecette[[#This Row],[ID]],TableauProduit[ID],TableauProduit[Total (kg) N6],0,0,1)*TableauRecette[[#This Row],[poids / unite]]</f>
        <v>1.6595744680851063</v>
      </c>
      <c r="R395" s="858">
        <f>_xlfn.XLOOKUP(TableauRecette[[#This Row],[ID]],TableauProduit[ID],TableauProduit[Total (kg) N7],0,0,1)*TableauRecette[[#This Row],[poids / unite]]</f>
        <v>1.6595744680851063</v>
      </c>
      <c r="S395" s="858">
        <f>_xlfn.XLOOKUP(TableauRecette[[#This Row],[ID]],TableauProduit[ID],TableauProduit[Total (kg) N8],0,0,1)*TableauRecette[[#This Row],[poids / unite]]</f>
        <v>1.6595744680851063</v>
      </c>
      <c r="T395" s="858">
        <f>_xlfn.XLOOKUP(TableauRecette[[#This Row],[ID]],TableauProduit[ID],TableauProduit[Total (kg) N9],0,0,1)*TableauRecette[[#This Row],[poids / unite]]</f>
        <v>1.6595744680851063</v>
      </c>
    </row>
    <row r="396" spans="1:20">
      <c r="A396" s="103" t="s">
        <v>77</v>
      </c>
      <c r="B396" s="103" t="str">
        <f>TableauRecette[[#This Row],[Recette]]&amp;TableauRecette[[#This Row],[Conditionnement]]</f>
        <v>Tabasco jalapenoEpice 100ml</v>
      </c>
      <c r="C396" s="103" t="s">
        <v>357</v>
      </c>
      <c r="D396" s="226">
        <v>12</v>
      </c>
      <c r="E396" s="103" t="s">
        <v>55</v>
      </c>
      <c r="F396" s="226">
        <f>D396/SUMIFS(TableauRecette[Proportion],TableauRecette[Recette],TableauRecette[[#This Row],[Recette]],TableauRecette[Conditionnement],TableauRecette[[#This Row],[Conditionnement]])</f>
        <v>8.5106382978723402E-2</v>
      </c>
      <c r="G396" s="226">
        <f ca="1">_xlfn.XLOOKUP(TableauRecette[[#This Row],[Ingredients]],TableauIngredients[Ingredients],TableauIngredients[Prix d''achat (kg)],0)*TableauRecette[[#This Row],[poids / unite]]</f>
        <v>0</v>
      </c>
      <c r="H396" s="226">
        <f>SUMIFS(TableauRecette[Proportion],TableauRecette[Recette],TableauRecette[[#This Row],[Recette]],TableauRecette[Conditionnement],TableauRecette[[#This Row],[Conditionnement]])</f>
        <v>141</v>
      </c>
      <c r="I396" s="226">
        <f ca="1">TableauRecette[[#This Row],[Proportion]]*TableauRecette[[#This Row],[Prix d''achat / kg]]/TableauRecette[[#This Row],[Total Proportion]]</f>
        <v>0</v>
      </c>
      <c r="J396" s="226"/>
      <c r="K396" s="856"/>
      <c r="L396" s="857">
        <f>_xlfn.XLOOKUP(TableauRecette[[#This Row],[ID]],TableauProduit[ID],TableauProduit[Total (kg) N1],0,0,1)*TableauRecette[[#This Row],[poids / unite]]</f>
        <v>1.5319148936170213</v>
      </c>
      <c r="M396" s="858">
        <f>_xlfn.XLOOKUP(TableauRecette[[#This Row],[ID]],TableauProduit[ID],TableauProduit[Total (kg) N2],0,0,1)*TableauRecette[[#This Row],[poids / unite]]</f>
        <v>1.5319148936170213</v>
      </c>
      <c r="N396" s="858">
        <f>_xlfn.XLOOKUP(TableauRecette[[#This Row],[ID]],TableauProduit[ID],TableauProduit[Total (kg) N3],0,0,1)*TableauRecette[[#This Row],[poids / unite]]</f>
        <v>1.5319148936170213</v>
      </c>
      <c r="O396" s="858">
        <f>_xlfn.XLOOKUP(TableauRecette[[#This Row],[ID]],TableauProduit[ID],TableauProduit[Total (kg) N4],0,0,1)*TableauRecette[[#This Row],[poids / unite]]</f>
        <v>1.5319148936170213</v>
      </c>
      <c r="P396" s="858">
        <f>_xlfn.XLOOKUP(TableauRecette[[#This Row],[ID]],TableauProduit[ID],TableauProduit[Total (kg) N5],0,0,1)*TableauRecette[[#This Row],[poids / unite]]</f>
        <v>1.5319148936170213</v>
      </c>
      <c r="Q396" s="858">
        <f>_xlfn.XLOOKUP(TableauRecette[[#This Row],[ID]],TableauProduit[ID],TableauProduit[Total (kg) N6],0,0,1)*TableauRecette[[#This Row],[poids / unite]]</f>
        <v>1.5319148936170213</v>
      </c>
      <c r="R396" s="858">
        <f>_xlfn.XLOOKUP(TableauRecette[[#This Row],[ID]],TableauProduit[ID],TableauProduit[Total (kg) N7],0,0,1)*TableauRecette[[#This Row],[poids / unite]]</f>
        <v>1.5319148936170213</v>
      </c>
      <c r="S396" s="858">
        <f>_xlfn.XLOOKUP(TableauRecette[[#This Row],[ID]],TableauProduit[ID],TableauProduit[Total (kg) N8],0,0,1)*TableauRecette[[#This Row],[poids / unite]]</f>
        <v>1.5319148936170213</v>
      </c>
      <c r="T396" s="858">
        <f>_xlfn.XLOOKUP(TableauRecette[[#This Row],[ID]],TableauProduit[ID],TableauProduit[Total (kg) N9],0,0,1)*TableauRecette[[#This Row],[poids / unite]]</f>
        <v>1.5319148936170213</v>
      </c>
    </row>
    <row r="397" spans="1:20">
      <c r="A397" s="103" t="s">
        <v>77</v>
      </c>
      <c r="B397" s="103" t="str">
        <f>TableauRecette[[#This Row],[Recette]]&amp;TableauRecette[[#This Row],[Conditionnement]]</f>
        <v>Tabasco jalapenoEpice 100ml</v>
      </c>
      <c r="C397" s="103" t="s">
        <v>359</v>
      </c>
      <c r="D397" s="226"/>
      <c r="E397" s="103" t="s">
        <v>55</v>
      </c>
      <c r="F397" s="226">
        <f>D397/SUMIFS(TableauRecette[Proportion],TableauRecette[Recette],TableauRecette[[#This Row],[Recette]],TableauRecette[Conditionnement],TableauRecette[[#This Row],[Conditionnement]])</f>
        <v>0</v>
      </c>
      <c r="G397" s="226">
        <f ca="1">_xlfn.XLOOKUP(TableauRecette[[#This Row],[Ingredients]],TableauIngredients[Ingredients],TableauIngredients[Prix d''achat (kg)],0)*TableauRecette[[#This Row],[poids / unite]]</f>
        <v>0</v>
      </c>
      <c r="H397" s="226">
        <f>SUMIFS(TableauRecette[Proportion],TableauRecette[Recette],TableauRecette[[#This Row],[Recette]],TableauRecette[Conditionnement],TableauRecette[[#This Row],[Conditionnement]])</f>
        <v>141</v>
      </c>
      <c r="I397" s="226">
        <f ca="1">TableauRecette[[#This Row],[Proportion]]*TableauRecette[[#This Row],[Prix d''achat / kg]]/TableauRecette[[#This Row],[Total Proportion]]</f>
        <v>0</v>
      </c>
      <c r="J397" s="226"/>
      <c r="K397" s="856"/>
      <c r="L397" s="857">
        <f>_xlfn.XLOOKUP(TableauRecette[[#This Row],[ID]],TableauProduit[ID],TableauProduit[Total (kg) N1],0,0,1)*TableauRecette[[#This Row],[poids / unite]]</f>
        <v>0</v>
      </c>
      <c r="M397" s="858">
        <f>_xlfn.XLOOKUP(TableauRecette[[#This Row],[ID]],TableauProduit[ID],TableauProduit[Total (kg) N2],0,0,1)*TableauRecette[[#This Row],[poids / unite]]</f>
        <v>0</v>
      </c>
      <c r="N397" s="858">
        <f>_xlfn.XLOOKUP(TableauRecette[[#This Row],[ID]],TableauProduit[ID],TableauProduit[Total (kg) N3],0,0,1)*TableauRecette[[#This Row],[poids / unite]]</f>
        <v>0</v>
      </c>
      <c r="O397" s="858">
        <f>_xlfn.XLOOKUP(TableauRecette[[#This Row],[ID]],TableauProduit[ID],TableauProduit[Total (kg) N4],0,0,1)*TableauRecette[[#This Row],[poids / unite]]</f>
        <v>0</v>
      </c>
      <c r="P397" s="858">
        <f>_xlfn.XLOOKUP(TableauRecette[[#This Row],[ID]],TableauProduit[ID],TableauProduit[Total (kg) N5],0,0,1)*TableauRecette[[#This Row],[poids / unite]]</f>
        <v>0</v>
      </c>
      <c r="Q397" s="858">
        <f>_xlfn.XLOOKUP(TableauRecette[[#This Row],[ID]],TableauProduit[ID],TableauProduit[Total (kg) N6],0,0,1)*TableauRecette[[#This Row],[poids / unite]]</f>
        <v>0</v>
      </c>
      <c r="R397" s="858">
        <f>_xlfn.XLOOKUP(TableauRecette[[#This Row],[ID]],TableauProduit[ID],TableauProduit[Total (kg) N7],0,0,1)*TableauRecette[[#This Row],[poids / unite]]</f>
        <v>0</v>
      </c>
      <c r="S397" s="858">
        <f>_xlfn.XLOOKUP(TableauRecette[[#This Row],[ID]],TableauProduit[ID],TableauProduit[Total (kg) N8],0,0,1)*TableauRecette[[#This Row],[poids / unite]]</f>
        <v>0</v>
      </c>
      <c r="T397" s="858">
        <f>_xlfn.XLOOKUP(TableauRecette[[#This Row],[ID]],TableauProduit[ID],TableauProduit[Total (kg) N9],0,0,1)*TableauRecette[[#This Row],[poids / unite]]</f>
        <v>0</v>
      </c>
    </row>
    <row r="398" spans="1:20">
      <c r="A398" s="656" t="s">
        <v>76</v>
      </c>
      <c r="B398" s="104" t="str">
        <f>TableauRecette[[#This Row],[Recette]]&amp;TableauRecette[[#This Row],[Conditionnement]]</f>
        <v>Tabasco Rouge moyenEpice 100ml</v>
      </c>
      <c r="C398" s="104" t="s">
        <v>339</v>
      </c>
      <c r="D398" s="227">
        <v>6</v>
      </c>
      <c r="E398" s="104" t="s">
        <v>55</v>
      </c>
      <c r="F398" s="227">
        <f>D398/SUMIFS(TableauRecette[Proportion],TableauRecette[Recette],TableauRecette[[#This Row],[Recette]],TableauRecette[Conditionnement],TableauRecette[[#This Row],[Conditionnement]])</f>
        <v>4.2253521126760563E-2</v>
      </c>
      <c r="G398" s="227">
        <f ca="1">_xlfn.XLOOKUP(TableauRecette[[#This Row],[Ingredients]],TableauIngredients[Ingredients],TableauIngredients[Prix d''achat (kg)],0)*TableauRecette[[#This Row],[poids / unite]]</f>
        <v>0</v>
      </c>
      <c r="H398" s="227">
        <f>SUMIFS(TableauRecette[Proportion],TableauRecette[Recette],TableauRecette[[#This Row],[Recette]],TableauRecette[Conditionnement],TableauRecette[[#This Row],[Conditionnement]])</f>
        <v>142</v>
      </c>
      <c r="I398" s="227">
        <f ca="1">TableauRecette[[#This Row],[Proportion]]*TableauRecette[[#This Row],[Prix d''achat / kg]]/TableauRecette[[#This Row],[Total Proportion]]</f>
        <v>0</v>
      </c>
      <c r="J398" s="227"/>
      <c r="K398" s="859"/>
      <c r="L398" s="860">
        <f>_xlfn.XLOOKUP(TableauRecette[[#This Row],[ID]],TableauProduit[ID],TableauProduit[Total (kg) N1],0,0,1)*TableauRecette[[#This Row],[poids / unite]]</f>
        <v>0.38028169014084506</v>
      </c>
      <c r="M398" s="861">
        <f>_xlfn.XLOOKUP(TableauRecette[[#This Row],[ID]],TableauProduit[ID],TableauProduit[Total (kg) N2],0,0,1)*TableauRecette[[#This Row],[poids / unite]]</f>
        <v>0.38028169014084506</v>
      </c>
      <c r="N398" s="861">
        <f>_xlfn.XLOOKUP(TableauRecette[[#This Row],[ID]],TableauProduit[ID],TableauProduit[Total (kg) N3],0,0,1)*TableauRecette[[#This Row],[poids / unite]]</f>
        <v>0.38028169014084506</v>
      </c>
      <c r="O398" s="861">
        <f>_xlfn.XLOOKUP(TableauRecette[[#This Row],[ID]],TableauProduit[ID],TableauProduit[Total (kg) N4],0,0,1)*TableauRecette[[#This Row],[poids / unite]]</f>
        <v>0.38028169014084506</v>
      </c>
      <c r="P398" s="861">
        <f>_xlfn.XLOOKUP(TableauRecette[[#This Row],[ID]],TableauProduit[ID],TableauProduit[Total (kg) N5],0,0,1)*TableauRecette[[#This Row],[poids / unite]]</f>
        <v>0.38028169014084506</v>
      </c>
      <c r="Q398" s="861">
        <f>_xlfn.XLOOKUP(TableauRecette[[#This Row],[ID]],TableauProduit[ID],TableauProduit[Total (kg) N6],0,0,1)*TableauRecette[[#This Row],[poids / unite]]</f>
        <v>0.38028169014084506</v>
      </c>
      <c r="R398" s="861">
        <f>_xlfn.XLOOKUP(TableauRecette[[#This Row],[ID]],TableauProduit[ID],TableauProduit[Total (kg) N7],0,0,1)*TableauRecette[[#This Row],[poids / unite]]</f>
        <v>0.38028169014084506</v>
      </c>
      <c r="S398" s="861">
        <f>_xlfn.XLOOKUP(TableauRecette[[#This Row],[ID]],TableauProduit[ID],TableauProduit[Total (kg) N8],0,0,1)*TableauRecette[[#This Row],[poids / unite]]</f>
        <v>0.38028169014084506</v>
      </c>
      <c r="T398" s="861">
        <f>_xlfn.XLOOKUP(TableauRecette[[#This Row],[ID]],TableauProduit[ID],TableauProduit[Total (kg) N9],0,0,1)*TableauRecette[[#This Row],[poids / unite]]</f>
        <v>0.38028169014084506</v>
      </c>
    </row>
    <row r="399" spans="1:20">
      <c r="A399" s="656" t="s">
        <v>76</v>
      </c>
      <c r="B399" s="104" t="str">
        <f>TableauRecette[[#This Row],[Recette]]&amp;TableauRecette[[#This Row],[Conditionnement]]</f>
        <v>Tabasco Rouge moyenEpice 100ml</v>
      </c>
      <c r="C399" s="446" t="s">
        <v>383</v>
      </c>
      <c r="D399" s="227">
        <v>100</v>
      </c>
      <c r="E399" s="104" t="s">
        <v>55</v>
      </c>
      <c r="F399" s="227">
        <f>D399/SUMIFS(TableauRecette[Proportion],TableauRecette[Recette],TableauRecette[[#This Row],[Recette]],TableauRecette[Conditionnement],TableauRecette[[#This Row],[Conditionnement]])</f>
        <v>0.70422535211267601</v>
      </c>
      <c r="G399" s="227">
        <f ca="1">_xlfn.XLOOKUP(TableauRecette[[#This Row],[Ingredients]],TableauIngredients[Ingredients],TableauIngredients[Prix d''achat (kg)],0)*TableauRecette[[#This Row],[poids / unite]]</f>
        <v>0</v>
      </c>
      <c r="H399" s="227">
        <f>SUMIFS(TableauRecette[Proportion],TableauRecette[Recette],TableauRecette[[#This Row],[Recette]],TableauRecette[Conditionnement],TableauRecette[[#This Row],[Conditionnement]])</f>
        <v>142</v>
      </c>
      <c r="I399" s="227">
        <f ca="1">TableauRecette[[#This Row],[Proportion]]*TableauRecette[[#This Row],[Prix d''achat / kg]]/TableauRecette[[#This Row],[Total Proportion]]</f>
        <v>0</v>
      </c>
      <c r="J399" s="227"/>
      <c r="K399" s="859"/>
      <c r="L399" s="860">
        <f>_xlfn.XLOOKUP(TableauRecette[[#This Row],[ID]],TableauProduit[ID],TableauProduit[Total (kg) N1],0,0,1)*TableauRecette[[#This Row],[poids / unite]]</f>
        <v>6.3380281690140841</v>
      </c>
      <c r="M399" s="861">
        <f>_xlfn.XLOOKUP(TableauRecette[[#This Row],[ID]],TableauProduit[ID],TableauProduit[Total (kg) N2],0,0,1)*TableauRecette[[#This Row],[poids / unite]]</f>
        <v>6.3380281690140841</v>
      </c>
      <c r="N399" s="861">
        <f>_xlfn.XLOOKUP(TableauRecette[[#This Row],[ID]],TableauProduit[ID],TableauProduit[Total (kg) N3],0,0,1)*TableauRecette[[#This Row],[poids / unite]]</f>
        <v>6.3380281690140841</v>
      </c>
      <c r="O399" s="861">
        <f>_xlfn.XLOOKUP(TableauRecette[[#This Row],[ID]],TableauProduit[ID],TableauProduit[Total (kg) N4],0,0,1)*TableauRecette[[#This Row],[poids / unite]]</f>
        <v>6.3380281690140841</v>
      </c>
      <c r="P399" s="861">
        <f>_xlfn.XLOOKUP(TableauRecette[[#This Row],[ID]],TableauProduit[ID],TableauProduit[Total (kg) N5],0,0,1)*TableauRecette[[#This Row],[poids / unite]]</f>
        <v>6.3380281690140841</v>
      </c>
      <c r="Q399" s="861">
        <f>_xlfn.XLOOKUP(TableauRecette[[#This Row],[ID]],TableauProduit[ID],TableauProduit[Total (kg) N6],0,0,1)*TableauRecette[[#This Row],[poids / unite]]</f>
        <v>6.3380281690140841</v>
      </c>
      <c r="R399" s="861">
        <f>_xlfn.XLOOKUP(TableauRecette[[#This Row],[ID]],TableauProduit[ID],TableauProduit[Total (kg) N7],0,0,1)*TableauRecette[[#This Row],[poids / unite]]</f>
        <v>6.3380281690140841</v>
      </c>
      <c r="S399" s="861">
        <f>_xlfn.XLOOKUP(TableauRecette[[#This Row],[ID]],TableauProduit[ID],TableauProduit[Total (kg) N8],0,0,1)*TableauRecette[[#This Row],[poids / unite]]</f>
        <v>6.3380281690140841</v>
      </c>
      <c r="T399" s="861">
        <f>_xlfn.XLOOKUP(TableauRecette[[#This Row],[ID]],TableauProduit[ID],TableauProduit[Total (kg) N9],0,0,1)*TableauRecette[[#This Row],[poids / unite]]</f>
        <v>6.3380281690140841</v>
      </c>
    </row>
    <row r="400" spans="1:20">
      <c r="A400" s="656" t="s">
        <v>76</v>
      </c>
      <c r="B400" s="104" t="str">
        <f>TableauRecette[[#This Row],[Recette]]&amp;TableauRecette[[#This Row],[Conditionnement]]</f>
        <v>Tabasco Rouge moyenEpice 100ml</v>
      </c>
      <c r="C400" s="446" t="s">
        <v>357</v>
      </c>
      <c r="D400" s="227">
        <v>10</v>
      </c>
      <c r="E400" s="104" t="s">
        <v>55</v>
      </c>
      <c r="F400" s="227">
        <f>D400/SUMIFS(TableauRecette[Proportion],TableauRecette[Recette],TableauRecette[[#This Row],[Recette]],TableauRecette[Conditionnement],TableauRecette[[#This Row],[Conditionnement]])</f>
        <v>7.0422535211267609E-2</v>
      </c>
      <c r="G400" s="227">
        <f ca="1">_xlfn.XLOOKUP(TableauRecette[[#This Row],[Ingredients]],TableauIngredients[Ingredients],TableauIngredients[Prix d''achat (kg)],0)*TableauRecette[[#This Row],[poids / unite]]</f>
        <v>0</v>
      </c>
      <c r="H400" s="227">
        <f>SUMIFS(TableauRecette[Proportion],TableauRecette[Recette],TableauRecette[[#This Row],[Recette]],TableauRecette[Conditionnement],TableauRecette[[#This Row],[Conditionnement]])</f>
        <v>142</v>
      </c>
      <c r="I400" s="227">
        <f ca="1">TableauRecette[[#This Row],[Proportion]]*TableauRecette[[#This Row],[Prix d''achat / kg]]/TableauRecette[[#This Row],[Total Proportion]]</f>
        <v>0</v>
      </c>
      <c r="J400" s="227"/>
      <c r="K400" s="859"/>
      <c r="L400" s="860">
        <f>_xlfn.XLOOKUP(TableauRecette[[#This Row],[ID]],TableauProduit[ID],TableauProduit[Total (kg) N1],0,0,1)*TableauRecette[[#This Row],[poids / unite]]</f>
        <v>0.63380281690140849</v>
      </c>
      <c r="M400" s="861">
        <f>_xlfn.XLOOKUP(TableauRecette[[#This Row],[ID]],TableauProduit[ID],TableauProduit[Total (kg) N2],0,0,1)*TableauRecette[[#This Row],[poids / unite]]</f>
        <v>0.63380281690140849</v>
      </c>
      <c r="N400" s="861">
        <f>_xlfn.XLOOKUP(TableauRecette[[#This Row],[ID]],TableauProduit[ID],TableauProduit[Total (kg) N3],0,0,1)*TableauRecette[[#This Row],[poids / unite]]</f>
        <v>0.63380281690140849</v>
      </c>
      <c r="O400" s="861">
        <f>_xlfn.XLOOKUP(TableauRecette[[#This Row],[ID]],TableauProduit[ID],TableauProduit[Total (kg) N4],0,0,1)*TableauRecette[[#This Row],[poids / unite]]</f>
        <v>0.63380281690140849</v>
      </c>
      <c r="P400" s="861">
        <f>_xlfn.XLOOKUP(TableauRecette[[#This Row],[ID]],TableauProduit[ID],TableauProduit[Total (kg) N5],0,0,1)*TableauRecette[[#This Row],[poids / unite]]</f>
        <v>0.63380281690140849</v>
      </c>
      <c r="Q400" s="861">
        <f>_xlfn.XLOOKUP(TableauRecette[[#This Row],[ID]],TableauProduit[ID],TableauProduit[Total (kg) N6],0,0,1)*TableauRecette[[#This Row],[poids / unite]]</f>
        <v>0.63380281690140849</v>
      </c>
      <c r="R400" s="861">
        <f>_xlfn.XLOOKUP(TableauRecette[[#This Row],[ID]],TableauProduit[ID],TableauProduit[Total (kg) N7],0,0,1)*TableauRecette[[#This Row],[poids / unite]]</f>
        <v>0.63380281690140849</v>
      </c>
      <c r="S400" s="861">
        <f>_xlfn.XLOOKUP(TableauRecette[[#This Row],[ID]],TableauProduit[ID],TableauProduit[Total (kg) N8],0,0,1)*TableauRecette[[#This Row],[poids / unite]]</f>
        <v>0.63380281690140849</v>
      </c>
      <c r="T400" s="861">
        <f>_xlfn.XLOOKUP(TableauRecette[[#This Row],[ID]],TableauProduit[ID],TableauProduit[Total (kg) N9],0,0,1)*TableauRecette[[#This Row],[poids / unite]]</f>
        <v>0.63380281690140849</v>
      </c>
    </row>
    <row r="401" spans="1:20">
      <c r="A401" s="656" t="s">
        <v>76</v>
      </c>
      <c r="B401" s="104" t="str">
        <f>TableauRecette[[#This Row],[Recette]]&amp;TableauRecette[[#This Row],[Conditionnement]]</f>
        <v>Tabasco Rouge moyenEpice 100ml</v>
      </c>
      <c r="C401" s="446" t="s">
        <v>303</v>
      </c>
      <c r="D401" s="227">
        <v>10</v>
      </c>
      <c r="E401" s="104" t="s">
        <v>55</v>
      </c>
      <c r="F401" s="227">
        <f>D401/SUMIFS(TableauRecette[Proportion],TableauRecette[Recette],TableauRecette[[#This Row],[Recette]],TableauRecette[Conditionnement],TableauRecette[[#This Row],[Conditionnement]])</f>
        <v>7.0422535211267609E-2</v>
      </c>
      <c r="G401" s="227">
        <f ca="1">_xlfn.XLOOKUP(TableauRecette[[#This Row],[Ingredients]],TableauIngredients[Ingredients],TableauIngredients[Prix d''achat (kg)],0)*TableauRecette[[#This Row],[poids / unite]]</f>
        <v>9.8591549295774641E-2</v>
      </c>
      <c r="H401" s="227">
        <f>SUMIFS(TableauRecette[Proportion],TableauRecette[Recette],TableauRecette[[#This Row],[Recette]],TableauRecette[Conditionnement],TableauRecette[[#This Row],[Conditionnement]])</f>
        <v>142</v>
      </c>
      <c r="I401" s="227">
        <f ca="1">TableauRecette[[#This Row],[Proportion]]*TableauRecette[[#This Row],[Prix d''achat / kg]]/TableauRecette[[#This Row],[Total Proportion]]</f>
        <v>0</v>
      </c>
      <c r="J401" s="227"/>
      <c r="K401" s="859"/>
      <c r="L401" s="860">
        <f>_xlfn.XLOOKUP(TableauRecette[[#This Row],[ID]],TableauProduit[ID],TableauProduit[Total (kg) N1],0,0,1)*TableauRecette[[#This Row],[poids / unite]]</f>
        <v>0.63380281690140849</v>
      </c>
      <c r="M401" s="861">
        <f>_xlfn.XLOOKUP(TableauRecette[[#This Row],[ID]],TableauProduit[ID],TableauProduit[Total (kg) N2],0,0,1)*TableauRecette[[#This Row],[poids / unite]]</f>
        <v>0.63380281690140849</v>
      </c>
      <c r="N401" s="861">
        <f>_xlfn.XLOOKUP(TableauRecette[[#This Row],[ID]],TableauProduit[ID],TableauProduit[Total (kg) N3],0,0,1)*TableauRecette[[#This Row],[poids / unite]]</f>
        <v>0.63380281690140849</v>
      </c>
      <c r="O401" s="861">
        <f>_xlfn.XLOOKUP(TableauRecette[[#This Row],[ID]],TableauProduit[ID],TableauProduit[Total (kg) N4],0,0,1)*TableauRecette[[#This Row],[poids / unite]]</f>
        <v>0.63380281690140849</v>
      </c>
      <c r="P401" s="861">
        <f>_xlfn.XLOOKUP(TableauRecette[[#This Row],[ID]],TableauProduit[ID],TableauProduit[Total (kg) N5],0,0,1)*TableauRecette[[#This Row],[poids / unite]]</f>
        <v>0.63380281690140849</v>
      </c>
      <c r="Q401" s="861">
        <f>_xlfn.XLOOKUP(TableauRecette[[#This Row],[ID]],TableauProduit[ID],TableauProduit[Total (kg) N6],0,0,1)*TableauRecette[[#This Row],[poids / unite]]</f>
        <v>0.63380281690140849</v>
      </c>
      <c r="R401" s="861">
        <f>_xlfn.XLOOKUP(TableauRecette[[#This Row],[ID]],TableauProduit[ID],TableauProduit[Total (kg) N7],0,0,1)*TableauRecette[[#This Row],[poids / unite]]</f>
        <v>0.63380281690140849</v>
      </c>
      <c r="S401" s="861">
        <f>_xlfn.XLOOKUP(TableauRecette[[#This Row],[ID]],TableauProduit[ID],TableauProduit[Total (kg) N8],0,0,1)*TableauRecette[[#This Row],[poids / unite]]</f>
        <v>0.63380281690140849</v>
      </c>
      <c r="T401" s="861">
        <f>_xlfn.XLOOKUP(TableauRecette[[#This Row],[ID]],TableauProduit[ID],TableauProduit[Total (kg) N9],0,0,1)*TableauRecette[[#This Row],[poids / unite]]</f>
        <v>0.63380281690140849</v>
      </c>
    </row>
    <row r="402" spans="1:20">
      <c r="A402" s="656" t="s">
        <v>76</v>
      </c>
      <c r="B402" s="104" t="str">
        <f>TableauRecette[[#This Row],[Recette]]&amp;TableauRecette[[#This Row],[Conditionnement]]</f>
        <v>Tabasco Rouge moyenEpice 100ml</v>
      </c>
      <c r="C402" s="446" t="s">
        <v>358</v>
      </c>
      <c r="D402" s="227">
        <v>6</v>
      </c>
      <c r="E402" s="104" t="s">
        <v>55</v>
      </c>
      <c r="F402" s="227">
        <f>D402/SUMIFS(TableauRecette[Proportion],TableauRecette[Recette],TableauRecette[[#This Row],[Recette]],TableauRecette[Conditionnement],TableauRecette[[#This Row],[Conditionnement]])</f>
        <v>4.2253521126760563E-2</v>
      </c>
      <c r="G402" s="227">
        <f ca="1">_xlfn.XLOOKUP(TableauRecette[[#This Row],[Ingredients]],TableauIngredients[Ingredients],TableauIngredients[Prix d''achat (kg)],0)*TableauRecette[[#This Row],[poids / unite]]</f>
        <v>0.16233802816901408</v>
      </c>
      <c r="H402" s="227">
        <f>SUMIFS(TableauRecette[Proportion],TableauRecette[Recette],TableauRecette[[#This Row],[Recette]],TableauRecette[Conditionnement],TableauRecette[[#This Row],[Conditionnement]])</f>
        <v>142</v>
      </c>
      <c r="I402" s="227">
        <f ca="1">TableauRecette[[#This Row],[Proportion]]*TableauRecette[[#This Row],[Prix d''achat / kg]]/TableauRecette[[#This Row],[Total Proportion]]</f>
        <v>0</v>
      </c>
      <c r="J402" s="227"/>
      <c r="K402" s="859"/>
      <c r="L402" s="860">
        <f>_xlfn.XLOOKUP(TableauRecette[[#This Row],[ID]],TableauProduit[ID],TableauProduit[Total (kg) N1],0,0,1)*TableauRecette[[#This Row],[poids / unite]]</f>
        <v>0.38028169014084506</v>
      </c>
      <c r="M402" s="861">
        <f>_xlfn.XLOOKUP(TableauRecette[[#This Row],[ID]],TableauProduit[ID],TableauProduit[Total (kg) N2],0,0,1)*TableauRecette[[#This Row],[poids / unite]]</f>
        <v>0.38028169014084506</v>
      </c>
      <c r="N402" s="861">
        <f>_xlfn.XLOOKUP(TableauRecette[[#This Row],[ID]],TableauProduit[ID],TableauProduit[Total (kg) N3],0,0,1)*TableauRecette[[#This Row],[poids / unite]]</f>
        <v>0.38028169014084506</v>
      </c>
      <c r="O402" s="861">
        <f>_xlfn.XLOOKUP(TableauRecette[[#This Row],[ID]],TableauProduit[ID],TableauProduit[Total (kg) N4],0,0,1)*TableauRecette[[#This Row],[poids / unite]]</f>
        <v>0.38028169014084506</v>
      </c>
      <c r="P402" s="861">
        <f>_xlfn.XLOOKUP(TableauRecette[[#This Row],[ID]],TableauProduit[ID],TableauProduit[Total (kg) N5],0,0,1)*TableauRecette[[#This Row],[poids / unite]]</f>
        <v>0.38028169014084506</v>
      </c>
      <c r="Q402" s="861">
        <f>_xlfn.XLOOKUP(TableauRecette[[#This Row],[ID]],TableauProduit[ID],TableauProduit[Total (kg) N6],0,0,1)*TableauRecette[[#This Row],[poids / unite]]</f>
        <v>0.38028169014084506</v>
      </c>
      <c r="R402" s="861">
        <f>_xlfn.XLOOKUP(TableauRecette[[#This Row],[ID]],TableauProduit[ID],TableauProduit[Total (kg) N7],0,0,1)*TableauRecette[[#This Row],[poids / unite]]</f>
        <v>0.38028169014084506</v>
      </c>
      <c r="S402" s="861">
        <f>_xlfn.XLOOKUP(TableauRecette[[#This Row],[ID]],TableauProduit[ID],TableauProduit[Total (kg) N8],0,0,1)*TableauRecette[[#This Row],[poids / unite]]</f>
        <v>0.38028169014084506</v>
      </c>
      <c r="T402" s="861">
        <f>_xlfn.XLOOKUP(TableauRecette[[#This Row],[ID]],TableauProduit[ID],TableauProduit[Total (kg) N9],0,0,1)*TableauRecette[[#This Row],[poids / unite]]</f>
        <v>0.38028169014084506</v>
      </c>
    </row>
    <row r="403" spans="1:20">
      <c r="A403" s="656" t="s">
        <v>76</v>
      </c>
      <c r="B403" s="104" t="str">
        <f>TableauRecette[[#This Row],[Recette]]&amp;TableauRecette[[#This Row],[Conditionnement]]</f>
        <v>Tabasco Rouge moyenEpice 100ml</v>
      </c>
      <c r="C403" s="446" t="s">
        <v>359</v>
      </c>
      <c r="D403" s="227">
        <v>10</v>
      </c>
      <c r="E403" s="104" t="s">
        <v>55</v>
      </c>
      <c r="F403" s="227">
        <f>D403/SUMIFS(TableauRecette[Proportion],TableauRecette[Recette],TableauRecette[[#This Row],[Recette]],TableauRecette[Conditionnement],TableauRecette[[#This Row],[Conditionnement]])</f>
        <v>7.0422535211267609E-2</v>
      </c>
      <c r="G403" s="227">
        <f ca="1">_xlfn.XLOOKUP(TableauRecette[[#This Row],[Ingredients]],TableauIngredients[Ingredients],TableauIngredients[Prix d''achat (kg)],0)*TableauRecette[[#This Row],[poids / unite]]</f>
        <v>0</v>
      </c>
      <c r="H403" s="227">
        <f>SUMIFS(TableauRecette[Proportion],TableauRecette[Recette],TableauRecette[[#This Row],[Recette]],TableauRecette[Conditionnement],TableauRecette[[#This Row],[Conditionnement]])</f>
        <v>142</v>
      </c>
      <c r="I403" s="227">
        <f ca="1">TableauRecette[[#This Row],[Proportion]]*TableauRecette[[#This Row],[Prix d''achat / kg]]/TableauRecette[[#This Row],[Total Proportion]]</f>
        <v>0</v>
      </c>
      <c r="J403" s="227"/>
      <c r="K403" s="859"/>
      <c r="L403" s="860">
        <f>_xlfn.XLOOKUP(TableauRecette[[#This Row],[ID]],TableauProduit[ID],TableauProduit[Total (kg) N1],0,0,1)*TableauRecette[[#This Row],[poids / unite]]</f>
        <v>0.63380281690140849</v>
      </c>
      <c r="M403" s="861">
        <f>_xlfn.XLOOKUP(TableauRecette[[#This Row],[ID]],TableauProduit[ID],TableauProduit[Total (kg) N2],0,0,1)*TableauRecette[[#This Row],[poids / unite]]</f>
        <v>0.63380281690140849</v>
      </c>
      <c r="N403" s="861">
        <f>_xlfn.XLOOKUP(TableauRecette[[#This Row],[ID]],TableauProduit[ID],TableauProduit[Total (kg) N3],0,0,1)*TableauRecette[[#This Row],[poids / unite]]</f>
        <v>0.63380281690140849</v>
      </c>
      <c r="O403" s="861">
        <f>_xlfn.XLOOKUP(TableauRecette[[#This Row],[ID]],TableauProduit[ID],TableauProduit[Total (kg) N4],0,0,1)*TableauRecette[[#This Row],[poids / unite]]</f>
        <v>0.63380281690140849</v>
      </c>
      <c r="P403" s="861">
        <f>_xlfn.XLOOKUP(TableauRecette[[#This Row],[ID]],TableauProduit[ID],TableauProduit[Total (kg) N5],0,0,1)*TableauRecette[[#This Row],[poids / unite]]</f>
        <v>0.63380281690140849</v>
      </c>
      <c r="Q403" s="861">
        <f>_xlfn.XLOOKUP(TableauRecette[[#This Row],[ID]],TableauProduit[ID],TableauProduit[Total (kg) N6],0,0,1)*TableauRecette[[#This Row],[poids / unite]]</f>
        <v>0.63380281690140849</v>
      </c>
      <c r="R403" s="861">
        <f>_xlfn.XLOOKUP(TableauRecette[[#This Row],[ID]],TableauProduit[ID],TableauProduit[Total (kg) N7],0,0,1)*TableauRecette[[#This Row],[poids / unite]]</f>
        <v>0.63380281690140849</v>
      </c>
      <c r="S403" s="861">
        <f>_xlfn.XLOOKUP(TableauRecette[[#This Row],[ID]],TableauProduit[ID],TableauProduit[Total (kg) N8],0,0,1)*TableauRecette[[#This Row],[poids / unite]]</f>
        <v>0.63380281690140849</v>
      </c>
      <c r="T403" s="861">
        <f>_xlfn.XLOOKUP(TableauRecette[[#This Row],[ID]],TableauProduit[ID],TableauProduit[Total (kg) N9],0,0,1)*TableauRecette[[#This Row],[poids / unite]]</f>
        <v>0.63380281690140849</v>
      </c>
    </row>
    <row r="404" spans="1:20">
      <c r="A404" s="657" t="s">
        <v>80</v>
      </c>
      <c r="B404" s="105" t="str">
        <f>TableauRecette[[#This Row],[Recette]]&amp;TableauRecette[[#This Row],[Conditionnement]]</f>
        <v>Tabasco violet fortEpice 100ml</v>
      </c>
      <c r="C404" s="447" t="s">
        <v>339</v>
      </c>
      <c r="D404" s="228">
        <v>6</v>
      </c>
      <c r="E404" s="105" t="s">
        <v>55</v>
      </c>
      <c r="F404" s="228">
        <f>D404/SUMIFS(TableauRecette[Proportion],TableauRecette[Recette],TableauRecette[[#This Row],[Recette]],TableauRecette[Conditionnement],TableauRecette[[#This Row],[Conditionnement]])</f>
        <v>4.2253521126760563E-2</v>
      </c>
      <c r="G404" s="228">
        <f ca="1">_xlfn.XLOOKUP(TableauRecette[[#This Row],[Ingredients]],TableauIngredients[Ingredients],TableauIngredients[Prix d''achat (kg)],0)*TableauRecette[[#This Row],[poids / unite]]</f>
        <v>0</v>
      </c>
      <c r="H404" s="228">
        <f>SUMIFS(TableauRecette[Proportion],TableauRecette[Recette],TableauRecette[[#This Row],[Recette]],TableauRecette[Conditionnement],TableauRecette[[#This Row],[Conditionnement]])</f>
        <v>142</v>
      </c>
      <c r="I404" s="228">
        <f ca="1">TableauRecette[[#This Row],[Proportion]]*TableauRecette[[#This Row],[Prix d''achat / kg]]/TableauRecette[[#This Row],[Total Proportion]]</f>
        <v>0</v>
      </c>
      <c r="J404" s="228"/>
      <c r="K404" s="862"/>
      <c r="L404" s="863">
        <f>_xlfn.XLOOKUP(TableauRecette[[#This Row],[ID]],TableauProduit[ID],TableauProduit[Total (kg) N1],0,0,1)*TableauRecette[[#This Row],[poids / unite]]</f>
        <v>7.605633802816901E-2</v>
      </c>
      <c r="M404" s="864">
        <f>_xlfn.XLOOKUP(TableauRecette[[#This Row],[ID]],TableauProduit[ID],TableauProduit[Total (kg) N2],0,0,1)*TableauRecette[[#This Row],[poids / unite]]</f>
        <v>7.605633802816901E-2</v>
      </c>
      <c r="N404" s="864">
        <f>_xlfn.XLOOKUP(TableauRecette[[#This Row],[ID]],TableauProduit[ID],TableauProduit[Total (kg) N3],0,0,1)*TableauRecette[[#This Row],[poids / unite]]</f>
        <v>7.605633802816901E-2</v>
      </c>
      <c r="O404" s="864">
        <f>_xlfn.XLOOKUP(TableauRecette[[#This Row],[ID]],TableauProduit[ID],TableauProduit[Total (kg) N4],0,0,1)*TableauRecette[[#This Row],[poids / unite]]</f>
        <v>7.605633802816901E-2</v>
      </c>
      <c r="P404" s="864">
        <f>_xlfn.XLOOKUP(TableauRecette[[#This Row],[ID]],TableauProduit[ID],TableauProduit[Total (kg) N5],0,0,1)*TableauRecette[[#This Row],[poids / unite]]</f>
        <v>7.605633802816901E-2</v>
      </c>
      <c r="Q404" s="864">
        <f>_xlfn.XLOOKUP(TableauRecette[[#This Row],[ID]],TableauProduit[ID],TableauProduit[Total (kg) N6],0,0,1)*TableauRecette[[#This Row],[poids / unite]]</f>
        <v>7.605633802816901E-2</v>
      </c>
      <c r="R404" s="864">
        <f>_xlfn.XLOOKUP(TableauRecette[[#This Row],[ID]],TableauProduit[ID],TableauProduit[Total (kg) N7],0,0,1)*TableauRecette[[#This Row],[poids / unite]]</f>
        <v>7.605633802816901E-2</v>
      </c>
      <c r="S404" s="864">
        <f>_xlfn.XLOOKUP(TableauRecette[[#This Row],[ID]],TableauProduit[ID],TableauProduit[Total (kg) N8],0,0,1)*TableauRecette[[#This Row],[poids / unite]]</f>
        <v>7.605633802816901E-2</v>
      </c>
      <c r="T404" s="864">
        <f>_xlfn.XLOOKUP(TableauRecette[[#This Row],[ID]],TableauProduit[ID],TableauProduit[Total (kg) N9],0,0,1)*TableauRecette[[#This Row],[poids / unite]]</f>
        <v>7.605633802816901E-2</v>
      </c>
    </row>
    <row r="405" spans="1:20">
      <c r="A405" s="657" t="s">
        <v>80</v>
      </c>
      <c r="B405" s="105" t="str">
        <f>TableauRecette[[#This Row],[Recette]]&amp;TableauRecette[[#This Row],[Conditionnement]]</f>
        <v>Tabasco violet fortEpice 100ml</v>
      </c>
      <c r="C405" s="447" t="s">
        <v>408</v>
      </c>
      <c r="D405" s="228">
        <v>90</v>
      </c>
      <c r="E405" s="105" t="s">
        <v>55</v>
      </c>
      <c r="F405" s="228">
        <f>D405/SUMIFS(TableauRecette[Proportion],TableauRecette[Recette],TableauRecette[[#This Row],[Recette]],TableauRecette[Conditionnement],TableauRecette[[#This Row],[Conditionnement]])</f>
        <v>0.63380281690140849</v>
      </c>
      <c r="G405" s="228">
        <f ca="1">_xlfn.XLOOKUP(TableauRecette[[#This Row],[Ingredients]],TableauIngredients[Ingredients],TableauIngredients[Prix d''achat (kg)],0)*TableauRecette[[#This Row],[poids / unite]]</f>
        <v>0</v>
      </c>
      <c r="H405" s="228">
        <f>SUMIFS(TableauRecette[Proportion],TableauRecette[Recette],TableauRecette[[#This Row],[Recette]],TableauRecette[Conditionnement],TableauRecette[[#This Row],[Conditionnement]])</f>
        <v>142</v>
      </c>
      <c r="I405" s="228">
        <f ca="1">TableauRecette[[#This Row],[Proportion]]*TableauRecette[[#This Row],[Prix d''achat / kg]]/TableauRecette[[#This Row],[Total Proportion]]</f>
        <v>0</v>
      </c>
      <c r="J405" s="228"/>
      <c r="K405" s="862"/>
      <c r="L405" s="863">
        <f>_xlfn.XLOOKUP(TableauRecette[[#This Row],[ID]],TableauProduit[ID],TableauProduit[Total (kg) N1],0,0,1)*TableauRecette[[#This Row],[poids / unite]]</f>
        <v>1.1408450704225352</v>
      </c>
      <c r="M405" s="864">
        <f>_xlfn.XLOOKUP(TableauRecette[[#This Row],[ID]],TableauProduit[ID],TableauProduit[Total (kg) N2],0,0,1)*TableauRecette[[#This Row],[poids / unite]]</f>
        <v>1.1408450704225352</v>
      </c>
      <c r="N405" s="864">
        <f>_xlfn.XLOOKUP(TableauRecette[[#This Row],[ID]],TableauProduit[ID],TableauProduit[Total (kg) N3],0,0,1)*TableauRecette[[#This Row],[poids / unite]]</f>
        <v>1.1408450704225352</v>
      </c>
      <c r="O405" s="864">
        <f>_xlfn.XLOOKUP(TableauRecette[[#This Row],[ID]],TableauProduit[ID],TableauProduit[Total (kg) N4],0,0,1)*TableauRecette[[#This Row],[poids / unite]]</f>
        <v>1.1408450704225352</v>
      </c>
      <c r="P405" s="864">
        <f>_xlfn.XLOOKUP(TableauRecette[[#This Row],[ID]],TableauProduit[ID],TableauProduit[Total (kg) N5],0,0,1)*TableauRecette[[#This Row],[poids / unite]]</f>
        <v>1.1408450704225352</v>
      </c>
      <c r="Q405" s="864">
        <f>_xlfn.XLOOKUP(TableauRecette[[#This Row],[ID]],TableauProduit[ID],TableauProduit[Total (kg) N6],0,0,1)*TableauRecette[[#This Row],[poids / unite]]</f>
        <v>1.1408450704225352</v>
      </c>
      <c r="R405" s="864">
        <f>_xlfn.XLOOKUP(TableauRecette[[#This Row],[ID]],TableauProduit[ID],TableauProduit[Total (kg) N7],0,0,1)*TableauRecette[[#This Row],[poids / unite]]</f>
        <v>1.1408450704225352</v>
      </c>
      <c r="S405" s="864">
        <f>_xlfn.XLOOKUP(TableauRecette[[#This Row],[ID]],TableauProduit[ID],TableauProduit[Total (kg) N8],0,0,1)*TableauRecette[[#This Row],[poids / unite]]</f>
        <v>1.1408450704225352</v>
      </c>
      <c r="T405" s="864">
        <f>_xlfn.XLOOKUP(TableauRecette[[#This Row],[ID]],TableauProduit[ID],TableauProduit[Total (kg) N9],0,0,1)*TableauRecette[[#This Row],[poids / unite]]</f>
        <v>1.1408450704225352</v>
      </c>
    </row>
    <row r="406" spans="1:20">
      <c r="A406" s="657" t="s">
        <v>80</v>
      </c>
      <c r="B406" s="105" t="str">
        <f>TableauRecette[[#This Row],[Recette]]&amp;TableauRecette[[#This Row],[Conditionnement]]</f>
        <v>Tabasco violet fortEpice 100ml</v>
      </c>
      <c r="C406" s="447" t="s">
        <v>409</v>
      </c>
      <c r="D406" s="228">
        <v>10</v>
      </c>
      <c r="E406" s="105" t="s">
        <v>55</v>
      </c>
      <c r="F406" s="228">
        <f>D406/SUMIFS(TableauRecette[Proportion],TableauRecette[Recette],TableauRecette[[#This Row],[Recette]],TableauRecette[Conditionnement],TableauRecette[[#This Row],[Conditionnement]])</f>
        <v>7.0422535211267609E-2</v>
      </c>
      <c r="G406" s="228">
        <f ca="1">_xlfn.XLOOKUP(TableauRecette[[#This Row],[Ingredients]],TableauIngredients[Ingredients],TableauIngredients[Prix d''achat (kg)],0)*TableauRecette[[#This Row],[poids / unite]]</f>
        <v>0</v>
      </c>
      <c r="H406" s="228">
        <f>SUMIFS(TableauRecette[Proportion],TableauRecette[Recette],TableauRecette[[#This Row],[Recette]],TableauRecette[Conditionnement],TableauRecette[[#This Row],[Conditionnement]])</f>
        <v>142</v>
      </c>
      <c r="I406" s="228">
        <f ca="1">TableauRecette[[#This Row],[Proportion]]*TableauRecette[[#This Row],[Prix d''achat / kg]]/TableauRecette[[#This Row],[Total Proportion]]</f>
        <v>0</v>
      </c>
      <c r="J406" s="228"/>
      <c r="K406" s="862"/>
      <c r="L406" s="863">
        <f>_xlfn.XLOOKUP(TableauRecette[[#This Row],[ID]],TableauProduit[ID],TableauProduit[Total (kg) N1],0,0,1)*TableauRecette[[#This Row],[poids / unite]]</f>
        <v>0.12676056338028169</v>
      </c>
      <c r="M406" s="864">
        <f>_xlfn.XLOOKUP(TableauRecette[[#This Row],[ID]],TableauProduit[ID],TableauProduit[Total (kg) N2],0,0,1)*TableauRecette[[#This Row],[poids / unite]]</f>
        <v>0.12676056338028169</v>
      </c>
      <c r="N406" s="864">
        <f>_xlfn.XLOOKUP(TableauRecette[[#This Row],[ID]],TableauProduit[ID],TableauProduit[Total (kg) N3],0,0,1)*TableauRecette[[#This Row],[poids / unite]]</f>
        <v>0.12676056338028169</v>
      </c>
      <c r="O406" s="864">
        <f>_xlfn.XLOOKUP(TableauRecette[[#This Row],[ID]],TableauProduit[ID],TableauProduit[Total (kg) N4],0,0,1)*TableauRecette[[#This Row],[poids / unite]]</f>
        <v>0.12676056338028169</v>
      </c>
      <c r="P406" s="864">
        <f>_xlfn.XLOOKUP(TableauRecette[[#This Row],[ID]],TableauProduit[ID],TableauProduit[Total (kg) N5],0,0,1)*TableauRecette[[#This Row],[poids / unite]]</f>
        <v>0.12676056338028169</v>
      </c>
      <c r="Q406" s="864">
        <f>_xlfn.XLOOKUP(TableauRecette[[#This Row],[ID]],TableauProduit[ID],TableauProduit[Total (kg) N6],0,0,1)*TableauRecette[[#This Row],[poids / unite]]</f>
        <v>0.12676056338028169</v>
      </c>
      <c r="R406" s="864">
        <f>_xlfn.XLOOKUP(TableauRecette[[#This Row],[ID]],TableauProduit[ID],TableauProduit[Total (kg) N7],0,0,1)*TableauRecette[[#This Row],[poids / unite]]</f>
        <v>0.12676056338028169</v>
      </c>
      <c r="S406" s="864">
        <f>_xlfn.XLOOKUP(TableauRecette[[#This Row],[ID]],TableauProduit[ID],TableauProduit[Total (kg) N8],0,0,1)*TableauRecette[[#This Row],[poids / unite]]</f>
        <v>0.12676056338028169</v>
      </c>
      <c r="T406" s="864">
        <f>_xlfn.XLOOKUP(TableauRecette[[#This Row],[ID]],TableauProduit[ID],TableauProduit[Total (kg) N9],0,0,1)*TableauRecette[[#This Row],[poids / unite]]</f>
        <v>0.12676056338028169</v>
      </c>
    </row>
    <row r="407" spans="1:20">
      <c r="A407" s="657" t="s">
        <v>80</v>
      </c>
      <c r="B407" s="105" t="str">
        <f>TableauRecette[[#This Row],[Recette]]&amp;TableauRecette[[#This Row],[Conditionnement]]</f>
        <v>Tabasco violet fortEpice 100ml</v>
      </c>
      <c r="C407" s="447" t="s">
        <v>357</v>
      </c>
      <c r="D407" s="228">
        <v>10</v>
      </c>
      <c r="E407" s="105" t="s">
        <v>55</v>
      </c>
      <c r="F407" s="228">
        <f>D407/SUMIFS(TableauRecette[Proportion],TableauRecette[Recette],TableauRecette[[#This Row],[Recette]],TableauRecette[Conditionnement],TableauRecette[[#This Row],[Conditionnement]])</f>
        <v>7.0422535211267609E-2</v>
      </c>
      <c r="G407" s="228">
        <f ca="1">_xlfn.XLOOKUP(TableauRecette[[#This Row],[Ingredients]],TableauIngredients[Ingredients],TableauIngredients[Prix d''achat (kg)],0)*TableauRecette[[#This Row],[poids / unite]]</f>
        <v>0</v>
      </c>
      <c r="H407" s="228">
        <f>SUMIFS(TableauRecette[Proportion],TableauRecette[Recette],TableauRecette[[#This Row],[Recette]],TableauRecette[Conditionnement],TableauRecette[[#This Row],[Conditionnement]])</f>
        <v>142</v>
      </c>
      <c r="I407" s="228">
        <f ca="1">TableauRecette[[#This Row],[Proportion]]*TableauRecette[[#This Row],[Prix d''achat / kg]]/TableauRecette[[#This Row],[Total Proportion]]</f>
        <v>0</v>
      </c>
      <c r="J407" s="228"/>
      <c r="K407" s="862"/>
      <c r="L407" s="863">
        <f>_xlfn.XLOOKUP(TableauRecette[[#This Row],[ID]],TableauProduit[ID],TableauProduit[Total (kg) N1],0,0,1)*TableauRecette[[#This Row],[poids / unite]]</f>
        <v>0.12676056338028169</v>
      </c>
      <c r="M407" s="864">
        <f>_xlfn.XLOOKUP(TableauRecette[[#This Row],[ID]],TableauProduit[ID],TableauProduit[Total (kg) N2],0,0,1)*TableauRecette[[#This Row],[poids / unite]]</f>
        <v>0.12676056338028169</v>
      </c>
      <c r="N407" s="864">
        <f>_xlfn.XLOOKUP(TableauRecette[[#This Row],[ID]],TableauProduit[ID],TableauProduit[Total (kg) N3],0,0,1)*TableauRecette[[#This Row],[poids / unite]]</f>
        <v>0.12676056338028169</v>
      </c>
      <c r="O407" s="864">
        <f>_xlfn.XLOOKUP(TableauRecette[[#This Row],[ID]],TableauProduit[ID],TableauProduit[Total (kg) N4],0,0,1)*TableauRecette[[#This Row],[poids / unite]]</f>
        <v>0.12676056338028169</v>
      </c>
      <c r="P407" s="864">
        <f>_xlfn.XLOOKUP(TableauRecette[[#This Row],[ID]],TableauProduit[ID],TableauProduit[Total (kg) N5],0,0,1)*TableauRecette[[#This Row],[poids / unite]]</f>
        <v>0.12676056338028169</v>
      </c>
      <c r="Q407" s="864">
        <f>_xlfn.XLOOKUP(TableauRecette[[#This Row],[ID]],TableauProduit[ID],TableauProduit[Total (kg) N6],0,0,1)*TableauRecette[[#This Row],[poids / unite]]</f>
        <v>0.12676056338028169</v>
      </c>
      <c r="R407" s="864">
        <f>_xlfn.XLOOKUP(TableauRecette[[#This Row],[ID]],TableauProduit[ID],TableauProduit[Total (kg) N7],0,0,1)*TableauRecette[[#This Row],[poids / unite]]</f>
        <v>0.12676056338028169</v>
      </c>
      <c r="S407" s="864">
        <f>_xlfn.XLOOKUP(TableauRecette[[#This Row],[ID]],TableauProduit[ID],TableauProduit[Total (kg) N8],0,0,1)*TableauRecette[[#This Row],[poids / unite]]</f>
        <v>0.12676056338028169</v>
      </c>
      <c r="T407" s="864">
        <f>_xlfn.XLOOKUP(TableauRecette[[#This Row],[ID]],TableauProduit[ID],TableauProduit[Total (kg) N9],0,0,1)*TableauRecette[[#This Row],[poids / unite]]</f>
        <v>0.12676056338028169</v>
      </c>
    </row>
    <row r="408" spans="1:20">
      <c r="A408" s="657" t="s">
        <v>80</v>
      </c>
      <c r="B408" s="105" t="str">
        <f>TableauRecette[[#This Row],[Recette]]&amp;TableauRecette[[#This Row],[Conditionnement]]</f>
        <v>Tabasco violet fortEpice 100ml</v>
      </c>
      <c r="C408" s="447" t="s">
        <v>303</v>
      </c>
      <c r="D408" s="228">
        <v>10</v>
      </c>
      <c r="E408" s="105" t="s">
        <v>55</v>
      </c>
      <c r="F408" s="228">
        <f>D408/SUMIFS(TableauRecette[Proportion],TableauRecette[Recette],TableauRecette[[#This Row],[Recette]],TableauRecette[Conditionnement],TableauRecette[[#This Row],[Conditionnement]])</f>
        <v>7.0422535211267609E-2</v>
      </c>
      <c r="G408" s="228">
        <f ca="1">_xlfn.XLOOKUP(TableauRecette[[#This Row],[Ingredients]],TableauIngredients[Ingredients],TableauIngredients[Prix d''achat (kg)],0)*TableauRecette[[#This Row],[poids / unite]]</f>
        <v>9.8591549295774641E-2</v>
      </c>
      <c r="H408" s="228">
        <f>SUMIFS(TableauRecette[Proportion],TableauRecette[Recette],TableauRecette[[#This Row],[Recette]],TableauRecette[Conditionnement],TableauRecette[[#This Row],[Conditionnement]])</f>
        <v>142</v>
      </c>
      <c r="I408" s="228">
        <f ca="1">TableauRecette[[#This Row],[Proportion]]*TableauRecette[[#This Row],[Prix d''achat / kg]]/TableauRecette[[#This Row],[Total Proportion]]</f>
        <v>0</v>
      </c>
      <c r="J408" s="228"/>
      <c r="K408" s="862"/>
      <c r="L408" s="863">
        <f>_xlfn.XLOOKUP(TableauRecette[[#This Row],[ID]],TableauProduit[ID],TableauProduit[Total (kg) N1],0,0,1)*TableauRecette[[#This Row],[poids / unite]]</f>
        <v>0.12676056338028169</v>
      </c>
      <c r="M408" s="864">
        <f>_xlfn.XLOOKUP(TableauRecette[[#This Row],[ID]],TableauProduit[ID],TableauProduit[Total (kg) N2],0,0,1)*TableauRecette[[#This Row],[poids / unite]]</f>
        <v>0.12676056338028169</v>
      </c>
      <c r="N408" s="864">
        <f>_xlfn.XLOOKUP(TableauRecette[[#This Row],[ID]],TableauProduit[ID],TableauProduit[Total (kg) N3],0,0,1)*TableauRecette[[#This Row],[poids / unite]]</f>
        <v>0.12676056338028169</v>
      </c>
      <c r="O408" s="864">
        <f>_xlfn.XLOOKUP(TableauRecette[[#This Row],[ID]],TableauProduit[ID],TableauProduit[Total (kg) N4],0,0,1)*TableauRecette[[#This Row],[poids / unite]]</f>
        <v>0.12676056338028169</v>
      </c>
      <c r="P408" s="864">
        <f>_xlfn.XLOOKUP(TableauRecette[[#This Row],[ID]],TableauProduit[ID],TableauProduit[Total (kg) N5],0,0,1)*TableauRecette[[#This Row],[poids / unite]]</f>
        <v>0.12676056338028169</v>
      </c>
      <c r="Q408" s="864">
        <f>_xlfn.XLOOKUP(TableauRecette[[#This Row],[ID]],TableauProduit[ID],TableauProduit[Total (kg) N6],0,0,1)*TableauRecette[[#This Row],[poids / unite]]</f>
        <v>0.12676056338028169</v>
      </c>
      <c r="R408" s="864">
        <f>_xlfn.XLOOKUP(TableauRecette[[#This Row],[ID]],TableauProduit[ID],TableauProduit[Total (kg) N7],0,0,1)*TableauRecette[[#This Row],[poids / unite]]</f>
        <v>0.12676056338028169</v>
      </c>
      <c r="S408" s="864">
        <f>_xlfn.XLOOKUP(TableauRecette[[#This Row],[ID]],TableauProduit[ID],TableauProduit[Total (kg) N8],0,0,1)*TableauRecette[[#This Row],[poids / unite]]</f>
        <v>0.12676056338028169</v>
      </c>
      <c r="T408" s="864">
        <f>_xlfn.XLOOKUP(TableauRecette[[#This Row],[ID]],TableauProduit[ID],TableauProduit[Total (kg) N9],0,0,1)*TableauRecette[[#This Row],[poids / unite]]</f>
        <v>0.12676056338028169</v>
      </c>
    </row>
    <row r="409" spans="1:20">
      <c r="A409" s="657" t="s">
        <v>80</v>
      </c>
      <c r="B409" s="105" t="str">
        <f>TableauRecette[[#This Row],[Recette]]&amp;TableauRecette[[#This Row],[Conditionnement]]</f>
        <v>Tabasco violet fortEpice 100ml</v>
      </c>
      <c r="C409" s="447" t="s">
        <v>359</v>
      </c>
      <c r="D409" s="228">
        <v>10</v>
      </c>
      <c r="E409" s="105" t="s">
        <v>55</v>
      </c>
      <c r="F409" s="228">
        <f>D409/SUMIFS(TableauRecette[Proportion],TableauRecette[Recette],TableauRecette[[#This Row],[Recette]],TableauRecette[Conditionnement],TableauRecette[[#This Row],[Conditionnement]])</f>
        <v>7.0422535211267609E-2</v>
      </c>
      <c r="G409" s="228">
        <f ca="1">_xlfn.XLOOKUP(TableauRecette[[#This Row],[Ingredients]],TableauIngredients[Ingredients],TableauIngredients[Prix d''achat (kg)],0)*TableauRecette[[#This Row],[poids / unite]]</f>
        <v>0</v>
      </c>
      <c r="H409" s="228">
        <f>SUMIFS(TableauRecette[Proportion],TableauRecette[Recette],TableauRecette[[#This Row],[Recette]],TableauRecette[Conditionnement],TableauRecette[[#This Row],[Conditionnement]])</f>
        <v>142</v>
      </c>
      <c r="I409" s="228">
        <f ca="1">TableauRecette[[#This Row],[Proportion]]*TableauRecette[[#This Row],[Prix d''achat / kg]]/TableauRecette[[#This Row],[Total Proportion]]</f>
        <v>0</v>
      </c>
      <c r="J409" s="228"/>
      <c r="K409" s="862"/>
      <c r="L409" s="863">
        <f>_xlfn.XLOOKUP(TableauRecette[[#This Row],[ID]],TableauProduit[ID],TableauProduit[Total (kg) N1],0,0,1)*TableauRecette[[#This Row],[poids / unite]]</f>
        <v>0.12676056338028169</v>
      </c>
      <c r="M409" s="864">
        <f>_xlfn.XLOOKUP(TableauRecette[[#This Row],[ID]],TableauProduit[ID],TableauProduit[Total (kg) N2],0,0,1)*TableauRecette[[#This Row],[poids / unite]]</f>
        <v>0.12676056338028169</v>
      </c>
      <c r="N409" s="864">
        <f>_xlfn.XLOOKUP(TableauRecette[[#This Row],[ID]],TableauProduit[ID],TableauProduit[Total (kg) N3],0,0,1)*TableauRecette[[#This Row],[poids / unite]]</f>
        <v>0.12676056338028169</v>
      </c>
      <c r="O409" s="864">
        <f>_xlfn.XLOOKUP(TableauRecette[[#This Row],[ID]],TableauProduit[ID],TableauProduit[Total (kg) N4],0,0,1)*TableauRecette[[#This Row],[poids / unite]]</f>
        <v>0.12676056338028169</v>
      </c>
      <c r="P409" s="864">
        <f>_xlfn.XLOOKUP(TableauRecette[[#This Row],[ID]],TableauProduit[ID],TableauProduit[Total (kg) N5],0,0,1)*TableauRecette[[#This Row],[poids / unite]]</f>
        <v>0.12676056338028169</v>
      </c>
      <c r="Q409" s="864">
        <f>_xlfn.XLOOKUP(TableauRecette[[#This Row],[ID]],TableauProduit[ID],TableauProduit[Total (kg) N6],0,0,1)*TableauRecette[[#This Row],[poids / unite]]</f>
        <v>0.12676056338028169</v>
      </c>
      <c r="R409" s="864">
        <f>_xlfn.XLOOKUP(TableauRecette[[#This Row],[ID]],TableauProduit[ID],TableauProduit[Total (kg) N7],0,0,1)*TableauRecette[[#This Row],[poids / unite]]</f>
        <v>0.12676056338028169</v>
      </c>
      <c r="S409" s="864">
        <f>_xlfn.XLOOKUP(TableauRecette[[#This Row],[ID]],TableauProduit[ID],TableauProduit[Total (kg) N8],0,0,1)*TableauRecette[[#This Row],[poids / unite]]</f>
        <v>0.12676056338028169</v>
      </c>
      <c r="T409" s="864">
        <f>_xlfn.XLOOKUP(TableauRecette[[#This Row],[ID]],TableauProduit[ID],TableauProduit[Total (kg) N9],0,0,1)*TableauRecette[[#This Row],[poids / unite]]</f>
        <v>0.12676056338028169</v>
      </c>
    </row>
    <row r="410" spans="1:20">
      <c r="A410" s="657" t="s">
        <v>80</v>
      </c>
      <c r="B410" s="105" t="str">
        <f>TableauRecette[[#This Row],[Recette]]&amp;TableauRecette[[#This Row],[Conditionnement]]</f>
        <v>Tabasco violet fortEpice 100ml</v>
      </c>
      <c r="C410" s="447" t="s">
        <v>358</v>
      </c>
      <c r="D410" s="228">
        <v>6</v>
      </c>
      <c r="E410" s="105" t="s">
        <v>55</v>
      </c>
      <c r="F410" s="228">
        <f>D410/SUMIFS(TableauRecette[Proportion],TableauRecette[Recette],TableauRecette[[#This Row],[Recette]],TableauRecette[Conditionnement],TableauRecette[[#This Row],[Conditionnement]])</f>
        <v>4.2253521126760563E-2</v>
      </c>
      <c r="G410" s="228">
        <f ca="1">_xlfn.XLOOKUP(TableauRecette[[#This Row],[Ingredients]],TableauIngredients[Ingredients],TableauIngredients[Prix d''achat (kg)],0)*TableauRecette[[#This Row],[poids / unite]]</f>
        <v>0.16233802816901408</v>
      </c>
      <c r="H410" s="228">
        <f>SUMIFS(TableauRecette[Proportion],TableauRecette[Recette],TableauRecette[[#This Row],[Recette]],TableauRecette[Conditionnement],TableauRecette[[#This Row],[Conditionnement]])</f>
        <v>142</v>
      </c>
      <c r="I410" s="228">
        <f ca="1">TableauRecette[[#This Row],[Proportion]]*TableauRecette[[#This Row],[Prix d''achat / kg]]/TableauRecette[[#This Row],[Total Proportion]]</f>
        <v>0</v>
      </c>
      <c r="J410" s="228"/>
      <c r="K410" s="862"/>
      <c r="L410" s="863">
        <f>_xlfn.XLOOKUP(TableauRecette[[#This Row],[ID]],TableauProduit[ID],TableauProduit[Total (kg) N1],0,0,1)*TableauRecette[[#This Row],[poids / unite]]</f>
        <v>7.605633802816901E-2</v>
      </c>
      <c r="M410" s="864">
        <f>_xlfn.XLOOKUP(TableauRecette[[#This Row],[ID]],TableauProduit[ID],TableauProduit[Total (kg) N2],0,0,1)*TableauRecette[[#This Row],[poids / unite]]</f>
        <v>7.605633802816901E-2</v>
      </c>
      <c r="N410" s="864">
        <f>_xlfn.XLOOKUP(TableauRecette[[#This Row],[ID]],TableauProduit[ID],TableauProduit[Total (kg) N3],0,0,1)*TableauRecette[[#This Row],[poids / unite]]</f>
        <v>7.605633802816901E-2</v>
      </c>
      <c r="O410" s="864">
        <f>_xlfn.XLOOKUP(TableauRecette[[#This Row],[ID]],TableauProduit[ID],TableauProduit[Total (kg) N4],0,0,1)*TableauRecette[[#This Row],[poids / unite]]</f>
        <v>7.605633802816901E-2</v>
      </c>
      <c r="P410" s="864">
        <f>_xlfn.XLOOKUP(TableauRecette[[#This Row],[ID]],TableauProduit[ID],TableauProduit[Total (kg) N5],0,0,1)*TableauRecette[[#This Row],[poids / unite]]</f>
        <v>7.605633802816901E-2</v>
      </c>
      <c r="Q410" s="864">
        <f>_xlfn.XLOOKUP(TableauRecette[[#This Row],[ID]],TableauProduit[ID],TableauProduit[Total (kg) N6],0,0,1)*TableauRecette[[#This Row],[poids / unite]]</f>
        <v>7.605633802816901E-2</v>
      </c>
      <c r="R410" s="864">
        <f>_xlfn.XLOOKUP(TableauRecette[[#This Row],[ID]],TableauProduit[ID],TableauProduit[Total (kg) N7],0,0,1)*TableauRecette[[#This Row],[poids / unite]]</f>
        <v>7.605633802816901E-2</v>
      </c>
      <c r="S410" s="864">
        <f>_xlfn.XLOOKUP(TableauRecette[[#This Row],[ID]],TableauProduit[ID],TableauProduit[Total (kg) N8],0,0,1)*TableauRecette[[#This Row],[poids / unite]]</f>
        <v>7.605633802816901E-2</v>
      </c>
      <c r="T410" s="864">
        <f>_xlfn.XLOOKUP(TableauRecette[[#This Row],[ID]],TableauProduit[ID],TableauProduit[Total (kg) N9],0,0,1)*TableauRecette[[#This Row],[poids / unite]]</f>
        <v>7.605633802816901E-2</v>
      </c>
    </row>
    <row r="411" spans="1:20">
      <c r="A411" s="545" t="s">
        <v>91</v>
      </c>
      <c r="B411" s="106" t="str">
        <f>TableauRecette[[#This Row],[Recette]]&amp;TableauRecette[[#This Row],[Conditionnement]]</f>
        <v>Tabel ou Tabil tunisienEpice 100ml</v>
      </c>
      <c r="C411" s="448" t="s">
        <v>289</v>
      </c>
      <c r="D411" s="229">
        <v>20</v>
      </c>
      <c r="E411" s="106" t="s">
        <v>55</v>
      </c>
      <c r="F411" s="229">
        <f>D411/SUMIFS(TableauRecette[Proportion],TableauRecette[Recette],TableauRecette[[#This Row],[Recette]],TableauRecette[Conditionnement],TableauRecette[[#This Row],[Conditionnement]])</f>
        <v>0.58651026392961869</v>
      </c>
      <c r="G411" s="229">
        <f ca="1">_xlfn.XLOOKUP(TableauRecette[[#This Row],[Ingredients]],TableauIngredients[Ingredients],TableauIngredients[Prix d''achat (kg)],0)*TableauRecette[[#This Row],[poids / unite]]</f>
        <v>0</v>
      </c>
      <c r="H411" s="229">
        <f>SUMIFS(TableauRecette[Proportion],TableauRecette[Recette],TableauRecette[[#This Row],[Recette]],TableauRecette[Conditionnement],TableauRecette[[#This Row],[Conditionnement]])</f>
        <v>34.1</v>
      </c>
      <c r="I411" s="229">
        <f ca="1">TableauRecette[[#This Row],[Proportion]]*TableauRecette[[#This Row],[Prix d''achat / kg]]/TableauRecette[[#This Row],[Total Proportion]]</f>
        <v>0</v>
      </c>
      <c r="J411" s="229"/>
      <c r="K411" s="865"/>
      <c r="L411" s="866">
        <f>_xlfn.XLOOKUP(TableauRecette[[#This Row],[ID]],TableauProduit[ID],TableauProduit[Total (kg) N1],0,0,1)*TableauRecette[[#This Row],[poids / unite]]</f>
        <v>0</v>
      </c>
      <c r="M411" s="867">
        <f>_xlfn.XLOOKUP(TableauRecette[[#This Row],[ID]],TableauProduit[ID],TableauProduit[Total (kg) N2],0,0,1)*TableauRecette[[#This Row],[poids / unite]]</f>
        <v>0</v>
      </c>
      <c r="N411" s="867">
        <f>_xlfn.XLOOKUP(TableauRecette[[#This Row],[ID]],TableauProduit[ID],TableauProduit[Total (kg) N3],0,0,1)*TableauRecette[[#This Row],[poids / unite]]</f>
        <v>0</v>
      </c>
      <c r="O411" s="867">
        <f>_xlfn.XLOOKUP(TableauRecette[[#This Row],[ID]],TableauProduit[ID],TableauProduit[Total (kg) N4],0,0,1)*TableauRecette[[#This Row],[poids / unite]]</f>
        <v>0</v>
      </c>
      <c r="P411" s="867">
        <f>_xlfn.XLOOKUP(TableauRecette[[#This Row],[ID]],TableauProduit[ID],TableauProduit[Total (kg) N5],0,0,1)*TableauRecette[[#This Row],[poids / unite]]</f>
        <v>0</v>
      </c>
      <c r="Q411" s="867">
        <f>_xlfn.XLOOKUP(TableauRecette[[#This Row],[ID]],TableauProduit[ID],TableauProduit[Total (kg) N6],0,0,1)*TableauRecette[[#This Row],[poids / unite]]</f>
        <v>0</v>
      </c>
      <c r="R411" s="867">
        <f>_xlfn.XLOOKUP(TableauRecette[[#This Row],[ID]],TableauProduit[ID],TableauProduit[Total (kg) N7],0,0,1)*TableauRecette[[#This Row],[poids / unite]]</f>
        <v>0</v>
      </c>
      <c r="S411" s="867">
        <f>_xlfn.XLOOKUP(TableauRecette[[#This Row],[ID]],TableauProduit[ID],TableauProduit[Total (kg) N8],0,0,1)*TableauRecette[[#This Row],[poids / unite]]</f>
        <v>0</v>
      </c>
      <c r="T411" s="867">
        <f>_xlfn.XLOOKUP(TableauRecette[[#This Row],[ID]],TableauProduit[ID],TableauProduit[Total (kg) N9],0,0,1)*TableauRecette[[#This Row],[poids / unite]]</f>
        <v>0</v>
      </c>
    </row>
    <row r="412" spans="1:20">
      <c r="A412" s="545" t="s">
        <v>91</v>
      </c>
      <c r="B412" s="106" t="str">
        <f>TableauRecette[[#This Row],[Recette]]&amp;TableauRecette[[#This Row],[Conditionnement]]</f>
        <v>Tabel ou Tabil tunisienEpice 100ml</v>
      </c>
      <c r="C412" s="448" t="s">
        <v>297</v>
      </c>
      <c r="D412" s="229">
        <v>5</v>
      </c>
      <c r="E412" s="106" t="s">
        <v>55</v>
      </c>
      <c r="F412" s="229">
        <f>D412/SUMIFS(TableauRecette[Proportion],TableauRecette[Recette],TableauRecette[[#This Row],[Recette]],TableauRecette[Conditionnement],TableauRecette[[#This Row],[Conditionnement]])</f>
        <v>0.14662756598240467</v>
      </c>
      <c r="G412" s="229">
        <f ca="1">_xlfn.XLOOKUP(TableauRecette[[#This Row],[Ingredients]],TableauIngredients[Ingredients],TableauIngredients[Prix d''achat (kg)],0)*TableauRecette[[#This Row],[poids / unite]]</f>
        <v>3.0425219941348969</v>
      </c>
      <c r="H412" s="229">
        <f>SUMIFS(TableauRecette[Proportion],TableauRecette[Recette],TableauRecette[[#This Row],[Recette]],TableauRecette[Conditionnement],TableauRecette[[#This Row],[Conditionnement]])</f>
        <v>34.1</v>
      </c>
      <c r="I412" s="229">
        <f ca="1">TableauRecette[[#This Row],[Proportion]]*TableauRecette[[#This Row],[Prix d''achat / kg]]/TableauRecette[[#This Row],[Total Proportion]]</f>
        <v>0</v>
      </c>
      <c r="J412" s="229"/>
      <c r="K412" s="865"/>
      <c r="L412" s="866">
        <f>_xlfn.XLOOKUP(TableauRecette[[#This Row],[ID]],TableauProduit[ID],TableauProduit[Total (kg) N1],0,0,1)*TableauRecette[[#This Row],[poids / unite]]</f>
        <v>0</v>
      </c>
      <c r="M412" s="867">
        <f>_xlfn.XLOOKUP(TableauRecette[[#This Row],[ID]],TableauProduit[ID],TableauProduit[Total (kg) N2],0,0,1)*TableauRecette[[#This Row],[poids / unite]]</f>
        <v>0</v>
      </c>
      <c r="N412" s="867">
        <f>_xlfn.XLOOKUP(TableauRecette[[#This Row],[ID]],TableauProduit[ID],TableauProduit[Total (kg) N3],0,0,1)*TableauRecette[[#This Row],[poids / unite]]</f>
        <v>0</v>
      </c>
      <c r="O412" s="867">
        <f>_xlfn.XLOOKUP(TableauRecette[[#This Row],[ID]],TableauProduit[ID],TableauProduit[Total (kg) N4],0,0,1)*TableauRecette[[#This Row],[poids / unite]]</f>
        <v>0</v>
      </c>
      <c r="P412" s="867">
        <f>_xlfn.XLOOKUP(TableauRecette[[#This Row],[ID]],TableauProduit[ID],TableauProduit[Total (kg) N5],0,0,1)*TableauRecette[[#This Row],[poids / unite]]</f>
        <v>0</v>
      </c>
      <c r="Q412" s="867">
        <f>_xlfn.XLOOKUP(TableauRecette[[#This Row],[ID]],TableauProduit[ID],TableauProduit[Total (kg) N6],0,0,1)*TableauRecette[[#This Row],[poids / unite]]</f>
        <v>0</v>
      </c>
      <c r="R412" s="867">
        <f>_xlfn.XLOOKUP(TableauRecette[[#This Row],[ID]],TableauProduit[ID],TableauProduit[Total (kg) N7],0,0,1)*TableauRecette[[#This Row],[poids / unite]]</f>
        <v>0</v>
      </c>
      <c r="S412" s="867">
        <f>_xlfn.XLOOKUP(TableauRecette[[#This Row],[ID]],TableauProduit[ID],TableauProduit[Total (kg) N8],0,0,1)*TableauRecette[[#This Row],[poids / unite]]</f>
        <v>0</v>
      </c>
      <c r="T412" s="867">
        <f>_xlfn.XLOOKUP(TableauRecette[[#This Row],[ID]],TableauProduit[ID],TableauProduit[Total (kg) N9],0,0,1)*TableauRecette[[#This Row],[poids / unite]]</f>
        <v>0</v>
      </c>
    </row>
    <row r="413" spans="1:20">
      <c r="A413" s="545" t="s">
        <v>91</v>
      </c>
      <c r="B413" s="106" t="str">
        <f>TableauRecette[[#This Row],[Recette]]&amp;TableauRecette[[#This Row],[Conditionnement]]</f>
        <v>Tabel ou Tabil tunisienEpice 100ml</v>
      </c>
      <c r="C413" s="106" t="s">
        <v>320</v>
      </c>
      <c r="D413" s="229">
        <v>1</v>
      </c>
      <c r="E413" s="106" t="s">
        <v>55</v>
      </c>
      <c r="F413" s="229">
        <f>D413/SUMIFS(TableauRecette[Proportion],TableauRecette[Recette],TableauRecette[[#This Row],[Recette]],TableauRecette[Conditionnement],TableauRecette[[#This Row],[Conditionnement]])</f>
        <v>2.9325513196480937E-2</v>
      </c>
      <c r="G413" s="229">
        <f ca="1">_xlfn.XLOOKUP(TableauRecette[[#This Row],[Ingredients]],TableauIngredients[Ingredients],TableauIngredients[Prix d''achat (kg)],0)*TableauRecette[[#This Row],[poids / unite]]</f>
        <v>0</v>
      </c>
      <c r="H413" s="229">
        <f>SUMIFS(TableauRecette[Proportion],TableauRecette[Recette],TableauRecette[[#This Row],[Recette]],TableauRecette[Conditionnement],TableauRecette[[#This Row],[Conditionnement]])</f>
        <v>34.1</v>
      </c>
      <c r="I413" s="229">
        <f ca="1">TableauRecette[[#This Row],[Proportion]]*TableauRecette[[#This Row],[Prix d''achat / kg]]/TableauRecette[[#This Row],[Total Proportion]]</f>
        <v>0</v>
      </c>
      <c r="J413" s="229"/>
      <c r="K413" s="865"/>
      <c r="L413" s="866">
        <f>_xlfn.XLOOKUP(TableauRecette[[#This Row],[ID]],TableauProduit[ID],TableauProduit[Total (kg) N1],0,0,1)*TableauRecette[[#This Row],[poids / unite]]</f>
        <v>0</v>
      </c>
      <c r="M413" s="867">
        <f>_xlfn.XLOOKUP(TableauRecette[[#This Row],[ID]],TableauProduit[ID],TableauProduit[Total (kg) N2],0,0,1)*TableauRecette[[#This Row],[poids / unite]]</f>
        <v>0</v>
      </c>
      <c r="N413" s="867">
        <f>_xlfn.XLOOKUP(TableauRecette[[#This Row],[ID]],TableauProduit[ID],TableauProduit[Total (kg) N3],0,0,1)*TableauRecette[[#This Row],[poids / unite]]</f>
        <v>0</v>
      </c>
      <c r="O413" s="867">
        <f>_xlfn.XLOOKUP(TableauRecette[[#This Row],[ID]],TableauProduit[ID],TableauProduit[Total (kg) N4],0,0,1)*TableauRecette[[#This Row],[poids / unite]]</f>
        <v>0</v>
      </c>
      <c r="P413" s="867">
        <f>_xlfn.XLOOKUP(TableauRecette[[#This Row],[ID]],TableauProduit[ID],TableauProduit[Total (kg) N5],0,0,1)*TableauRecette[[#This Row],[poids / unite]]</f>
        <v>0</v>
      </c>
      <c r="Q413" s="867">
        <f>_xlfn.XLOOKUP(TableauRecette[[#This Row],[ID]],TableauProduit[ID],TableauProduit[Total (kg) N6],0,0,1)*TableauRecette[[#This Row],[poids / unite]]</f>
        <v>0</v>
      </c>
      <c r="R413" s="867">
        <f>_xlfn.XLOOKUP(TableauRecette[[#This Row],[ID]],TableauProduit[ID],TableauProduit[Total (kg) N7],0,0,1)*TableauRecette[[#This Row],[poids / unite]]</f>
        <v>0</v>
      </c>
      <c r="S413" s="867">
        <f>_xlfn.XLOOKUP(TableauRecette[[#This Row],[ID]],TableauProduit[ID],TableauProduit[Total (kg) N8],0,0,1)*TableauRecette[[#This Row],[poids / unite]]</f>
        <v>0</v>
      </c>
      <c r="T413" s="867">
        <f>_xlfn.XLOOKUP(TableauRecette[[#This Row],[ID]],TableauProduit[ID],TableauProduit[Total (kg) N9],0,0,1)*TableauRecette[[#This Row],[poids / unite]]</f>
        <v>0</v>
      </c>
    </row>
    <row r="414" spans="1:20">
      <c r="A414" s="545" t="s">
        <v>91</v>
      </c>
      <c r="B414" s="106" t="str">
        <f>TableauRecette[[#This Row],[Recette]]&amp;TableauRecette[[#This Row],[Conditionnement]]</f>
        <v>Tabel ou Tabil tunisienEpice 100ml</v>
      </c>
      <c r="C414" s="106" t="s">
        <v>287</v>
      </c>
      <c r="D414" s="229">
        <v>0.5</v>
      </c>
      <c r="E414" s="106" t="s">
        <v>55</v>
      </c>
      <c r="F414" s="229">
        <f>D414/SUMIFS(TableauRecette[Proportion],TableauRecette[Recette],TableauRecette[[#This Row],[Recette]],TableauRecette[Conditionnement],TableauRecette[[#This Row],[Conditionnement]])</f>
        <v>1.4662756598240468E-2</v>
      </c>
      <c r="G414" s="229">
        <f ca="1">_xlfn.XLOOKUP(TableauRecette[[#This Row],[Ingredients]],TableauIngredients[Ingredients],TableauIngredients[Prix d''achat (kg)],0)*TableauRecette[[#This Row],[poids / unite]]</f>
        <v>0.54032258064516125</v>
      </c>
      <c r="H414" s="229">
        <f>SUMIFS(TableauRecette[Proportion],TableauRecette[Recette],TableauRecette[[#This Row],[Recette]],TableauRecette[Conditionnement],TableauRecette[[#This Row],[Conditionnement]])</f>
        <v>34.1</v>
      </c>
      <c r="I414" s="229">
        <f ca="1">TableauRecette[[#This Row],[Proportion]]*TableauRecette[[#This Row],[Prix d''achat / kg]]/TableauRecette[[#This Row],[Total Proportion]]</f>
        <v>0</v>
      </c>
      <c r="J414" s="229"/>
      <c r="K414" s="865"/>
      <c r="L414" s="866">
        <f>_xlfn.XLOOKUP(TableauRecette[[#This Row],[ID]],TableauProduit[ID],TableauProduit[Total (kg) N1],0,0,1)*TableauRecette[[#This Row],[poids / unite]]</f>
        <v>0</v>
      </c>
      <c r="M414" s="867">
        <f>_xlfn.XLOOKUP(TableauRecette[[#This Row],[ID]],TableauProduit[ID],TableauProduit[Total (kg) N2],0,0,1)*TableauRecette[[#This Row],[poids / unite]]</f>
        <v>0</v>
      </c>
      <c r="N414" s="867">
        <f>_xlfn.XLOOKUP(TableauRecette[[#This Row],[ID]],TableauProduit[ID],TableauProduit[Total (kg) N3],0,0,1)*TableauRecette[[#This Row],[poids / unite]]</f>
        <v>0</v>
      </c>
      <c r="O414" s="867">
        <f>_xlfn.XLOOKUP(TableauRecette[[#This Row],[ID]],TableauProduit[ID],TableauProduit[Total (kg) N4],0,0,1)*TableauRecette[[#This Row],[poids / unite]]</f>
        <v>0</v>
      </c>
      <c r="P414" s="867">
        <f>_xlfn.XLOOKUP(TableauRecette[[#This Row],[ID]],TableauProduit[ID],TableauProduit[Total (kg) N5],0,0,1)*TableauRecette[[#This Row],[poids / unite]]</f>
        <v>0</v>
      </c>
      <c r="Q414" s="867">
        <f>_xlfn.XLOOKUP(TableauRecette[[#This Row],[ID]],TableauProduit[ID],TableauProduit[Total (kg) N6],0,0,1)*TableauRecette[[#This Row],[poids / unite]]</f>
        <v>0</v>
      </c>
      <c r="R414" s="867">
        <f>_xlfn.XLOOKUP(TableauRecette[[#This Row],[ID]],TableauProduit[ID],TableauProduit[Total (kg) N7],0,0,1)*TableauRecette[[#This Row],[poids / unite]]</f>
        <v>0</v>
      </c>
      <c r="S414" s="867">
        <f>_xlfn.XLOOKUP(TableauRecette[[#This Row],[ID]],TableauProduit[ID],TableauProduit[Total (kg) N8],0,0,1)*TableauRecette[[#This Row],[poids / unite]]</f>
        <v>0</v>
      </c>
      <c r="T414" s="867">
        <f>_xlfn.XLOOKUP(TableauRecette[[#This Row],[ID]],TableauProduit[ID],TableauProduit[Total (kg) N9],0,0,1)*TableauRecette[[#This Row],[poids / unite]]</f>
        <v>0</v>
      </c>
    </row>
    <row r="415" spans="1:20">
      <c r="A415" s="545" t="s">
        <v>91</v>
      </c>
      <c r="B415" s="106" t="str">
        <f>TableauRecette[[#This Row],[Recette]]&amp;TableauRecette[[#This Row],[Conditionnement]]</f>
        <v>Tabel ou Tabil tunisienEpice 100ml</v>
      </c>
      <c r="C415" s="106" t="s">
        <v>317</v>
      </c>
      <c r="D415" s="229">
        <v>0.5</v>
      </c>
      <c r="E415" s="106" t="s">
        <v>55</v>
      </c>
      <c r="F415" s="229">
        <f>D415/SUMIFS(TableauRecette[Proportion],TableauRecette[Recette],TableauRecette[[#This Row],[Recette]],TableauRecette[Conditionnement],TableauRecette[[#This Row],[Conditionnement]])</f>
        <v>1.4662756598240468E-2</v>
      </c>
      <c r="G415" s="229">
        <f ca="1">_xlfn.XLOOKUP(TableauRecette[[#This Row],[Ingredients]],TableauIngredients[Ingredients],TableauIngredients[Prix d''achat (kg)],0)*TableauRecette[[#This Row],[poids / unite]]</f>
        <v>0</v>
      </c>
      <c r="H415" s="229">
        <f>SUMIFS(TableauRecette[Proportion],TableauRecette[Recette],TableauRecette[[#This Row],[Recette]],TableauRecette[Conditionnement],TableauRecette[[#This Row],[Conditionnement]])</f>
        <v>34.1</v>
      </c>
      <c r="I415" s="229">
        <f ca="1">TableauRecette[[#This Row],[Proportion]]*TableauRecette[[#This Row],[Prix d''achat / kg]]/TableauRecette[[#This Row],[Total Proportion]]</f>
        <v>0</v>
      </c>
      <c r="J415" s="229"/>
      <c r="K415" s="865"/>
      <c r="L415" s="866">
        <f>_xlfn.XLOOKUP(TableauRecette[[#This Row],[ID]],TableauProduit[ID],TableauProduit[Total (kg) N1],0,0,1)*TableauRecette[[#This Row],[poids / unite]]</f>
        <v>0</v>
      </c>
      <c r="M415" s="867">
        <f>_xlfn.XLOOKUP(TableauRecette[[#This Row],[ID]],TableauProduit[ID],TableauProduit[Total (kg) N2],0,0,1)*TableauRecette[[#This Row],[poids / unite]]</f>
        <v>0</v>
      </c>
      <c r="N415" s="867">
        <f>_xlfn.XLOOKUP(TableauRecette[[#This Row],[ID]],TableauProduit[ID],TableauProduit[Total (kg) N3],0,0,1)*TableauRecette[[#This Row],[poids / unite]]</f>
        <v>0</v>
      </c>
      <c r="O415" s="867">
        <f>_xlfn.XLOOKUP(TableauRecette[[#This Row],[ID]],TableauProduit[ID],TableauProduit[Total (kg) N4],0,0,1)*TableauRecette[[#This Row],[poids / unite]]</f>
        <v>0</v>
      </c>
      <c r="P415" s="867">
        <f>_xlfn.XLOOKUP(TableauRecette[[#This Row],[ID]],TableauProduit[ID],TableauProduit[Total (kg) N5],0,0,1)*TableauRecette[[#This Row],[poids / unite]]</f>
        <v>0</v>
      </c>
      <c r="Q415" s="867">
        <f>_xlfn.XLOOKUP(TableauRecette[[#This Row],[ID]],TableauProduit[ID],TableauProduit[Total (kg) N6],0,0,1)*TableauRecette[[#This Row],[poids / unite]]</f>
        <v>0</v>
      </c>
      <c r="R415" s="867">
        <f>_xlfn.XLOOKUP(TableauRecette[[#This Row],[ID]],TableauProduit[ID],TableauProduit[Total (kg) N7],0,0,1)*TableauRecette[[#This Row],[poids / unite]]</f>
        <v>0</v>
      </c>
      <c r="S415" s="867">
        <f>_xlfn.XLOOKUP(TableauRecette[[#This Row],[ID]],TableauProduit[ID],TableauProduit[Total (kg) N8],0,0,1)*TableauRecette[[#This Row],[poids / unite]]</f>
        <v>0</v>
      </c>
      <c r="T415" s="867">
        <f>_xlfn.XLOOKUP(TableauRecette[[#This Row],[ID]],TableauProduit[ID],TableauProduit[Total (kg) N9],0,0,1)*TableauRecette[[#This Row],[poids / unite]]</f>
        <v>0</v>
      </c>
    </row>
    <row r="416" spans="1:20">
      <c r="A416" s="545" t="s">
        <v>91</v>
      </c>
      <c r="B416" s="106" t="str">
        <f>TableauRecette[[#This Row],[Recette]]&amp;TableauRecette[[#This Row],[Conditionnement]]</f>
        <v>Tabel ou Tabil tunisienEpice 100ml</v>
      </c>
      <c r="C416" s="106" t="s">
        <v>280</v>
      </c>
      <c r="D416" s="229">
        <v>0.5</v>
      </c>
      <c r="E416" s="106" t="s">
        <v>55</v>
      </c>
      <c r="F416" s="229">
        <f>D416/SUMIFS(TableauRecette[Proportion],TableauRecette[Recette],TableauRecette[[#This Row],[Recette]],TableauRecette[Conditionnement],TableauRecette[[#This Row],[Conditionnement]])</f>
        <v>1.4662756598240468E-2</v>
      </c>
      <c r="G416" s="229">
        <f ca="1">_xlfn.XLOOKUP(TableauRecette[[#This Row],[Ingredients]],TableauIngredients[Ingredients],TableauIngredients[Prix d''achat (kg)],0)*TableauRecette[[#This Row],[poids / unite]]</f>
        <v>0</v>
      </c>
      <c r="H416" s="229">
        <f>SUMIFS(TableauRecette[Proportion],TableauRecette[Recette],TableauRecette[[#This Row],[Recette]],TableauRecette[Conditionnement],TableauRecette[[#This Row],[Conditionnement]])</f>
        <v>34.1</v>
      </c>
      <c r="I416" s="229">
        <f ca="1">TableauRecette[[#This Row],[Proportion]]*TableauRecette[[#This Row],[Prix d''achat / kg]]/TableauRecette[[#This Row],[Total Proportion]]</f>
        <v>0</v>
      </c>
      <c r="J416" s="229"/>
      <c r="K416" s="865"/>
      <c r="L416" s="866">
        <f>_xlfn.XLOOKUP(TableauRecette[[#This Row],[ID]],TableauProduit[ID],TableauProduit[Total (kg) N1],0,0,1)*TableauRecette[[#This Row],[poids / unite]]</f>
        <v>0</v>
      </c>
      <c r="M416" s="867">
        <f>_xlfn.XLOOKUP(TableauRecette[[#This Row],[ID]],TableauProduit[ID],TableauProduit[Total (kg) N2],0,0,1)*TableauRecette[[#This Row],[poids / unite]]</f>
        <v>0</v>
      </c>
      <c r="N416" s="867">
        <f>_xlfn.XLOOKUP(TableauRecette[[#This Row],[ID]],TableauProduit[ID],TableauProduit[Total (kg) N3],0,0,1)*TableauRecette[[#This Row],[poids / unite]]</f>
        <v>0</v>
      </c>
      <c r="O416" s="867">
        <f>_xlfn.XLOOKUP(TableauRecette[[#This Row],[ID]],TableauProduit[ID],TableauProduit[Total (kg) N4],0,0,1)*TableauRecette[[#This Row],[poids / unite]]</f>
        <v>0</v>
      </c>
      <c r="P416" s="867">
        <f>_xlfn.XLOOKUP(TableauRecette[[#This Row],[ID]],TableauProduit[ID],TableauProduit[Total (kg) N5],0,0,1)*TableauRecette[[#This Row],[poids / unite]]</f>
        <v>0</v>
      </c>
      <c r="Q416" s="867">
        <f>_xlfn.XLOOKUP(TableauRecette[[#This Row],[ID]],TableauProduit[ID],TableauProduit[Total (kg) N6],0,0,1)*TableauRecette[[#This Row],[poids / unite]]</f>
        <v>0</v>
      </c>
      <c r="R416" s="867">
        <f>_xlfn.XLOOKUP(TableauRecette[[#This Row],[ID]],TableauProduit[ID],TableauProduit[Total (kg) N7],0,0,1)*TableauRecette[[#This Row],[poids / unite]]</f>
        <v>0</v>
      </c>
      <c r="S416" s="867">
        <f>_xlfn.XLOOKUP(TableauRecette[[#This Row],[ID]],TableauProduit[ID],TableauProduit[Total (kg) N8],0,0,1)*TableauRecette[[#This Row],[poids / unite]]</f>
        <v>0</v>
      </c>
      <c r="T416" s="867">
        <f>_xlfn.XLOOKUP(TableauRecette[[#This Row],[ID]],TableauProduit[ID],TableauProduit[Total (kg) N9],0,0,1)*TableauRecette[[#This Row],[poids / unite]]</f>
        <v>0</v>
      </c>
    </row>
    <row r="417" spans="1:20">
      <c r="A417" s="545" t="s">
        <v>91</v>
      </c>
      <c r="B417" s="106" t="str">
        <f>TableauRecette[[#This Row],[Recette]]&amp;TableauRecette[[#This Row],[Conditionnement]]</f>
        <v>Tabel ou Tabil tunisienEpice 100ml</v>
      </c>
      <c r="C417" s="556" t="s">
        <v>299</v>
      </c>
      <c r="D417" s="229">
        <v>0.5</v>
      </c>
      <c r="E417" s="106" t="s">
        <v>55</v>
      </c>
      <c r="F417" s="229">
        <f>D417/SUMIFS(TableauRecette[Proportion],TableauRecette[Recette],TableauRecette[[#This Row],[Recette]],TableauRecette[Conditionnement],TableauRecette[[#This Row],[Conditionnement]])</f>
        <v>1.4662756598240468E-2</v>
      </c>
      <c r="G417" s="229">
        <f ca="1">_xlfn.XLOOKUP(TableauRecette[[#This Row],[Ingredients]],TableauIngredients[Ingredients],TableauIngredients[Prix d''achat (kg)],0)*TableauRecette[[#This Row],[poids / unite]]</f>
        <v>0</v>
      </c>
      <c r="H417" s="229">
        <f>SUMIFS(TableauRecette[Proportion],TableauRecette[Recette],TableauRecette[[#This Row],[Recette]],TableauRecette[Conditionnement],TableauRecette[[#This Row],[Conditionnement]])</f>
        <v>34.1</v>
      </c>
      <c r="I417" s="229">
        <f ca="1">TableauRecette[[#This Row],[Proportion]]*TableauRecette[[#This Row],[Prix d''achat / kg]]/TableauRecette[[#This Row],[Total Proportion]]</f>
        <v>0</v>
      </c>
      <c r="J417" s="229"/>
      <c r="K417" s="865"/>
      <c r="L417" s="866">
        <f>_xlfn.XLOOKUP(TableauRecette[[#This Row],[ID]],TableauProduit[ID],TableauProduit[Total (kg) N1],0,0,1)*TableauRecette[[#This Row],[poids / unite]]</f>
        <v>0</v>
      </c>
      <c r="M417" s="867">
        <f>_xlfn.XLOOKUP(TableauRecette[[#This Row],[ID]],TableauProduit[ID],TableauProduit[Total (kg) N2],0,0,1)*TableauRecette[[#This Row],[poids / unite]]</f>
        <v>0</v>
      </c>
      <c r="N417" s="867">
        <f>_xlfn.XLOOKUP(TableauRecette[[#This Row],[ID]],TableauProduit[ID],TableauProduit[Total (kg) N3],0,0,1)*TableauRecette[[#This Row],[poids / unite]]</f>
        <v>0</v>
      </c>
      <c r="O417" s="867">
        <f>_xlfn.XLOOKUP(TableauRecette[[#This Row],[ID]],TableauProduit[ID],TableauProduit[Total (kg) N4],0,0,1)*TableauRecette[[#This Row],[poids / unite]]</f>
        <v>0</v>
      </c>
      <c r="P417" s="867">
        <f>_xlfn.XLOOKUP(TableauRecette[[#This Row],[ID]],TableauProduit[ID],TableauProduit[Total (kg) N5],0,0,1)*TableauRecette[[#This Row],[poids / unite]]</f>
        <v>0</v>
      </c>
      <c r="Q417" s="867">
        <f>_xlfn.XLOOKUP(TableauRecette[[#This Row],[ID]],TableauProduit[ID],TableauProduit[Total (kg) N6],0,0,1)*TableauRecette[[#This Row],[poids / unite]]</f>
        <v>0</v>
      </c>
      <c r="R417" s="867">
        <f>_xlfn.XLOOKUP(TableauRecette[[#This Row],[ID]],TableauProduit[ID],TableauProduit[Total (kg) N7],0,0,1)*TableauRecette[[#This Row],[poids / unite]]</f>
        <v>0</v>
      </c>
      <c r="S417" s="867">
        <f>_xlfn.XLOOKUP(TableauRecette[[#This Row],[ID]],TableauProduit[ID],TableauProduit[Total (kg) N8],0,0,1)*TableauRecette[[#This Row],[poids / unite]]</f>
        <v>0</v>
      </c>
      <c r="T417" s="867">
        <f>_xlfn.XLOOKUP(TableauRecette[[#This Row],[ID]],TableauProduit[ID],TableauProduit[Total (kg) N9],0,0,1)*TableauRecette[[#This Row],[poids / unite]]</f>
        <v>0</v>
      </c>
    </row>
    <row r="418" spans="1:20">
      <c r="A418" s="545" t="s">
        <v>91</v>
      </c>
      <c r="B418" s="106" t="str">
        <f>TableauRecette[[#This Row],[Recette]]&amp;TableauRecette[[#This Row],[Conditionnement]]</f>
        <v>Tabel ou Tabil tunisienEpice 100ml</v>
      </c>
      <c r="C418" s="106" t="s">
        <v>295</v>
      </c>
      <c r="D418" s="229">
        <v>0.5</v>
      </c>
      <c r="E418" s="106" t="s">
        <v>55</v>
      </c>
      <c r="F418" s="229">
        <f>D418/SUMIFS(TableauRecette[Proportion],TableauRecette[Recette],TableauRecette[[#This Row],[Recette]],TableauRecette[Conditionnement],TableauRecette[[#This Row],[Conditionnement]])</f>
        <v>1.4662756598240468E-2</v>
      </c>
      <c r="G418" s="229">
        <f ca="1">_xlfn.XLOOKUP(TableauRecette[[#This Row],[Ingredients]],TableauIngredients[Ingredients],TableauIngredients[Prix d''achat (kg)],0)*TableauRecette[[#This Row],[poids / unite]]</f>
        <v>0</v>
      </c>
      <c r="H418" s="229">
        <f>SUMIFS(TableauRecette[Proportion],TableauRecette[Recette],TableauRecette[[#This Row],[Recette]],TableauRecette[Conditionnement],TableauRecette[[#This Row],[Conditionnement]])</f>
        <v>34.1</v>
      </c>
      <c r="I418" s="229">
        <f ca="1">TableauRecette[[#This Row],[Proportion]]*TableauRecette[[#This Row],[Prix d''achat / kg]]/TableauRecette[[#This Row],[Total Proportion]]</f>
        <v>0</v>
      </c>
      <c r="J418" s="229"/>
      <c r="K418" s="865"/>
      <c r="L418" s="866">
        <f>_xlfn.XLOOKUP(TableauRecette[[#This Row],[ID]],TableauProduit[ID],TableauProduit[Total (kg) N1],0,0,1)*TableauRecette[[#This Row],[poids / unite]]</f>
        <v>0</v>
      </c>
      <c r="M418" s="867">
        <f>_xlfn.XLOOKUP(TableauRecette[[#This Row],[ID]],TableauProduit[ID],TableauProduit[Total (kg) N2],0,0,1)*TableauRecette[[#This Row],[poids / unite]]</f>
        <v>0</v>
      </c>
      <c r="N418" s="867">
        <f>_xlfn.XLOOKUP(TableauRecette[[#This Row],[ID]],TableauProduit[ID],TableauProduit[Total (kg) N3],0,0,1)*TableauRecette[[#This Row],[poids / unite]]</f>
        <v>0</v>
      </c>
      <c r="O418" s="867">
        <f>_xlfn.XLOOKUP(TableauRecette[[#This Row],[ID]],TableauProduit[ID],TableauProduit[Total (kg) N4],0,0,1)*TableauRecette[[#This Row],[poids / unite]]</f>
        <v>0</v>
      </c>
      <c r="P418" s="867">
        <f>_xlfn.XLOOKUP(TableauRecette[[#This Row],[ID]],TableauProduit[ID],TableauProduit[Total (kg) N5],0,0,1)*TableauRecette[[#This Row],[poids / unite]]</f>
        <v>0</v>
      </c>
      <c r="Q418" s="867">
        <f>_xlfn.XLOOKUP(TableauRecette[[#This Row],[ID]],TableauProduit[ID],TableauProduit[Total (kg) N6],0,0,1)*TableauRecette[[#This Row],[poids / unite]]</f>
        <v>0</v>
      </c>
      <c r="R418" s="867">
        <f>_xlfn.XLOOKUP(TableauRecette[[#This Row],[ID]],TableauProduit[ID],TableauProduit[Total (kg) N7],0,0,1)*TableauRecette[[#This Row],[poids / unite]]</f>
        <v>0</v>
      </c>
      <c r="S418" s="867">
        <f>_xlfn.XLOOKUP(TableauRecette[[#This Row],[ID]],TableauProduit[ID],TableauProduit[Total (kg) N8],0,0,1)*TableauRecette[[#This Row],[poids / unite]]</f>
        <v>0</v>
      </c>
      <c r="T418" s="867">
        <f>_xlfn.XLOOKUP(TableauRecette[[#This Row],[ID]],TableauProduit[ID],TableauProduit[Total (kg) N9],0,0,1)*TableauRecette[[#This Row],[poids / unite]]</f>
        <v>0</v>
      </c>
    </row>
    <row r="419" spans="1:20">
      <c r="A419" s="545" t="s">
        <v>91</v>
      </c>
      <c r="B419" s="106" t="str">
        <f>TableauRecette[[#This Row],[Recette]]&amp;TableauRecette[[#This Row],[Conditionnement]]</f>
        <v>Tabel ou Tabil tunisienEpice 100ml</v>
      </c>
      <c r="C419" s="106" t="s">
        <v>303</v>
      </c>
      <c r="D419" s="229">
        <v>2.5</v>
      </c>
      <c r="E419" s="106" t="s">
        <v>55</v>
      </c>
      <c r="F419" s="229">
        <f>D419/SUMIFS(TableauRecette[Proportion],TableauRecette[Recette],TableauRecette[[#This Row],[Recette]],TableauRecette[Conditionnement],TableauRecette[[#This Row],[Conditionnement]])</f>
        <v>7.3313782991202336E-2</v>
      </c>
      <c r="G419" s="229">
        <f ca="1">_xlfn.XLOOKUP(TableauRecette[[#This Row],[Ingredients]],TableauIngredients[Ingredients],TableauIngredients[Prix d''achat (kg)],0)*TableauRecette[[#This Row],[poids / unite]]</f>
        <v>0.10263929618768326</v>
      </c>
      <c r="H419" s="229">
        <f>SUMIFS(TableauRecette[Proportion],TableauRecette[Recette],TableauRecette[[#This Row],[Recette]],TableauRecette[Conditionnement],TableauRecette[[#This Row],[Conditionnement]])</f>
        <v>34.1</v>
      </c>
      <c r="I419" s="229">
        <f ca="1">TableauRecette[[#This Row],[Proportion]]*TableauRecette[[#This Row],[Prix d''achat / kg]]/TableauRecette[[#This Row],[Total Proportion]]</f>
        <v>0</v>
      </c>
      <c r="J419" s="229"/>
      <c r="K419" s="865"/>
      <c r="L419" s="866">
        <f>_xlfn.XLOOKUP(TableauRecette[[#This Row],[ID]],TableauProduit[ID],TableauProduit[Total (kg) N1],0,0,1)*TableauRecette[[#This Row],[poids / unite]]</f>
        <v>0</v>
      </c>
      <c r="M419" s="867">
        <f>_xlfn.XLOOKUP(TableauRecette[[#This Row],[ID]],TableauProduit[ID],TableauProduit[Total (kg) N2],0,0,1)*TableauRecette[[#This Row],[poids / unite]]</f>
        <v>0</v>
      </c>
      <c r="N419" s="867">
        <f>_xlfn.XLOOKUP(TableauRecette[[#This Row],[ID]],TableauProduit[ID],TableauProduit[Total (kg) N3],0,0,1)*TableauRecette[[#This Row],[poids / unite]]</f>
        <v>0</v>
      </c>
      <c r="O419" s="867">
        <f>_xlfn.XLOOKUP(TableauRecette[[#This Row],[ID]],TableauProduit[ID],TableauProduit[Total (kg) N4],0,0,1)*TableauRecette[[#This Row],[poids / unite]]</f>
        <v>0</v>
      </c>
      <c r="P419" s="867">
        <f>_xlfn.XLOOKUP(TableauRecette[[#This Row],[ID]],TableauProduit[ID],TableauProduit[Total (kg) N5],0,0,1)*TableauRecette[[#This Row],[poids / unite]]</f>
        <v>0</v>
      </c>
      <c r="Q419" s="867">
        <f>_xlfn.XLOOKUP(TableauRecette[[#This Row],[ID]],TableauProduit[ID],TableauProduit[Total (kg) N6],0,0,1)*TableauRecette[[#This Row],[poids / unite]]</f>
        <v>0</v>
      </c>
      <c r="R419" s="867">
        <f>_xlfn.XLOOKUP(TableauRecette[[#This Row],[ID]],TableauProduit[ID],TableauProduit[Total (kg) N7],0,0,1)*TableauRecette[[#This Row],[poids / unite]]</f>
        <v>0</v>
      </c>
      <c r="S419" s="867">
        <f>_xlfn.XLOOKUP(TableauRecette[[#This Row],[ID]],TableauProduit[ID],TableauProduit[Total (kg) N8],0,0,1)*TableauRecette[[#This Row],[poids / unite]]</f>
        <v>0</v>
      </c>
      <c r="T419" s="867">
        <f>_xlfn.XLOOKUP(TableauRecette[[#This Row],[ID]],TableauProduit[ID],TableauProduit[Total (kg) N9],0,0,1)*TableauRecette[[#This Row],[poids / unite]]</f>
        <v>0</v>
      </c>
    </row>
    <row r="420" spans="1:20">
      <c r="A420" s="545" t="s">
        <v>91</v>
      </c>
      <c r="B420" s="106" t="str">
        <f>TableauRecette[[#This Row],[Recette]]&amp;TableauRecette[[#This Row],[Conditionnement]]</f>
        <v>Tabel ou Tabil tunisienEpice 100ml</v>
      </c>
      <c r="C420" s="106" t="s">
        <v>410</v>
      </c>
      <c r="D420" s="229">
        <v>0.1</v>
      </c>
      <c r="E420" s="106" t="s">
        <v>55</v>
      </c>
      <c r="F420" s="229">
        <f>D420/SUMIFS(TableauRecette[Proportion],TableauRecette[Recette],TableauRecette[[#This Row],[Recette]],TableauRecette[Conditionnement],TableauRecette[[#This Row],[Conditionnement]])</f>
        <v>2.9325513196480938E-3</v>
      </c>
      <c r="G420" s="229">
        <f ca="1">_xlfn.XLOOKUP(TableauRecette[[#This Row],[Ingredients]],TableauIngredients[Ingredients],TableauIngredients[Prix d''achat (kg)],0)*TableauRecette[[#This Row],[poids / unite]]</f>
        <v>0</v>
      </c>
      <c r="H420" s="229">
        <f>SUMIFS(TableauRecette[Proportion],TableauRecette[Recette],TableauRecette[[#This Row],[Recette]],TableauRecette[Conditionnement],TableauRecette[[#This Row],[Conditionnement]])</f>
        <v>34.1</v>
      </c>
      <c r="I420" s="229">
        <f ca="1">TableauRecette[[#This Row],[Proportion]]*TableauRecette[[#This Row],[Prix d''achat / kg]]/TableauRecette[[#This Row],[Total Proportion]]</f>
        <v>0</v>
      </c>
      <c r="J420" s="229"/>
      <c r="K420" s="865"/>
      <c r="L420" s="866">
        <f>_xlfn.XLOOKUP(TableauRecette[[#This Row],[ID]],TableauProduit[ID],TableauProduit[Total (kg) N1],0,0,1)*TableauRecette[[#This Row],[poids / unite]]</f>
        <v>0</v>
      </c>
      <c r="M420" s="867">
        <f>_xlfn.XLOOKUP(TableauRecette[[#This Row],[ID]],TableauProduit[ID],TableauProduit[Total (kg) N2],0,0,1)*TableauRecette[[#This Row],[poids / unite]]</f>
        <v>0</v>
      </c>
      <c r="N420" s="867">
        <f>_xlfn.XLOOKUP(TableauRecette[[#This Row],[ID]],TableauProduit[ID],TableauProduit[Total (kg) N3],0,0,1)*TableauRecette[[#This Row],[poids / unite]]</f>
        <v>0</v>
      </c>
      <c r="O420" s="867">
        <f>_xlfn.XLOOKUP(TableauRecette[[#This Row],[ID]],TableauProduit[ID],TableauProduit[Total (kg) N4],0,0,1)*TableauRecette[[#This Row],[poids / unite]]</f>
        <v>0</v>
      </c>
      <c r="P420" s="867">
        <f>_xlfn.XLOOKUP(TableauRecette[[#This Row],[ID]],TableauProduit[ID],TableauProduit[Total (kg) N5],0,0,1)*TableauRecette[[#This Row],[poids / unite]]</f>
        <v>0</v>
      </c>
      <c r="Q420" s="867">
        <f>_xlfn.XLOOKUP(TableauRecette[[#This Row],[ID]],TableauProduit[ID],TableauProduit[Total (kg) N6],0,0,1)*TableauRecette[[#This Row],[poids / unite]]</f>
        <v>0</v>
      </c>
      <c r="R420" s="867">
        <f>_xlfn.XLOOKUP(TableauRecette[[#This Row],[ID]],TableauProduit[ID],TableauProduit[Total (kg) N7],0,0,1)*TableauRecette[[#This Row],[poids / unite]]</f>
        <v>0</v>
      </c>
      <c r="S420" s="867">
        <f>_xlfn.XLOOKUP(TableauRecette[[#This Row],[ID]],TableauProduit[ID],TableauProduit[Total (kg) N8],0,0,1)*TableauRecette[[#This Row],[poids / unite]]</f>
        <v>0</v>
      </c>
      <c r="T420" s="867">
        <f>_xlfn.XLOOKUP(TableauRecette[[#This Row],[ID]],TableauProduit[ID],TableauProduit[Total (kg) N9],0,0,1)*TableauRecette[[#This Row],[poids / unite]]</f>
        <v>0</v>
      </c>
    </row>
    <row r="421" spans="1:20">
      <c r="A421" s="545" t="s">
        <v>91</v>
      </c>
      <c r="B421" s="106" t="str">
        <f>TableauRecette[[#This Row],[Recette]]&amp;TableauRecette[[#This Row],[Conditionnement]]</f>
        <v>Tabel ou Tabil tunisienEpice 100ml</v>
      </c>
      <c r="C421" s="106" t="s">
        <v>777</v>
      </c>
      <c r="D421" s="229">
        <v>3</v>
      </c>
      <c r="E421" s="106" t="s">
        <v>55</v>
      </c>
      <c r="F421" s="229">
        <f>D421/SUMIFS(TableauRecette[Proportion],TableauRecette[Recette],TableauRecette[[#This Row],[Recette]],TableauRecette[Conditionnement],TableauRecette[[#This Row],[Conditionnement]])</f>
        <v>8.7976539589442806E-2</v>
      </c>
      <c r="G421" s="229">
        <f ca="1">_xlfn.XLOOKUP(TableauRecette[[#This Row],[Ingredients]],TableauIngredients[Ingredients],TableauIngredients[Prix d''achat (kg)],0)*TableauRecette[[#This Row],[poids / unite]]</f>
        <v>0</v>
      </c>
      <c r="H421" s="229">
        <f>SUMIFS(TableauRecette[Proportion],TableauRecette[Recette],TableauRecette[[#This Row],[Recette]],TableauRecette[Conditionnement],TableauRecette[[#This Row],[Conditionnement]])</f>
        <v>34.1</v>
      </c>
      <c r="I421" s="229">
        <f ca="1">TableauRecette[[#This Row],[Proportion]]*TableauRecette[[#This Row],[Prix d''achat / kg]]/TableauRecette[[#This Row],[Total Proportion]]</f>
        <v>0</v>
      </c>
      <c r="J421" s="229"/>
      <c r="K421" s="865"/>
      <c r="L421" s="866">
        <f>_xlfn.XLOOKUP(TableauRecette[[#This Row],[ID]],TableauProduit[ID],TableauProduit[Total (kg) N1],0,0,1)*TableauRecette[[#This Row],[poids / unite]]</f>
        <v>0</v>
      </c>
      <c r="M421" s="867">
        <f>_xlfn.XLOOKUP(TableauRecette[[#This Row],[ID]],TableauProduit[ID],TableauProduit[Total (kg) N2],0,0,1)*TableauRecette[[#This Row],[poids / unite]]</f>
        <v>0</v>
      </c>
      <c r="N421" s="867">
        <f>_xlfn.XLOOKUP(TableauRecette[[#This Row],[ID]],TableauProduit[ID],TableauProduit[Total (kg) N3],0,0,1)*TableauRecette[[#This Row],[poids / unite]]</f>
        <v>0</v>
      </c>
      <c r="O421" s="867">
        <f>_xlfn.XLOOKUP(TableauRecette[[#This Row],[ID]],TableauProduit[ID],TableauProduit[Total (kg) N4],0,0,1)*TableauRecette[[#This Row],[poids / unite]]</f>
        <v>0</v>
      </c>
      <c r="P421" s="867">
        <f>_xlfn.XLOOKUP(TableauRecette[[#This Row],[ID]],TableauProduit[ID],TableauProduit[Total (kg) N5],0,0,1)*TableauRecette[[#This Row],[poids / unite]]</f>
        <v>0</v>
      </c>
      <c r="Q421" s="867">
        <f>_xlfn.XLOOKUP(TableauRecette[[#This Row],[ID]],TableauProduit[ID],TableauProduit[Total (kg) N6],0,0,1)*TableauRecette[[#This Row],[poids / unite]]</f>
        <v>0</v>
      </c>
      <c r="R421" s="867">
        <f>_xlfn.XLOOKUP(TableauRecette[[#This Row],[ID]],TableauProduit[ID],TableauProduit[Total (kg) N7],0,0,1)*TableauRecette[[#This Row],[poids / unite]]</f>
        <v>0</v>
      </c>
      <c r="S421" s="867">
        <f>_xlfn.XLOOKUP(TableauRecette[[#This Row],[ID]],TableauProduit[ID],TableauProduit[Total (kg) N8],0,0,1)*TableauRecette[[#This Row],[poids / unite]]</f>
        <v>0</v>
      </c>
      <c r="T421" s="867">
        <f>_xlfn.XLOOKUP(TableauRecette[[#This Row],[ID]],TableauProduit[ID],TableauProduit[Total (kg) N9],0,0,1)*TableauRecette[[#This Row],[poids / unite]]</f>
        <v>0</v>
      </c>
    </row>
    <row r="422" spans="1:20">
      <c r="A422" s="543" t="s">
        <v>89</v>
      </c>
      <c r="B422" s="78" t="str">
        <f>TableauRecette[[#This Row],[Recette]]&amp;TableauRecette[[#This Row],[Conditionnement]]</f>
        <v>TakliaEpice 100ml</v>
      </c>
      <c r="C422" s="78" t="s">
        <v>339</v>
      </c>
      <c r="D422" s="202">
        <v>21</v>
      </c>
      <c r="E422" s="78" t="s">
        <v>55</v>
      </c>
      <c r="F422" s="202">
        <f>D422/SUMIFS(TableauRecette[Proportion],TableauRecette[Recette],TableauRecette[[#This Row],[Recette]],TableauRecette[Conditionnement],TableauRecette[[#This Row],[Conditionnement]])</f>
        <v>0.47565118912797283</v>
      </c>
      <c r="G422" s="202">
        <f ca="1">_xlfn.XLOOKUP(TableauRecette[[#This Row],[Ingredients]],TableauIngredients[Ingredients],TableauIngredients[Prix d''achat (kg)],0)*TableauRecette[[#This Row],[poids / unite]]</f>
        <v>0</v>
      </c>
      <c r="H422" s="202">
        <f>SUMIFS(TableauRecette[Proportion],TableauRecette[Recette],TableauRecette[[#This Row],[Recette]],TableauRecette[Conditionnement],TableauRecette[[#This Row],[Conditionnement]])</f>
        <v>44.15</v>
      </c>
      <c r="I422" s="202">
        <f ca="1">TableauRecette[[#This Row],[Proportion]]*TableauRecette[[#This Row],[Prix d''achat / kg]]/TableauRecette[[#This Row],[Total Proportion]]</f>
        <v>0</v>
      </c>
      <c r="J422" s="202"/>
      <c r="K422" s="868"/>
      <c r="L422" s="760">
        <f>_xlfn.XLOOKUP(TableauRecette[[#This Row],[ID]],TableauProduit[ID],TableauProduit[Total (kg) N1],0,0,1)*TableauRecette[[#This Row],[poids / unite]]</f>
        <v>0</v>
      </c>
      <c r="M422" s="761">
        <f>_xlfn.XLOOKUP(TableauRecette[[#This Row],[ID]],TableauProduit[ID],TableauProduit[Total (kg) N2],0,0,1)*TableauRecette[[#This Row],[poids / unite]]</f>
        <v>0</v>
      </c>
      <c r="N422" s="761">
        <f>_xlfn.XLOOKUP(TableauRecette[[#This Row],[ID]],TableauProduit[ID],TableauProduit[Total (kg) N3],0,0,1)*TableauRecette[[#This Row],[poids / unite]]</f>
        <v>0</v>
      </c>
      <c r="O422" s="761">
        <f>_xlfn.XLOOKUP(TableauRecette[[#This Row],[ID]],TableauProduit[ID],TableauProduit[Total (kg) N4],0,0,1)*TableauRecette[[#This Row],[poids / unite]]</f>
        <v>0</v>
      </c>
      <c r="P422" s="761">
        <f>_xlfn.XLOOKUP(TableauRecette[[#This Row],[ID]],TableauProduit[ID],TableauProduit[Total (kg) N5],0,0,1)*TableauRecette[[#This Row],[poids / unite]]</f>
        <v>0</v>
      </c>
      <c r="Q422" s="761">
        <f>_xlfn.XLOOKUP(TableauRecette[[#This Row],[ID]],TableauProduit[ID],TableauProduit[Total (kg) N6],0,0,1)*TableauRecette[[#This Row],[poids / unite]]</f>
        <v>0</v>
      </c>
      <c r="R422" s="761">
        <f>_xlfn.XLOOKUP(TableauRecette[[#This Row],[ID]],TableauProduit[ID],TableauProduit[Total (kg) N7],0,0,1)*TableauRecette[[#This Row],[poids / unite]]</f>
        <v>0</v>
      </c>
      <c r="S422" s="761">
        <f>_xlfn.XLOOKUP(TableauRecette[[#This Row],[ID]],TableauProduit[ID],TableauProduit[Total (kg) N8],0,0,1)*TableauRecette[[#This Row],[poids / unite]]</f>
        <v>0</v>
      </c>
      <c r="T422" s="761">
        <f>_xlfn.XLOOKUP(TableauRecette[[#This Row],[ID]],TableauProduit[ID],TableauProduit[Total (kg) N9],0,0,1)*TableauRecette[[#This Row],[poids / unite]]</f>
        <v>0</v>
      </c>
    </row>
    <row r="423" spans="1:20">
      <c r="A423" s="543" t="s">
        <v>89</v>
      </c>
      <c r="B423" s="78" t="str">
        <f>TableauRecette[[#This Row],[Recette]]&amp;TableauRecette[[#This Row],[Conditionnement]]</f>
        <v>TakliaEpice 100ml</v>
      </c>
      <c r="C423" s="78" t="s">
        <v>341</v>
      </c>
      <c r="D423" s="202">
        <v>16</v>
      </c>
      <c r="E423" s="78" t="s">
        <v>55</v>
      </c>
      <c r="F423" s="202">
        <f>D423/SUMIFS(TableauRecette[Proportion],TableauRecette[Recette],TableauRecette[[#This Row],[Recette]],TableauRecette[Conditionnement],TableauRecette[[#This Row],[Conditionnement]])</f>
        <v>0.36240090600226504</v>
      </c>
      <c r="G423" s="202">
        <f ca="1">_xlfn.XLOOKUP(TableauRecette[[#This Row],[Ingredients]],TableauIngredients[Ingredients],TableauIngredients[Prix d''achat (kg)],0)*TableauRecette[[#This Row],[poids / unite]]</f>
        <v>2.8992072480181204</v>
      </c>
      <c r="H423" s="202">
        <f>SUMIFS(TableauRecette[Proportion],TableauRecette[Recette],TableauRecette[[#This Row],[Recette]],TableauRecette[Conditionnement],TableauRecette[[#This Row],[Conditionnement]])</f>
        <v>44.15</v>
      </c>
      <c r="I423" s="202">
        <f ca="1">TableauRecette[[#This Row],[Proportion]]*TableauRecette[[#This Row],[Prix d''achat / kg]]/TableauRecette[[#This Row],[Total Proportion]]</f>
        <v>0</v>
      </c>
      <c r="J423" s="202"/>
      <c r="K423" s="868"/>
      <c r="L423" s="760">
        <f>_xlfn.XLOOKUP(TableauRecette[[#This Row],[ID]],TableauProduit[ID],TableauProduit[Total (kg) N1],0,0,1)*TableauRecette[[#This Row],[poids / unite]]</f>
        <v>0</v>
      </c>
      <c r="M423" s="761">
        <f>_xlfn.XLOOKUP(TableauRecette[[#This Row],[ID]],TableauProduit[ID],TableauProduit[Total (kg) N2],0,0,1)*TableauRecette[[#This Row],[poids / unite]]</f>
        <v>0</v>
      </c>
      <c r="N423" s="761">
        <f>_xlfn.XLOOKUP(TableauRecette[[#This Row],[ID]],TableauProduit[ID],TableauProduit[Total (kg) N3],0,0,1)*TableauRecette[[#This Row],[poids / unite]]</f>
        <v>0</v>
      </c>
      <c r="O423" s="761">
        <f>_xlfn.XLOOKUP(TableauRecette[[#This Row],[ID]],TableauProduit[ID],TableauProduit[Total (kg) N4],0,0,1)*TableauRecette[[#This Row],[poids / unite]]</f>
        <v>0</v>
      </c>
      <c r="P423" s="761">
        <f>_xlfn.XLOOKUP(TableauRecette[[#This Row],[ID]],TableauProduit[ID],TableauProduit[Total (kg) N5],0,0,1)*TableauRecette[[#This Row],[poids / unite]]</f>
        <v>0</v>
      </c>
      <c r="Q423" s="761">
        <f>_xlfn.XLOOKUP(TableauRecette[[#This Row],[ID]],TableauProduit[ID],TableauProduit[Total (kg) N6],0,0,1)*TableauRecette[[#This Row],[poids / unite]]</f>
        <v>0</v>
      </c>
      <c r="R423" s="761">
        <f>_xlfn.XLOOKUP(TableauRecette[[#This Row],[ID]],TableauProduit[ID],TableauProduit[Total (kg) N7],0,0,1)*TableauRecette[[#This Row],[poids / unite]]</f>
        <v>0</v>
      </c>
      <c r="S423" s="761">
        <f>_xlfn.XLOOKUP(TableauRecette[[#This Row],[ID]],TableauProduit[ID],TableauProduit[Total (kg) N8],0,0,1)*TableauRecette[[#This Row],[poids / unite]]</f>
        <v>0</v>
      </c>
      <c r="T423" s="761">
        <f>_xlfn.XLOOKUP(TableauRecette[[#This Row],[ID]],TableauProduit[ID],TableauProduit[Total (kg) N9],0,0,1)*TableauRecette[[#This Row],[poids / unite]]</f>
        <v>0</v>
      </c>
    </row>
    <row r="424" spans="1:20">
      <c r="A424" s="543" t="s">
        <v>89</v>
      </c>
      <c r="B424" s="78" t="str">
        <f>TableauRecette[[#This Row],[Recette]]&amp;TableauRecette[[#This Row],[Conditionnement]]</f>
        <v>TakliaEpice 100ml</v>
      </c>
      <c r="C424" s="78" t="s">
        <v>289</v>
      </c>
      <c r="D424" s="202">
        <v>2.4</v>
      </c>
      <c r="E424" s="78" t="s">
        <v>55</v>
      </c>
      <c r="F424" s="202">
        <f>D424/SUMIFS(TableauRecette[Proportion],TableauRecette[Recette],TableauRecette[[#This Row],[Recette]],TableauRecette[Conditionnement],TableauRecette[[#This Row],[Conditionnement]])</f>
        <v>5.4360135900339751E-2</v>
      </c>
      <c r="G424" s="202">
        <f ca="1">_xlfn.XLOOKUP(TableauRecette[[#This Row],[Ingredients]],TableauIngredients[Ingredients],TableauIngredients[Prix d''achat (kg)],0)*TableauRecette[[#This Row],[poids / unite]]</f>
        <v>0</v>
      </c>
      <c r="H424" s="202">
        <f>SUMIFS(TableauRecette[Proportion],TableauRecette[Recette],TableauRecette[[#This Row],[Recette]],TableauRecette[Conditionnement],TableauRecette[[#This Row],[Conditionnement]])</f>
        <v>44.15</v>
      </c>
      <c r="I424" s="202">
        <f ca="1">TableauRecette[[#This Row],[Proportion]]*TableauRecette[[#This Row],[Prix d''achat / kg]]/TableauRecette[[#This Row],[Total Proportion]]</f>
        <v>0</v>
      </c>
      <c r="J424" s="202"/>
      <c r="K424" s="868"/>
      <c r="L424" s="760">
        <f>_xlfn.XLOOKUP(TableauRecette[[#This Row],[ID]],TableauProduit[ID],TableauProduit[Total (kg) N1],0,0,1)*TableauRecette[[#This Row],[poids / unite]]</f>
        <v>0</v>
      </c>
      <c r="M424" s="761">
        <f>_xlfn.XLOOKUP(TableauRecette[[#This Row],[ID]],TableauProduit[ID],TableauProduit[Total (kg) N2],0,0,1)*TableauRecette[[#This Row],[poids / unite]]</f>
        <v>0</v>
      </c>
      <c r="N424" s="761">
        <f>_xlfn.XLOOKUP(TableauRecette[[#This Row],[ID]],TableauProduit[ID],TableauProduit[Total (kg) N3],0,0,1)*TableauRecette[[#This Row],[poids / unite]]</f>
        <v>0</v>
      </c>
      <c r="O424" s="761">
        <f>_xlfn.XLOOKUP(TableauRecette[[#This Row],[ID]],TableauProduit[ID],TableauProduit[Total (kg) N4],0,0,1)*TableauRecette[[#This Row],[poids / unite]]</f>
        <v>0</v>
      </c>
      <c r="P424" s="761">
        <f>_xlfn.XLOOKUP(TableauRecette[[#This Row],[ID]],TableauProduit[ID],TableauProduit[Total (kg) N5],0,0,1)*TableauRecette[[#This Row],[poids / unite]]</f>
        <v>0</v>
      </c>
      <c r="Q424" s="761">
        <f>_xlfn.XLOOKUP(TableauRecette[[#This Row],[ID]],TableauProduit[ID],TableauProduit[Total (kg) N6],0,0,1)*TableauRecette[[#This Row],[poids / unite]]</f>
        <v>0</v>
      </c>
      <c r="R424" s="761">
        <f>_xlfn.XLOOKUP(TableauRecette[[#This Row],[ID]],TableauProduit[ID],TableauProduit[Total (kg) N7],0,0,1)*TableauRecette[[#This Row],[poids / unite]]</f>
        <v>0</v>
      </c>
      <c r="S424" s="761">
        <f>_xlfn.XLOOKUP(TableauRecette[[#This Row],[ID]],TableauProduit[ID],TableauProduit[Total (kg) N8],0,0,1)*TableauRecette[[#This Row],[poids / unite]]</f>
        <v>0</v>
      </c>
      <c r="T424" s="761">
        <f>_xlfn.XLOOKUP(TableauRecette[[#This Row],[ID]],TableauProduit[ID],TableauProduit[Total (kg) N9],0,0,1)*TableauRecette[[#This Row],[poids / unite]]</f>
        <v>0</v>
      </c>
    </row>
    <row r="425" spans="1:20">
      <c r="A425" s="543" t="s">
        <v>89</v>
      </c>
      <c r="B425" s="78" t="str">
        <f>TableauRecette[[#This Row],[Recette]]&amp;TableauRecette[[#This Row],[Conditionnement]]</f>
        <v>TakliaEpice 100ml</v>
      </c>
      <c r="C425" s="78" t="s">
        <v>314</v>
      </c>
      <c r="D425" s="202">
        <v>1</v>
      </c>
      <c r="E425" s="78" t="s">
        <v>55</v>
      </c>
      <c r="F425" s="202">
        <f>D425/SUMIFS(TableauRecette[Proportion],TableauRecette[Recette],TableauRecette[[#This Row],[Recette]],TableauRecette[Conditionnement],TableauRecette[[#This Row],[Conditionnement]])</f>
        <v>2.2650056625141565E-2</v>
      </c>
      <c r="G425" s="202">
        <f ca="1">_xlfn.XLOOKUP(TableauRecette[[#This Row],[Ingredients]],TableauIngredients[Ingredients],TableauIngredients[Prix d''achat (kg)],0)*TableauRecette[[#This Row],[poids / unite]]</f>
        <v>0</v>
      </c>
      <c r="H425" s="202">
        <f>SUMIFS(TableauRecette[Proportion],TableauRecette[Recette],TableauRecette[[#This Row],[Recette]],TableauRecette[Conditionnement],TableauRecette[[#This Row],[Conditionnement]])</f>
        <v>44.15</v>
      </c>
      <c r="I425" s="202">
        <f ca="1">TableauRecette[[#This Row],[Proportion]]*TableauRecette[[#This Row],[Prix d''achat / kg]]/TableauRecette[[#This Row],[Total Proportion]]</f>
        <v>0</v>
      </c>
      <c r="J425" s="202"/>
      <c r="K425" s="868"/>
      <c r="L425" s="760">
        <f>_xlfn.XLOOKUP(TableauRecette[[#This Row],[ID]],TableauProduit[ID],TableauProduit[Total (kg) N1],0,0,1)*TableauRecette[[#This Row],[poids / unite]]</f>
        <v>0</v>
      </c>
      <c r="M425" s="761">
        <f>_xlfn.XLOOKUP(TableauRecette[[#This Row],[ID]],TableauProduit[ID],TableauProduit[Total (kg) N2],0,0,1)*TableauRecette[[#This Row],[poids / unite]]</f>
        <v>0</v>
      </c>
      <c r="N425" s="761">
        <f>_xlfn.XLOOKUP(TableauRecette[[#This Row],[ID]],TableauProduit[ID],TableauProduit[Total (kg) N3],0,0,1)*TableauRecette[[#This Row],[poids / unite]]</f>
        <v>0</v>
      </c>
      <c r="O425" s="761">
        <f>_xlfn.XLOOKUP(TableauRecette[[#This Row],[ID]],TableauProduit[ID],TableauProduit[Total (kg) N4],0,0,1)*TableauRecette[[#This Row],[poids / unite]]</f>
        <v>0</v>
      </c>
      <c r="P425" s="761">
        <f>_xlfn.XLOOKUP(TableauRecette[[#This Row],[ID]],TableauProduit[ID],TableauProduit[Total (kg) N5],0,0,1)*TableauRecette[[#This Row],[poids / unite]]</f>
        <v>0</v>
      </c>
      <c r="Q425" s="761">
        <f>_xlfn.XLOOKUP(TableauRecette[[#This Row],[ID]],TableauProduit[ID],TableauProduit[Total (kg) N6],0,0,1)*TableauRecette[[#This Row],[poids / unite]]</f>
        <v>0</v>
      </c>
      <c r="R425" s="761">
        <f>_xlfn.XLOOKUP(TableauRecette[[#This Row],[ID]],TableauProduit[ID],TableauProduit[Total (kg) N7],0,0,1)*TableauRecette[[#This Row],[poids / unite]]</f>
        <v>0</v>
      </c>
      <c r="S425" s="761">
        <f>_xlfn.XLOOKUP(TableauRecette[[#This Row],[ID]],TableauProduit[ID],TableauProduit[Total (kg) N8],0,0,1)*TableauRecette[[#This Row],[poids / unite]]</f>
        <v>0</v>
      </c>
      <c r="T425" s="761">
        <f>_xlfn.XLOOKUP(TableauRecette[[#This Row],[ID]],TableauProduit[ID],TableauProduit[Total (kg) N9],0,0,1)*TableauRecette[[#This Row],[poids / unite]]</f>
        <v>0</v>
      </c>
    </row>
    <row r="426" spans="1:20">
      <c r="A426" s="543" t="s">
        <v>89</v>
      </c>
      <c r="B426" s="78" t="str">
        <f>TableauRecette[[#This Row],[Recette]]&amp;TableauRecette[[#This Row],[Conditionnement]]</f>
        <v>TakliaEpice 100ml</v>
      </c>
      <c r="C426" s="78" t="s">
        <v>303</v>
      </c>
      <c r="D426" s="202">
        <v>3.75</v>
      </c>
      <c r="E426" s="78" t="s">
        <v>55</v>
      </c>
      <c r="F426" s="202">
        <f>D426/SUMIFS(TableauRecette[Proportion],TableauRecette[Recette],TableauRecette[[#This Row],[Recette]],TableauRecette[Conditionnement],TableauRecette[[#This Row],[Conditionnement]])</f>
        <v>8.4937712344280866E-2</v>
      </c>
      <c r="G426" s="202">
        <f ca="1">_xlfn.XLOOKUP(TableauRecette[[#This Row],[Ingredients]],TableauIngredients[Ingredients],TableauIngredients[Prix d''achat (kg)],0)*TableauRecette[[#This Row],[poids / unite]]</f>
        <v>0.11891279728199321</v>
      </c>
      <c r="H426" s="202">
        <f>SUMIFS(TableauRecette[Proportion],TableauRecette[Recette],TableauRecette[[#This Row],[Recette]],TableauRecette[Conditionnement],TableauRecette[[#This Row],[Conditionnement]])</f>
        <v>44.15</v>
      </c>
      <c r="I426" s="202">
        <f ca="1">TableauRecette[[#This Row],[Proportion]]*TableauRecette[[#This Row],[Prix d''achat / kg]]/TableauRecette[[#This Row],[Total Proportion]]</f>
        <v>0</v>
      </c>
      <c r="J426" s="202"/>
      <c r="K426" s="868"/>
      <c r="L426" s="760">
        <f>_xlfn.XLOOKUP(TableauRecette[[#This Row],[ID]],TableauProduit[ID],TableauProduit[Total (kg) N1],0,0,1)*TableauRecette[[#This Row],[poids / unite]]</f>
        <v>0</v>
      </c>
      <c r="M426" s="761">
        <f>_xlfn.XLOOKUP(TableauRecette[[#This Row],[ID]],TableauProduit[ID],TableauProduit[Total (kg) N2],0,0,1)*TableauRecette[[#This Row],[poids / unite]]</f>
        <v>0</v>
      </c>
      <c r="N426" s="761">
        <f>_xlfn.XLOOKUP(TableauRecette[[#This Row],[ID]],TableauProduit[ID],TableauProduit[Total (kg) N3],0,0,1)*TableauRecette[[#This Row],[poids / unite]]</f>
        <v>0</v>
      </c>
      <c r="O426" s="761">
        <f>_xlfn.XLOOKUP(TableauRecette[[#This Row],[ID]],TableauProduit[ID],TableauProduit[Total (kg) N4],0,0,1)*TableauRecette[[#This Row],[poids / unite]]</f>
        <v>0</v>
      </c>
      <c r="P426" s="761">
        <f>_xlfn.XLOOKUP(TableauRecette[[#This Row],[ID]],TableauProduit[ID],TableauProduit[Total (kg) N5],0,0,1)*TableauRecette[[#This Row],[poids / unite]]</f>
        <v>0</v>
      </c>
      <c r="Q426" s="761">
        <f>_xlfn.XLOOKUP(TableauRecette[[#This Row],[ID]],TableauProduit[ID],TableauProduit[Total (kg) N6],0,0,1)*TableauRecette[[#This Row],[poids / unite]]</f>
        <v>0</v>
      </c>
      <c r="R426" s="761">
        <f>_xlfn.XLOOKUP(TableauRecette[[#This Row],[ID]],TableauProduit[ID],TableauProduit[Total (kg) N7],0,0,1)*TableauRecette[[#This Row],[poids / unite]]</f>
        <v>0</v>
      </c>
      <c r="S426" s="761">
        <f>_xlfn.XLOOKUP(TableauRecette[[#This Row],[ID]],TableauProduit[ID],TableauProduit[Total (kg) N8],0,0,1)*TableauRecette[[#This Row],[poids / unite]]</f>
        <v>0</v>
      </c>
      <c r="T426" s="761">
        <f>_xlfn.XLOOKUP(TableauRecette[[#This Row],[ID]],TableauProduit[ID],TableauProduit[Total (kg) N9],0,0,1)*TableauRecette[[#This Row],[poids / unite]]</f>
        <v>0</v>
      </c>
    </row>
    <row r="427" spans="1:20">
      <c r="A427" s="546" t="s">
        <v>87</v>
      </c>
      <c r="B427" s="107" t="str">
        <f>TableauRecette[[#This Row],[Recette]]&amp;TableauRecette[[#This Row],[Conditionnement]]</f>
        <v>Timur ko chhopEpice 100ml</v>
      </c>
      <c r="C427" s="107" t="s">
        <v>355</v>
      </c>
      <c r="D427" s="230">
        <v>1</v>
      </c>
      <c r="E427" s="107" t="s">
        <v>55</v>
      </c>
      <c r="F427" s="230">
        <f>D427/SUMIFS(TableauRecette[Proportion],TableauRecette[Recette],TableauRecette[[#This Row],[Recette]],TableauRecette[Conditionnement],TableauRecette[[#This Row],[Conditionnement]])</f>
        <v>0.125</v>
      </c>
      <c r="G427" s="230">
        <f ca="1">_xlfn.XLOOKUP(TableauRecette[[#This Row],[Ingredients]],TableauIngredients[Ingredients],TableauIngredients[Prix d''achat (kg)],0)*TableauRecette[[#This Row],[poids / unite]]</f>
        <v>0</v>
      </c>
      <c r="H427" s="230">
        <f>SUMIFS(TableauRecette[Proportion],TableauRecette[Recette],TableauRecette[[#This Row],[Recette]],TableauRecette[Conditionnement],TableauRecette[[#This Row],[Conditionnement]])</f>
        <v>8</v>
      </c>
      <c r="I427" s="230">
        <f ca="1">TableauRecette[[#This Row],[Proportion]]*TableauRecette[[#This Row],[Prix d''achat / kg]]/TableauRecette[[#This Row],[Total Proportion]]</f>
        <v>0</v>
      </c>
      <c r="J427" s="230"/>
      <c r="K427" s="869"/>
      <c r="L427" s="870">
        <f>_xlfn.XLOOKUP(TableauRecette[[#This Row],[ID]],TableauProduit[ID],TableauProduit[Total (kg) N1],0,0,1)*TableauRecette[[#This Row],[poids / unite]]</f>
        <v>0</v>
      </c>
      <c r="M427" s="871">
        <f>_xlfn.XLOOKUP(TableauRecette[[#This Row],[ID]],TableauProduit[ID],TableauProduit[Total (kg) N2],0,0,1)*TableauRecette[[#This Row],[poids / unite]]</f>
        <v>0</v>
      </c>
      <c r="N427" s="871">
        <f>_xlfn.XLOOKUP(TableauRecette[[#This Row],[ID]],TableauProduit[ID],TableauProduit[Total (kg) N3],0,0,1)*TableauRecette[[#This Row],[poids / unite]]</f>
        <v>0</v>
      </c>
      <c r="O427" s="871">
        <f>_xlfn.XLOOKUP(TableauRecette[[#This Row],[ID]],TableauProduit[ID],TableauProduit[Total (kg) N4],0,0,1)*TableauRecette[[#This Row],[poids / unite]]</f>
        <v>0</v>
      </c>
      <c r="P427" s="871">
        <f>_xlfn.XLOOKUP(TableauRecette[[#This Row],[ID]],TableauProduit[ID],TableauProduit[Total (kg) N5],0,0,1)*TableauRecette[[#This Row],[poids / unite]]</f>
        <v>0</v>
      </c>
      <c r="Q427" s="871">
        <f>_xlfn.XLOOKUP(TableauRecette[[#This Row],[ID]],TableauProduit[ID],TableauProduit[Total (kg) N6],0,0,1)*TableauRecette[[#This Row],[poids / unite]]</f>
        <v>0</v>
      </c>
      <c r="R427" s="871">
        <f>_xlfn.XLOOKUP(TableauRecette[[#This Row],[ID]],TableauProduit[ID],TableauProduit[Total (kg) N7],0,0,1)*TableauRecette[[#This Row],[poids / unite]]</f>
        <v>0</v>
      </c>
      <c r="S427" s="871">
        <f>_xlfn.XLOOKUP(TableauRecette[[#This Row],[ID]],TableauProduit[ID],TableauProduit[Total (kg) N8],0,0,1)*TableauRecette[[#This Row],[poids / unite]]</f>
        <v>0</v>
      </c>
      <c r="T427" s="871">
        <f>_xlfn.XLOOKUP(TableauRecette[[#This Row],[ID]],TableauProduit[ID],TableauProduit[Total (kg) N9],0,0,1)*TableauRecette[[#This Row],[poids / unite]]</f>
        <v>0</v>
      </c>
    </row>
    <row r="428" spans="1:20">
      <c r="A428" s="546" t="s">
        <v>87</v>
      </c>
      <c r="B428" s="107" t="str">
        <f>TableauRecette[[#This Row],[Recette]]&amp;TableauRecette[[#This Row],[Conditionnement]]</f>
        <v>Timur ko chhopEpice 100ml</v>
      </c>
      <c r="C428" s="107" t="s">
        <v>374</v>
      </c>
      <c r="D428" s="230">
        <v>1</v>
      </c>
      <c r="E428" s="107" t="s">
        <v>55</v>
      </c>
      <c r="F428" s="230">
        <f>D428/SUMIFS(TableauRecette[Proportion],TableauRecette[Recette],TableauRecette[[#This Row],[Recette]],TableauRecette[Conditionnement],TableauRecette[[#This Row],[Conditionnement]])</f>
        <v>0.125</v>
      </c>
      <c r="G428" s="230">
        <f ca="1">_xlfn.XLOOKUP(TableauRecette[[#This Row],[Ingredients]],TableauIngredients[Ingredients],TableauIngredients[Prix d''achat (kg)],0)*TableauRecette[[#This Row],[poids / unite]]</f>
        <v>0</v>
      </c>
      <c r="H428" s="230">
        <f>SUMIFS(TableauRecette[Proportion],TableauRecette[Recette],TableauRecette[[#This Row],[Recette]],TableauRecette[Conditionnement],TableauRecette[[#This Row],[Conditionnement]])</f>
        <v>8</v>
      </c>
      <c r="I428" s="230">
        <f ca="1">TableauRecette[[#This Row],[Proportion]]*TableauRecette[[#This Row],[Prix d''achat / kg]]/TableauRecette[[#This Row],[Total Proportion]]</f>
        <v>0</v>
      </c>
      <c r="J428" s="230"/>
      <c r="K428" s="869"/>
      <c r="L428" s="870">
        <f>_xlfn.XLOOKUP(TableauRecette[[#This Row],[ID]],TableauProduit[ID],TableauProduit[Total (kg) N1],0,0,1)*TableauRecette[[#This Row],[poids / unite]]</f>
        <v>0</v>
      </c>
      <c r="M428" s="871">
        <f>_xlfn.XLOOKUP(TableauRecette[[#This Row],[ID]],TableauProduit[ID],TableauProduit[Total (kg) N2],0,0,1)*TableauRecette[[#This Row],[poids / unite]]</f>
        <v>0</v>
      </c>
      <c r="N428" s="871">
        <f>_xlfn.XLOOKUP(TableauRecette[[#This Row],[ID]],TableauProduit[ID],TableauProduit[Total (kg) N3],0,0,1)*TableauRecette[[#This Row],[poids / unite]]</f>
        <v>0</v>
      </c>
      <c r="O428" s="871">
        <f>_xlfn.XLOOKUP(TableauRecette[[#This Row],[ID]],TableauProduit[ID],TableauProduit[Total (kg) N4],0,0,1)*TableauRecette[[#This Row],[poids / unite]]</f>
        <v>0</v>
      </c>
      <c r="P428" s="871">
        <f>_xlfn.XLOOKUP(TableauRecette[[#This Row],[ID]],TableauProduit[ID],TableauProduit[Total (kg) N5],0,0,1)*TableauRecette[[#This Row],[poids / unite]]</f>
        <v>0</v>
      </c>
      <c r="Q428" s="871">
        <f>_xlfn.XLOOKUP(TableauRecette[[#This Row],[ID]],TableauProduit[ID],TableauProduit[Total (kg) N6],0,0,1)*TableauRecette[[#This Row],[poids / unite]]</f>
        <v>0</v>
      </c>
      <c r="R428" s="871">
        <f>_xlfn.XLOOKUP(TableauRecette[[#This Row],[ID]],TableauProduit[ID],TableauProduit[Total (kg) N7],0,0,1)*TableauRecette[[#This Row],[poids / unite]]</f>
        <v>0</v>
      </c>
      <c r="S428" s="871">
        <f>_xlfn.XLOOKUP(TableauRecette[[#This Row],[ID]],TableauProduit[ID],TableauProduit[Total (kg) N8],0,0,1)*TableauRecette[[#This Row],[poids / unite]]</f>
        <v>0</v>
      </c>
      <c r="T428" s="871">
        <f>_xlfn.XLOOKUP(TableauRecette[[#This Row],[ID]],TableauProduit[ID],TableauProduit[Total (kg) N9],0,0,1)*TableauRecette[[#This Row],[poids / unite]]</f>
        <v>0</v>
      </c>
    </row>
    <row r="429" spans="1:20">
      <c r="A429" s="546" t="s">
        <v>87</v>
      </c>
      <c r="B429" s="107" t="str">
        <f>TableauRecette[[#This Row],[Recette]]&amp;TableauRecette[[#This Row],[Conditionnement]]</f>
        <v>Timur ko chhopEpice 100ml</v>
      </c>
      <c r="C429" s="449" t="s">
        <v>329</v>
      </c>
      <c r="D429" s="230">
        <v>4</v>
      </c>
      <c r="E429" s="107" t="s">
        <v>55</v>
      </c>
      <c r="F429" s="230">
        <f>D429/SUMIFS(TableauRecette[Proportion],TableauRecette[Recette],TableauRecette[[#This Row],[Recette]],TableauRecette[Conditionnement],TableauRecette[[#This Row],[Conditionnement]])</f>
        <v>0.5</v>
      </c>
      <c r="G429" s="230">
        <f ca="1">_xlfn.XLOOKUP(TableauRecette[[#This Row],[Ingredients]],TableauIngredients[Ingredients],TableauIngredients[Prix d''achat (kg)],0)*TableauRecette[[#This Row],[poids / unite]]</f>
        <v>0</v>
      </c>
      <c r="H429" s="230">
        <f>SUMIFS(TableauRecette[Proportion],TableauRecette[Recette],TableauRecette[[#This Row],[Recette]],TableauRecette[Conditionnement],TableauRecette[[#This Row],[Conditionnement]])</f>
        <v>8</v>
      </c>
      <c r="I429" s="230">
        <f ca="1">TableauRecette[[#This Row],[Proportion]]*TableauRecette[[#This Row],[Prix d''achat / kg]]/TableauRecette[[#This Row],[Total Proportion]]</f>
        <v>0</v>
      </c>
      <c r="J429" s="230"/>
      <c r="K429" s="869"/>
      <c r="L429" s="870">
        <f>_xlfn.XLOOKUP(TableauRecette[[#This Row],[ID]],TableauProduit[ID],TableauProduit[Total (kg) N1],0,0,1)*TableauRecette[[#This Row],[poids / unite]]</f>
        <v>0</v>
      </c>
      <c r="M429" s="871">
        <f>_xlfn.XLOOKUP(TableauRecette[[#This Row],[ID]],TableauProduit[ID],TableauProduit[Total (kg) N2],0,0,1)*TableauRecette[[#This Row],[poids / unite]]</f>
        <v>0</v>
      </c>
      <c r="N429" s="871">
        <f>_xlfn.XLOOKUP(TableauRecette[[#This Row],[ID]],TableauProduit[ID],TableauProduit[Total (kg) N3],0,0,1)*TableauRecette[[#This Row],[poids / unite]]</f>
        <v>0</v>
      </c>
      <c r="O429" s="871">
        <f>_xlfn.XLOOKUP(TableauRecette[[#This Row],[ID]],TableauProduit[ID],TableauProduit[Total (kg) N4],0,0,1)*TableauRecette[[#This Row],[poids / unite]]</f>
        <v>0</v>
      </c>
      <c r="P429" s="871">
        <f>_xlfn.XLOOKUP(TableauRecette[[#This Row],[ID]],TableauProduit[ID],TableauProduit[Total (kg) N5],0,0,1)*TableauRecette[[#This Row],[poids / unite]]</f>
        <v>0</v>
      </c>
      <c r="Q429" s="871">
        <f>_xlfn.XLOOKUP(TableauRecette[[#This Row],[ID]],TableauProduit[ID],TableauProduit[Total (kg) N6],0,0,1)*TableauRecette[[#This Row],[poids / unite]]</f>
        <v>0</v>
      </c>
      <c r="R429" s="871">
        <f>_xlfn.XLOOKUP(TableauRecette[[#This Row],[ID]],TableauProduit[ID],TableauProduit[Total (kg) N7],0,0,1)*TableauRecette[[#This Row],[poids / unite]]</f>
        <v>0</v>
      </c>
      <c r="S429" s="871">
        <f>_xlfn.XLOOKUP(TableauRecette[[#This Row],[ID]],TableauProduit[ID],TableauProduit[Total (kg) N8],0,0,1)*TableauRecette[[#This Row],[poids / unite]]</f>
        <v>0</v>
      </c>
      <c r="T429" s="871">
        <f>_xlfn.XLOOKUP(TableauRecette[[#This Row],[ID]],TableauProduit[ID],TableauProduit[Total (kg) N9],0,0,1)*TableauRecette[[#This Row],[poids / unite]]</f>
        <v>0</v>
      </c>
    </row>
    <row r="430" spans="1:20">
      <c r="A430" s="546" t="s">
        <v>87</v>
      </c>
      <c r="B430" s="107" t="str">
        <f>TableauRecette[[#This Row],[Recette]]&amp;TableauRecette[[#This Row],[Conditionnement]]</f>
        <v>Timur ko chhopEpice 100ml</v>
      </c>
      <c r="C430" s="449" t="s">
        <v>303</v>
      </c>
      <c r="D430" s="230">
        <v>2</v>
      </c>
      <c r="E430" s="107" t="s">
        <v>55</v>
      </c>
      <c r="F430" s="230">
        <f>D430/SUMIFS(TableauRecette[Proportion],TableauRecette[Recette],TableauRecette[[#This Row],[Recette]],TableauRecette[Conditionnement],TableauRecette[[#This Row],[Conditionnement]])</f>
        <v>0.25</v>
      </c>
      <c r="G430" s="230">
        <f ca="1">_xlfn.XLOOKUP(TableauRecette[[#This Row],[Ingredients]],TableauIngredients[Ingredients],TableauIngredients[Prix d''achat (kg)],0)*TableauRecette[[#This Row],[poids / unite]]</f>
        <v>0.35</v>
      </c>
      <c r="H430" s="230">
        <f>SUMIFS(TableauRecette[Proportion],TableauRecette[Recette],TableauRecette[[#This Row],[Recette]],TableauRecette[Conditionnement],TableauRecette[[#This Row],[Conditionnement]])</f>
        <v>8</v>
      </c>
      <c r="I430" s="230">
        <f ca="1">TableauRecette[[#This Row],[Proportion]]*TableauRecette[[#This Row],[Prix d''achat / kg]]/TableauRecette[[#This Row],[Total Proportion]]</f>
        <v>0</v>
      </c>
      <c r="J430" s="230"/>
      <c r="K430" s="869"/>
      <c r="L430" s="870">
        <f>_xlfn.XLOOKUP(TableauRecette[[#This Row],[ID]],TableauProduit[ID],TableauProduit[Total (kg) N1],0,0,1)*TableauRecette[[#This Row],[poids / unite]]</f>
        <v>0</v>
      </c>
      <c r="M430" s="871">
        <f>_xlfn.XLOOKUP(TableauRecette[[#This Row],[ID]],TableauProduit[ID],TableauProduit[Total (kg) N2],0,0,1)*TableauRecette[[#This Row],[poids / unite]]</f>
        <v>0</v>
      </c>
      <c r="N430" s="871">
        <f>_xlfn.XLOOKUP(TableauRecette[[#This Row],[ID]],TableauProduit[ID],TableauProduit[Total (kg) N3],0,0,1)*TableauRecette[[#This Row],[poids / unite]]</f>
        <v>0</v>
      </c>
      <c r="O430" s="871">
        <f>_xlfn.XLOOKUP(TableauRecette[[#This Row],[ID]],TableauProduit[ID],TableauProduit[Total (kg) N4],0,0,1)*TableauRecette[[#This Row],[poids / unite]]</f>
        <v>0</v>
      </c>
      <c r="P430" s="871">
        <f>_xlfn.XLOOKUP(TableauRecette[[#This Row],[ID]],TableauProduit[ID],TableauProduit[Total (kg) N5],0,0,1)*TableauRecette[[#This Row],[poids / unite]]</f>
        <v>0</v>
      </c>
      <c r="Q430" s="871">
        <f>_xlfn.XLOOKUP(TableauRecette[[#This Row],[ID]],TableauProduit[ID],TableauProduit[Total (kg) N6],0,0,1)*TableauRecette[[#This Row],[poids / unite]]</f>
        <v>0</v>
      </c>
      <c r="R430" s="871">
        <f>_xlfn.XLOOKUP(TableauRecette[[#This Row],[ID]],TableauProduit[ID],TableauProduit[Total (kg) N7],0,0,1)*TableauRecette[[#This Row],[poids / unite]]</f>
        <v>0</v>
      </c>
      <c r="S430" s="871">
        <f>_xlfn.XLOOKUP(TableauRecette[[#This Row],[ID]],TableauProduit[ID],TableauProduit[Total (kg) N8],0,0,1)*TableauRecette[[#This Row],[poids / unite]]</f>
        <v>0</v>
      </c>
      <c r="T430" s="871">
        <f>_xlfn.XLOOKUP(TableauRecette[[#This Row],[ID]],TableauProduit[ID],TableauProduit[Total (kg) N9],0,0,1)*TableauRecette[[#This Row],[poids / unite]]</f>
        <v>0</v>
      </c>
    </row>
    <row r="431" spans="1:20">
      <c r="A431" s="528" t="s">
        <v>72</v>
      </c>
      <c r="B431" s="529" t="str">
        <f>TableauRecette[[#This Row],[Recette]]&amp;TableauRecette[[#This Row],[Conditionnement]]</f>
        <v>Vinaigre du soleilVinaigre 250 ml</v>
      </c>
      <c r="C431" s="531" t="s">
        <v>358</v>
      </c>
      <c r="D431" s="530">
        <v>97</v>
      </c>
      <c r="E431" s="529" t="s">
        <v>73</v>
      </c>
      <c r="F431" s="530">
        <f>D431/SUMIFS(TableauRecette[Proportion],TableauRecette[Recette],TableauRecette[[#This Row],[Recette]],TableauRecette[Conditionnement],TableauRecette[[#This Row],[Conditionnement]])</f>
        <v>0.97</v>
      </c>
      <c r="G431" s="530" t="e">
        <f ca="1">_xlfn.XLOOKUP(TableauRecette[[#This Row],[Ingredients]],TableauIngredients[Ingredients],TableauIngredients[Prix d''achat (kg)],0)*TableauRecette[[#This Row],[poids / unite]]</f>
        <v>#DIV/0!</v>
      </c>
      <c r="H431" s="530">
        <f>SUMIFS(TableauRecette[Proportion],TableauRecette[Recette],TableauRecette[[#This Row],[Recette]],TableauRecette[Conditionnement],TableauRecette[[#This Row],[Conditionnement]])</f>
        <v>100</v>
      </c>
      <c r="I431" s="530">
        <f ca="1">TableauRecette[[#This Row],[Proportion]]*TableauRecette[[#This Row],[Prix d''achat / kg]]/TableauRecette[[#This Row],[Total Proportion]]</f>
        <v>0</v>
      </c>
      <c r="J431" s="530"/>
      <c r="K431" s="872"/>
      <c r="L431" s="873">
        <f>_xlfn.XLOOKUP(TableauRecette[[#This Row],[ID]],TableauProduit[ID],TableauProduit[Total (kg) N1],0,0,1)*TableauRecette[[#This Row],[poids / unite]]</f>
        <v>43.65</v>
      </c>
      <c r="M431" s="874">
        <f>_xlfn.XLOOKUP(TableauRecette[[#This Row],[ID]],TableauProduit[ID],TableauProduit[Total (kg) N2],0,0,1)*TableauRecette[[#This Row],[poids / unite]]</f>
        <v>43.65</v>
      </c>
      <c r="N431" s="874">
        <f>_xlfn.XLOOKUP(TableauRecette[[#This Row],[ID]],TableauProduit[ID],TableauProduit[Total (kg) N3],0,0,1)*TableauRecette[[#This Row],[poids / unite]]</f>
        <v>43.65</v>
      </c>
      <c r="O431" s="874">
        <f>_xlfn.XLOOKUP(TableauRecette[[#This Row],[ID]],TableauProduit[ID],TableauProduit[Total (kg) N4],0,0,1)*TableauRecette[[#This Row],[poids / unite]]</f>
        <v>43.65</v>
      </c>
      <c r="P431" s="874">
        <f>_xlfn.XLOOKUP(TableauRecette[[#This Row],[ID]],TableauProduit[ID],TableauProduit[Total (kg) N5],0,0,1)*TableauRecette[[#This Row],[poids / unite]]</f>
        <v>43.65</v>
      </c>
      <c r="Q431" s="874">
        <f>_xlfn.XLOOKUP(TableauRecette[[#This Row],[ID]],TableauProduit[ID],TableauProduit[Total (kg) N6],0,0,1)*TableauRecette[[#This Row],[poids / unite]]</f>
        <v>43.65</v>
      </c>
      <c r="R431" s="874">
        <f>_xlfn.XLOOKUP(TableauRecette[[#This Row],[ID]],TableauProduit[ID],TableauProduit[Total (kg) N7],0,0,1)*TableauRecette[[#This Row],[poids / unite]]</f>
        <v>43.65</v>
      </c>
      <c r="S431" s="874">
        <f>_xlfn.XLOOKUP(TableauRecette[[#This Row],[ID]],TableauProduit[ID],TableauProduit[Total (kg) N8],0,0,1)*TableauRecette[[#This Row],[poids / unite]]</f>
        <v>43.65</v>
      </c>
      <c r="T431" s="874">
        <f>_xlfn.XLOOKUP(TableauRecette[[#This Row],[ID]],TableauProduit[ID],TableauProduit[Total (kg) N9],0,0,1)*TableauRecette[[#This Row],[poids / unite]]</f>
        <v>43.65</v>
      </c>
    </row>
    <row r="432" spans="1:20">
      <c r="A432" s="528" t="s">
        <v>72</v>
      </c>
      <c r="B432" s="529" t="str">
        <f>TableauRecette[[#This Row],[Recette]]&amp;TableauRecette[[#This Row],[Conditionnement]]</f>
        <v>Vinaigre du soleilVinaigre 250 ml</v>
      </c>
      <c r="C432" s="529" t="s">
        <v>396</v>
      </c>
      <c r="D432" s="530">
        <v>2</v>
      </c>
      <c r="E432" s="529" t="s">
        <v>73</v>
      </c>
      <c r="F432" s="530">
        <f>D432/SUMIFS(TableauRecette[Proportion],TableauRecette[Recette],TableauRecette[[#This Row],[Recette]],TableauRecette[Conditionnement],TableauRecette[[#This Row],[Conditionnement]])</f>
        <v>0.02</v>
      </c>
      <c r="G432" s="530" t="e">
        <f ca="1">_xlfn.XLOOKUP(TableauRecette[[#This Row],[Ingredients]],TableauIngredients[Ingredients],TableauIngredients[Prix d''achat (kg)],0)*TableauRecette[[#This Row],[poids / unite]]</f>
        <v>#DIV/0!</v>
      </c>
      <c r="H432" s="530">
        <f>SUMIFS(TableauRecette[Proportion],TableauRecette[Recette],TableauRecette[[#This Row],[Recette]],TableauRecette[Conditionnement],TableauRecette[[#This Row],[Conditionnement]])</f>
        <v>100</v>
      </c>
      <c r="I432" s="530">
        <f ca="1">TableauRecette[[#This Row],[Proportion]]*TableauRecette[[#This Row],[Prix d''achat / kg]]/TableauRecette[[#This Row],[Total Proportion]]</f>
        <v>0</v>
      </c>
      <c r="J432" s="530"/>
      <c r="K432" s="872"/>
      <c r="L432" s="873">
        <f>_xlfn.XLOOKUP(TableauRecette[[#This Row],[ID]],TableauProduit[ID],TableauProduit[Total (kg) N1],0,0,1)*TableauRecette[[#This Row],[poids / unite]]</f>
        <v>0.9</v>
      </c>
      <c r="M432" s="874">
        <f>_xlfn.XLOOKUP(TableauRecette[[#This Row],[ID]],TableauProduit[ID],TableauProduit[Total (kg) N2],0,0,1)*TableauRecette[[#This Row],[poids / unite]]</f>
        <v>0.9</v>
      </c>
      <c r="N432" s="874">
        <f>_xlfn.XLOOKUP(TableauRecette[[#This Row],[ID]],TableauProduit[ID],TableauProduit[Total (kg) N3],0,0,1)*TableauRecette[[#This Row],[poids / unite]]</f>
        <v>0.9</v>
      </c>
      <c r="O432" s="874">
        <f>_xlfn.XLOOKUP(TableauRecette[[#This Row],[ID]],TableauProduit[ID],TableauProduit[Total (kg) N4],0,0,1)*TableauRecette[[#This Row],[poids / unite]]</f>
        <v>0.9</v>
      </c>
      <c r="P432" s="874">
        <f>_xlfn.XLOOKUP(TableauRecette[[#This Row],[ID]],TableauProduit[ID],TableauProduit[Total (kg) N5],0,0,1)*TableauRecette[[#This Row],[poids / unite]]</f>
        <v>0.9</v>
      </c>
      <c r="Q432" s="874">
        <f>_xlfn.XLOOKUP(TableauRecette[[#This Row],[ID]],TableauProduit[ID],TableauProduit[Total (kg) N6],0,0,1)*TableauRecette[[#This Row],[poids / unite]]</f>
        <v>0.9</v>
      </c>
      <c r="R432" s="874">
        <f>_xlfn.XLOOKUP(TableauRecette[[#This Row],[ID]],TableauProduit[ID],TableauProduit[Total (kg) N7],0,0,1)*TableauRecette[[#This Row],[poids / unite]]</f>
        <v>0.9</v>
      </c>
      <c r="S432" s="874">
        <f>_xlfn.XLOOKUP(TableauRecette[[#This Row],[ID]],TableauProduit[ID],TableauProduit[Total (kg) N8],0,0,1)*TableauRecette[[#This Row],[poids / unite]]</f>
        <v>0.9</v>
      </c>
      <c r="T432" s="874">
        <f>_xlfn.XLOOKUP(TableauRecette[[#This Row],[ID]],TableauProduit[ID],TableauProduit[Total (kg) N9],0,0,1)*TableauRecette[[#This Row],[poids / unite]]</f>
        <v>0.9</v>
      </c>
    </row>
    <row r="433" spans="1:20">
      <c r="A433" s="528" t="s">
        <v>72</v>
      </c>
      <c r="B433" s="529" t="str">
        <f>TableauRecette[[#This Row],[Recette]]&amp;TableauRecette[[#This Row],[Conditionnement]]</f>
        <v>Vinaigre du soleilVinaigre 250 ml</v>
      </c>
      <c r="C433" s="529" t="s">
        <v>326</v>
      </c>
      <c r="D433" s="530">
        <v>1</v>
      </c>
      <c r="E433" s="529" t="s">
        <v>73</v>
      </c>
      <c r="F433" s="530">
        <f>D433/SUMIFS(TableauRecette[Proportion],TableauRecette[Recette],TableauRecette[[#This Row],[Recette]],TableauRecette[Conditionnement],TableauRecette[[#This Row],[Conditionnement]])</f>
        <v>0.01</v>
      </c>
      <c r="G433" s="530" t="e">
        <f ca="1">_xlfn.XLOOKUP(TableauRecette[[#This Row],[Ingredients]],TableauIngredients[Ingredients],TableauIngredients[Prix d''achat (kg)],0)*TableauRecette[[#This Row],[poids / unite]]</f>
        <v>#DIV/0!</v>
      </c>
      <c r="H433" s="530">
        <f>SUMIFS(TableauRecette[Proportion],TableauRecette[Recette],TableauRecette[[#This Row],[Recette]],TableauRecette[Conditionnement],TableauRecette[[#This Row],[Conditionnement]])</f>
        <v>100</v>
      </c>
      <c r="I433" s="530">
        <f ca="1">TableauRecette[[#This Row],[Proportion]]*TableauRecette[[#This Row],[Prix d''achat / kg]]/TableauRecette[[#This Row],[Total Proportion]]</f>
        <v>0</v>
      </c>
      <c r="J433" s="530"/>
      <c r="K433" s="872"/>
      <c r="L433" s="873">
        <f>_xlfn.XLOOKUP(TableauRecette[[#This Row],[ID]],TableauProduit[ID],TableauProduit[Total (kg) N1],0,0,1)*TableauRecette[[#This Row],[poids / unite]]</f>
        <v>0.45</v>
      </c>
      <c r="M433" s="874">
        <f>_xlfn.XLOOKUP(TableauRecette[[#This Row],[ID]],TableauProduit[ID],TableauProduit[Total (kg) N2],0,0,1)*TableauRecette[[#This Row],[poids / unite]]</f>
        <v>0.45</v>
      </c>
      <c r="N433" s="874">
        <f>_xlfn.XLOOKUP(TableauRecette[[#This Row],[ID]],TableauProduit[ID],TableauProduit[Total (kg) N3],0,0,1)*TableauRecette[[#This Row],[poids / unite]]</f>
        <v>0.45</v>
      </c>
      <c r="O433" s="874">
        <f>_xlfn.XLOOKUP(TableauRecette[[#This Row],[ID]],TableauProduit[ID],TableauProduit[Total (kg) N4],0,0,1)*TableauRecette[[#This Row],[poids / unite]]</f>
        <v>0.45</v>
      </c>
      <c r="P433" s="874">
        <f>_xlfn.XLOOKUP(TableauRecette[[#This Row],[ID]],TableauProduit[ID],TableauProduit[Total (kg) N5],0,0,1)*TableauRecette[[#This Row],[poids / unite]]</f>
        <v>0.45</v>
      </c>
      <c r="Q433" s="874">
        <f>_xlfn.XLOOKUP(TableauRecette[[#This Row],[ID]],TableauProduit[ID],TableauProduit[Total (kg) N6],0,0,1)*TableauRecette[[#This Row],[poids / unite]]</f>
        <v>0.45</v>
      </c>
      <c r="R433" s="874">
        <f>_xlfn.XLOOKUP(TableauRecette[[#This Row],[ID]],TableauProduit[ID],TableauProduit[Total (kg) N7],0,0,1)*TableauRecette[[#This Row],[poids / unite]]</f>
        <v>0.45</v>
      </c>
      <c r="S433" s="874">
        <f>_xlfn.XLOOKUP(TableauRecette[[#This Row],[ID]],TableauProduit[ID],TableauProduit[Total (kg) N8],0,0,1)*TableauRecette[[#This Row],[poids / unite]]</f>
        <v>0.45</v>
      </c>
      <c r="T433" s="874">
        <f>_xlfn.XLOOKUP(TableauRecette[[#This Row],[ID]],TableauProduit[ID],TableauProduit[Total (kg) N9],0,0,1)*TableauRecette[[#This Row],[poids / unite]]</f>
        <v>0.45</v>
      </c>
    </row>
    <row r="434" spans="1:20">
      <c r="A434" s="525" t="s">
        <v>74</v>
      </c>
      <c r="B434" s="526" t="str">
        <f>TableauRecette[[#This Row],[Recette]]&amp;TableauRecette[[#This Row],[Conditionnement]]</f>
        <v>Vinaigre du sureauVinaigre 250 ml</v>
      </c>
      <c r="C434" s="526" t="s">
        <v>358</v>
      </c>
      <c r="D434" s="527">
        <v>92</v>
      </c>
      <c r="E434" s="526" t="s">
        <v>73</v>
      </c>
      <c r="F434" s="527">
        <f>D434/SUMIFS(TableauRecette[Proportion],TableauRecette[Recette],TableauRecette[[#This Row],[Recette]],TableauRecette[Conditionnement],TableauRecette[[#This Row],[Conditionnement]])</f>
        <v>0.92</v>
      </c>
      <c r="G434" s="527">
        <f ca="1">_xlfn.XLOOKUP(TableauRecette[[#This Row],[Ingredients]],TableauIngredients[Ingredients],TableauIngredients[Prix d''achat (kg)],0)*TableauRecette[[#This Row],[poids / unite]]</f>
        <v>3.5346400000000004</v>
      </c>
      <c r="H434" s="527">
        <f>SUMIFS(TableauRecette[Proportion],TableauRecette[Recette],TableauRecette[[#This Row],[Recette]],TableauRecette[Conditionnement],TableauRecette[[#This Row],[Conditionnement]])</f>
        <v>100</v>
      </c>
      <c r="I434" s="527">
        <f ca="1">TableauRecette[[#This Row],[Proportion]]*TableauRecette[[#This Row],[Prix d''achat / kg]]/TableauRecette[[#This Row],[Total Proportion]]</f>
        <v>0</v>
      </c>
      <c r="J434" s="527"/>
      <c r="K434" s="875"/>
      <c r="L434" s="876">
        <f>_xlfn.XLOOKUP(TableauRecette[[#This Row],[ID]],TableauProduit[ID],TableauProduit[Total (kg) N1],0,0,1)*TableauRecette[[#This Row],[poids / unite]]</f>
        <v>41.4</v>
      </c>
      <c r="M434" s="877">
        <f>_xlfn.XLOOKUP(TableauRecette[[#This Row],[ID]],TableauProduit[ID],TableauProduit[Total (kg) N2],0,0,1)*TableauRecette[[#This Row],[poids / unite]]</f>
        <v>41.4</v>
      </c>
      <c r="N434" s="877">
        <f>_xlfn.XLOOKUP(TableauRecette[[#This Row],[ID]],TableauProduit[ID],TableauProduit[Total (kg) N3],0,0,1)*TableauRecette[[#This Row],[poids / unite]]</f>
        <v>41.4</v>
      </c>
      <c r="O434" s="877">
        <f>_xlfn.XLOOKUP(TableauRecette[[#This Row],[ID]],TableauProduit[ID],TableauProduit[Total (kg) N4],0,0,1)*TableauRecette[[#This Row],[poids / unite]]</f>
        <v>41.4</v>
      </c>
      <c r="P434" s="877">
        <f>_xlfn.XLOOKUP(TableauRecette[[#This Row],[ID]],TableauProduit[ID],TableauProduit[Total (kg) N5],0,0,1)*TableauRecette[[#This Row],[poids / unite]]</f>
        <v>41.4</v>
      </c>
      <c r="Q434" s="877">
        <f>_xlfn.XLOOKUP(TableauRecette[[#This Row],[ID]],TableauProduit[ID],TableauProduit[Total (kg) N6],0,0,1)*TableauRecette[[#This Row],[poids / unite]]</f>
        <v>41.4</v>
      </c>
      <c r="R434" s="877">
        <f>_xlfn.XLOOKUP(TableauRecette[[#This Row],[ID]],TableauProduit[ID],TableauProduit[Total (kg) N7],0,0,1)*TableauRecette[[#This Row],[poids / unite]]</f>
        <v>41.4</v>
      </c>
      <c r="S434" s="877">
        <f>_xlfn.XLOOKUP(TableauRecette[[#This Row],[ID]],TableauProduit[ID],TableauProduit[Total (kg) N8],0,0,1)*TableauRecette[[#This Row],[poids / unite]]</f>
        <v>41.4</v>
      </c>
      <c r="T434" s="877">
        <f>_xlfn.XLOOKUP(TableauRecette[[#This Row],[ID]],TableauProduit[ID],TableauProduit[Total (kg) N9],0,0,1)*TableauRecette[[#This Row],[poids / unite]]</f>
        <v>41.4</v>
      </c>
    </row>
    <row r="435" spans="1:20">
      <c r="A435" s="525" t="s">
        <v>74</v>
      </c>
      <c r="B435" s="526" t="str">
        <f>TableauRecette[[#This Row],[Recette]]&amp;TableauRecette[[#This Row],[Conditionnement]]</f>
        <v>Vinaigre du sureauVinaigre 250 ml</v>
      </c>
      <c r="C435" s="526" t="s">
        <v>392</v>
      </c>
      <c r="D435" s="527">
        <v>3</v>
      </c>
      <c r="E435" s="526" t="s">
        <v>73</v>
      </c>
      <c r="F435" s="527">
        <f>D435/SUMIFS(TableauRecette[Proportion],TableauRecette[Recette],TableauRecette[[#This Row],[Recette]],TableauRecette[Conditionnement],TableauRecette[[#This Row],[Conditionnement]])</f>
        <v>0.03</v>
      </c>
      <c r="G435" s="527">
        <f ca="1">_xlfn.XLOOKUP(TableauRecette[[#This Row],[Ingredients]],TableauIngredients[Ingredients],TableauIngredients[Prix d''achat (kg)],0)*TableauRecette[[#This Row],[poids / unite]]</f>
        <v>0</v>
      </c>
      <c r="H435" s="527">
        <f>SUMIFS(TableauRecette[Proportion],TableauRecette[Recette],TableauRecette[[#This Row],[Recette]],TableauRecette[Conditionnement],TableauRecette[[#This Row],[Conditionnement]])</f>
        <v>100</v>
      </c>
      <c r="I435" s="527">
        <f ca="1">TableauRecette[[#This Row],[Proportion]]*TableauRecette[[#This Row],[Prix d''achat / kg]]/TableauRecette[[#This Row],[Total Proportion]]</f>
        <v>0</v>
      </c>
      <c r="J435" s="527"/>
      <c r="K435" s="875"/>
      <c r="L435" s="876">
        <f>_xlfn.XLOOKUP(TableauRecette[[#This Row],[ID]],TableauProduit[ID],TableauProduit[Total (kg) N1],0,0,1)*TableauRecette[[#This Row],[poids / unite]]</f>
        <v>1.3499999999999999</v>
      </c>
      <c r="M435" s="877">
        <f>_xlfn.XLOOKUP(TableauRecette[[#This Row],[ID]],TableauProduit[ID],TableauProduit[Total (kg) N2],0,0,1)*TableauRecette[[#This Row],[poids / unite]]</f>
        <v>1.3499999999999999</v>
      </c>
      <c r="N435" s="877">
        <f>_xlfn.XLOOKUP(TableauRecette[[#This Row],[ID]],TableauProduit[ID],TableauProduit[Total (kg) N3],0,0,1)*TableauRecette[[#This Row],[poids / unite]]</f>
        <v>1.3499999999999999</v>
      </c>
      <c r="O435" s="877">
        <f>_xlfn.XLOOKUP(TableauRecette[[#This Row],[ID]],TableauProduit[ID],TableauProduit[Total (kg) N4],0,0,1)*TableauRecette[[#This Row],[poids / unite]]</f>
        <v>1.3499999999999999</v>
      </c>
      <c r="P435" s="877">
        <f>_xlfn.XLOOKUP(TableauRecette[[#This Row],[ID]],TableauProduit[ID],TableauProduit[Total (kg) N5],0,0,1)*TableauRecette[[#This Row],[poids / unite]]</f>
        <v>1.3499999999999999</v>
      </c>
      <c r="Q435" s="877">
        <f>_xlfn.XLOOKUP(TableauRecette[[#This Row],[ID]],TableauProduit[ID],TableauProduit[Total (kg) N6],0,0,1)*TableauRecette[[#This Row],[poids / unite]]</f>
        <v>1.3499999999999999</v>
      </c>
      <c r="R435" s="877">
        <f>_xlfn.XLOOKUP(TableauRecette[[#This Row],[ID]],TableauProduit[ID],TableauProduit[Total (kg) N7],0,0,1)*TableauRecette[[#This Row],[poids / unite]]</f>
        <v>1.3499999999999999</v>
      </c>
      <c r="S435" s="877">
        <f>_xlfn.XLOOKUP(TableauRecette[[#This Row],[ID]],TableauProduit[ID],TableauProduit[Total (kg) N8],0,0,1)*TableauRecette[[#This Row],[poids / unite]]</f>
        <v>1.3499999999999999</v>
      </c>
      <c r="T435" s="877">
        <f>_xlfn.XLOOKUP(TableauRecette[[#This Row],[ID]],TableauProduit[ID],TableauProduit[Total (kg) N9],0,0,1)*TableauRecette[[#This Row],[poids / unite]]</f>
        <v>1.3499999999999999</v>
      </c>
    </row>
    <row r="436" spans="1:20">
      <c r="A436" s="525" t="s">
        <v>74</v>
      </c>
      <c r="B436" s="526" t="str">
        <f>TableauRecette[[#This Row],[Recette]]&amp;TableauRecette[[#This Row],[Conditionnement]]</f>
        <v>Vinaigre du sureauVinaigre 250 ml</v>
      </c>
      <c r="C436" s="526" t="s">
        <v>377</v>
      </c>
      <c r="D436" s="527">
        <v>5</v>
      </c>
      <c r="E436" s="526" t="s">
        <v>73</v>
      </c>
      <c r="F436" s="527">
        <f>D436/SUMIFS(TableauRecette[Proportion],TableauRecette[Recette],TableauRecette[[#This Row],[Recette]],TableauRecette[Conditionnement],TableauRecette[[#This Row],[Conditionnement]])</f>
        <v>0.05</v>
      </c>
      <c r="G436" s="527">
        <f ca="1">_xlfn.XLOOKUP(TableauRecette[[#This Row],[Ingredients]],TableauIngredients[Ingredients],TableauIngredients[Prix d''achat (kg)],0)*TableauRecette[[#This Row],[poids / unite]]</f>
        <v>8.8000000000000009E-2</v>
      </c>
      <c r="H436" s="527">
        <f>SUMIFS(TableauRecette[Proportion],TableauRecette[Recette],TableauRecette[[#This Row],[Recette]],TableauRecette[Conditionnement],TableauRecette[[#This Row],[Conditionnement]])</f>
        <v>100</v>
      </c>
      <c r="I436" s="527">
        <f ca="1">TableauRecette[[#This Row],[Proportion]]*TableauRecette[[#This Row],[Prix d''achat / kg]]/TableauRecette[[#This Row],[Total Proportion]]</f>
        <v>0</v>
      </c>
      <c r="J436" s="527"/>
      <c r="K436" s="875"/>
      <c r="L436" s="876">
        <f>_xlfn.XLOOKUP(TableauRecette[[#This Row],[ID]],TableauProduit[ID],TableauProduit[Total (kg) N1],0,0,1)*TableauRecette[[#This Row],[poids / unite]]</f>
        <v>2.25</v>
      </c>
      <c r="M436" s="877">
        <f>_xlfn.XLOOKUP(TableauRecette[[#This Row],[ID]],TableauProduit[ID],TableauProduit[Total (kg) N2],0,0,1)*TableauRecette[[#This Row],[poids / unite]]</f>
        <v>2.25</v>
      </c>
      <c r="N436" s="877">
        <f>_xlfn.XLOOKUP(TableauRecette[[#This Row],[ID]],TableauProduit[ID],TableauProduit[Total (kg) N3],0,0,1)*TableauRecette[[#This Row],[poids / unite]]</f>
        <v>2.25</v>
      </c>
      <c r="O436" s="877">
        <f>_xlfn.XLOOKUP(TableauRecette[[#This Row],[ID]],TableauProduit[ID],TableauProduit[Total (kg) N4],0,0,1)*TableauRecette[[#This Row],[poids / unite]]</f>
        <v>2.25</v>
      </c>
      <c r="P436" s="877">
        <f>_xlfn.XLOOKUP(TableauRecette[[#This Row],[ID]],TableauProduit[ID],TableauProduit[Total (kg) N5],0,0,1)*TableauRecette[[#This Row],[poids / unite]]</f>
        <v>2.25</v>
      </c>
      <c r="Q436" s="877">
        <f>_xlfn.XLOOKUP(TableauRecette[[#This Row],[ID]],TableauProduit[ID],TableauProduit[Total (kg) N6],0,0,1)*TableauRecette[[#This Row],[poids / unite]]</f>
        <v>2.25</v>
      </c>
      <c r="R436" s="877">
        <f>_xlfn.XLOOKUP(TableauRecette[[#This Row],[ID]],TableauProduit[ID],TableauProduit[Total (kg) N7],0,0,1)*TableauRecette[[#This Row],[poids / unite]]</f>
        <v>2.25</v>
      </c>
      <c r="S436" s="877">
        <f>_xlfn.XLOOKUP(TableauRecette[[#This Row],[ID]],TableauProduit[ID],TableauProduit[Total (kg) N8],0,0,1)*TableauRecette[[#This Row],[poids / unite]]</f>
        <v>2.25</v>
      </c>
      <c r="T436" s="877">
        <f>_xlfn.XLOOKUP(TableauRecette[[#This Row],[ID]],TableauProduit[ID],TableauProduit[Total (kg) N9],0,0,1)*TableauRecette[[#This Row],[poids / unite]]</f>
        <v>2.25</v>
      </c>
    </row>
    <row r="437" spans="1:20">
      <c r="A437" s="547" t="s">
        <v>94</v>
      </c>
      <c r="B437" s="108" t="str">
        <f>TableauRecette[[#This Row],[Recette]]&amp;TableauRecette[[#This Row],[Conditionnement]]</f>
        <v>Vindaloo masalaEpice 100ml</v>
      </c>
      <c r="C437" s="108" t="s">
        <v>290</v>
      </c>
      <c r="D437" s="231">
        <v>5</v>
      </c>
      <c r="E437" s="108" t="s">
        <v>55</v>
      </c>
      <c r="F437" s="231">
        <f>D437/SUMIFS(TableauRecette[Proportion],TableauRecette[Recette],TableauRecette[[#This Row],[Recette]],TableauRecette[Conditionnement],TableauRecette[[#This Row],[Conditionnement]])</f>
        <v>0.25641025641025639</v>
      </c>
      <c r="G437" s="231">
        <f ca="1">_xlfn.XLOOKUP(TableauRecette[[#This Row],[Ingredients]],TableauIngredients[Ingredients],TableauIngredients[Prix d''achat (kg)],0)*TableauRecette[[#This Row],[poids / unite]]</f>
        <v>0</v>
      </c>
      <c r="H437" s="231">
        <f>SUMIFS(TableauRecette[Proportion],TableauRecette[Recette],TableauRecette[[#This Row],[Recette]],TableauRecette[Conditionnement],TableauRecette[[#This Row],[Conditionnement]])</f>
        <v>19.5</v>
      </c>
      <c r="I437" s="231">
        <f ca="1">TableauRecette[[#This Row],[Proportion]]*TableauRecette[[#This Row],[Prix d''achat / kg]]/TableauRecette[[#This Row],[Total Proportion]]</f>
        <v>0</v>
      </c>
      <c r="J437" s="231"/>
      <c r="K437" s="878"/>
      <c r="L437" s="879">
        <f>_xlfn.XLOOKUP(TableauRecette[[#This Row],[ID]],TableauProduit[ID],TableauProduit[Total (kg) N1],0,0,1)*TableauRecette[[#This Row],[poids / unite]]</f>
        <v>0</v>
      </c>
      <c r="M437" s="880">
        <f>_xlfn.XLOOKUP(TableauRecette[[#This Row],[ID]],TableauProduit[ID],TableauProduit[Total (kg) N2],0,0,1)*TableauRecette[[#This Row],[poids / unite]]</f>
        <v>0</v>
      </c>
      <c r="N437" s="880">
        <f>_xlfn.XLOOKUP(TableauRecette[[#This Row],[ID]],TableauProduit[ID],TableauProduit[Total (kg) N3],0,0,1)*TableauRecette[[#This Row],[poids / unite]]</f>
        <v>0</v>
      </c>
      <c r="O437" s="880">
        <f>_xlfn.XLOOKUP(TableauRecette[[#This Row],[ID]],TableauProduit[ID],TableauProduit[Total (kg) N4],0,0,1)*TableauRecette[[#This Row],[poids / unite]]</f>
        <v>0</v>
      </c>
      <c r="P437" s="880">
        <f>_xlfn.XLOOKUP(TableauRecette[[#This Row],[ID]],TableauProduit[ID],TableauProduit[Total (kg) N5],0,0,1)*TableauRecette[[#This Row],[poids / unite]]</f>
        <v>0</v>
      </c>
      <c r="Q437" s="880">
        <f>_xlfn.XLOOKUP(TableauRecette[[#This Row],[ID]],TableauProduit[ID],TableauProduit[Total (kg) N6],0,0,1)*TableauRecette[[#This Row],[poids / unite]]</f>
        <v>0</v>
      </c>
      <c r="R437" s="880">
        <f>_xlfn.XLOOKUP(TableauRecette[[#This Row],[ID]],TableauProduit[ID],TableauProduit[Total (kg) N7],0,0,1)*TableauRecette[[#This Row],[poids / unite]]</f>
        <v>0</v>
      </c>
      <c r="S437" s="880">
        <f>_xlfn.XLOOKUP(TableauRecette[[#This Row],[ID]],TableauProduit[ID],TableauProduit[Total (kg) N8],0,0,1)*TableauRecette[[#This Row],[poids / unite]]</f>
        <v>0</v>
      </c>
      <c r="T437" s="880">
        <f>_xlfn.XLOOKUP(TableauRecette[[#This Row],[ID]],TableauProduit[ID],TableauProduit[Total (kg) N9],0,0,1)*TableauRecette[[#This Row],[poids / unite]]</f>
        <v>0</v>
      </c>
    </row>
    <row r="438" spans="1:20">
      <c r="A438" s="547" t="s">
        <v>94</v>
      </c>
      <c r="B438" s="108" t="str">
        <f>TableauRecette[[#This Row],[Recette]]&amp;TableauRecette[[#This Row],[Conditionnement]]</f>
        <v>Vindaloo masalaEpice 100ml</v>
      </c>
      <c r="C438" s="108" t="s">
        <v>411</v>
      </c>
      <c r="D438" s="231">
        <v>4</v>
      </c>
      <c r="E438" s="108" t="s">
        <v>55</v>
      </c>
      <c r="F438" s="231">
        <f>D438/SUMIFS(TableauRecette[Proportion],TableauRecette[Recette],TableauRecette[[#This Row],[Recette]],TableauRecette[Conditionnement],TableauRecette[[#This Row],[Conditionnement]])</f>
        <v>0.20512820512820512</v>
      </c>
      <c r="G438" s="231">
        <f ca="1">_xlfn.XLOOKUP(TableauRecette[[#This Row],[Ingredients]],TableauIngredients[Ingredients],TableauIngredients[Prix d''achat (kg)],0)*TableauRecette[[#This Row],[poids / unite]]</f>
        <v>0</v>
      </c>
      <c r="H438" s="231">
        <f>SUMIFS(TableauRecette[Proportion],TableauRecette[Recette],TableauRecette[[#This Row],[Recette]],TableauRecette[Conditionnement],TableauRecette[[#This Row],[Conditionnement]])</f>
        <v>19.5</v>
      </c>
      <c r="I438" s="231">
        <f ca="1">TableauRecette[[#This Row],[Proportion]]*TableauRecette[[#This Row],[Prix d''achat / kg]]/TableauRecette[[#This Row],[Total Proportion]]</f>
        <v>0</v>
      </c>
      <c r="J438" s="231"/>
      <c r="K438" s="878"/>
      <c r="L438" s="879">
        <f>_xlfn.XLOOKUP(TableauRecette[[#This Row],[ID]],TableauProduit[ID],TableauProduit[Total (kg) N1],0,0,1)*TableauRecette[[#This Row],[poids / unite]]</f>
        <v>0</v>
      </c>
      <c r="M438" s="880">
        <f>_xlfn.XLOOKUP(TableauRecette[[#This Row],[ID]],TableauProduit[ID],TableauProduit[Total (kg) N2],0,0,1)*TableauRecette[[#This Row],[poids / unite]]</f>
        <v>0</v>
      </c>
      <c r="N438" s="880">
        <f>_xlfn.XLOOKUP(TableauRecette[[#This Row],[ID]],TableauProduit[ID],TableauProduit[Total (kg) N3],0,0,1)*TableauRecette[[#This Row],[poids / unite]]</f>
        <v>0</v>
      </c>
      <c r="O438" s="880">
        <f>_xlfn.XLOOKUP(TableauRecette[[#This Row],[ID]],TableauProduit[ID],TableauProduit[Total (kg) N4],0,0,1)*TableauRecette[[#This Row],[poids / unite]]</f>
        <v>0</v>
      </c>
      <c r="P438" s="880">
        <f>_xlfn.XLOOKUP(TableauRecette[[#This Row],[ID]],TableauProduit[ID],TableauProduit[Total (kg) N5],0,0,1)*TableauRecette[[#This Row],[poids / unite]]</f>
        <v>0</v>
      </c>
      <c r="Q438" s="880">
        <f>_xlfn.XLOOKUP(TableauRecette[[#This Row],[ID]],TableauProduit[ID],TableauProduit[Total (kg) N6],0,0,1)*TableauRecette[[#This Row],[poids / unite]]</f>
        <v>0</v>
      </c>
      <c r="R438" s="880">
        <f>_xlfn.XLOOKUP(TableauRecette[[#This Row],[ID]],TableauProduit[ID],TableauProduit[Total (kg) N7],0,0,1)*TableauRecette[[#This Row],[poids / unite]]</f>
        <v>0</v>
      </c>
      <c r="S438" s="880">
        <f>_xlfn.XLOOKUP(TableauRecette[[#This Row],[ID]],TableauProduit[ID],TableauProduit[Total (kg) N8],0,0,1)*TableauRecette[[#This Row],[poids / unite]]</f>
        <v>0</v>
      </c>
      <c r="T438" s="880">
        <f>_xlfn.XLOOKUP(TableauRecette[[#This Row],[ID]],TableauProduit[ID],TableauProduit[Total (kg) N9],0,0,1)*TableauRecette[[#This Row],[poids / unite]]</f>
        <v>0</v>
      </c>
    </row>
    <row r="439" spans="1:20">
      <c r="A439" s="547" t="s">
        <v>94</v>
      </c>
      <c r="B439" s="108" t="str">
        <f>TableauRecette[[#This Row],[Recette]]&amp;TableauRecette[[#This Row],[Conditionnement]]</f>
        <v>Vindaloo masalaEpice 100ml</v>
      </c>
      <c r="C439" s="108" t="s">
        <v>304</v>
      </c>
      <c r="D439" s="231">
        <v>1</v>
      </c>
      <c r="E439" s="108" t="s">
        <v>55</v>
      </c>
      <c r="F439" s="231">
        <f>D439/SUMIFS(TableauRecette[Proportion],TableauRecette[Recette],TableauRecette[[#This Row],[Recette]],TableauRecette[Conditionnement],TableauRecette[[#This Row],[Conditionnement]])</f>
        <v>5.128205128205128E-2</v>
      </c>
      <c r="G439" s="231">
        <f ca="1">_xlfn.XLOOKUP(TableauRecette[[#This Row],[Ingredients]],TableauIngredients[Ingredients],TableauIngredients[Prix d''achat (kg)],0)*TableauRecette[[#This Row],[poids / unite]]</f>
        <v>0</v>
      </c>
      <c r="H439" s="231">
        <f>SUMIFS(TableauRecette[Proportion],TableauRecette[Recette],TableauRecette[[#This Row],[Recette]],TableauRecette[Conditionnement],TableauRecette[[#This Row],[Conditionnement]])</f>
        <v>19.5</v>
      </c>
      <c r="I439" s="231">
        <f ca="1">TableauRecette[[#This Row],[Proportion]]*TableauRecette[[#This Row],[Prix d''achat / kg]]/TableauRecette[[#This Row],[Total Proportion]]</f>
        <v>0</v>
      </c>
      <c r="J439" s="231"/>
      <c r="K439" s="878"/>
      <c r="L439" s="879">
        <f>_xlfn.XLOOKUP(TableauRecette[[#This Row],[ID]],TableauProduit[ID],TableauProduit[Total (kg) N1],0,0,1)*TableauRecette[[#This Row],[poids / unite]]</f>
        <v>0</v>
      </c>
      <c r="M439" s="880">
        <f>_xlfn.XLOOKUP(TableauRecette[[#This Row],[ID]],TableauProduit[ID],TableauProduit[Total (kg) N2],0,0,1)*TableauRecette[[#This Row],[poids / unite]]</f>
        <v>0</v>
      </c>
      <c r="N439" s="880">
        <f>_xlfn.XLOOKUP(TableauRecette[[#This Row],[ID]],TableauProduit[ID],TableauProduit[Total (kg) N3],0,0,1)*TableauRecette[[#This Row],[poids / unite]]</f>
        <v>0</v>
      </c>
      <c r="O439" s="880">
        <f>_xlfn.XLOOKUP(TableauRecette[[#This Row],[ID]],TableauProduit[ID],TableauProduit[Total (kg) N4],0,0,1)*TableauRecette[[#This Row],[poids / unite]]</f>
        <v>0</v>
      </c>
      <c r="P439" s="880">
        <f>_xlfn.XLOOKUP(TableauRecette[[#This Row],[ID]],TableauProduit[ID],TableauProduit[Total (kg) N5],0,0,1)*TableauRecette[[#This Row],[poids / unite]]</f>
        <v>0</v>
      </c>
      <c r="Q439" s="880">
        <f>_xlfn.XLOOKUP(TableauRecette[[#This Row],[ID]],TableauProduit[ID],TableauProduit[Total (kg) N6],0,0,1)*TableauRecette[[#This Row],[poids / unite]]</f>
        <v>0</v>
      </c>
      <c r="R439" s="880">
        <f>_xlfn.XLOOKUP(TableauRecette[[#This Row],[ID]],TableauProduit[ID],TableauProduit[Total (kg) N7],0,0,1)*TableauRecette[[#This Row],[poids / unite]]</f>
        <v>0</v>
      </c>
      <c r="S439" s="880">
        <f>_xlfn.XLOOKUP(TableauRecette[[#This Row],[ID]],TableauProduit[ID],TableauProduit[Total (kg) N8],0,0,1)*TableauRecette[[#This Row],[poids / unite]]</f>
        <v>0</v>
      </c>
      <c r="T439" s="880">
        <f>_xlfn.XLOOKUP(TableauRecette[[#This Row],[ID]],TableauProduit[ID],TableauProduit[Total (kg) N9],0,0,1)*TableauRecette[[#This Row],[poids / unite]]</f>
        <v>0</v>
      </c>
    </row>
    <row r="440" spans="1:20">
      <c r="A440" s="547" t="s">
        <v>94</v>
      </c>
      <c r="B440" s="108" t="str">
        <f>TableauRecette[[#This Row],[Recette]]&amp;TableauRecette[[#This Row],[Conditionnement]]</f>
        <v>Vindaloo masalaEpice 100ml</v>
      </c>
      <c r="C440" s="108" t="s">
        <v>313</v>
      </c>
      <c r="D440" s="231">
        <v>1</v>
      </c>
      <c r="E440" s="108" t="s">
        <v>55</v>
      </c>
      <c r="F440" s="231">
        <f>D440/SUMIFS(TableauRecette[Proportion],TableauRecette[Recette],TableauRecette[[#This Row],[Recette]],TableauRecette[Conditionnement],TableauRecette[[#This Row],[Conditionnement]])</f>
        <v>5.128205128205128E-2</v>
      </c>
      <c r="G440" s="231">
        <f ca="1">_xlfn.XLOOKUP(TableauRecette[[#This Row],[Ingredients]],TableauIngredients[Ingredients],TableauIngredients[Prix d''achat (kg)],0)*TableauRecette[[#This Row],[poids / unite]]</f>
        <v>0</v>
      </c>
      <c r="H440" s="231">
        <f>SUMIFS(TableauRecette[Proportion],TableauRecette[Recette],TableauRecette[[#This Row],[Recette]],TableauRecette[Conditionnement],TableauRecette[[#This Row],[Conditionnement]])</f>
        <v>19.5</v>
      </c>
      <c r="I440" s="231">
        <f ca="1">TableauRecette[[#This Row],[Proportion]]*TableauRecette[[#This Row],[Prix d''achat / kg]]/TableauRecette[[#This Row],[Total Proportion]]</f>
        <v>0</v>
      </c>
      <c r="J440" s="231"/>
      <c r="K440" s="878"/>
      <c r="L440" s="879">
        <f>_xlfn.XLOOKUP(TableauRecette[[#This Row],[ID]],TableauProduit[ID],TableauProduit[Total (kg) N1],0,0,1)*TableauRecette[[#This Row],[poids / unite]]</f>
        <v>0</v>
      </c>
      <c r="M440" s="880">
        <f>_xlfn.XLOOKUP(TableauRecette[[#This Row],[ID]],TableauProduit[ID],TableauProduit[Total (kg) N2],0,0,1)*TableauRecette[[#This Row],[poids / unite]]</f>
        <v>0</v>
      </c>
      <c r="N440" s="880">
        <f>_xlfn.XLOOKUP(TableauRecette[[#This Row],[ID]],TableauProduit[ID],TableauProduit[Total (kg) N3],0,0,1)*TableauRecette[[#This Row],[poids / unite]]</f>
        <v>0</v>
      </c>
      <c r="O440" s="880">
        <f>_xlfn.XLOOKUP(TableauRecette[[#This Row],[ID]],TableauProduit[ID],TableauProduit[Total (kg) N4],0,0,1)*TableauRecette[[#This Row],[poids / unite]]</f>
        <v>0</v>
      </c>
      <c r="P440" s="880">
        <f>_xlfn.XLOOKUP(TableauRecette[[#This Row],[ID]],TableauProduit[ID],TableauProduit[Total (kg) N5],0,0,1)*TableauRecette[[#This Row],[poids / unite]]</f>
        <v>0</v>
      </c>
      <c r="Q440" s="880">
        <f>_xlfn.XLOOKUP(TableauRecette[[#This Row],[ID]],TableauProduit[ID],TableauProduit[Total (kg) N6],0,0,1)*TableauRecette[[#This Row],[poids / unite]]</f>
        <v>0</v>
      </c>
      <c r="R440" s="880">
        <f>_xlfn.XLOOKUP(TableauRecette[[#This Row],[ID]],TableauProduit[ID],TableauProduit[Total (kg) N7],0,0,1)*TableauRecette[[#This Row],[poids / unite]]</f>
        <v>0</v>
      </c>
      <c r="S440" s="880">
        <f>_xlfn.XLOOKUP(TableauRecette[[#This Row],[ID]],TableauProduit[ID],TableauProduit[Total (kg) N8],0,0,1)*TableauRecette[[#This Row],[poids / unite]]</f>
        <v>0</v>
      </c>
      <c r="T440" s="880">
        <f>_xlfn.XLOOKUP(TableauRecette[[#This Row],[ID]],TableauProduit[ID],TableauProduit[Total (kg) N9],0,0,1)*TableauRecette[[#This Row],[poids / unite]]</f>
        <v>0</v>
      </c>
    </row>
    <row r="441" spans="1:20">
      <c r="A441" s="547" t="s">
        <v>94</v>
      </c>
      <c r="B441" s="108" t="str">
        <f>TableauRecette[[#This Row],[Recette]]&amp;TableauRecette[[#This Row],[Conditionnement]]</f>
        <v>Vindaloo masalaEpice 100ml</v>
      </c>
      <c r="C441" s="557" t="s">
        <v>299</v>
      </c>
      <c r="D441" s="231">
        <v>1</v>
      </c>
      <c r="E441" s="108" t="s">
        <v>55</v>
      </c>
      <c r="F441" s="231">
        <f>D441/SUMIFS(TableauRecette[Proportion],TableauRecette[Recette],TableauRecette[[#This Row],[Recette]],TableauRecette[Conditionnement],TableauRecette[[#This Row],[Conditionnement]])</f>
        <v>5.128205128205128E-2</v>
      </c>
      <c r="G441" s="231">
        <f ca="1">_xlfn.XLOOKUP(TableauRecette[[#This Row],[Ingredients]],TableauIngredients[Ingredients],TableauIngredients[Prix d''achat (kg)],0)*TableauRecette[[#This Row],[poids / unite]]</f>
        <v>0</v>
      </c>
      <c r="H441" s="231">
        <f>SUMIFS(TableauRecette[Proportion],TableauRecette[Recette],TableauRecette[[#This Row],[Recette]],TableauRecette[Conditionnement],TableauRecette[[#This Row],[Conditionnement]])</f>
        <v>19.5</v>
      </c>
      <c r="I441" s="231">
        <f ca="1">TableauRecette[[#This Row],[Proportion]]*TableauRecette[[#This Row],[Prix d''achat / kg]]/TableauRecette[[#This Row],[Total Proportion]]</f>
        <v>0</v>
      </c>
      <c r="J441" s="231"/>
      <c r="K441" s="878"/>
      <c r="L441" s="879">
        <f>_xlfn.XLOOKUP(TableauRecette[[#This Row],[ID]],TableauProduit[ID],TableauProduit[Total (kg) N1],0,0,1)*TableauRecette[[#This Row],[poids / unite]]</f>
        <v>0</v>
      </c>
      <c r="M441" s="880">
        <f>_xlfn.XLOOKUP(TableauRecette[[#This Row],[ID]],TableauProduit[ID],TableauProduit[Total (kg) N2],0,0,1)*TableauRecette[[#This Row],[poids / unite]]</f>
        <v>0</v>
      </c>
      <c r="N441" s="880">
        <f>_xlfn.XLOOKUP(TableauRecette[[#This Row],[ID]],TableauProduit[ID],TableauProduit[Total (kg) N3],0,0,1)*TableauRecette[[#This Row],[poids / unite]]</f>
        <v>0</v>
      </c>
      <c r="O441" s="880">
        <f>_xlfn.XLOOKUP(TableauRecette[[#This Row],[ID]],TableauProduit[ID],TableauProduit[Total (kg) N4],0,0,1)*TableauRecette[[#This Row],[poids / unite]]</f>
        <v>0</v>
      </c>
      <c r="P441" s="880">
        <f>_xlfn.XLOOKUP(TableauRecette[[#This Row],[ID]],TableauProduit[ID],TableauProduit[Total (kg) N5],0,0,1)*TableauRecette[[#This Row],[poids / unite]]</f>
        <v>0</v>
      </c>
      <c r="Q441" s="880">
        <f>_xlfn.XLOOKUP(TableauRecette[[#This Row],[ID]],TableauProduit[ID],TableauProduit[Total (kg) N6],0,0,1)*TableauRecette[[#This Row],[poids / unite]]</f>
        <v>0</v>
      </c>
      <c r="R441" s="880">
        <f>_xlfn.XLOOKUP(TableauRecette[[#This Row],[ID]],TableauProduit[ID],TableauProduit[Total (kg) N7],0,0,1)*TableauRecette[[#This Row],[poids / unite]]</f>
        <v>0</v>
      </c>
      <c r="S441" s="880">
        <f>_xlfn.XLOOKUP(TableauRecette[[#This Row],[ID]],TableauProduit[ID],TableauProduit[Total (kg) N8],0,0,1)*TableauRecette[[#This Row],[poids / unite]]</f>
        <v>0</v>
      </c>
      <c r="T441" s="880">
        <f>_xlfn.XLOOKUP(TableauRecette[[#This Row],[ID]],TableauProduit[ID],TableauProduit[Total (kg) N9],0,0,1)*TableauRecette[[#This Row],[poids / unite]]</f>
        <v>0</v>
      </c>
    </row>
    <row r="442" spans="1:20">
      <c r="A442" s="547" t="s">
        <v>94</v>
      </c>
      <c r="B442" s="108" t="str">
        <f>TableauRecette[[#This Row],[Recette]]&amp;TableauRecette[[#This Row],[Conditionnement]]</f>
        <v>Vindaloo masalaEpice 100ml</v>
      </c>
      <c r="C442" s="108" t="s">
        <v>285</v>
      </c>
      <c r="D442" s="231">
        <v>0.5</v>
      </c>
      <c r="E442" s="108" t="s">
        <v>55</v>
      </c>
      <c r="F442" s="231">
        <f>D442/SUMIFS(TableauRecette[Proportion],TableauRecette[Recette],TableauRecette[[#This Row],[Recette]],TableauRecette[Conditionnement],TableauRecette[[#This Row],[Conditionnement]])</f>
        <v>2.564102564102564E-2</v>
      </c>
      <c r="G442" s="231">
        <f ca="1">_xlfn.XLOOKUP(TableauRecette[[#This Row],[Ingredients]],TableauIngredients[Ingredients],TableauIngredients[Prix d''achat (kg)],0)*TableauRecette[[#This Row],[poids / unite]]</f>
        <v>0.5641025641025641</v>
      </c>
      <c r="H442" s="231">
        <f>SUMIFS(TableauRecette[Proportion],TableauRecette[Recette],TableauRecette[[#This Row],[Recette]],TableauRecette[Conditionnement],TableauRecette[[#This Row],[Conditionnement]])</f>
        <v>19.5</v>
      </c>
      <c r="I442" s="231">
        <f ca="1">TableauRecette[[#This Row],[Proportion]]*TableauRecette[[#This Row],[Prix d''achat / kg]]/TableauRecette[[#This Row],[Total Proportion]]</f>
        <v>0</v>
      </c>
      <c r="J442" s="231"/>
      <c r="K442" s="878"/>
      <c r="L442" s="879">
        <f>_xlfn.XLOOKUP(TableauRecette[[#This Row],[ID]],TableauProduit[ID],TableauProduit[Total (kg) N1],0,0,1)*TableauRecette[[#This Row],[poids / unite]]</f>
        <v>0</v>
      </c>
      <c r="M442" s="880">
        <f>_xlfn.XLOOKUP(TableauRecette[[#This Row],[ID]],TableauProduit[ID],TableauProduit[Total (kg) N2],0,0,1)*TableauRecette[[#This Row],[poids / unite]]</f>
        <v>0</v>
      </c>
      <c r="N442" s="880">
        <f>_xlfn.XLOOKUP(TableauRecette[[#This Row],[ID]],TableauProduit[ID],TableauProduit[Total (kg) N3],0,0,1)*TableauRecette[[#This Row],[poids / unite]]</f>
        <v>0</v>
      </c>
      <c r="O442" s="880">
        <f>_xlfn.XLOOKUP(TableauRecette[[#This Row],[ID]],TableauProduit[ID],TableauProduit[Total (kg) N4],0,0,1)*TableauRecette[[#This Row],[poids / unite]]</f>
        <v>0</v>
      </c>
      <c r="P442" s="880">
        <f>_xlfn.XLOOKUP(TableauRecette[[#This Row],[ID]],TableauProduit[ID],TableauProduit[Total (kg) N5],0,0,1)*TableauRecette[[#This Row],[poids / unite]]</f>
        <v>0</v>
      </c>
      <c r="Q442" s="880">
        <f>_xlfn.XLOOKUP(TableauRecette[[#This Row],[ID]],TableauProduit[ID],TableauProduit[Total (kg) N6],0,0,1)*TableauRecette[[#This Row],[poids / unite]]</f>
        <v>0</v>
      </c>
      <c r="R442" s="880">
        <f>_xlfn.XLOOKUP(TableauRecette[[#This Row],[ID]],TableauProduit[ID],TableauProduit[Total (kg) N7],0,0,1)*TableauRecette[[#This Row],[poids / unite]]</f>
        <v>0</v>
      </c>
      <c r="S442" s="880">
        <f>_xlfn.XLOOKUP(TableauRecette[[#This Row],[ID]],TableauProduit[ID],TableauProduit[Total (kg) N8],0,0,1)*TableauRecette[[#This Row],[poids / unite]]</f>
        <v>0</v>
      </c>
      <c r="T442" s="880">
        <f>_xlfn.XLOOKUP(TableauRecette[[#This Row],[ID]],TableauProduit[ID],TableauProduit[Total (kg) N9],0,0,1)*TableauRecette[[#This Row],[poids / unite]]</f>
        <v>0</v>
      </c>
    </row>
    <row r="443" spans="1:20">
      <c r="A443" s="547" t="s">
        <v>94</v>
      </c>
      <c r="B443" s="108" t="str">
        <f>TableauRecette[[#This Row],[Recette]]&amp;TableauRecette[[#This Row],[Conditionnement]]</f>
        <v>Vindaloo masalaEpice 100ml</v>
      </c>
      <c r="C443" s="108" t="s">
        <v>288</v>
      </c>
      <c r="D443" s="231">
        <v>0.5</v>
      </c>
      <c r="E443" s="108" t="s">
        <v>55</v>
      </c>
      <c r="F443" s="231">
        <f>D443/SUMIFS(TableauRecette[Proportion],TableauRecette[Recette],TableauRecette[[#This Row],[Recette]],TableauRecette[Conditionnement],TableauRecette[[#This Row],[Conditionnement]])</f>
        <v>2.564102564102564E-2</v>
      </c>
      <c r="G443" s="231">
        <f ca="1">_xlfn.XLOOKUP(TableauRecette[[#This Row],[Ingredients]],TableauIngredients[Ingredients],TableauIngredients[Prix d''achat (kg)],0)*TableauRecette[[#This Row],[poids / unite]]</f>
        <v>0.92307692307692302</v>
      </c>
      <c r="H443" s="231">
        <f>SUMIFS(TableauRecette[Proportion],TableauRecette[Recette],TableauRecette[[#This Row],[Recette]],TableauRecette[Conditionnement],TableauRecette[[#This Row],[Conditionnement]])</f>
        <v>19.5</v>
      </c>
      <c r="I443" s="231">
        <f ca="1">TableauRecette[[#This Row],[Proportion]]*TableauRecette[[#This Row],[Prix d''achat / kg]]/TableauRecette[[#This Row],[Total Proportion]]</f>
        <v>0</v>
      </c>
      <c r="J443" s="231"/>
      <c r="K443" s="878"/>
      <c r="L443" s="879">
        <f>_xlfn.XLOOKUP(TableauRecette[[#This Row],[ID]],TableauProduit[ID],TableauProduit[Total (kg) N1],0,0,1)*TableauRecette[[#This Row],[poids / unite]]</f>
        <v>0</v>
      </c>
      <c r="M443" s="880">
        <f>_xlfn.XLOOKUP(TableauRecette[[#This Row],[ID]],TableauProduit[ID],TableauProduit[Total (kg) N2],0,0,1)*TableauRecette[[#This Row],[poids / unite]]</f>
        <v>0</v>
      </c>
      <c r="N443" s="880">
        <f>_xlfn.XLOOKUP(TableauRecette[[#This Row],[ID]],TableauProduit[ID],TableauProduit[Total (kg) N3],0,0,1)*TableauRecette[[#This Row],[poids / unite]]</f>
        <v>0</v>
      </c>
      <c r="O443" s="880">
        <f>_xlfn.XLOOKUP(TableauRecette[[#This Row],[ID]],TableauProduit[ID],TableauProduit[Total (kg) N4],0,0,1)*TableauRecette[[#This Row],[poids / unite]]</f>
        <v>0</v>
      </c>
      <c r="P443" s="880">
        <f>_xlfn.XLOOKUP(TableauRecette[[#This Row],[ID]],TableauProduit[ID],TableauProduit[Total (kg) N5],0,0,1)*TableauRecette[[#This Row],[poids / unite]]</f>
        <v>0</v>
      </c>
      <c r="Q443" s="880">
        <f>_xlfn.XLOOKUP(TableauRecette[[#This Row],[ID]],TableauProduit[ID],TableauProduit[Total (kg) N6],0,0,1)*TableauRecette[[#This Row],[poids / unite]]</f>
        <v>0</v>
      </c>
      <c r="R443" s="880">
        <f>_xlfn.XLOOKUP(TableauRecette[[#This Row],[ID]],TableauProduit[ID],TableauProduit[Total (kg) N7],0,0,1)*TableauRecette[[#This Row],[poids / unite]]</f>
        <v>0</v>
      </c>
      <c r="S443" s="880">
        <f>_xlfn.XLOOKUP(TableauRecette[[#This Row],[ID]],TableauProduit[ID],TableauProduit[Total (kg) N8],0,0,1)*TableauRecette[[#This Row],[poids / unite]]</f>
        <v>0</v>
      </c>
      <c r="T443" s="880">
        <f>_xlfn.XLOOKUP(TableauRecette[[#This Row],[ID]],TableauProduit[ID],TableauProduit[Total (kg) N9],0,0,1)*TableauRecette[[#This Row],[poids / unite]]</f>
        <v>0</v>
      </c>
    </row>
    <row r="444" spans="1:20">
      <c r="A444" s="547" t="s">
        <v>94</v>
      </c>
      <c r="B444" s="108" t="str">
        <f>TableauRecette[[#This Row],[Recette]]&amp;TableauRecette[[#This Row],[Conditionnement]]</f>
        <v>Vindaloo masalaEpice 100ml</v>
      </c>
      <c r="C444" s="108" t="s">
        <v>287</v>
      </c>
      <c r="D444" s="231">
        <v>0.5</v>
      </c>
      <c r="E444" s="108" t="s">
        <v>55</v>
      </c>
      <c r="F444" s="231">
        <f>D444/SUMIFS(TableauRecette[Proportion],TableauRecette[Recette],TableauRecette[[#This Row],[Recette]],TableauRecette[Conditionnement],TableauRecette[[#This Row],[Conditionnement]])</f>
        <v>2.564102564102564E-2</v>
      </c>
      <c r="G444" s="231">
        <f ca="1">_xlfn.XLOOKUP(TableauRecette[[#This Row],[Ingredients]],TableauIngredients[Ingredients],TableauIngredients[Prix d''achat (kg)],0)*TableauRecette[[#This Row],[poids / unite]]</f>
        <v>0.94487179487179485</v>
      </c>
      <c r="H444" s="231">
        <f>SUMIFS(TableauRecette[Proportion],TableauRecette[Recette],TableauRecette[[#This Row],[Recette]],TableauRecette[Conditionnement],TableauRecette[[#This Row],[Conditionnement]])</f>
        <v>19.5</v>
      </c>
      <c r="I444" s="231">
        <f ca="1">TableauRecette[[#This Row],[Proportion]]*TableauRecette[[#This Row],[Prix d''achat / kg]]/TableauRecette[[#This Row],[Total Proportion]]</f>
        <v>0</v>
      </c>
      <c r="J444" s="231"/>
      <c r="K444" s="878"/>
      <c r="L444" s="879">
        <f>_xlfn.XLOOKUP(TableauRecette[[#This Row],[ID]],TableauProduit[ID],TableauProduit[Total (kg) N1],0,0,1)*TableauRecette[[#This Row],[poids / unite]]</f>
        <v>0</v>
      </c>
      <c r="M444" s="880">
        <f>_xlfn.XLOOKUP(TableauRecette[[#This Row],[ID]],TableauProduit[ID],TableauProduit[Total (kg) N2],0,0,1)*TableauRecette[[#This Row],[poids / unite]]</f>
        <v>0</v>
      </c>
      <c r="N444" s="880">
        <f>_xlfn.XLOOKUP(TableauRecette[[#This Row],[ID]],TableauProduit[ID],TableauProduit[Total (kg) N3],0,0,1)*TableauRecette[[#This Row],[poids / unite]]</f>
        <v>0</v>
      </c>
      <c r="O444" s="880">
        <f>_xlfn.XLOOKUP(TableauRecette[[#This Row],[ID]],TableauProduit[ID],TableauProduit[Total (kg) N4],0,0,1)*TableauRecette[[#This Row],[poids / unite]]</f>
        <v>0</v>
      </c>
      <c r="P444" s="880">
        <f>_xlfn.XLOOKUP(TableauRecette[[#This Row],[ID]],TableauProduit[ID],TableauProduit[Total (kg) N5],0,0,1)*TableauRecette[[#This Row],[poids / unite]]</f>
        <v>0</v>
      </c>
      <c r="Q444" s="880">
        <f>_xlfn.XLOOKUP(TableauRecette[[#This Row],[ID]],TableauProduit[ID],TableauProduit[Total (kg) N6],0,0,1)*TableauRecette[[#This Row],[poids / unite]]</f>
        <v>0</v>
      </c>
      <c r="R444" s="880">
        <f>_xlfn.XLOOKUP(TableauRecette[[#This Row],[ID]],TableauProduit[ID],TableauProduit[Total (kg) N7],0,0,1)*TableauRecette[[#This Row],[poids / unite]]</f>
        <v>0</v>
      </c>
      <c r="S444" s="880">
        <f>_xlfn.XLOOKUP(TableauRecette[[#This Row],[ID]],TableauProduit[ID],TableauProduit[Total (kg) N8],0,0,1)*TableauRecette[[#This Row],[poids / unite]]</f>
        <v>0</v>
      </c>
      <c r="T444" s="880">
        <f>_xlfn.XLOOKUP(TableauRecette[[#This Row],[ID]],TableauProduit[ID],TableauProduit[Total (kg) N9],0,0,1)*TableauRecette[[#This Row],[poids / unite]]</f>
        <v>0</v>
      </c>
    </row>
    <row r="445" spans="1:20">
      <c r="A445" s="547" t="s">
        <v>94</v>
      </c>
      <c r="B445" s="108" t="str">
        <f>TableauRecette[[#This Row],[Recette]]&amp;TableauRecette[[#This Row],[Conditionnement]]</f>
        <v>Vindaloo masalaEpice 100ml</v>
      </c>
      <c r="C445" s="108" t="s">
        <v>283</v>
      </c>
      <c r="D445" s="231">
        <v>1</v>
      </c>
      <c r="E445" s="108" t="s">
        <v>55</v>
      </c>
      <c r="F445" s="231">
        <f>D445/SUMIFS(TableauRecette[Proportion],TableauRecette[Recette],TableauRecette[[#This Row],[Recette]],TableauRecette[Conditionnement],TableauRecette[[#This Row],[Conditionnement]])</f>
        <v>5.128205128205128E-2</v>
      </c>
      <c r="G445" s="231">
        <f ca="1">_xlfn.XLOOKUP(TableauRecette[[#This Row],[Ingredients]],TableauIngredients[Ingredients],TableauIngredients[Prix d''achat (kg)],0)*TableauRecette[[#This Row],[poids / unite]]</f>
        <v>5.8484871794871784</v>
      </c>
      <c r="H445" s="231">
        <f>SUMIFS(TableauRecette[Proportion],TableauRecette[Recette],TableauRecette[[#This Row],[Recette]],TableauRecette[Conditionnement],TableauRecette[[#This Row],[Conditionnement]])</f>
        <v>19.5</v>
      </c>
      <c r="I445" s="231">
        <f ca="1">TableauRecette[[#This Row],[Proportion]]*TableauRecette[[#This Row],[Prix d''achat / kg]]/TableauRecette[[#This Row],[Total Proportion]]</f>
        <v>0</v>
      </c>
      <c r="J445" s="231"/>
      <c r="K445" s="878"/>
      <c r="L445" s="879">
        <f>_xlfn.XLOOKUP(TableauRecette[[#This Row],[ID]],TableauProduit[ID],TableauProduit[Total (kg) N1],0,0,1)*TableauRecette[[#This Row],[poids / unite]]</f>
        <v>0</v>
      </c>
      <c r="M445" s="880">
        <f>_xlfn.XLOOKUP(TableauRecette[[#This Row],[ID]],TableauProduit[ID],TableauProduit[Total (kg) N2],0,0,1)*TableauRecette[[#This Row],[poids / unite]]</f>
        <v>0</v>
      </c>
      <c r="N445" s="880">
        <f>_xlfn.XLOOKUP(TableauRecette[[#This Row],[ID]],TableauProduit[ID],TableauProduit[Total (kg) N3],0,0,1)*TableauRecette[[#This Row],[poids / unite]]</f>
        <v>0</v>
      </c>
      <c r="O445" s="880">
        <f>_xlfn.XLOOKUP(TableauRecette[[#This Row],[ID]],TableauProduit[ID],TableauProduit[Total (kg) N4],0,0,1)*TableauRecette[[#This Row],[poids / unite]]</f>
        <v>0</v>
      </c>
      <c r="P445" s="880">
        <f>_xlfn.XLOOKUP(TableauRecette[[#This Row],[ID]],TableauProduit[ID],TableauProduit[Total (kg) N5],0,0,1)*TableauRecette[[#This Row],[poids / unite]]</f>
        <v>0</v>
      </c>
      <c r="Q445" s="880">
        <f>_xlfn.XLOOKUP(TableauRecette[[#This Row],[ID]],TableauProduit[ID],TableauProduit[Total (kg) N6],0,0,1)*TableauRecette[[#This Row],[poids / unite]]</f>
        <v>0</v>
      </c>
      <c r="R445" s="880">
        <f>_xlfn.XLOOKUP(TableauRecette[[#This Row],[ID]],TableauProduit[ID],TableauProduit[Total (kg) N7],0,0,1)*TableauRecette[[#This Row],[poids / unite]]</f>
        <v>0</v>
      </c>
      <c r="S445" s="880">
        <f>_xlfn.XLOOKUP(TableauRecette[[#This Row],[ID]],TableauProduit[ID],TableauProduit[Total (kg) N8],0,0,1)*TableauRecette[[#This Row],[poids / unite]]</f>
        <v>0</v>
      </c>
      <c r="T445" s="880">
        <f>_xlfn.XLOOKUP(TableauRecette[[#This Row],[ID]],TableauProduit[ID],TableauProduit[Total (kg) N9],0,0,1)*TableauRecette[[#This Row],[poids / unite]]</f>
        <v>0</v>
      </c>
    </row>
    <row r="446" spans="1:20">
      <c r="A446" s="547" t="s">
        <v>94</v>
      </c>
      <c r="B446" s="108" t="str">
        <f>TableauRecette[[#This Row],[Recette]]&amp;TableauRecette[[#This Row],[Conditionnement]]</f>
        <v>Vindaloo masalaEpice 100ml</v>
      </c>
      <c r="C446" s="108" t="s">
        <v>325</v>
      </c>
      <c r="D446" s="231">
        <v>1</v>
      </c>
      <c r="E446" s="108" t="s">
        <v>55</v>
      </c>
      <c r="F446" s="231">
        <f>D446/SUMIFS(TableauRecette[Proportion],TableauRecette[Recette],TableauRecette[[#This Row],[Recette]],TableauRecette[Conditionnement],TableauRecette[[#This Row],[Conditionnement]])</f>
        <v>5.128205128205128E-2</v>
      </c>
      <c r="G446" s="231">
        <f ca="1">_xlfn.XLOOKUP(TableauRecette[[#This Row],[Ingredients]],TableauIngredients[Ingredients],TableauIngredients[Prix d''achat (kg)],0)*TableauRecette[[#This Row],[poids / unite]]</f>
        <v>0</v>
      </c>
      <c r="H446" s="231">
        <f>SUMIFS(TableauRecette[Proportion],TableauRecette[Recette],TableauRecette[[#This Row],[Recette]],TableauRecette[Conditionnement],TableauRecette[[#This Row],[Conditionnement]])</f>
        <v>19.5</v>
      </c>
      <c r="I446" s="231">
        <f ca="1">TableauRecette[[#This Row],[Proportion]]*TableauRecette[[#This Row],[Prix d''achat / kg]]/TableauRecette[[#This Row],[Total Proportion]]</f>
        <v>0</v>
      </c>
      <c r="J446" s="231"/>
      <c r="K446" s="878"/>
      <c r="L446" s="879">
        <f>_xlfn.XLOOKUP(TableauRecette[[#This Row],[ID]],TableauProduit[ID],TableauProduit[Total (kg) N1],0,0,1)*TableauRecette[[#This Row],[poids / unite]]</f>
        <v>0</v>
      </c>
      <c r="M446" s="880">
        <f>_xlfn.XLOOKUP(TableauRecette[[#This Row],[ID]],TableauProduit[ID],TableauProduit[Total (kg) N2],0,0,1)*TableauRecette[[#This Row],[poids / unite]]</f>
        <v>0</v>
      </c>
      <c r="N446" s="880">
        <f>_xlfn.XLOOKUP(TableauRecette[[#This Row],[ID]],TableauProduit[ID],TableauProduit[Total (kg) N3],0,0,1)*TableauRecette[[#This Row],[poids / unite]]</f>
        <v>0</v>
      </c>
      <c r="O446" s="880">
        <f>_xlfn.XLOOKUP(TableauRecette[[#This Row],[ID]],TableauProduit[ID],TableauProduit[Total (kg) N4],0,0,1)*TableauRecette[[#This Row],[poids / unite]]</f>
        <v>0</v>
      </c>
      <c r="P446" s="880">
        <f>_xlfn.XLOOKUP(TableauRecette[[#This Row],[ID]],TableauProduit[ID],TableauProduit[Total (kg) N5],0,0,1)*TableauRecette[[#This Row],[poids / unite]]</f>
        <v>0</v>
      </c>
      <c r="Q446" s="880">
        <f>_xlfn.XLOOKUP(TableauRecette[[#This Row],[ID]],TableauProduit[ID],TableauProduit[Total (kg) N6],0,0,1)*TableauRecette[[#This Row],[poids / unite]]</f>
        <v>0</v>
      </c>
      <c r="R446" s="880">
        <f>_xlfn.XLOOKUP(TableauRecette[[#This Row],[ID]],TableauProduit[ID],TableauProduit[Total (kg) N7],0,0,1)*TableauRecette[[#This Row],[poids / unite]]</f>
        <v>0</v>
      </c>
      <c r="S446" s="880">
        <f>_xlfn.XLOOKUP(TableauRecette[[#This Row],[ID]],TableauProduit[ID],TableauProduit[Total (kg) N8],0,0,1)*TableauRecette[[#This Row],[poids / unite]]</f>
        <v>0</v>
      </c>
      <c r="T446" s="880">
        <f>_xlfn.XLOOKUP(TableauRecette[[#This Row],[ID]],TableauProduit[ID],TableauProduit[Total (kg) N9],0,0,1)*TableauRecette[[#This Row],[poids / unite]]</f>
        <v>0</v>
      </c>
    </row>
    <row r="447" spans="1:20">
      <c r="A447" s="547" t="s">
        <v>94</v>
      </c>
      <c r="B447" s="108" t="str">
        <f>TableauRecette[[#This Row],[Recette]]&amp;TableauRecette[[#This Row],[Conditionnement]]</f>
        <v>Vindaloo masalaEpice 100ml</v>
      </c>
      <c r="C447" s="108" t="s">
        <v>305</v>
      </c>
      <c r="D447" s="231">
        <v>2</v>
      </c>
      <c r="E447" s="108" t="s">
        <v>55</v>
      </c>
      <c r="F447" s="231">
        <f>D447/SUMIFS(TableauRecette[Proportion],TableauRecette[Recette],TableauRecette[[#This Row],[Recette]],TableauRecette[Conditionnement],TableauRecette[[#This Row],[Conditionnement]])</f>
        <v>0.10256410256410256</v>
      </c>
      <c r="G447" s="231">
        <f ca="1">_xlfn.XLOOKUP(TableauRecette[[#This Row],[Ingredients]],TableauIngredients[Ingredients],TableauIngredients[Prix d''achat (kg)],0)*TableauRecette[[#This Row],[poids / unite]]</f>
        <v>0</v>
      </c>
      <c r="H447" s="231">
        <f>SUMIFS(TableauRecette[Proportion],TableauRecette[Recette],TableauRecette[[#This Row],[Recette]],TableauRecette[Conditionnement],TableauRecette[[#This Row],[Conditionnement]])</f>
        <v>19.5</v>
      </c>
      <c r="I447" s="231">
        <f ca="1">TableauRecette[[#This Row],[Proportion]]*TableauRecette[[#This Row],[Prix d''achat / kg]]/TableauRecette[[#This Row],[Total Proportion]]</f>
        <v>0</v>
      </c>
      <c r="J447" s="231"/>
      <c r="K447" s="878"/>
      <c r="L447" s="879">
        <f>_xlfn.XLOOKUP(TableauRecette[[#This Row],[ID]],TableauProduit[ID],TableauProduit[Total (kg) N1],0,0,1)*TableauRecette[[#This Row],[poids / unite]]</f>
        <v>0</v>
      </c>
      <c r="M447" s="880">
        <f>_xlfn.XLOOKUP(TableauRecette[[#This Row],[ID]],TableauProduit[ID],TableauProduit[Total (kg) N2],0,0,1)*TableauRecette[[#This Row],[poids / unite]]</f>
        <v>0</v>
      </c>
      <c r="N447" s="880">
        <f>_xlfn.XLOOKUP(TableauRecette[[#This Row],[ID]],TableauProduit[ID],TableauProduit[Total (kg) N3],0,0,1)*TableauRecette[[#This Row],[poids / unite]]</f>
        <v>0</v>
      </c>
      <c r="O447" s="880">
        <f>_xlfn.XLOOKUP(TableauRecette[[#This Row],[ID]],TableauProduit[ID],TableauProduit[Total (kg) N4],0,0,1)*TableauRecette[[#This Row],[poids / unite]]</f>
        <v>0</v>
      </c>
      <c r="P447" s="880">
        <f>_xlfn.XLOOKUP(TableauRecette[[#This Row],[ID]],TableauProduit[ID],TableauProduit[Total (kg) N5],0,0,1)*TableauRecette[[#This Row],[poids / unite]]</f>
        <v>0</v>
      </c>
      <c r="Q447" s="880">
        <f>_xlfn.XLOOKUP(TableauRecette[[#This Row],[ID]],TableauProduit[ID],TableauProduit[Total (kg) N6],0,0,1)*TableauRecette[[#This Row],[poids / unite]]</f>
        <v>0</v>
      </c>
      <c r="R447" s="880">
        <f>_xlfn.XLOOKUP(TableauRecette[[#This Row],[ID]],TableauProduit[ID],TableauProduit[Total (kg) N7],0,0,1)*TableauRecette[[#This Row],[poids / unite]]</f>
        <v>0</v>
      </c>
      <c r="S447" s="880">
        <f>_xlfn.XLOOKUP(TableauRecette[[#This Row],[ID]],TableauProduit[ID],TableauProduit[Total (kg) N8],0,0,1)*TableauRecette[[#This Row],[poids / unite]]</f>
        <v>0</v>
      </c>
      <c r="T447" s="880">
        <f>_xlfn.XLOOKUP(TableauRecette[[#This Row],[ID]],TableauProduit[ID],TableauProduit[Total (kg) N9],0,0,1)*TableauRecette[[#This Row],[poids / unite]]</f>
        <v>0</v>
      </c>
    </row>
    <row r="448" spans="1:20">
      <c r="A448" s="547" t="s">
        <v>94</v>
      </c>
      <c r="B448" s="108" t="str">
        <f>TableauRecette[[#This Row],[Recette]]&amp;TableauRecette[[#This Row],[Conditionnement]]</f>
        <v>Vindaloo masalaEpice 100ml</v>
      </c>
      <c r="C448" s="108" t="s">
        <v>412</v>
      </c>
      <c r="D448" s="231">
        <v>2</v>
      </c>
      <c r="E448" s="108" t="s">
        <v>55</v>
      </c>
      <c r="F448" s="231">
        <f>D448/SUMIFS(TableauRecette[Proportion],TableauRecette[Recette],TableauRecette[[#This Row],[Recette]],TableauRecette[Conditionnement],TableauRecette[[#This Row],[Conditionnement]])</f>
        <v>0.10256410256410256</v>
      </c>
      <c r="G448" s="231">
        <f ca="1">_xlfn.XLOOKUP(TableauRecette[[#This Row],[Ingredients]],TableauIngredients[Ingredients],TableauIngredients[Prix d''achat (kg)],0)*TableauRecette[[#This Row],[poids / unite]]</f>
        <v>0</v>
      </c>
      <c r="H448" s="231">
        <f>SUMIFS(TableauRecette[Proportion],TableauRecette[Recette],TableauRecette[[#This Row],[Recette]],TableauRecette[Conditionnement],TableauRecette[[#This Row],[Conditionnement]])</f>
        <v>19.5</v>
      </c>
      <c r="I448" s="231">
        <f ca="1">TableauRecette[[#This Row],[Proportion]]*TableauRecette[[#This Row],[Prix d''achat / kg]]/TableauRecette[[#This Row],[Total Proportion]]</f>
        <v>0</v>
      </c>
      <c r="J448" s="231"/>
      <c r="K448" s="878"/>
      <c r="L448" s="879">
        <f>_xlfn.XLOOKUP(TableauRecette[[#This Row],[ID]],TableauProduit[ID],TableauProduit[Total (kg) N1],0,0,1)*TableauRecette[[#This Row],[poids / unite]]</f>
        <v>0</v>
      </c>
      <c r="M448" s="880">
        <f>_xlfn.XLOOKUP(TableauRecette[[#This Row],[ID]],TableauProduit[ID],TableauProduit[Total (kg) N2],0,0,1)*TableauRecette[[#This Row],[poids / unite]]</f>
        <v>0</v>
      </c>
      <c r="N448" s="880">
        <f>_xlfn.XLOOKUP(TableauRecette[[#This Row],[ID]],TableauProduit[ID],TableauProduit[Total (kg) N3],0,0,1)*TableauRecette[[#This Row],[poids / unite]]</f>
        <v>0</v>
      </c>
      <c r="O448" s="880">
        <f>_xlfn.XLOOKUP(TableauRecette[[#This Row],[ID]],TableauProduit[ID],TableauProduit[Total (kg) N4],0,0,1)*TableauRecette[[#This Row],[poids / unite]]</f>
        <v>0</v>
      </c>
      <c r="P448" s="880">
        <f>_xlfn.XLOOKUP(TableauRecette[[#This Row],[ID]],TableauProduit[ID],TableauProduit[Total (kg) N5],0,0,1)*TableauRecette[[#This Row],[poids / unite]]</f>
        <v>0</v>
      </c>
      <c r="Q448" s="880">
        <f>_xlfn.XLOOKUP(TableauRecette[[#This Row],[ID]],TableauProduit[ID],TableauProduit[Total (kg) N6],0,0,1)*TableauRecette[[#This Row],[poids / unite]]</f>
        <v>0</v>
      </c>
      <c r="R448" s="880">
        <f>_xlfn.XLOOKUP(TableauRecette[[#This Row],[ID]],TableauProduit[ID],TableauProduit[Total (kg) N7],0,0,1)*TableauRecette[[#This Row],[poids / unite]]</f>
        <v>0</v>
      </c>
      <c r="S448" s="880">
        <f>_xlfn.XLOOKUP(TableauRecette[[#This Row],[ID]],TableauProduit[ID],TableauProduit[Total (kg) N8],0,0,1)*TableauRecette[[#This Row],[poids / unite]]</f>
        <v>0</v>
      </c>
      <c r="T448" s="880">
        <f>_xlfn.XLOOKUP(TableauRecette[[#This Row],[ID]],TableauProduit[ID],TableauProduit[Total (kg) N9],0,0,1)*TableauRecette[[#This Row],[poids / unite]]</f>
        <v>0</v>
      </c>
    </row>
    <row r="449" spans="1:20">
      <c r="A449" s="548" t="s">
        <v>75</v>
      </c>
      <c r="B449" s="109" t="str">
        <f>TableauRecette[[#This Row],[Recette]]&amp;TableauRecette[[#This Row],[Conditionnement]]</f>
        <v>ZaatarEpice 100ml</v>
      </c>
      <c r="C449" s="109" t="s">
        <v>290</v>
      </c>
      <c r="D449" s="232">
        <v>2</v>
      </c>
      <c r="E449" s="109" t="s">
        <v>55</v>
      </c>
      <c r="F449" s="232">
        <f>D449/SUMIFS(TableauRecette[Proportion],TableauRecette[Recette],TableauRecette[[#This Row],[Recette]],TableauRecette[Conditionnement],TableauRecette[[#This Row],[Conditionnement]])</f>
        <v>0.22222222222222221</v>
      </c>
      <c r="G449" s="232">
        <f ca="1">_xlfn.XLOOKUP(TableauRecette[[#This Row],[Ingredients]],TableauIngredients[Ingredients],TableauIngredients[Prix d''achat (kg)],0)*TableauRecette[[#This Row],[poids / unite]]</f>
        <v>0</v>
      </c>
      <c r="H449" s="232">
        <f>SUMIFS(TableauRecette[Proportion],TableauRecette[Recette],TableauRecette[[#This Row],[Recette]],TableauRecette[Conditionnement],TableauRecette[[#This Row],[Conditionnement]])</f>
        <v>9</v>
      </c>
      <c r="I449" s="232">
        <f ca="1">TableauRecette[[#This Row],[Proportion]]*TableauRecette[[#This Row],[Prix d''achat / kg]]/TableauRecette[[#This Row],[Total Proportion]]</f>
        <v>0</v>
      </c>
      <c r="J449" s="232"/>
      <c r="K449" s="881"/>
      <c r="L449" s="882">
        <f>_xlfn.XLOOKUP(TableauRecette[[#This Row],[ID]],TableauProduit[ID],TableauProduit[Total (kg) N1],0,0,1)*TableauRecette[[#This Row],[poids / unite]]</f>
        <v>2</v>
      </c>
      <c r="M449" s="883">
        <f>_xlfn.XLOOKUP(TableauRecette[[#This Row],[ID]],TableauProduit[ID],TableauProduit[Total (kg) N2],0,0,1)*TableauRecette[[#This Row],[poids / unite]]</f>
        <v>2</v>
      </c>
      <c r="N449" s="883">
        <f>_xlfn.XLOOKUP(TableauRecette[[#This Row],[ID]],TableauProduit[ID],TableauProduit[Total (kg) N3],0,0,1)*TableauRecette[[#This Row],[poids / unite]]</f>
        <v>2</v>
      </c>
      <c r="O449" s="883">
        <f>_xlfn.XLOOKUP(TableauRecette[[#This Row],[ID]],TableauProduit[ID],TableauProduit[Total (kg) N4],0,0,1)*TableauRecette[[#This Row],[poids / unite]]</f>
        <v>2</v>
      </c>
      <c r="P449" s="883">
        <f>_xlfn.XLOOKUP(TableauRecette[[#This Row],[ID]],TableauProduit[ID],TableauProduit[Total (kg) N5],0,0,1)*TableauRecette[[#This Row],[poids / unite]]</f>
        <v>2</v>
      </c>
      <c r="Q449" s="883">
        <f>_xlfn.XLOOKUP(TableauRecette[[#This Row],[ID]],TableauProduit[ID],TableauProduit[Total (kg) N6],0,0,1)*TableauRecette[[#This Row],[poids / unite]]</f>
        <v>2</v>
      </c>
      <c r="R449" s="883">
        <f>_xlfn.XLOOKUP(TableauRecette[[#This Row],[ID]],TableauProduit[ID],TableauProduit[Total (kg) N7],0,0,1)*TableauRecette[[#This Row],[poids / unite]]</f>
        <v>2</v>
      </c>
      <c r="S449" s="883">
        <f>_xlfn.XLOOKUP(TableauRecette[[#This Row],[ID]],TableauProduit[ID],TableauProduit[Total (kg) N8],0,0,1)*TableauRecette[[#This Row],[poids / unite]]</f>
        <v>2</v>
      </c>
      <c r="T449" s="883">
        <f>_xlfn.XLOOKUP(TableauRecette[[#This Row],[ID]],TableauProduit[ID],TableauProduit[Total (kg) N9],0,0,1)*TableauRecette[[#This Row],[poids / unite]]</f>
        <v>2</v>
      </c>
    </row>
    <row r="450" spans="1:20">
      <c r="A450" s="548" t="s">
        <v>75</v>
      </c>
      <c r="B450" s="109" t="str">
        <f>TableauRecette[[#This Row],[Recette]]&amp;TableauRecette[[#This Row],[Conditionnement]]</f>
        <v>ZaatarEpice 100ml</v>
      </c>
      <c r="C450" s="109" t="s">
        <v>303</v>
      </c>
      <c r="D450" s="232">
        <v>1</v>
      </c>
      <c r="E450" s="109" t="s">
        <v>55</v>
      </c>
      <c r="F450" s="232">
        <f>D450/SUMIFS(TableauRecette[Proportion],TableauRecette[Recette],TableauRecette[[#This Row],[Recette]],TableauRecette[Conditionnement],TableauRecette[[#This Row],[Conditionnement]])</f>
        <v>0.1111111111111111</v>
      </c>
      <c r="G450" s="232">
        <f ca="1">_xlfn.XLOOKUP(TableauRecette[[#This Row],[Ingredients]],TableauIngredients[Ingredients],TableauIngredients[Prix d''achat (kg)],0)*TableauRecette[[#This Row],[poids / unite]]</f>
        <v>0.15555555555555553</v>
      </c>
      <c r="H450" s="232">
        <f>SUMIFS(TableauRecette[Proportion],TableauRecette[Recette],TableauRecette[[#This Row],[Recette]],TableauRecette[Conditionnement],TableauRecette[[#This Row],[Conditionnement]])</f>
        <v>9</v>
      </c>
      <c r="I450" s="232">
        <f ca="1">TableauRecette[[#This Row],[Proportion]]*TableauRecette[[#This Row],[Prix d''achat / kg]]/TableauRecette[[#This Row],[Total Proportion]]</f>
        <v>0</v>
      </c>
      <c r="J450" s="232"/>
      <c r="K450" s="881"/>
      <c r="L450" s="882">
        <f>_xlfn.XLOOKUP(TableauRecette[[#This Row],[ID]],TableauProduit[ID],TableauProduit[Total (kg) N1],0,0,1)*TableauRecette[[#This Row],[poids / unite]]</f>
        <v>1</v>
      </c>
      <c r="M450" s="883">
        <f>_xlfn.XLOOKUP(TableauRecette[[#This Row],[ID]],TableauProduit[ID],TableauProduit[Total (kg) N2],0,0,1)*TableauRecette[[#This Row],[poids / unite]]</f>
        <v>1</v>
      </c>
      <c r="N450" s="883">
        <f>_xlfn.XLOOKUP(TableauRecette[[#This Row],[ID]],TableauProduit[ID],TableauProduit[Total (kg) N3],0,0,1)*TableauRecette[[#This Row],[poids / unite]]</f>
        <v>1</v>
      </c>
      <c r="O450" s="883">
        <f>_xlfn.XLOOKUP(TableauRecette[[#This Row],[ID]],TableauProduit[ID],TableauProduit[Total (kg) N4],0,0,1)*TableauRecette[[#This Row],[poids / unite]]</f>
        <v>1</v>
      </c>
      <c r="P450" s="883">
        <f>_xlfn.XLOOKUP(TableauRecette[[#This Row],[ID]],TableauProduit[ID],TableauProduit[Total (kg) N5],0,0,1)*TableauRecette[[#This Row],[poids / unite]]</f>
        <v>1</v>
      </c>
      <c r="Q450" s="883">
        <f>_xlfn.XLOOKUP(TableauRecette[[#This Row],[ID]],TableauProduit[ID],TableauProduit[Total (kg) N6],0,0,1)*TableauRecette[[#This Row],[poids / unite]]</f>
        <v>1</v>
      </c>
      <c r="R450" s="883">
        <f>_xlfn.XLOOKUP(TableauRecette[[#This Row],[ID]],TableauProduit[ID],TableauProduit[Total (kg) N7],0,0,1)*TableauRecette[[#This Row],[poids / unite]]</f>
        <v>1</v>
      </c>
      <c r="S450" s="883">
        <f>_xlfn.XLOOKUP(TableauRecette[[#This Row],[ID]],TableauProduit[ID],TableauProduit[Total (kg) N8],0,0,1)*TableauRecette[[#This Row],[poids / unite]]</f>
        <v>1</v>
      </c>
      <c r="T450" s="883">
        <f>_xlfn.XLOOKUP(TableauRecette[[#This Row],[ID]],TableauProduit[ID],TableauProduit[Total (kg) N9],0,0,1)*TableauRecette[[#This Row],[poids / unite]]</f>
        <v>1</v>
      </c>
    </row>
    <row r="451" spans="1:20">
      <c r="A451" s="548" t="s">
        <v>75</v>
      </c>
      <c r="B451" s="109" t="str">
        <f>TableauRecette[[#This Row],[Recette]]&amp;TableauRecette[[#This Row],[Conditionnement]]</f>
        <v>ZaatarEpice 100ml</v>
      </c>
      <c r="C451" s="109" t="s">
        <v>782</v>
      </c>
      <c r="D451" s="232">
        <v>2</v>
      </c>
      <c r="E451" s="109" t="s">
        <v>55</v>
      </c>
      <c r="F451" s="232">
        <f>D451/SUMIFS(TableauRecette[Proportion],TableauRecette[Recette],TableauRecette[[#This Row],[Recette]],TableauRecette[Conditionnement],TableauRecette[[#This Row],[Conditionnement]])</f>
        <v>0.22222222222222221</v>
      </c>
      <c r="G451" s="232">
        <f ca="1">_xlfn.XLOOKUP(TableauRecette[[#This Row],[Ingredients]],TableauIngredients[Ingredients],TableauIngredients[Prix d''achat (kg)],0)*TableauRecette[[#This Row],[poids / unite]]</f>
        <v>0</v>
      </c>
      <c r="H451" s="232">
        <f>SUMIFS(TableauRecette[Proportion],TableauRecette[Recette],TableauRecette[[#This Row],[Recette]],TableauRecette[Conditionnement],TableauRecette[[#This Row],[Conditionnement]])</f>
        <v>9</v>
      </c>
      <c r="I451" s="232">
        <f ca="1">TableauRecette[[#This Row],[Proportion]]*TableauRecette[[#This Row],[Prix d''achat / kg]]/TableauRecette[[#This Row],[Total Proportion]]</f>
        <v>0</v>
      </c>
      <c r="J451" s="232"/>
      <c r="K451" s="881"/>
      <c r="L451" s="882">
        <f>_xlfn.XLOOKUP(TableauRecette[[#This Row],[ID]],TableauProduit[ID],TableauProduit[Total (kg) N1],0,0,1)*TableauRecette[[#This Row],[poids / unite]]</f>
        <v>2</v>
      </c>
      <c r="M451" s="883">
        <f>_xlfn.XLOOKUP(TableauRecette[[#This Row],[ID]],TableauProduit[ID],TableauProduit[Total (kg) N2],0,0,1)*TableauRecette[[#This Row],[poids / unite]]</f>
        <v>2</v>
      </c>
      <c r="N451" s="883">
        <f>_xlfn.XLOOKUP(TableauRecette[[#This Row],[ID]],TableauProduit[ID],TableauProduit[Total (kg) N3],0,0,1)*TableauRecette[[#This Row],[poids / unite]]</f>
        <v>2</v>
      </c>
      <c r="O451" s="883">
        <f>_xlfn.XLOOKUP(TableauRecette[[#This Row],[ID]],TableauProduit[ID],TableauProduit[Total (kg) N4],0,0,1)*TableauRecette[[#This Row],[poids / unite]]</f>
        <v>2</v>
      </c>
      <c r="P451" s="883">
        <f>_xlfn.XLOOKUP(TableauRecette[[#This Row],[ID]],TableauProduit[ID],TableauProduit[Total (kg) N5],0,0,1)*TableauRecette[[#This Row],[poids / unite]]</f>
        <v>2</v>
      </c>
      <c r="Q451" s="883">
        <f>_xlfn.XLOOKUP(TableauRecette[[#This Row],[ID]],TableauProduit[ID],TableauProduit[Total (kg) N6],0,0,1)*TableauRecette[[#This Row],[poids / unite]]</f>
        <v>2</v>
      </c>
      <c r="R451" s="883">
        <f>_xlfn.XLOOKUP(TableauRecette[[#This Row],[ID]],TableauProduit[ID],TableauProduit[Total (kg) N7],0,0,1)*TableauRecette[[#This Row],[poids / unite]]</f>
        <v>2</v>
      </c>
      <c r="S451" s="883">
        <f>_xlfn.XLOOKUP(TableauRecette[[#This Row],[ID]],TableauProduit[ID],TableauProduit[Total (kg) N8],0,0,1)*TableauRecette[[#This Row],[poids / unite]]</f>
        <v>2</v>
      </c>
      <c r="T451" s="883">
        <f>_xlfn.XLOOKUP(TableauRecette[[#This Row],[ID]],TableauProduit[ID],TableauProduit[Total (kg) N9],0,0,1)*TableauRecette[[#This Row],[poids / unite]]</f>
        <v>2</v>
      </c>
    </row>
    <row r="452" spans="1:20">
      <c r="A452" s="548" t="s">
        <v>75</v>
      </c>
      <c r="B452" s="109" t="str">
        <f>TableauRecette[[#This Row],[Recette]]&amp;TableauRecette[[#This Row],[Conditionnement]]</f>
        <v>ZaatarEpice 100ml</v>
      </c>
      <c r="C452" s="109" t="s">
        <v>326</v>
      </c>
      <c r="D452" s="232">
        <v>2</v>
      </c>
      <c r="E452" s="109" t="s">
        <v>55</v>
      </c>
      <c r="F452" s="232">
        <f>D452/SUMIFS(TableauRecette[Proportion],TableauRecette[Recette],TableauRecette[[#This Row],[Recette]],TableauRecette[Conditionnement],TableauRecette[[#This Row],[Conditionnement]])</f>
        <v>0.22222222222222221</v>
      </c>
      <c r="G452" s="232">
        <f ca="1">_xlfn.XLOOKUP(TableauRecette[[#This Row],[Ingredients]],TableauIngredients[Ingredients],TableauIngredients[Prix d''achat (kg)],0)*TableauRecette[[#This Row],[poids / unite]]</f>
        <v>0</v>
      </c>
      <c r="H452" s="232">
        <f>SUMIFS(TableauRecette[Proportion],TableauRecette[Recette],TableauRecette[[#This Row],[Recette]],TableauRecette[Conditionnement],TableauRecette[[#This Row],[Conditionnement]])</f>
        <v>9</v>
      </c>
      <c r="I452" s="232">
        <f ca="1">TableauRecette[[#This Row],[Proportion]]*TableauRecette[[#This Row],[Prix d''achat / kg]]/TableauRecette[[#This Row],[Total Proportion]]</f>
        <v>0</v>
      </c>
      <c r="J452" s="232"/>
      <c r="K452" s="881"/>
      <c r="L452" s="882">
        <f>_xlfn.XLOOKUP(TableauRecette[[#This Row],[ID]],TableauProduit[ID],TableauProduit[Total (kg) N1],0,0,1)*TableauRecette[[#This Row],[poids / unite]]</f>
        <v>2</v>
      </c>
      <c r="M452" s="883">
        <f>_xlfn.XLOOKUP(TableauRecette[[#This Row],[ID]],TableauProduit[ID],TableauProduit[Total (kg) N2],0,0,1)*TableauRecette[[#This Row],[poids / unite]]</f>
        <v>2</v>
      </c>
      <c r="N452" s="883">
        <f>_xlfn.XLOOKUP(TableauRecette[[#This Row],[ID]],TableauProduit[ID],TableauProduit[Total (kg) N3],0,0,1)*TableauRecette[[#This Row],[poids / unite]]</f>
        <v>2</v>
      </c>
      <c r="O452" s="883">
        <f>_xlfn.XLOOKUP(TableauRecette[[#This Row],[ID]],TableauProduit[ID],TableauProduit[Total (kg) N4],0,0,1)*TableauRecette[[#This Row],[poids / unite]]</f>
        <v>2</v>
      </c>
      <c r="P452" s="883">
        <f>_xlfn.XLOOKUP(TableauRecette[[#This Row],[ID]],TableauProduit[ID],TableauProduit[Total (kg) N5],0,0,1)*TableauRecette[[#This Row],[poids / unite]]</f>
        <v>2</v>
      </c>
      <c r="Q452" s="883">
        <f>_xlfn.XLOOKUP(TableauRecette[[#This Row],[ID]],TableauProduit[ID],TableauProduit[Total (kg) N6],0,0,1)*TableauRecette[[#This Row],[poids / unite]]</f>
        <v>2</v>
      </c>
      <c r="R452" s="883">
        <f>_xlfn.XLOOKUP(TableauRecette[[#This Row],[ID]],TableauProduit[ID],TableauProduit[Total (kg) N7],0,0,1)*TableauRecette[[#This Row],[poids / unite]]</f>
        <v>2</v>
      </c>
      <c r="S452" s="883">
        <f>_xlfn.XLOOKUP(TableauRecette[[#This Row],[ID]],TableauProduit[ID],TableauProduit[Total (kg) N8],0,0,1)*TableauRecette[[#This Row],[poids / unite]]</f>
        <v>2</v>
      </c>
      <c r="T452" s="883">
        <f>_xlfn.XLOOKUP(TableauRecette[[#This Row],[ID]],TableauProduit[ID],TableauProduit[Total (kg) N9],0,0,1)*TableauRecette[[#This Row],[poids / unite]]</f>
        <v>2</v>
      </c>
    </row>
    <row r="453" spans="1:20">
      <c r="A453" s="548" t="s">
        <v>75</v>
      </c>
      <c r="B453" s="109" t="str">
        <f>TableauRecette[[#This Row],[Recette]]&amp;TableauRecette[[#This Row],[Conditionnement]]</f>
        <v>ZaatarEpice 100ml</v>
      </c>
      <c r="C453" s="109" t="s">
        <v>371</v>
      </c>
      <c r="D453" s="232">
        <v>2</v>
      </c>
      <c r="E453" s="109" t="s">
        <v>55</v>
      </c>
      <c r="F453" s="232">
        <f>D453/SUMIFS(TableauRecette[Proportion],TableauRecette[Recette],TableauRecette[[#This Row],[Recette]],TableauRecette[Conditionnement],TableauRecette[[#This Row],[Conditionnement]])</f>
        <v>0.22222222222222221</v>
      </c>
      <c r="G453" s="232">
        <f ca="1">_xlfn.XLOOKUP(TableauRecette[[#This Row],[Ingredients]],TableauIngredients[Ingredients],TableauIngredients[Prix d''achat (kg)],0)*TableauRecette[[#This Row],[poids / unite]]</f>
        <v>0</v>
      </c>
      <c r="H453" s="232">
        <f>SUMIFS(TableauRecette[Proportion],TableauRecette[Recette],TableauRecette[[#This Row],[Recette]],TableauRecette[Conditionnement],TableauRecette[[#This Row],[Conditionnement]])</f>
        <v>9</v>
      </c>
      <c r="I453" s="232">
        <f ca="1">TableauRecette[[#This Row],[Proportion]]*TableauRecette[[#This Row],[Prix d''achat / kg]]/TableauRecette[[#This Row],[Total Proportion]]</f>
        <v>0</v>
      </c>
      <c r="J453" s="232"/>
      <c r="K453" s="881"/>
      <c r="L453" s="882">
        <f>_xlfn.XLOOKUP(TableauRecette[[#This Row],[ID]],TableauProduit[ID],TableauProduit[Total (kg) N1],0,0,1)*TableauRecette[[#This Row],[poids / unite]]</f>
        <v>2</v>
      </c>
      <c r="M453" s="883">
        <f>_xlfn.XLOOKUP(TableauRecette[[#This Row],[ID]],TableauProduit[ID],TableauProduit[Total (kg) N2],0,0,1)*TableauRecette[[#This Row],[poids / unite]]</f>
        <v>2</v>
      </c>
      <c r="N453" s="883">
        <f>_xlfn.XLOOKUP(TableauRecette[[#This Row],[ID]],TableauProduit[ID],TableauProduit[Total (kg) N3],0,0,1)*TableauRecette[[#This Row],[poids / unite]]</f>
        <v>2</v>
      </c>
      <c r="O453" s="883">
        <f>_xlfn.XLOOKUP(TableauRecette[[#This Row],[ID]],TableauProduit[ID],TableauProduit[Total (kg) N4],0,0,1)*TableauRecette[[#This Row],[poids / unite]]</f>
        <v>2</v>
      </c>
      <c r="P453" s="883">
        <f>_xlfn.XLOOKUP(TableauRecette[[#This Row],[ID]],TableauProduit[ID],TableauProduit[Total (kg) N5],0,0,1)*TableauRecette[[#This Row],[poids / unite]]</f>
        <v>2</v>
      </c>
      <c r="Q453" s="883">
        <f>_xlfn.XLOOKUP(TableauRecette[[#This Row],[ID]],TableauProduit[ID],TableauProduit[Total (kg) N6],0,0,1)*TableauRecette[[#This Row],[poids / unite]]</f>
        <v>2</v>
      </c>
      <c r="R453" s="883">
        <f>_xlfn.XLOOKUP(TableauRecette[[#This Row],[ID]],TableauProduit[ID],TableauProduit[Total (kg) N7],0,0,1)*TableauRecette[[#This Row],[poids / unite]]</f>
        <v>2</v>
      </c>
      <c r="S453" s="883">
        <f>_xlfn.XLOOKUP(TableauRecette[[#This Row],[ID]],TableauProduit[ID],TableauProduit[Total (kg) N8],0,0,1)*TableauRecette[[#This Row],[poids / unite]]</f>
        <v>2</v>
      </c>
      <c r="T453" s="883">
        <f>_xlfn.XLOOKUP(TableauRecette[[#This Row],[ID]],TableauProduit[ID],TableauProduit[Total (kg) N9],0,0,1)*TableauRecette[[#This Row],[poids / unite]]</f>
        <v>2</v>
      </c>
    </row>
    <row r="454" spans="1:20">
      <c r="A454" s="544" t="s">
        <v>92</v>
      </c>
      <c r="B454" s="110" t="str">
        <f>TableauRecette[[#This Row],[Recette]]&amp;TableauRecette[[#This Row],[Conditionnement]]</f>
        <v>ZhugEpice 100ml</v>
      </c>
      <c r="C454" s="110" t="s">
        <v>339</v>
      </c>
      <c r="D454" s="233">
        <v>12</v>
      </c>
      <c r="E454" s="110" t="s">
        <v>55</v>
      </c>
      <c r="F454" s="233">
        <f>D454/SUMIFS(TableauRecette[Proportion],TableauRecette[Recette],TableauRecette[[#This Row],[Recette]],TableauRecette[Conditionnement],TableauRecette[[#This Row],[Conditionnement]])</f>
        <v>5.7553956834532377E-2</v>
      </c>
      <c r="G454" s="233">
        <f ca="1">_xlfn.XLOOKUP(TableauRecette[[#This Row],[Ingredients]],TableauIngredients[Ingredients],TableauIngredients[Prix d''achat (kg)],0)*TableauRecette[[#This Row],[poids / unite]]</f>
        <v>0</v>
      </c>
      <c r="H454" s="233">
        <f>SUMIFS(TableauRecette[Proportion],TableauRecette[Recette],TableauRecette[[#This Row],[Recette]],TableauRecette[Conditionnement],TableauRecette[[#This Row],[Conditionnement]])</f>
        <v>208.5</v>
      </c>
      <c r="I454" s="233">
        <f ca="1">TableauRecette[[#This Row],[Proportion]]*TableauRecette[[#This Row],[Prix d''achat / kg]]/TableauRecette[[#This Row],[Total Proportion]]</f>
        <v>0</v>
      </c>
      <c r="J454" s="233"/>
      <c r="K454" s="884"/>
      <c r="L454" s="885">
        <f>_xlfn.XLOOKUP(TableauRecette[[#This Row],[ID]],TableauProduit[ID],TableauProduit[Total (kg) N1],0,0,1)*TableauRecette[[#This Row],[poids / unite]]</f>
        <v>0</v>
      </c>
      <c r="M454" s="886">
        <f>_xlfn.XLOOKUP(TableauRecette[[#This Row],[ID]],TableauProduit[ID],TableauProduit[Total (kg) N2],0,0,1)*TableauRecette[[#This Row],[poids / unite]]</f>
        <v>0</v>
      </c>
      <c r="N454" s="886">
        <f>_xlfn.XLOOKUP(TableauRecette[[#This Row],[ID]],TableauProduit[ID],TableauProduit[Total (kg) N3],0,0,1)*TableauRecette[[#This Row],[poids / unite]]</f>
        <v>0</v>
      </c>
      <c r="O454" s="886">
        <f>_xlfn.XLOOKUP(TableauRecette[[#This Row],[ID]],TableauProduit[ID],TableauProduit[Total (kg) N4],0,0,1)*TableauRecette[[#This Row],[poids / unite]]</f>
        <v>0</v>
      </c>
      <c r="P454" s="886">
        <f>_xlfn.XLOOKUP(TableauRecette[[#This Row],[ID]],TableauProduit[ID],TableauProduit[Total (kg) N5],0,0,1)*TableauRecette[[#This Row],[poids / unite]]</f>
        <v>0</v>
      </c>
      <c r="Q454" s="886">
        <f>_xlfn.XLOOKUP(TableauRecette[[#This Row],[ID]],TableauProduit[ID],TableauProduit[Total (kg) N6],0,0,1)*TableauRecette[[#This Row],[poids / unite]]</f>
        <v>0</v>
      </c>
      <c r="R454" s="886">
        <f>_xlfn.XLOOKUP(TableauRecette[[#This Row],[ID]],TableauProduit[ID],TableauProduit[Total (kg) N7],0,0,1)*TableauRecette[[#This Row],[poids / unite]]</f>
        <v>0</v>
      </c>
      <c r="S454" s="886">
        <f>_xlfn.XLOOKUP(TableauRecette[[#This Row],[ID]],TableauProduit[ID],TableauProduit[Total (kg) N8],0,0,1)*TableauRecette[[#This Row],[poids / unite]]</f>
        <v>0</v>
      </c>
      <c r="T454" s="886">
        <f>_xlfn.XLOOKUP(TableauRecette[[#This Row],[ID]],TableauProduit[ID],TableauProduit[Total (kg) N9],0,0,1)*TableauRecette[[#This Row],[poids / unite]]</f>
        <v>0</v>
      </c>
    </row>
    <row r="455" spans="1:20">
      <c r="A455" s="544" t="s">
        <v>92</v>
      </c>
      <c r="B455" s="110" t="str">
        <f>TableauRecette[[#This Row],[Recette]]&amp;TableauRecette[[#This Row],[Conditionnement]]</f>
        <v>ZhugEpice 100ml</v>
      </c>
      <c r="C455" s="110" t="s">
        <v>283</v>
      </c>
      <c r="D455" s="233">
        <v>2.1</v>
      </c>
      <c r="E455" s="110" t="s">
        <v>55</v>
      </c>
      <c r="F455" s="233">
        <f>D455/SUMIFS(TableauRecette[Proportion],TableauRecette[Recette],TableauRecette[[#This Row],[Recette]],TableauRecette[Conditionnement],TableauRecette[[#This Row],[Conditionnement]])</f>
        <v>1.0071942446043166E-2</v>
      </c>
      <c r="G455" s="233">
        <f ca="1">_xlfn.XLOOKUP(TableauRecette[[#This Row],[Ingredients]],TableauIngredients[Ingredients],TableauIngredients[Prix d''achat (kg)],0)*TableauRecette[[#This Row],[poids / unite]]</f>
        <v>1.1486597122302158</v>
      </c>
      <c r="H455" s="233">
        <f>SUMIFS(TableauRecette[Proportion],TableauRecette[Recette],TableauRecette[[#This Row],[Recette]],TableauRecette[Conditionnement],TableauRecette[[#This Row],[Conditionnement]])</f>
        <v>208.5</v>
      </c>
      <c r="I455" s="233">
        <f ca="1">TableauRecette[[#This Row],[Proportion]]*TableauRecette[[#This Row],[Prix d''achat / kg]]/TableauRecette[[#This Row],[Total Proportion]]</f>
        <v>0</v>
      </c>
      <c r="J455" s="233"/>
      <c r="K455" s="884"/>
      <c r="L455" s="885">
        <f>_xlfn.XLOOKUP(TableauRecette[[#This Row],[ID]],TableauProduit[ID],TableauProduit[Total (kg) N1],0,0,1)*TableauRecette[[#This Row],[poids / unite]]</f>
        <v>0</v>
      </c>
      <c r="M455" s="886">
        <f>_xlfn.XLOOKUP(TableauRecette[[#This Row],[ID]],TableauProduit[ID],TableauProduit[Total (kg) N2],0,0,1)*TableauRecette[[#This Row],[poids / unite]]</f>
        <v>0</v>
      </c>
      <c r="N455" s="886">
        <f>_xlfn.XLOOKUP(TableauRecette[[#This Row],[ID]],TableauProduit[ID],TableauProduit[Total (kg) N3],0,0,1)*TableauRecette[[#This Row],[poids / unite]]</f>
        <v>0</v>
      </c>
      <c r="O455" s="886">
        <f>_xlfn.XLOOKUP(TableauRecette[[#This Row],[ID]],TableauProduit[ID],TableauProduit[Total (kg) N4],0,0,1)*TableauRecette[[#This Row],[poids / unite]]</f>
        <v>0</v>
      </c>
      <c r="P455" s="886">
        <f>_xlfn.XLOOKUP(TableauRecette[[#This Row],[ID]],TableauProduit[ID],TableauProduit[Total (kg) N5],0,0,1)*TableauRecette[[#This Row],[poids / unite]]</f>
        <v>0</v>
      </c>
      <c r="Q455" s="886">
        <f>_xlfn.XLOOKUP(TableauRecette[[#This Row],[ID]],TableauProduit[ID],TableauProduit[Total (kg) N6],0,0,1)*TableauRecette[[#This Row],[poids / unite]]</f>
        <v>0</v>
      </c>
      <c r="R455" s="886">
        <f>_xlfn.XLOOKUP(TableauRecette[[#This Row],[ID]],TableauProduit[ID],TableauProduit[Total (kg) N7],0,0,1)*TableauRecette[[#This Row],[poids / unite]]</f>
        <v>0</v>
      </c>
      <c r="S455" s="886">
        <f>_xlfn.XLOOKUP(TableauRecette[[#This Row],[ID]],TableauProduit[ID],TableauProduit[Total (kg) N8],0,0,1)*TableauRecette[[#This Row],[poids / unite]]</f>
        <v>0</v>
      </c>
      <c r="T455" s="886">
        <f>_xlfn.XLOOKUP(TableauRecette[[#This Row],[ID]],TableauProduit[ID],TableauProduit[Total (kg) N9],0,0,1)*TableauRecette[[#This Row],[poids / unite]]</f>
        <v>0</v>
      </c>
    </row>
    <row r="456" spans="1:20">
      <c r="A456" s="544" t="s">
        <v>92</v>
      </c>
      <c r="B456" s="110" t="str">
        <f>TableauRecette[[#This Row],[Recette]]&amp;TableauRecette[[#This Row],[Conditionnement]]</f>
        <v>ZhugEpice 100ml</v>
      </c>
      <c r="C456" s="110" t="s">
        <v>289</v>
      </c>
      <c r="D456" s="233">
        <v>2.4</v>
      </c>
      <c r="E456" s="110" t="s">
        <v>55</v>
      </c>
      <c r="F456" s="233">
        <f>D456/SUMIFS(TableauRecette[Proportion],TableauRecette[Recette],TableauRecette[[#This Row],[Recette]],TableauRecette[Conditionnement],TableauRecette[[#This Row],[Conditionnement]])</f>
        <v>1.1510791366906475E-2</v>
      </c>
      <c r="G456" s="233">
        <f ca="1">_xlfn.XLOOKUP(TableauRecette[[#This Row],[Ingredients]],TableauIngredients[Ingredients],TableauIngredients[Prix d''achat (kg)],0)*TableauRecette[[#This Row],[poids / unite]]</f>
        <v>0</v>
      </c>
      <c r="H456" s="233">
        <f>SUMIFS(TableauRecette[Proportion],TableauRecette[Recette],TableauRecette[[#This Row],[Recette]],TableauRecette[Conditionnement],TableauRecette[[#This Row],[Conditionnement]])</f>
        <v>208.5</v>
      </c>
      <c r="I456" s="233">
        <f ca="1">TableauRecette[[#This Row],[Proportion]]*TableauRecette[[#This Row],[Prix d''achat / kg]]/TableauRecette[[#This Row],[Total Proportion]]</f>
        <v>0</v>
      </c>
      <c r="J456" s="233"/>
      <c r="K456" s="884"/>
      <c r="L456" s="885">
        <f>_xlfn.XLOOKUP(TableauRecette[[#This Row],[ID]],TableauProduit[ID],TableauProduit[Total (kg) N1],0,0,1)*TableauRecette[[#This Row],[poids / unite]]</f>
        <v>0</v>
      </c>
      <c r="M456" s="886">
        <f>_xlfn.XLOOKUP(TableauRecette[[#This Row],[ID]],TableauProduit[ID],TableauProduit[Total (kg) N2],0,0,1)*TableauRecette[[#This Row],[poids / unite]]</f>
        <v>0</v>
      </c>
      <c r="N456" s="886">
        <f>_xlfn.XLOOKUP(TableauRecette[[#This Row],[ID]],TableauProduit[ID],TableauProduit[Total (kg) N3],0,0,1)*TableauRecette[[#This Row],[poids / unite]]</f>
        <v>0</v>
      </c>
      <c r="O456" s="886">
        <f>_xlfn.XLOOKUP(TableauRecette[[#This Row],[ID]],TableauProduit[ID],TableauProduit[Total (kg) N4],0,0,1)*TableauRecette[[#This Row],[poids / unite]]</f>
        <v>0</v>
      </c>
      <c r="P456" s="886">
        <f>_xlfn.XLOOKUP(TableauRecette[[#This Row],[ID]],TableauProduit[ID],TableauProduit[Total (kg) N5],0,0,1)*TableauRecette[[#This Row],[poids / unite]]</f>
        <v>0</v>
      </c>
      <c r="Q456" s="886">
        <f>_xlfn.XLOOKUP(TableauRecette[[#This Row],[ID]],TableauProduit[ID],TableauProduit[Total (kg) N6],0,0,1)*TableauRecette[[#This Row],[poids / unite]]</f>
        <v>0</v>
      </c>
      <c r="R456" s="886">
        <f>_xlfn.XLOOKUP(TableauRecette[[#This Row],[ID]],TableauProduit[ID],TableauProduit[Total (kg) N7],0,0,1)*TableauRecette[[#This Row],[poids / unite]]</f>
        <v>0</v>
      </c>
      <c r="S456" s="886">
        <f>_xlfn.XLOOKUP(TableauRecette[[#This Row],[ID]],TableauProduit[ID],TableauProduit[Total (kg) N8],0,0,1)*TableauRecette[[#This Row],[poids / unite]]</f>
        <v>0</v>
      </c>
      <c r="T456" s="886">
        <f>_xlfn.XLOOKUP(TableauRecette[[#This Row],[ID]],TableauProduit[ID],TableauProduit[Total (kg) N9],0,0,1)*TableauRecette[[#This Row],[poids / unite]]</f>
        <v>0</v>
      </c>
    </row>
    <row r="457" spans="1:20">
      <c r="A457" s="544" t="s">
        <v>92</v>
      </c>
      <c r="B457" s="110" t="str">
        <f>TableauRecette[[#This Row],[Recette]]&amp;TableauRecette[[#This Row],[Conditionnement]]</f>
        <v>ZhugEpice 100ml</v>
      </c>
      <c r="C457" s="110" t="s">
        <v>290</v>
      </c>
      <c r="D457" s="233">
        <v>1</v>
      </c>
      <c r="E457" s="110" t="s">
        <v>55</v>
      </c>
      <c r="F457" s="233">
        <f>D457/SUMIFS(TableauRecette[Proportion],TableauRecette[Recette],TableauRecette[[#This Row],[Recette]],TableauRecette[Conditionnement],TableauRecette[[#This Row],[Conditionnement]])</f>
        <v>4.7961630695443642E-3</v>
      </c>
      <c r="G457" s="233">
        <f ca="1">_xlfn.XLOOKUP(TableauRecette[[#This Row],[Ingredients]],TableauIngredients[Ingredients],TableauIngredients[Prix d''achat (kg)],0)*TableauRecette[[#This Row],[poids / unite]]</f>
        <v>0</v>
      </c>
      <c r="H457" s="233">
        <f>SUMIFS(TableauRecette[Proportion],TableauRecette[Recette],TableauRecette[[#This Row],[Recette]],TableauRecette[Conditionnement],TableauRecette[[#This Row],[Conditionnement]])</f>
        <v>208.5</v>
      </c>
      <c r="I457" s="233">
        <f ca="1">TableauRecette[[#This Row],[Proportion]]*TableauRecette[[#This Row],[Prix d''achat / kg]]/TableauRecette[[#This Row],[Total Proportion]]</f>
        <v>0</v>
      </c>
      <c r="J457" s="233"/>
      <c r="K457" s="884"/>
      <c r="L457" s="885">
        <f>_xlfn.XLOOKUP(TableauRecette[[#This Row],[ID]],TableauProduit[ID],TableauProduit[Total (kg) N1],0,0,1)*TableauRecette[[#This Row],[poids / unite]]</f>
        <v>0</v>
      </c>
      <c r="M457" s="886">
        <f>_xlfn.XLOOKUP(TableauRecette[[#This Row],[ID]],TableauProduit[ID],TableauProduit[Total (kg) N2],0,0,1)*TableauRecette[[#This Row],[poids / unite]]</f>
        <v>0</v>
      </c>
      <c r="N457" s="886">
        <f>_xlfn.XLOOKUP(TableauRecette[[#This Row],[ID]],TableauProduit[ID],TableauProduit[Total (kg) N3],0,0,1)*TableauRecette[[#This Row],[poids / unite]]</f>
        <v>0</v>
      </c>
      <c r="O457" s="886">
        <f>_xlfn.XLOOKUP(TableauRecette[[#This Row],[ID]],TableauProduit[ID],TableauProduit[Total (kg) N4],0,0,1)*TableauRecette[[#This Row],[poids / unite]]</f>
        <v>0</v>
      </c>
      <c r="P457" s="886">
        <f>_xlfn.XLOOKUP(TableauRecette[[#This Row],[ID]],TableauProduit[ID],TableauProduit[Total (kg) N5],0,0,1)*TableauRecette[[#This Row],[poids / unite]]</f>
        <v>0</v>
      </c>
      <c r="Q457" s="886">
        <f>_xlfn.XLOOKUP(TableauRecette[[#This Row],[ID]],TableauProduit[ID],TableauProduit[Total (kg) N6],0,0,1)*TableauRecette[[#This Row],[poids / unite]]</f>
        <v>0</v>
      </c>
      <c r="R457" s="886">
        <f>_xlfn.XLOOKUP(TableauRecette[[#This Row],[ID]],TableauProduit[ID],TableauProduit[Total (kg) N7],0,0,1)*TableauRecette[[#This Row],[poids / unite]]</f>
        <v>0</v>
      </c>
      <c r="S457" s="886">
        <f>_xlfn.XLOOKUP(TableauRecette[[#This Row],[ID]],TableauProduit[ID],TableauProduit[Total (kg) N8],0,0,1)*TableauRecette[[#This Row],[poids / unite]]</f>
        <v>0</v>
      </c>
      <c r="T457" s="886">
        <f>_xlfn.XLOOKUP(TableauRecette[[#This Row],[ID]],TableauProduit[ID],TableauProduit[Total (kg) N9],0,0,1)*TableauRecette[[#This Row],[poids / unite]]</f>
        <v>0</v>
      </c>
    </row>
    <row r="458" spans="1:20">
      <c r="A458" s="544" t="s">
        <v>92</v>
      </c>
      <c r="B458" s="110" t="str">
        <f>TableauRecette[[#This Row],[Recette]]&amp;TableauRecette[[#This Row],[Conditionnement]]</f>
        <v>ZhugEpice 100ml</v>
      </c>
      <c r="C458" s="110" t="s">
        <v>413</v>
      </c>
      <c r="D458" s="233">
        <v>30</v>
      </c>
      <c r="E458" s="110" t="s">
        <v>55</v>
      </c>
      <c r="F458" s="233">
        <f>D458/SUMIFS(TableauRecette[Proportion],TableauRecette[Recette],TableauRecette[[#This Row],[Recette]],TableauRecette[Conditionnement],TableauRecette[[#This Row],[Conditionnement]])</f>
        <v>0.14388489208633093</v>
      </c>
      <c r="G458" s="233">
        <f ca="1">_xlfn.XLOOKUP(TableauRecette[[#This Row],[Ingredients]],TableauIngredients[Ingredients],TableauIngredients[Prix d''achat (kg)],0)*TableauRecette[[#This Row],[poids / unite]]</f>
        <v>0</v>
      </c>
      <c r="H458" s="233">
        <f>SUMIFS(TableauRecette[Proportion],TableauRecette[Recette],TableauRecette[[#This Row],[Recette]],TableauRecette[Conditionnement],TableauRecette[[#This Row],[Conditionnement]])</f>
        <v>208.5</v>
      </c>
      <c r="I458" s="233">
        <f ca="1">TableauRecette[[#This Row],[Proportion]]*TableauRecette[[#This Row],[Prix d''achat / kg]]/TableauRecette[[#This Row],[Total Proportion]]</f>
        <v>0</v>
      </c>
      <c r="J458" s="233"/>
      <c r="K458" s="884"/>
      <c r="L458" s="885">
        <f>_xlfn.XLOOKUP(TableauRecette[[#This Row],[ID]],TableauProduit[ID],TableauProduit[Total (kg) N1],0,0,1)*TableauRecette[[#This Row],[poids / unite]]</f>
        <v>0</v>
      </c>
      <c r="M458" s="886">
        <f>_xlfn.XLOOKUP(TableauRecette[[#This Row],[ID]],TableauProduit[ID],TableauProduit[Total (kg) N2],0,0,1)*TableauRecette[[#This Row],[poids / unite]]</f>
        <v>0</v>
      </c>
      <c r="N458" s="886">
        <f>_xlfn.XLOOKUP(TableauRecette[[#This Row],[ID]],TableauProduit[ID],TableauProduit[Total (kg) N3],0,0,1)*TableauRecette[[#This Row],[poids / unite]]</f>
        <v>0</v>
      </c>
      <c r="O458" s="886">
        <f>_xlfn.XLOOKUP(TableauRecette[[#This Row],[ID]],TableauProduit[ID],TableauProduit[Total (kg) N4],0,0,1)*TableauRecette[[#This Row],[poids / unite]]</f>
        <v>0</v>
      </c>
      <c r="P458" s="886">
        <f>_xlfn.XLOOKUP(TableauRecette[[#This Row],[ID]],TableauProduit[ID],TableauProduit[Total (kg) N5],0,0,1)*TableauRecette[[#This Row],[poids / unite]]</f>
        <v>0</v>
      </c>
      <c r="Q458" s="886">
        <f>_xlfn.XLOOKUP(TableauRecette[[#This Row],[ID]],TableauProduit[ID],TableauProduit[Total (kg) N6],0,0,1)*TableauRecette[[#This Row],[poids / unite]]</f>
        <v>0</v>
      </c>
      <c r="R458" s="886">
        <f>_xlfn.XLOOKUP(TableauRecette[[#This Row],[ID]],TableauProduit[ID],TableauProduit[Total (kg) N7],0,0,1)*TableauRecette[[#This Row],[poids / unite]]</f>
        <v>0</v>
      </c>
      <c r="S458" s="886">
        <f>_xlfn.XLOOKUP(TableauRecette[[#This Row],[ID]],TableauProduit[ID],TableauProduit[Total (kg) N8],0,0,1)*TableauRecette[[#This Row],[poids / unite]]</f>
        <v>0</v>
      </c>
      <c r="T458" s="886">
        <f>_xlfn.XLOOKUP(TableauRecette[[#This Row],[ID]],TableauProduit[ID],TableauProduit[Total (kg) N9],0,0,1)*TableauRecette[[#This Row],[poids / unite]]</f>
        <v>0</v>
      </c>
    </row>
    <row r="459" spans="1:20">
      <c r="A459" s="544" t="s">
        <v>92</v>
      </c>
      <c r="B459" s="110" t="str">
        <f>TableauRecette[[#This Row],[Recette]]&amp;TableauRecette[[#This Row],[Conditionnement]]</f>
        <v>ZhugEpice 100ml</v>
      </c>
      <c r="C459" s="110" t="s">
        <v>411</v>
      </c>
      <c r="D459" s="233">
        <v>50</v>
      </c>
      <c r="E459" s="110" t="s">
        <v>55</v>
      </c>
      <c r="F459" s="233">
        <f>D459/SUMIFS(TableauRecette[Proportion],TableauRecette[Recette],TableauRecette[[#This Row],[Recette]],TableauRecette[Conditionnement],TableauRecette[[#This Row],[Conditionnement]])</f>
        <v>0.23980815347721823</v>
      </c>
      <c r="G459" s="233">
        <f ca="1">_xlfn.XLOOKUP(TableauRecette[[#This Row],[Ingredients]],TableauIngredients[Ingredients],TableauIngredients[Prix d''achat (kg)],0)*TableauRecette[[#This Row],[poids / unite]]</f>
        <v>0</v>
      </c>
      <c r="H459" s="233">
        <f>SUMIFS(TableauRecette[Proportion],TableauRecette[Recette],TableauRecette[[#This Row],[Recette]],TableauRecette[Conditionnement],TableauRecette[[#This Row],[Conditionnement]])</f>
        <v>208.5</v>
      </c>
      <c r="I459" s="233">
        <f ca="1">TableauRecette[[#This Row],[Proportion]]*TableauRecette[[#This Row],[Prix d''achat / kg]]/TableauRecette[[#This Row],[Total Proportion]]</f>
        <v>0</v>
      </c>
      <c r="J459" s="233"/>
      <c r="K459" s="884"/>
      <c r="L459" s="885">
        <f>_xlfn.XLOOKUP(TableauRecette[[#This Row],[ID]],TableauProduit[ID],TableauProduit[Total (kg) N1],0,0,1)*TableauRecette[[#This Row],[poids / unite]]</f>
        <v>0</v>
      </c>
      <c r="M459" s="886">
        <f>_xlfn.XLOOKUP(TableauRecette[[#This Row],[ID]],TableauProduit[ID],TableauProduit[Total (kg) N2],0,0,1)*TableauRecette[[#This Row],[poids / unite]]</f>
        <v>0</v>
      </c>
      <c r="N459" s="886">
        <f>_xlfn.XLOOKUP(TableauRecette[[#This Row],[ID]],TableauProduit[ID],TableauProduit[Total (kg) N3],0,0,1)*TableauRecette[[#This Row],[poids / unite]]</f>
        <v>0</v>
      </c>
      <c r="O459" s="886">
        <f>_xlfn.XLOOKUP(TableauRecette[[#This Row],[ID]],TableauProduit[ID],TableauProduit[Total (kg) N4],0,0,1)*TableauRecette[[#This Row],[poids / unite]]</f>
        <v>0</v>
      </c>
      <c r="P459" s="886">
        <f>_xlfn.XLOOKUP(TableauRecette[[#This Row],[ID]],TableauProduit[ID],TableauProduit[Total (kg) N5],0,0,1)*TableauRecette[[#This Row],[poids / unite]]</f>
        <v>0</v>
      </c>
      <c r="Q459" s="886">
        <f>_xlfn.XLOOKUP(TableauRecette[[#This Row],[ID]],TableauProduit[ID],TableauProduit[Total (kg) N6],0,0,1)*TableauRecette[[#This Row],[poids / unite]]</f>
        <v>0</v>
      </c>
      <c r="R459" s="886">
        <f>_xlfn.XLOOKUP(TableauRecette[[#This Row],[ID]],TableauProduit[ID],TableauProduit[Total (kg) N7],0,0,1)*TableauRecette[[#This Row],[poids / unite]]</f>
        <v>0</v>
      </c>
      <c r="S459" s="886">
        <f>_xlfn.XLOOKUP(TableauRecette[[#This Row],[ID]],TableauProduit[ID],TableauProduit[Total (kg) N8],0,0,1)*TableauRecette[[#This Row],[poids / unite]]</f>
        <v>0</v>
      </c>
      <c r="T459" s="886">
        <f>_xlfn.XLOOKUP(TableauRecette[[#This Row],[ID]],TableauProduit[ID],TableauProduit[Total (kg) N9],0,0,1)*TableauRecette[[#This Row],[poids / unite]]</f>
        <v>0</v>
      </c>
    </row>
    <row r="460" spans="1:20">
      <c r="A460" s="544" t="s">
        <v>92</v>
      </c>
      <c r="B460" s="110" t="str">
        <f>TableauRecette[[#This Row],[Recette]]&amp;TableauRecette[[#This Row],[Conditionnement]]</f>
        <v>ZhugEpice 100ml</v>
      </c>
      <c r="C460" s="110" t="s">
        <v>327</v>
      </c>
      <c r="D460" s="233">
        <v>50</v>
      </c>
      <c r="E460" s="110" t="s">
        <v>55</v>
      </c>
      <c r="F460" s="233">
        <f>D460/SUMIFS(TableauRecette[Proportion],TableauRecette[Recette],TableauRecette[[#This Row],[Recette]],TableauRecette[Conditionnement],TableauRecette[[#This Row],[Conditionnement]])</f>
        <v>0.23980815347721823</v>
      </c>
      <c r="G460" s="233">
        <f ca="1">_xlfn.XLOOKUP(TableauRecette[[#This Row],[Ingredients]],TableauIngredients[Ingredients],TableauIngredients[Prix d''achat (kg)],0)*TableauRecette[[#This Row],[poids / unite]]</f>
        <v>0</v>
      </c>
      <c r="H460" s="233">
        <f>SUMIFS(TableauRecette[Proportion],TableauRecette[Recette],TableauRecette[[#This Row],[Recette]],TableauRecette[Conditionnement],TableauRecette[[#This Row],[Conditionnement]])</f>
        <v>208.5</v>
      </c>
      <c r="I460" s="233">
        <f ca="1">TableauRecette[[#This Row],[Proportion]]*TableauRecette[[#This Row],[Prix d''achat / kg]]/TableauRecette[[#This Row],[Total Proportion]]</f>
        <v>0</v>
      </c>
      <c r="J460" s="233"/>
      <c r="K460" s="884"/>
      <c r="L460" s="885">
        <f>_xlfn.XLOOKUP(TableauRecette[[#This Row],[ID]],TableauProduit[ID],TableauProduit[Total (kg) N1],0,0,1)*TableauRecette[[#This Row],[poids / unite]]</f>
        <v>0</v>
      </c>
      <c r="M460" s="886">
        <f>_xlfn.XLOOKUP(TableauRecette[[#This Row],[ID]],TableauProduit[ID],TableauProduit[Total (kg) N2],0,0,1)*TableauRecette[[#This Row],[poids / unite]]</f>
        <v>0</v>
      </c>
      <c r="N460" s="886">
        <f>_xlfn.XLOOKUP(TableauRecette[[#This Row],[ID]],TableauProduit[ID],TableauProduit[Total (kg) N3],0,0,1)*TableauRecette[[#This Row],[poids / unite]]</f>
        <v>0</v>
      </c>
      <c r="O460" s="886">
        <f>_xlfn.XLOOKUP(TableauRecette[[#This Row],[ID]],TableauProduit[ID],TableauProduit[Total (kg) N4],0,0,1)*TableauRecette[[#This Row],[poids / unite]]</f>
        <v>0</v>
      </c>
      <c r="P460" s="886">
        <f>_xlfn.XLOOKUP(TableauRecette[[#This Row],[ID]],TableauProduit[ID],TableauProduit[Total (kg) N5],0,0,1)*TableauRecette[[#This Row],[poids / unite]]</f>
        <v>0</v>
      </c>
      <c r="Q460" s="886">
        <f>_xlfn.XLOOKUP(TableauRecette[[#This Row],[ID]],TableauProduit[ID],TableauProduit[Total (kg) N6],0,0,1)*TableauRecette[[#This Row],[poids / unite]]</f>
        <v>0</v>
      </c>
      <c r="R460" s="886">
        <f>_xlfn.XLOOKUP(TableauRecette[[#This Row],[ID]],TableauProduit[ID],TableauProduit[Total (kg) N7],0,0,1)*TableauRecette[[#This Row],[poids / unite]]</f>
        <v>0</v>
      </c>
      <c r="S460" s="886">
        <f>_xlfn.XLOOKUP(TableauRecette[[#This Row],[ID]],TableauProduit[ID],TableauProduit[Total (kg) N8],0,0,1)*TableauRecette[[#This Row],[poids / unite]]</f>
        <v>0</v>
      </c>
      <c r="T460" s="886">
        <f>_xlfn.XLOOKUP(TableauRecette[[#This Row],[ID]],TableauProduit[ID],TableauProduit[Total (kg) N9],0,0,1)*TableauRecette[[#This Row],[poids / unite]]</f>
        <v>0</v>
      </c>
    </row>
    <row r="461" spans="1:20">
      <c r="A461" s="544" t="s">
        <v>92</v>
      </c>
      <c r="B461" s="110" t="str">
        <f>TableauRecette[[#This Row],[Recette]]&amp;TableauRecette[[#This Row],[Conditionnement]]</f>
        <v>ZhugEpice 100ml</v>
      </c>
      <c r="C461" s="110" t="s">
        <v>341</v>
      </c>
      <c r="D461" s="233">
        <v>16</v>
      </c>
      <c r="E461" s="110" t="s">
        <v>55</v>
      </c>
      <c r="F461" s="233">
        <f>D461/SUMIFS(TableauRecette[Proportion],TableauRecette[Recette],TableauRecette[[#This Row],[Recette]],TableauRecette[Conditionnement],TableauRecette[[#This Row],[Conditionnement]])</f>
        <v>7.6738609112709827E-2</v>
      </c>
      <c r="G461" s="233">
        <f ca="1">_xlfn.XLOOKUP(TableauRecette[[#This Row],[Ingredients]],TableauIngredients[Ingredients],TableauIngredients[Prix d''achat (kg)],0)*TableauRecette[[#This Row],[poids / unite]]</f>
        <v>0.61390887290167862</v>
      </c>
      <c r="H461" s="233">
        <f>SUMIFS(TableauRecette[Proportion],TableauRecette[Recette],TableauRecette[[#This Row],[Recette]],TableauRecette[Conditionnement],TableauRecette[[#This Row],[Conditionnement]])</f>
        <v>208.5</v>
      </c>
      <c r="I461" s="233">
        <f ca="1">TableauRecette[[#This Row],[Proportion]]*TableauRecette[[#This Row],[Prix d''achat / kg]]/TableauRecette[[#This Row],[Total Proportion]]</f>
        <v>0</v>
      </c>
      <c r="J461" s="233"/>
      <c r="K461" s="884"/>
      <c r="L461" s="885">
        <f>_xlfn.XLOOKUP(TableauRecette[[#This Row],[ID]],TableauProduit[ID],TableauProduit[Total (kg) N1],0,0,1)*TableauRecette[[#This Row],[poids / unite]]</f>
        <v>0</v>
      </c>
      <c r="M461" s="886">
        <f>_xlfn.XLOOKUP(TableauRecette[[#This Row],[ID]],TableauProduit[ID],TableauProduit[Total (kg) N2],0,0,1)*TableauRecette[[#This Row],[poids / unite]]</f>
        <v>0</v>
      </c>
      <c r="N461" s="886">
        <f>_xlfn.XLOOKUP(TableauRecette[[#This Row],[ID]],TableauProduit[ID],TableauProduit[Total (kg) N3],0,0,1)*TableauRecette[[#This Row],[poids / unite]]</f>
        <v>0</v>
      </c>
      <c r="O461" s="886">
        <f>_xlfn.XLOOKUP(TableauRecette[[#This Row],[ID]],TableauProduit[ID],TableauProduit[Total (kg) N4],0,0,1)*TableauRecette[[#This Row],[poids / unite]]</f>
        <v>0</v>
      </c>
      <c r="P461" s="886">
        <f>_xlfn.XLOOKUP(TableauRecette[[#This Row],[ID]],TableauProduit[ID],TableauProduit[Total (kg) N5],0,0,1)*TableauRecette[[#This Row],[poids / unite]]</f>
        <v>0</v>
      </c>
      <c r="Q461" s="886">
        <f>_xlfn.XLOOKUP(TableauRecette[[#This Row],[ID]],TableauProduit[ID],TableauProduit[Total (kg) N6],0,0,1)*TableauRecette[[#This Row],[poids / unite]]</f>
        <v>0</v>
      </c>
      <c r="R461" s="886">
        <f>_xlfn.XLOOKUP(TableauRecette[[#This Row],[ID]],TableauProduit[ID],TableauProduit[Total (kg) N7],0,0,1)*TableauRecette[[#This Row],[poids / unite]]</f>
        <v>0</v>
      </c>
      <c r="S461" s="886">
        <f>_xlfn.XLOOKUP(TableauRecette[[#This Row],[ID]],TableauProduit[ID],TableauProduit[Total (kg) N8],0,0,1)*TableauRecette[[#This Row],[poids / unite]]</f>
        <v>0</v>
      </c>
      <c r="T461" s="886">
        <f>_xlfn.XLOOKUP(TableauRecette[[#This Row],[ID]],TableauProduit[ID],TableauProduit[Total (kg) N9],0,0,1)*TableauRecette[[#This Row],[poids / unite]]</f>
        <v>0</v>
      </c>
    </row>
    <row r="462" spans="1:20">
      <c r="A462" s="544" t="s">
        <v>92</v>
      </c>
      <c r="B462" s="110" t="str">
        <f>TableauRecette[[#This Row],[Recette]]&amp;TableauRecette[[#This Row],[Conditionnement]]</f>
        <v>ZhugEpice 100ml</v>
      </c>
      <c r="C462" s="110" t="s">
        <v>382</v>
      </c>
      <c r="D462" s="233">
        <v>45</v>
      </c>
      <c r="E462" s="110" t="s">
        <v>55</v>
      </c>
      <c r="F462" s="233">
        <f>D462/SUMIFS(TableauRecette[Proportion],TableauRecette[Recette],TableauRecette[[#This Row],[Recette]],TableauRecette[Conditionnement],TableauRecette[[#This Row],[Conditionnement]])</f>
        <v>0.21582733812949639</v>
      </c>
      <c r="G462" s="233">
        <f ca="1">_xlfn.XLOOKUP(TableauRecette[[#This Row],[Ingredients]],TableauIngredients[Ingredients],TableauIngredients[Prix d''achat (kg)],0)*TableauRecette[[#This Row],[poids / unite]]</f>
        <v>2.5899280575539567</v>
      </c>
      <c r="H462" s="233">
        <f>SUMIFS(TableauRecette[Proportion],TableauRecette[Recette],TableauRecette[[#This Row],[Recette]],TableauRecette[Conditionnement],TableauRecette[[#This Row],[Conditionnement]])</f>
        <v>208.5</v>
      </c>
      <c r="I462" s="233">
        <f ca="1">TableauRecette[[#This Row],[Proportion]]*TableauRecette[[#This Row],[Prix d''achat / kg]]/TableauRecette[[#This Row],[Total Proportion]]</f>
        <v>0</v>
      </c>
      <c r="J462" s="233"/>
      <c r="K462" s="884"/>
      <c r="L462" s="885">
        <f>_xlfn.XLOOKUP(TableauRecette[[#This Row],[ID]],TableauProduit[ID],TableauProduit[Total (kg) N1],0,0,1)*TableauRecette[[#This Row],[poids / unite]]</f>
        <v>0</v>
      </c>
      <c r="M462" s="886">
        <f>_xlfn.XLOOKUP(TableauRecette[[#This Row],[ID]],TableauProduit[ID],TableauProduit[Total (kg) N2],0,0,1)*TableauRecette[[#This Row],[poids / unite]]</f>
        <v>0</v>
      </c>
      <c r="N462" s="886">
        <f>_xlfn.XLOOKUP(TableauRecette[[#This Row],[ID]],TableauProduit[ID],TableauProduit[Total (kg) N3],0,0,1)*TableauRecette[[#This Row],[poids / unite]]</f>
        <v>0</v>
      </c>
      <c r="O462" s="886">
        <f>_xlfn.XLOOKUP(TableauRecette[[#This Row],[ID]],TableauProduit[ID],TableauProduit[Total (kg) N4],0,0,1)*TableauRecette[[#This Row],[poids / unite]]</f>
        <v>0</v>
      </c>
      <c r="P462" s="886">
        <f>_xlfn.XLOOKUP(TableauRecette[[#This Row],[ID]],TableauProduit[ID],TableauProduit[Total (kg) N5],0,0,1)*TableauRecette[[#This Row],[poids / unite]]</f>
        <v>0</v>
      </c>
      <c r="Q462" s="886">
        <f>_xlfn.XLOOKUP(TableauRecette[[#This Row],[ID]],TableauProduit[ID],TableauProduit[Total (kg) N6],0,0,1)*TableauRecette[[#This Row],[poids / unite]]</f>
        <v>0</v>
      </c>
      <c r="R462" s="886">
        <f>_xlfn.XLOOKUP(TableauRecette[[#This Row],[ID]],TableauProduit[ID],TableauProduit[Total (kg) N7],0,0,1)*TableauRecette[[#This Row],[poids / unite]]</f>
        <v>0</v>
      </c>
      <c r="S462" s="886">
        <f>_xlfn.XLOOKUP(TableauRecette[[#This Row],[ID]],TableauProduit[ID],TableauProduit[Total (kg) N8],0,0,1)*TableauRecette[[#This Row],[poids / unite]]</f>
        <v>0</v>
      </c>
      <c r="T462" s="886">
        <f>_xlfn.XLOOKUP(TableauRecette[[#This Row],[ID]],TableauProduit[ID],TableauProduit[Total (kg) N9],0,0,1)*TableauRecette[[#This Row],[poids / unite]]</f>
        <v>0</v>
      </c>
    </row>
    <row r="463" spans="1:20">
      <c r="A463" s="610"/>
      <c r="B463" s="610"/>
      <c r="C463" s="610"/>
      <c r="D463" s="612"/>
      <c r="E463" s="610"/>
      <c r="F463" s="610"/>
      <c r="G463" s="610"/>
      <c r="H463" s="610"/>
      <c r="I463" s="610"/>
      <c r="J463" s="612"/>
      <c r="K463" s="615"/>
      <c r="L463" s="613"/>
      <c r="M463" s="614"/>
      <c r="N463" s="614"/>
      <c r="O463" s="614"/>
      <c r="P463" s="614"/>
      <c r="Q463" s="614"/>
      <c r="R463" s="614"/>
      <c r="S463" s="614"/>
      <c r="T463" s="614"/>
    </row>
    <row r="464" spans="1:20">
      <c r="A464" s="610"/>
      <c r="B464" s="610"/>
      <c r="C464" s="610"/>
      <c r="D464" s="612"/>
      <c r="E464" s="610"/>
      <c r="F464" s="610"/>
      <c r="G464" s="610"/>
      <c r="H464" s="610"/>
      <c r="I464" s="610"/>
      <c r="J464" s="612"/>
      <c r="K464" s="615"/>
      <c r="L464" s="613"/>
      <c r="M464" s="614"/>
      <c r="N464" s="614"/>
      <c r="O464" s="614"/>
      <c r="P464" s="614"/>
      <c r="Q464" s="614"/>
      <c r="R464" s="614"/>
      <c r="S464" s="614"/>
      <c r="T464" s="614"/>
    </row>
    <row r="465" spans="1:20">
      <c r="A465" s="610"/>
      <c r="B465" s="610"/>
      <c r="C465" s="610"/>
      <c r="D465" s="612"/>
      <c r="E465" s="610"/>
      <c r="F465" s="610"/>
      <c r="G465" s="610"/>
      <c r="H465" s="610"/>
      <c r="I465" s="610"/>
      <c r="J465" s="612"/>
      <c r="K465" s="615"/>
      <c r="L465" s="613"/>
      <c r="M465" s="614"/>
      <c r="N465" s="614"/>
      <c r="O465" s="614"/>
      <c r="P465" s="614"/>
      <c r="Q465" s="614"/>
      <c r="R465" s="614"/>
      <c r="S465" s="614"/>
      <c r="T465" s="614"/>
    </row>
    <row r="466" spans="1:20">
      <c r="A466" s="610"/>
      <c r="B466" s="610"/>
      <c r="C466" s="610"/>
      <c r="D466" s="612"/>
      <c r="E466" s="610"/>
      <c r="F466" s="610"/>
      <c r="G466" s="610"/>
      <c r="H466" s="610"/>
      <c r="I466" s="610"/>
      <c r="J466" s="612"/>
      <c r="K466" s="615"/>
      <c r="L466" s="613"/>
      <c r="M466" s="614"/>
      <c r="N466" s="614"/>
      <c r="O466" s="614"/>
      <c r="P466" s="614"/>
      <c r="Q466" s="614"/>
      <c r="R466" s="614"/>
      <c r="S466" s="614"/>
      <c r="T466" s="614"/>
    </row>
    <row r="467" spans="1:20">
      <c r="A467" s="610"/>
      <c r="B467" s="610"/>
      <c r="C467" s="610"/>
      <c r="D467" s="612"/>
      <c r="E467" s="610"/>
      <c r="F467" s="610"/>
      <c r="G467" s="610"/>
      <c r="H467" s="610"/>
      <c r="I467" s="610"/>
      <c r="J467" s="612"/>
      <c r="K467" s="615"/>
      <c r="L467" s="613"/>
      <c r="M467" s="614"/>
      <c r="N467" s="614"/>
      <c r="O467" s="614"/>
      <c r="P467" s="614"/>
      <c r="Q467" s="614"/>
      <c r="R467" s="614"/>
      <c r="S467" s="614"/>
      <c r="T467" s="614"/>
    </row>
    <row r="468" spans="1:20">
      <c r="A468" s="610"/>
      <c r="B468" s="610"/>
      <c r="C468" s="610"/>
      <c r="D468" s="612"/>
      <c r="E468" s="610"/>
      <c r="F468" s="610"/>
      <c r="G468" s="610"/>
      <c r="H468" s="610"/>
      <c r="I468" s="610"/>
      <c r="J468" s="612"/>
      <c r="K468" s="615"/>
      <c r="L468" s="613"/>
      <c r="M468" s="614"/>
      <c r="N468" s="614"/>
      <c r="O468" s="614"/>
      <c r="P468" s="614"/>
      <c r="Q468" s="614"/>
      <c r="R468" s="614"/>
      <c r="S468" s="614"/>
      <c r="T468" s="614"/>
    </row>
    <row r="469" spans="1:20">
      <c r="A469" s="610"/>
      <c r="B469" s="610"/>
      <c r="C469" s="610"/>
      <c r="D469" s="612"/>
      <c r="E469" s="610"/>
      <c r="F469" s="610"/>
      <c r="G469" s="610"/>
      <c r="H469" s="610"/>
      <c r="I469" s="610"/>
      <c r="J469" s="612"/>
      <c r="K469" s="615"/>
      <c r="L469" s="613"/>
      <c r="M469" s="614"/>
      <c r="N469" s="614"/>
      <c r="O469" s="614"/>
      <c r="P469" s="614"/>
      <c r="Q469" s="614"/>
      <c r="R469" s="614"/>
      <c r="S469" s="614"/>
      <c r="T469" s="614"/>
    </row>
    <row r="470" spans="1:20">
      <c r="A470" s="610"/>
      <c r="B470" s="610"/>
      <c r="C470" s="610"/>
      <c r="D470" s="612"/>
      <c r="E470" s="610"/>
      <c r="F470" s="610"/>
      <c r="G470" s="610"/>
      <c r="H470" s="610"/>
      <c r="I470" s="610"/>
      <c r="J470" s="612"/>
      <c r="K470" s="615"/>
      <c r="L470" s="613"/>
      <c r="M470" s="614"/>
      <c r="N470" s="614"/>
      <c r="O470" s="614"/>
      <c r="P470" s="614"/>
      <c r="Q470" s="614"/>
      <c r="R470" s="614"/>
      <c r="S470" s="614"/>
      <c r="T470" s="614"/>
    </row>
    <row r="471" spans="1:20">
      <c r="A471" s="610"/>
      <c r="B471" s="610"/>
      <c r="C471" s="610"/>
      <c r="D471" s="612"/>
      <c r="E471" s="610"/>
      <c r="F471" s="610"/>
      <c r="G471" s="610"/>
      <c r="H471" s="610"/>
      <c r="I471" s="610"/>
      <c r="J471" s="612"/>
      <c r="K471" s="615"/>
      <c r="L471" s="613"/>
      <c r="M471" s="614"/>
      <c r="N471" s="614"/>
      <c r="O471" s="614"/>
      <c r="P471" s="614"/>
      <c r="Q471" s="614"/>
      <c r="R471" s="614"/>
      <c r="S471" s="614"/>
      <c r="T471" s="614"/>
    </row>
    <row r="472" spans="1:20">
      <c r="A472" s="610"/>
      <c r="B472" s="610"/>
      <c r="C472" s="610"/>
      <c r="D472" s="612"/>
      <c r="E472" s="610"/>
      <c r="F472" s="610"/>
      <c r="G472" s="610"/>
      <c r="H472" s="610"/>
      <c r="I472" s="610"/>
      <c r="J472" s="612"/>
      <c r="K472" s="615"/>
      <c r="L472" s="613"/>
      <c r="M472" s="614"/>
      <c r="N472" s="614"/>
      <c r="O472" s="614"/>
      <c r="P472" s="614"/>
      <c r="Q472" s="614"/>
      <c r="R472" s="614"/>
      <c r="S472" s="614"/>
      <c r="T472" s="614"/>
    </row>
    <row r="473" spans="1:20">
      <c r="A473" s="610"/>
      <c r="B473" s="610"/>
      <c r="C473" s="610"/>
      <c r="D473" s="612"/>
      <c r="E473" s="610"/>
      <c r="F473" s="610"/>
      <c r="G473" s="610"/>
      <c r="H473" s="610"/>
      <c r="I473" s="610"/>
      <c r="J473" s="612"/>
      <c r="K473" s="615"/>
      <c r="L473" s="613"/>
      <c r="M473" s="614"/>
      <c r="N473" s="614"/>
      <c r="O473" s="614"/>
      <c r="P473" s="614"/>
      <c r="Q473" s="614"/>
      <c r="R473" s="614"/>
      <c r="S473" s="614"/>
      <c r="T473" s="614"/>
    </row>
    <row r="474" spans="1:20">
      <c r="A474" s="610"/>
      <c r="B474" s="610"/>
      <c r="C474" s="610"/>
      <c r="D474" s="612"/>
      <c r="E474" s="610"/>
      <c r="F474" s="610"/>
      <c r="G474" s="610"/>
      <c r="H474" s="610"/>
      <c r="I474" s="610"/>
      <c r="J474" s="612"/>
      <c r="K474" s="615"/>
      <c r="L474" s="613"/>
      <c r="M474" s="614"/>
      <c r="N474" s="614"/>
      <c r="O474" s="614"/>
      <c r="P474" s="614"/>
      <c r="Q474" s="614"/>
      <c r="R474" s="614"/>
      <c r="S474" s="614"/>
      <c r="T474" s="614"/>
    </row>
    <row r="475" spans="1:20">
      <c r="A475" s="610"/>
      <c r="B475" s="610"/>
      <c r="C475" s="610"/>
      <c r="D475" s="612"/>
      <c r="E475" s="610"/>
      <c r="F475" s="610"/>
      <c r="G475" s="610"/>
      <c r="H475" s="610"/>
      <c r="I475" s="610"/>
      <c r="J475" s="612"/>
      <c r="K475" s="615"/>
      <c r="L475" s="613"/>
      <c r="M475" s="614"/>
      <c r="N475" s="614"/>
      <c r="O475" s="614"/>
      <c r="P475" s="614"/>
      <c r="Q475" s="614"/>
      <c r="R475" s="614"/>
      <c r="S475" s="614"/>
      <c r="T475" s="614"/>
    </row>
    <row r="476" spans="1:20">
      <c r="A476" s="610"/>
      <c r="B476" s="610"/>
      <c r="C476" s="610"/>
      <c r="D476" s="612"/>
      <c r="E476" s="610"/>
      <c r="F476" s="610"/>
      <c r="G476" s="610"/>
      <c r="H476" s="610"/>
      <c r="I476" s="610"/>
      <c r="J476" s="612"/>
      <c r="K476" s="615"/>
      <c r="L476" s="613"/>
      <c r="M476" s="614"/>
      <c r="N476" s="614"/>
      <c r="O476" s="614"/>
      <c r="P476" s="614"/>
      <c r="Q476" s="614"/>
      <c r="R476" s="614"/>
      <c r="S476" s="614"/>
      <c r="T476" s="614"/>
    </row>
    <row r="477" spans="1:20">
      <c r="A477" s="610"/>
      <c r="B477" s="610"/>
      <c r="C477" s="610"/>
      <c r="D477" s="612"/>
      <c r="E477" s="610"/>
      <c r="F477" s="610"/>
      <c r="G477" s="610"/>
      <c r="H477" s="610"/>
      <c r="I477" s="610"/>
      <c r="J477" s="612"/>
      <c r="K477" s="615"/>
      <c r="L477" s="613"/>
      <c r="M477" s="614"/>
      <c r="N477" s="614"/>
      <c r="O477" s="614"/>
      <c r="P477" s="614"/>
      <c r="Q477" s="614"/>
      <c r="R477" s="614"/>
      <c r="S477" s="614"/>
      <c r="T477" s="614"/>
    </row>
    <row r="478" spans="1:20">
      <c r="A478" s="610"/>
      <c r="B478" s="610"/>
      <c r="C478" s="610"/>
      <c r="D478" s="612"/>
      <c r="E478" s="610"/>
      <c r="F478" s="610"/>
      <c r="G478" s="610"/>
      <c r="H478" s="610"/>
      <c r="I478" s="610"/>
      <c r="J478" s="612"/>
      <c r="K478" s="615"/>
      <c r="L478" s="613"/>
      <c r="M478" s="614"/>
      <c r="N478" s="614"/>
      <c r="O478" s="614"/>
      <c r="P478" s="614"/>
      <c r="Q478" s="614"/>
      <c r="R478" s="614"/>
      <c r="S478" s="614"/>
      <c r="T478" s="614"/>
    </row>
    <row r="479" spans="1:20">
      <c r="A479" s="610"/>
      <c r="B479" s="610"/>
      <c r="C479" s="610"/>
      <c r="D479" s="612"/>
      <c r="E479" s="610"/>
      <c r="F479" s="610"/>
      <c r="G479" s="610"/>
      <c r="H479" s="610"/>
      <c r="I479" s="610"/>
      <c r="J479" s="612"/>
      <c r="K479" s="615"/>
      <c r="L479" s="613"/>
      <c r="M479" s="614"/>
      <c r="N479" s="614"/>
      <c r="O479" s="614"/>
      <c r="P479" s="614"/>
      <c r="Q479" s="614"/>
      <c r="R479" s="614"/>
      <c r="S479" s="614"/>
      <c r="T479" s="614"/>
    </row>
    <row r="480" spans="1:20">
      <c r="A480" s="610"/>
      <c r="B480" s="610"/>
      <c r="C480" s="610"/>
      <c r="D480" s="612"/>
      <c r="E480" s="610"/>
      <c r="F480" s="610"/>
      <c r="G480" s="610"/>
      <c r="H480" s="610"/>
      <c r="I480" s="610"/>
      <c r="J480" s="612"/>
      <c r="K480" s="615"/>
      <c r="L480" s="613"/>
      <c r="M480" s="614"/>
      <c r="N480" s="614"/>
      <c r="O480" s="614"/>
      <c r="P480" s="614"/>
      <c r="Q480" s="614"/>
      <c r="R480" s="614"/>
      <c r="S480" s="614"/>
      <c r="T480" s="614"/>
    </row>
    <row r="481" spans="1:20">
      <c r="A481" s="610"/>
      <c r="B481" s="610"/>
      <c r="C481" s="610"/>
      <c r="D481" s="612"/>
      <c r="E481" s="610"/>
      <c r="F481" s="610"/>
      <c r="G481" s="610"/>
      <c r="H481" s="610"/>
      <c r="I481" s="610"/>
      <c r="J481" s="612"/>
      <c r="K481" s="615"/>
      <c r="L481" s="613"/>
      <c r="M481" s="614"/>
      <c r="N481" s="614"/>
      <c r="O481" s="614"/>
      <c r="P481" s="614"/>
      <c r="Q481" s="614"/>
      <c r="R481" s="614"/>
      <c r="S481" s="614"/>
      <c r="T481" s="614"/>
    </row>
    <row r="482" spans="1:20">
      <c r="A482" s="610"/>
      <c r="B482" s="610"/>
      <c r="C482" s="610"/>
      <c r="D482" s="612"/>
      <c r="E482" s="610"/>
      <c r="F482" s="610"/>
      <c r="G482" s="610"/>
      <c r="H482" s="610"/>
      <c r="I482" s="610"/>
      <c r="J482" s="612"/>
      <c r="K482" s="615"/>
      <c r="L482" s="613"/>
      <c r="M482" s="614"/>
      <c r="N482" s="614"/>
      <c r="O482" s="614"/>
      <c r="P482" s="614"/>
      <c r="Q482" s="614"/>
      <c r="R482" s="614"/>
      <c r="S482" s="614"/>
      <c r="T482" s="614"/>
    </row>
    <row r="483" spans="1:20">
      <c r="A483" s="610"/>
      <c r="B483" s="610"/>
      <c r="C483" s="610"/>
      <c r="D483" s="612"/>
      <c r="E483" s="610"/>
      <c r="F483" s="610"/>
      <c r="G483" s="610"/>
      <c r="H483" s="610"/>
      <c r="I483" s="610"/>
      <c r="J483" s="612"/>
      <c r="K483" s="615"/>
      <c r="L483" s="613"/>
      <c r="M483" s="614"/>
      <c r="N483" s="614"/>
      <c r="O483" s="614"/>
      <c r="P483" s="614"/>
      <c r="Q483" s="614"/>
      <c r="R483" s="614"/>
      <c r="S483" s="614"/>
      <c r="T483" s="614"/>
    </row>
    <row r="484" spans="1:20">
      <c r="A484" s="610"/>
      <c r="B484" s="610"/>
      <c r="C484" s="610"/>
      <c r="D484" s="612"/>
      <c r="E484" s="610"/>
      <c r="F484" s="610"/>
      <c r="G484" s="610"/>
      <c r="H484" s="610"/>
      <c r="I484" s="610"/>
      <c r="J484" s="612"/>
      <c r="K484" s="615"/>
      <c r="L484" s="613"/>
      <c r="M484" s="614"/>
      <c r="N484" s="614"/>
      <c r="O484" s="614"/>
      <c r="P484" s="614"/>
      <c r="Q484" s="614"/>
      <c r="R484" s="614"/>
      <c r="S484" s="614"/>
      <c r="T484" s="614"/>
    </row>
    <row r="485" spans="1:20">
      <c r="A485" s="610"/>
      <c r="B485" s="610"/>
      <c r="C485" s="610"/>
      <c r="D485" s="612"/>
      <c r="E485" s="610"/>
      <c r="F485" s="610"/>
      <c r="G485" s="610"/>
      <c r="H485" s="610"/>
      <c r="I485" s="610"/>
      <c r="J485" s="612"/>
      <c r="K485" s="615"/>
      <c r="L485" s="613"/>
      <c r="M485" s="614"/>
      <c r="N485" s="614"/>
      <c r="O485" s="614"/>
      <c r="P485" s="614"/>
      <c r="Q485" s="614"/>
      <c r="R485" s="614"/>
      <c r="S485" s="614"/>
      <c r="T485" s="614"/>
    </row>
    <row r="486" spans="1:20">
      <c r="A486" s="610"/>
      <c r="B486" s="610"/>
      <c r="C486" s="610"/>
      <c r="D486" s="612"/>
      <c r="E486" s="610"/>
      <c r="F486" s="610"/>
      <c r="G486" s="610"/>
      <c r="H486" s="610"/>
      <c r="I486" s="610"/>
      <c r="J486" s="612"/>
      <c r="K486" s="615"/>
      <c r="L486" s="613"/>
      <c r="M486" s="614"/>
      <c r="N486" s="614"/>
      <c r="O486" s="614"/>
      <c r="P486" s="614"/>
      <c r="Q486" s="614"/>
      <c r="R486" s="614"/>
      <c r="S486" s="614"/>
      <c r="T486" s="614"/>
    </row>
    <row r="487" spans="1:20">
      <c r="A487" s="610"/>
      <c r="B487" s="610"/>
      <c r="C487" s="610"/>
      <c r="D487" s="612"/>
      <c r="E487" s="610"/>
      <c r="F487" s="610"/>
      <c r="G487" s="610"/>
      <c r="H487" s="610"/>
      <c r="I487" s="610"/>
      <c r="J487" s="612"/>
      <c r="K487" s="615"/>
      <c r="L487" s="613"/>
      <c r="M487" s="614"/>
      <c r="N487" s="614"/>
      <c r="O487" s="614"/>
      <c r="P487" s="614"/>
      <c r="Q487" s="614"/>
      <c r="R487" s="614"/>
      <c r="S487" s="614"/>
      <c r="T487" s="614"/>
    </row>
    <row r="488" spans="1:20">
      <c r="A488" s="610"/>
      <c r="B488" s="610"/>
      <c r="C488" s="610"/>
      <c r="D488" s="612"/>
      <c r="E488" s="610"/>
      <c r="F488" s="610"/>
      <c r="G488" s="610"/>
      <c r="H488" s="610"/>
      <c r="I488" s="610"/>
      <c r="J488" s="612"/>
      <c r="K488" s="615"/>
      <c r="L488" s="613"/>
      <c r="M488" s="614"/>
      <c r="N488" s="614"/>
      <c r="O488" s="614"/>
      <c r="P488" s="614"/>
      <c r="Q488" s="614"/>
      <c r="R488" s="614"/>
      <c r="S488" s="614"/>
      <c r="T488" s="614"/>
    </row>
    <row r="489" spans="1:20">
      <c r="A489" s="610"/>
      <c r="B489" s="610"/>
      <c r="C489" s="610"/>
      <c r="D489" s="612"/>
      <c r="E489" s="610"/>
      <c r="F489" s="610"/>
      <c r="G489" s="610"/>
      <c r="H489" s="610"/>
      <c r="I489" s="610"/>
      <c r="J489" s="612"/>
      <c r="K489" s="615"/>
      <c r="L489" s="613"/>
      <c r="M489" s="614"/>
      <c r="N489" s="614"/>
      <c r="O489" s="614"/>
      <c r="P489" s="614"/>
      <c r="Q489" s="614"/>
      <c r="R489" s="614"/>
      <c r="S489" s="614"/>
      <c r="T489" s="614"/>
    </row>
    <row r="490" spans="1:20">
      <c r="A490" s="610"/>
      <c r="B490" s="610"/>
      <c r="C490" s="610"/>
      <c r="D490" s="612"/>
      <c r="E490" s="610"/>
      <c r="F490" s="610"/>
      <c r="G490" s="610"/>
      <c r="H490" s="610"/>
      <c r="I490" s="610"/>
      <c r="J490" s="612"/>
      <c r="K490" s="615"/>
      <c r="L490" s="613"/>
      <c r="M490" s="614"/>
      <c r="N490" s="614"/>
      <c r="O490" s="614"/>
      <c r="P490" s="614"/>
      <c r="Q490" s="614"/>
      <c r="R490" s="614"/>
      <c r="S490" s="614"/>
      <c r="T490" s="614"/>
    </row>
    <row r="491" spans="1:20">
      <c r="A491" s="610"/>
      <c r="B491" s="610"/>
      <c r="C491" s="610"/>
      <c r="D491" s="612"/>
      <c r="E491" s="610"/>
      <c r="F491" s="610"/>
      <c r="G491" s="610"/>
      <c r="H491" s="610"/>
      <c r="I491" s="610"/>
      <c r="J491" s="612"/>
      <c r="K491" s="615"/>
      <c r="L491" s="613"/>
      <c r="M491" s="614"/>
      <c r="N491" s="614"/>
      <c r="O491" s="614"/>
      <c r="P491" s="614"/>
      <c r="Q491" s="614"/>
      <c r="R491" s="614"/>
      <c r="S491" s="614"/>
      <c r="T491" s="614"/>
    </row>
    <row r="492" spans="1:20">
      <c r="A492" s="610"/>
      <c r="B492" s="610"/>
      <c r="C492" s="610"/>
      <c r="D492" s="612"/>
      <c r="E492" s="610"/>
      <c r="F492" s="610"/>
      <c r="G492" s="610"/>
      <c r="H492" s="610"/>
      <c r="I492" s="610"/>
      <c r="J492" s="612"/>
      <c r="K492" s="615"/>
      <c r="L492" s="613"/>
      <c r="M492" s="614"/>
      <c r="N492" s="614"/>
      <c r="O492" s="614"/>
      <c r="P492" s="614"/>
      <c r="Q492" s="614"/>
      <c r="R492" s="614"/>
      <c r="S492" s="614"/>
      <c r="T492" s="614"/>
    </row>
    <row r="493" spans="1:20">
      <c r="A493" s="610"/>
      <c r="B493" s="610"/>
      <c r="C493" s="610"/>
      <c r="D493" s="612"/>
      <c r="E493" s="610"/>
      <c r="F493" s="610"/>
      <c r="G493" s="610"/>
      <c r="H493" s="610"/>
      <c r="I493" s="610"/>
      <c r="J493" s="612"/>
      <c r="K493" s="615"/>
      <c r="L493" s="613"/>
      <c r="M493" s="614"/>
      <c r="N493" s="614"/>
      <c r="O493" s="614"/>
      <c r="P493" s="614"/>
      <c r="Q493" s="614"/>
      <c r="R493" s="614"/>
      <c r="S493" s="614"/>
      <c r="T493" s="614"/>
    </row>
    <row r="494" spans="1:20">
      <c r="A494" s="610"/>
      <c r="B494" s="610"/>
      <c r="C494" s="610"/>
      <c r="D494" s="612"/>
      <c r="E494" s="610"/>
      <c r="F494" s="610"/>
      <c r="G494" s="610"/>
      <c r="H494" s="610"/>
      <c r="I494" s="610"/>
      <c r="J494" s="612"/>
      <c r="K494" s="615"/>
      <c r="L494" s="613"/>
      <c r="M494" s="614"/>
      <c r="N494" s="614"/>
      <c r="O494" s="614"/>
      <c r="P494" s="614"/>
      <c r="Q494" s="614"/>
      <c r="R494" s="614"/>
      <c r="S494" s="614"/>
      <c r="T494" s="614"/>
    </row>
    <row r="495" spans="1:20">
      <c r="A495" s="610"/>
      <c r="B495" s="610"/>
      <c r="C495" s="610"/>
      <c r="D495" s="612"/>
      <c r="E495" s="610"/>
      <c r="F495" s="610"/>
      <c r="G495" s="610"/>
      <c r="H495" s="610"/>
      <c r="I495" s="610"/>
      <c r="J495" s="612"/>
      <c r="K495" s="615"/>
      <c r="L495" s="613"/>
      <c r="M495" s="614"/>
      <c r="N495" s="614"/>
      <c r="O495" s="614"/>
      <c r="P495" s="614"/>
      <c r="Q495" s="614"/>
      <c r="R495" s="614"/>
      <c r="S495" s="614"/>
      <c r="T495" s="614"/>
    </row>
    <row r="496" spans="1:20">
      <c r="A496" s="610"/>
      <c r="B496" s="610"/>
      <c r="C496" s="610"/>
      <c r="D496" s="612"/>
      <c r="E496" s="610"/>
      <c r="F496" s="610"/>
      <c r="G496" s="610"/>
      <c r="H496" s="610"/>
      <c r="I496" s="610"/>
      <c r="J496" s="612"/>
      <c r="K496" s="615"/>
      <c r="L496" s="613"/>
      <c r="M496" s="614"/>
      <c r="N496" s="614"/>
      <c r="O496" s="614"/>
      <c r="P496" s="614"/>
      <c r="Q496" s="614"/>
      <c r="R496" s="614"/>
      <c r="S496" s="614"/>
      <c r="T496" s="614"/>
    </row>
    <row r="497" spans="1:20">
      <c r="A497" s="610"/>
      <c r="B497" s="610"/>
      <c r="C497" s="610"/>
      <c r="D497" s="612"/>
      <c r="E497" s="610"/>
      <c r="F497" s="610"/>
      <c r="G497" s="610"/>
      <c r="H497" s="610"/>
      <c r="I497" s="610"/>
      <c r="J497" s="612"/>
      <c r="K497" s="615"/>
      <c r="L497" s="613"/>
      <c r="M497" s="614"/>
      <c r="N497" s="614"/>
      <c r="O497" s="614"/>
      <c r="P497" s="614"/>
      <c r="Q497" s="614"/>
      <c r="R497" s="614"/>
      <c r="S497" s="614"/>
      <c r="T497" s="614"/>
    </row>
    <row r="498" spans="1:20">
      <c r="A498" s="610"/>
      <c r="B498" s="610"/>
      <c r="C498" s="610"/>
      <c r="D498" s="612"/>
      <c r="E498" s="610"/>
      <c r="F498" s="610"/>
      <c r="G498" s="610"/>
      <c r="H498" s="610"/>
      <c r="I498" s="610"/>
      <c r="J498" s="612"/>
      <c r="K498" s="615"/>
      <c r="L498" s="613"/>
      <c r="M498" s="614"/>
      <c r="N498" s="614"/>
      <c r="O498" s="614"/>
      <c r="P498" s="614"/>
      <c r="Q498" s="614"/>
      <c r="R498" s="614"/>
      <c r="S498" s="614"/>
      <c r="T498" s="614"/>
    </row>
    <row r="499" spans="1:20">
      <c r="A499" s="610"/>
      <c r="B499" s="610"/>
      <c r="C499" s="610"/>
      <c r="D499" s="612"/>
      <c r="E499" s="610"/>
      <c r="F499" s="610"/>
      <c r="G499" s="610"/>
      <c r="H499" s="610"/>
      <c r="I499" s="610"/>
      <c r="J499" s="612"/>
      <c r="K499" s="615"/>
      <c r="L499" s="613"/>
      <c r="M499" s="614"/>
      <c r="N499" s="614"/>
      <c r="O499" s="614"/>
      <c r="P499" s="614"/>
      <c r="Q499" s="614"/>
      <c r="R499" s="614"/>
      <c r="S499" s="614"/>
      <c r="T499" s="614"/>
    </row>
    <row r="500" spans="1:20">
      <c r="A500" s="610"/>
      <c r="B500" s="610"/>
      <c r="C500" s="610"/>
      <c r="D500" s="612"/>
      <c r="E500" s="610"/>
      <c r="F500" s="610"/>
      <c r="G500" s="610"/>
      <c r="H500" s="610"/>
      <c r="I500" s="610"/>
      <c r="J500" s="612"/>
      <c r="K500" s="615"/>
      <c r="L500" s="613"/>
      <c r="M500" s="614"/>
      <c r="N500" s="614"/>
      <c r="O500" s="614"/>
      <c r="P500" s="614"/>
      <c r="Q500" s="614"/>
      <c r="R500" s="614"/>
      <c r="S500" s="614"/>
      <c r="T500" s="614"/>
    </row>
    <row r="501" spans="1:20">
      <c r="A501" s="610"/>
      <c r="B501" s="610"/>
      <c r="C501" s="610"/>
      <c r="D501" s="612"/>
      <c r="E501" s="610"/>
      <c r="F501" s="610"/>
      <c r="G501" s="610"/>
      <c r="H501" s="610"/>
      <c r="I501" s="610"/>
      <c r="J501" s="612"/>
      <c r="K501" s="615"/>
      <c r="L501" s="613"/>
      <c r="M501" s="614"/>
      <c r="N501" s="614"/>
      <c r="O501" s="614"/>
      <c r="P501" s="614"/>
      <c r="Q501" s="614"/>
      <c r="R501" s="614"/>
      <c r="S501" s="614"/>
      <c r="T501" s="614"/>
    </row>
    <row r="502" spans="1:20">
      <c r="A502" s="610"/>
      <c r="B502" s="610"/>
      <c r="C502" s="610"/>
      <c r="D502" s="612"/>
      <c r="E502" s="610"/>
      <c r="F502" s="610"/>
      <c r="G502" s="610"/>
      <c r="H502" s="610"/>
      <c r="I502" s="610"/>
      <c r="J502" s="612"/>
      <c r="K502" s="615"/>
      <c r="L502" s="613"/>
      <c r="M502" s="614"/>
      <c r="N502" s="614"/>
      <c r="O502" s="614"/>
      <c r="P502" s="614"/>
      <c r="Q502" s="614"/>
      <c r="R502" s="614"/>
      <c r="S502" s="614"/>
      <c r="T502" s="614"/>
    </row>
    <row r="503" spans="1:20">
      <c r="A503" s="610"/>
      <c r="B503" s="610"/>
      <c r="C503" s="610"/>
      <c r="D503" s="612"/>
      <c r="E503" s="610"/>
      <c r="F503" s="610"/>
      <c r="G503" s="610"/>
      <c r="H503" s="610"/>
      <c r="I503" s="610"/>
      <c r="J503" s="612"/>
      <c r="K503" s="615"/>
      <c r="L503" s="613"/>
      <c r="M503" s="614"/>
      <c r="N503" s="614"/>
      <c r="O503" s="614"/>
      <c r="P503" s="614"/>
      <c r="Q503" s="614"/>
      <c r="R503" s="614"/>
      <c r="S503" s="614"/>
      <c r="T503" s="614"/>
    </row>
    <row r="504" spans="1:20">
      <c r="A504" s="610"/>
      <c r="B504" s="610"/>
      <c r="C504" s="610"/>
      <c r="D504" s="612"/>
      <c r="E504" s="610"/>
      <c r="F504" s="610"/>
      <c r="G504" s="610"/>
      <c r="H504" s="610"/>
      <c r="I504" s="610"/>
      <c r="J504" s="612"/>
      <c r="K504" s="615"/>
      <c r="L504" s="613"/>
      <c r="M504" s="614"/>
      <c r="N504" s="614"/>
      <c r="O504" s="614"/>
      <c r="P504" s="614"/>
      <c r="Q504" s="614"/>
      <c r="R504" s="614"/>
      <c r="S504" s="614"/>
      <c r="T504" s="614"/>
    </row>
    <row r="505" spans="1:20">
      <c r="A505" s="610"/>
      <c r="B505" s="610"/>
      <c r="C505" s="610"/>
      <c r="D505" s="612"/>
      <c r="E505" s="610"/>
      <c r="F505" s="610"/>
      <c r="G505" s="610"/>
      <c r="H505" s="610"/>
      <c r="I505" s="610"/>
      <c r="J505" s="612"/>
      <c r="K505" s="615"/>
      <c r="L505" s="613"/>
      <c r="M505" s="614"/>
      <c r="N505" s="614"/>
      <c r="O505" s="614"/>
      <c r="P505" s="614"/>
      <c r="Q505" s="614"/>
      <c r="R505" s="614"/>
      <c r="S505" s="614"/>
      <c r="T505" s="614"/>
    </row>
    <row r="506" spans="1:20">
      <c r="A506" s="610"/>
      <c r="B506" s="610"/>
      <c r="C506" s="610"/>
      <c r="D506" s="612"/>
      <c r="E506" s="610"/>
      <c r="F506" s="610"/>
      <c r="G506" s="610"/>
      <c r="H506" s="610"/>
      <c r="I506" s="610"/>
      <c r="J506" s="612"/>
      <c r="K506" s="615"/>
      <c r="L506" s="613"/>
      <c r="M506" s="614"/>
      <c r="N506" s="614"/>
      <c r="O506" s="614"/>
      <c r="P506" s="614"/>
      <c r="Q506" s="614"/>
      <c r="R506" s="614"/>
      <c r="S506" s="614"/>
      <c r="T506" s="614"/>
    </row>
    <row r="507" spans="1:20">
      <c r="A507" s="610"/>
      <c r="B507" s="610"/>
      <c r="C507" s="610"/>
      <c r="D507" s="612"/>
      <c r="E507" s="610"/>
      <c r="F507" s="610"/>
      <c r="G507" s="610"/>
      <c r="H507" s="610"/>
      <c r="I507" s="610"/>
      <c r="J507" s="612"/>
      <c r="K507" s="615"/>
      <c r="L507" s="613"/>
      <c r="M507" s="614"/>
      <c r="N507" s="614"/>
      <c r="O507" s="614"/>
      <c r="P507" s="614"/>
      <c r="Q507" s="614"/>
      <c r="R507" s="614"/>
      <c r="S507" s="614"/>
      <c r="T507" s="614"/>
    </row>
    <row r="508" spans="1:20">
      <c r="A508" s="610"/>
      <c r="B508" s="610"/>
      <c r="C508" s="610"/>
      <c r="D508" s="612"/>
      <c r="E508" s="610"/>
      <c r="F508" s="610"/>
      <c r="G508" s="610"/>
      <c r="H508" s="610"/>
      <c r="I508" s="610"/>
      <c r="J508" s="612"/>
      <c r="K508" s="615"/>
      <c r="L508" s="613"/>
      <c r="M508" s="614"/>
      <c r="N508" s="614"/>
      <c r="O508" s="614"/>
      <c r="P508" s="614"/>
      <c r="Q508" s="614"/>
      <c r="R508" s="614"/>
      <c r="S508" s="614"/>
      <c r="T508" s="614"/>
    </row>
    <row r="509" spans="1:20">
      <c r="A509" s="610"/>
      <c r="B509" s="610"/>
      <c r="C509" s="610"/>
      <c r="D509" s="612"/>
      <c r="E509" s="610"/>
      <c r="F509" s="610"/>
      <c r="G509" s="610"/>
      <c r="H509" s="610"/>
      <c r="I509" s="610"/>
      <c r="J509" s="612"/>
      <c r="K509" s="615"/>
      <c r="L509" s="613"/>
      <c r="M509" s="614"/>
      <c r="N509" s="614"/>
      <c r="O509" s="614"/>
      <c r="P509" s="614"/>
      <c r="Q509" s="614"/>
      <c r="R509" s="614"/>
      <c r="S509" s="614"/>
      <c r="T509" s="614"/>
    </row>
    <row r="510" spans="1:20">
      <c r="A510" s="610"/>
      <c r="B510" s="610"/>
      <c r="C510" s="610"/>
      <c r="D510" s="612"/>
      <c r="E510" s="610"/>
      <c r="F510" s="610"/>
      <c r="G510" s="610"/>
      <c r="H510" s="610"/>
      <c r="I510" s="610"/>
      <c r="J510" s="612"/>
      <c r="K510" s="615"/>
      <c r="L510" s="613"/>
      <c r="M510" s="614"/>
      <c r="N510" s="614"/>
      <c r="O510" s="614"/>
      <c r="P510" s="614"/>
      <c r="Q510" s="614"/>
      <c r="R510" s="614"/>
      <c r="S510" s="614"/>
      <c r="T510" s="614"/>
    </row>
    <row r="511" spans="1:20">
      <c r="A511" s="610"/>
      <c r="B511" s="610"/>
      <c r="C511" s="610"/>
      <c r="D511" s="612"/>
      <c r="E511" s="610"/>
      <c r="F511" s="610"/>
      <c r="G511" s="610"/>
      <c r="H511" s="610"/>
      <c r="I511" s="610"/>
      <c r="J511" s="612"/>
      <c r="K511" s="615"/>
      <c r="L511" s="613"/>
      <c r="M511" s="614"/>
      <c r="N511" s="614"/>
      <c r="O511" s="614"/>
      <c r="P511" s="614"/>
      <c r="Q511" s="614"/>
      <c r="R511" s="614"/>
      <c r="S511" s="614"/>
      <c r="T511" s="614"/>
    </row>
    <row r="512" spans="1:20">
      <c r="A512" s="610"/>
      <c r="B512" s="610"/>
      <c r="C512" s="610"/>
      <c r="D512" s="612"/>
      <c r="E512" s="610"/>
      <c r="F512" s="610"/>
      <c r="G512" s="610"/>
      <c r="H512" s="610"/>
      <c r="I512" s="610"/>
      <c r="J512" s="612"/>
      <c r="K512" s="615"/>
      <c r="L512" s="613"/>
      <c r="M512" s="614"/>
      <c r="N512" s="614"/>
      <c r="O512" s="614"/>
      <c r="P512" s="614"/>
      <c r="Q512" s="614"/>
      <c r="R512" s="614"/>
      <c r="S512" s="614"/>
      <c r="T512" s="614"/>
    </row>
    <row r="513" spans="1:20">
      <c r="A513" s="610"/>
      <c r="B513" s="610"/>
      <c r="C513" s="610"/>
      <c r="D513" s="612"/>
      <c r="E513" s="610"/>
      <c r="F513" s="610"/>
      <c r="G513" s="610"/>
      <c r="H513" s="610"/>
      <c r="I513" s="610"/>
      <c r="J513" s="612"/>
      <c r="K513" s="615"/>
      <c r="L513" s="613"/>
      <c r="M513" s="614"/>
      <c r="N513" s="614"/>
      <c r="O513" s="614"/>
      <c r="P513" s="614"/>
      <c r="Q513" s="614"/>
      <c r="R513" s="614"/>
      <c r="S513" s="614"/>
      <c r="T513" s="614"/>
    </row>
    <row r="514" spans="1:20">
      <c r="A514" s="610"/>
      <c r="B514" s="610"/>
      <c r="C514" s="610"/>
      <c r="D514" s="612"/>
      <c r="E514" s="610"/>
      <c r="F514" s="610"/>
      <c r="G514" s="610"/>
      <c r="H514" s="610"/>
      <c r="I514" s="610"/>
      <c r="J514" s="612"/>
      <c r="K514" s="615"/>
      <c r="L514" s="613"/>
      <c r="M514" s="614"/>
      <c r="N514" s="614"/>
      <c r="O514" s="614"/>
      <c r="P514" s="614"/>
      <c r="Q514" s="614"/>
      <c r="R514" s="614"/>
      <c r="S514" s="614"/>
      <c r="T514" s="614"/>
    </row>
    <row r="515" spans="1:20">
      <c r="A515" s="610"/>
      <c r="B515" s="610"/>
      <c r="C515" s="610"/>
      <c r="D515" s="612"/>
      <c r="E515" s="610"/>
      <c r="F515" s="610"/>
      <c r="G515" s="610"/>
      <c r="H515" s="610"/>
      <c r="I515" s="610"/>
      <c r="J515" s="612"/>
      <c r="K515" s="615"/>
      <c r="L515" s="613"/>
      <c r="M515" s="614"/>
      <c r="N515" s="614"/>
      <c r="O515" s="614"/>
      <c r="P515" s="614"/>
      <c r="Q515" s="614"/>
      <c r="R515" s="614"/>
      <c r="S515" s="614"/>
      <c r="T515" s="614"/>
    </row>
    <row r="516" spans="1:20">
      <c r="A516" s="610"/>
      <c r="B516" s="610"/>
      <c r="C516" s="610"/>
      <c r="D516" s="612"/>
      <c r="E516" s="610"/>
      <c r="F516" s="610"/>
      <c r="G516" s="610"/>
      <c r="H516" s="610"/>
      <c r="I516" s="610"/>
      <c r="J516" s="612"/>
      <c r="K516" s="615"/>
      <c r="L516" s="613"/>
      <c r="M516" s="614"/>
      <c r="N516" s="614"/>
      <c r="O516" s="614"/>
      <c r="P516" s="614"/>
      <c r="Q516" s="614"/>
      <c r="R516" s="614"/>
      <c r="S516" s="614"/>
      <c r="T516" s="614"/>
    </row>
    <row r="517" spans="1:20">
      <c r="A517" s="610"/>
      <c r="B517" s="610"/>
      <c r="C517" s="610"/>
      <c r="D517" s="612"/>
      <c r="E517" s="610"/>
      <c r="F517" s="610"/>
      <c r="G517" s="610"/>
      <c r="H517" s="610"/>
      <c r="I517" s="610"/>
      <c r="J517" s="612"/>
      <c r="K517" s="615"/>
      <c r="L517" s="613"/>
      <c r="M517" s="614"/>
      <c r="N517" s="614"/>
      <c r="O517" s="614"/>
      <c r="P517" s="614"/>
      <c r="Q517" s="614"/>
      <c r="R517" s="614"/>
      <c r="S517" s="614"/>
      <c r="T517" s="614"/>
    </row>
    <row r="518" spans="1:20">
      <c r="A518" s="610"/>
      <c r="B518" s="610"/>
      <c r="C518" s="610"/>
      <c r="D518" s="612"/>
      <c r="E518" s="610"/>
      <c r="F518" s="610"/>
      <c r="G518" s="610"/>
      <c r="H518" s="610"/>
      <c r="I518" s="610"/>
      <c r="J518" s="612"/>
      <c r="K518" s="615"/>
      <c r="L518" s="613"/>
      <c r="M518" s="614"/>
      <c r="N518" s="614"/>
      <c r="O518" s="614"/>
      <c r="P518" s="614"/>
      <c r="Q518" s="614"/>
      <c r="R518" s="614"/>
      <c r="S518" s="614"/>
      <c r="T518" s="614"/>
    </row>
    <row r="519" spans="1:20">
      <c r="A519" s="610"/>
      <c r="B519" s="610"/>
      <c r="C519" s="610"/>
      <c r="D519" s="612"/>
      <c r="E519" s="610"/>
      <c r="F519" s="610"/>
      <c r="G519" s="610"/>
      <c r="H519" s="610"/>
      <c r="I519" s="610"/>
      <c r="J519" s="612"/>
      <c r="K519" s="615"/>
      <c r="L519" s="613"/>
      <c r="M519" s="614"/>
      <c r="N519" s="614"/>
      <c r="O519" s="614"/>
      <c r="P519" s="614"/>
      <c r="Q519" s="614"/>
      <c r="R519" s="614"/>
      <c r="S519" s="614"/>
      <c r="T519" s="614"/>
    </row>
    <row r="520" spans="1:20">
      <c r="A520" s="610"/>
      <c r="B520" s="610"/>
      <c r="C520" s="610"/>
      <c r="D520" s="612"/>
      <c r="E520" s="610"/>
      <c r="F520" s="610"/>
      <c r="G520" s="610"/>
      <c r="H520" s="610"/>
      <c r="I520" s="610"/>
      <c r="J520" s="612"/>
      <c r="K520" s="615"/>
      <c r="L520" s="613"/>
      <c r="M520" s="614"/>
      <c r="N520" s="614"/>
      <c r="O520" s="614"/>
      <c r="P520" s="614"/>
      <c r="Q520" s="614"/>
      <c r="R520" s="614"/>
      <c r="S520" s="614"/>
      <c r="T520" s="614"/>
    </row>
    <row r="521" spans="1:20">
      <c r="A521" s="610"/>
      <c r="B521" s="610"/>
      <c r="C521" s="610"/>
      <c r="D521" s="612"/>
      <c r="E521" s="610"/>
      <c r="F521" s="610"/>
      <c r="G521" s="610"/>
      <c r="H521" s="610"/>
      <c r="I521" s="610"/>
      <c r="J521" s="612"/>
      <c r="K521" s="615"/>
      <c r="L521" s="613"/>
      <c r="M521" s="614"/>
      <c r="N521" s="614"/>
      <c r="O521" s="614"/>
      <c r="P521" s="614"/>
      <c r="Q521" s="614"/>
      <c r="R521" s="614"/>
      <c r="S521" s="614"/>
      <c r="T521" s="614"/>
    </row>
    <row r="522" spans="1:20">
      <c r="A522" s="610"/>
      <c r="B522" s="610"/>
      <c r="C522" s="610"/>
      <c r="D522" s="612"/>
      <c r="E522" s="610"/>
      <c r="F522" s="610"/>
      <c r="G522" s="610"/>
      <c r="H522" s="610"/>
      <c r="I522" s="610"/>
      <c r="J522" s="612"/>
      <c r="K522" s="615"/>
      <c r="L522" s="613"/>
      <c r="M522" s="614"/>
      <c r="N522" s="614"/>
      <c r="O522" s="614"/>
      <c r="P522" s="614"/>
      <c r="Q522" s="614"/>
      <c r="R522" s="614"/>
      <c r="S522" s="614"/>
      <c r="T522" s="614"/>
    </row>
    <row r="523" spans="1:20">
      <c r="A523" s="610"/>
      <c r="B523" s="610"/>
      <c r="C523" s="610"/>
      <c r="D523" s="612"/>
      <c r="E523" s="610"/>
      <c r="F523" s="610"/>
      <c r="G523" s="610"/>
      <c r="H523" s="610"/>
      <c r="I523" s="610"/>
      <c r="J523" s="612"/>
      <c r="K523" s="615"/>
      <c r="L523" s="613"/>
      <c r="M523" s="614"/>
      <c r="N523" s="614"/>
      <c r="O523" s="614"/>
      <c r="P523" s="614"/>
      <c r="Q523" s="614"/>
      <c r="R523" s="614"/>
      <c r="S523" s="614"/>
      <c r="T523" s="614"/>
    </row>
    <row r="524" spans="1:20">
      <c r="A524" s="610"/>
      <c r="B524" s="610"/>
      <c r="C524" s="610"/>
      <c r="D524" s="612"/>
      <c r="E524" s="610"/>
      <c r="F524" s="610"/>
      <c r="G524" s="610"/>
      <c r="H524" s="610"/>
      <c r="I524" s="610"/>
      <c r="J524" s="612"/>
      <c r="K524" s="615"/>
      <c r="L524" s="613"/>
      <c r="M524" s="614"/>
      <c r="N524" s="614"/>
      <c r="O524" s="614"/>
      <c r="P524" s="614"/>
      <c r="Q524" s="614"/>
      <c r="R524" s="614"/>
      <c r="S524" s="614"/>
      <c r="T524" s="614"/>
    </row>
    <row r="525" spans="1:20">
      <c r="A525" s="610"/>
      <c r="B525" s="610"/>
      <c r="C525" s="610"/>
      <c r="D525" s="612"/>
      <c r="E525" s="610"/>
      <c r="F525" s="610"/>
      <c r="G525" s="610"/>
      <c r="H525" s="610"/>
      <c r="I525" s="610"/>
      <c r="J525" s="612"/>
      <c r="K525" s="615"/>
      <c r="L525" s="613"/>
      <c r="M525" s="614"/>
      <c r="N525" s="614"/>
      <c r="O525" s="614"/>
      <c r="P525" s="614"/>
      <c r="Q525" s="614"/>
      <c r="R525" s="614"/>
      <c r="S525" s="614"/>
      <c r="T525" s="614"/>
    </row>
    <row r="526" spans="1:20">
      <c r="A526" s="610"/>
      <c r="B526" s="610"/>
      <c r="C526" s="610"/>
      <c r="D526" s="612"/>
      <c r="E526" s="610"/>
      <c r="F526" s="610"/>
      <c r="G526" s="610"/>
      <c r="H526" s="610"/>
      <c r="I526" s="610"/>
      <c r="J526" s="612"/>
      <c r="K526" s="615"/>
      <c r="L526" s="613"/>
      <c r="M526" s="614"/>
      <c r="N526" s="614"/>
      <c r="O526" s="614"/>
      <c r="P526" s="614"/>
      <c r="Q526" s="614"/>
      <c r="R526" s="614"/>
      <c r="S526" s="614"/>
      <c r="T526" s="614"/>
    </row>
    <row r="527" spans="1:20">
      <c r="A527" s="610"/>
      <c r="B527" s="610"/>
      <c r="C527" s="610"/>
      <c r="D527" s="612"/>
      <c r="E527" s="610"/>
      <c r="F527" s="610"/>
      <c r="G527" s="610"/>
      <c r="H527" s="610"/>
      <c r="I527" s="610"/>
      <c r="J527" s="612"/>
      <c r="K527" s="615"/>
      <c r="L527" s="613"/>
      <c r="M527" s="614"/>
      <c r="N527" s="614"/>
      <c r="O527" s="614"/>
      <c r="P527" s="614"/>
      <c r="Q527" s="614"/>
      <c r="R527" s="614"/>
      <c r="S527" s="614"/>
      <c r="T527" s="614"/>
    </row>
    <row r="528" spans="1:20">
      <c r="A528" s="610"/>
      <c r="B528" s="610"/>
      <c r="C528" s="610"/>
      <c r="D528" s="612"/>
      <c r="E528" s="610"/>
      <c r="F528" s="610"/>
      <c r="G528" s="610"/>
      <c r="H528" s="610"/>
      <c r="I528" s="610"/>
      <c r="J528" s="612"/>
      <c r="K528" s="615"/>
      <c r="L528" s="613"/>
      <c r="M528" s="614"/>
      <c r="N528" s="614"/>
      <c r="O528" s="614"/>
      <c r="P528" s="614"/>
      <c r="Q528" s="614"/>
      <c r="R528" s="614"/>
      <c r="S528" s="614"/>
      <c r="T528" s="614"/>
    </row>
    <row r="529" spans="1:20">
      <c r="A529" s="610"/>
      <c r="B529" s="610"/>
      <c r="C529" s="610"/>
      <c r="D529" s="612"/>
      <c r="E529" s="610"/>
      <c r="F529" s="610"/>
      <c r="G529" s="610"/>
      <c r="H529" s="610"/>
      <c r="I529" s="610"/>
      <c r="J529" s="612"/>
      <c r="K529" s="615"/>
      <c r="L529" s="613"/>
      <c r="M529" s="614"/>
      <c r="N529" s="614"/>
      <c r="O529" s="614"/>
      <c r="P529" s="614"/>
      <c r="Q529" s="614"/>
      <c r="R529" s="614"/>
      <c r="S529" s="614"/>
      <c r="T529" s="614"/>
    </row>
    <row r="530" spans="1:20">
      <c r="A530" s="610"/>
      <c r="B530" s="610"/>
      <c r="C530" s="610"/>
      <c r="D530" s="612"/>
      <c r="E530" s="610"/>
      <c r="F530" s="610"/>
      <c r="G530" s="610"/>
      <c r="H530" s="610"/>
      <c r="I530" s="610"/>
      <c r="J530" s="612"/>
      <c r="K530" s="615"/>
      <c r="L530" s="613"/>
      <c r="M530" s="614"/>
      <c r="N530" s="614"/>
      <c r="O530" s="614"/>
      <c r="P530" s="614"/>
      <c r="Q530" s="614"/>
      <c r="R530" s="614"/>
      <c r="S530" s="614"/>
      <c r="T530" s="614"/>
    </row>
    <row r="531" spans="1:20">
      <c r="A531" s="610"/>
      <c r="B531" s="610"/>
      <c r="C531" s="610"/>
      <c r="D531" s="612"/>
      <c r="E531" s="610"/>
      <c r="F531" s="610"/>
      <c r="G531" s="610"/>
      <c r="H531" s="610"/>
      <c r="I531" s="610"/>
      <c r="J531" s="612"/>
      <c r="K531" s="615"/>
      <c r="L531" s="613"/>
      <c r="M531" s="614"/>
      <c r="N531" s="614"/>
      <c r="O531" s="614"/>
      <c r="P531" s="614"/>
      <c r="Q531" s="614"/>
      <c r="R531" s="614"/>
      <c r="S531" s="614"/>
      <c r="T531" s="614"/>
    </row>
    <row r="532" spans="1:20">
      <c r="A532" s="610"/>
      <c r="B532" s="610"/>
      <c r="C532" s="610"/>
      <c r="D532" s="612"/>
      <c r="E532" s="610"/>
      <c r="F532" s="610"/>
      <c r="G532" s="610"/>
      <c r="H532" s="610"/>
      <c r="I532" s="610"/>
      <c r="J532" s="612"/>
      <c r="K532" s="615"/>
      <c r="L532" s="613"/>
      <c r="M532" s="614"/>
      <c r="N532" s="614"/>
      <c r="O532" s="614"/>
      <c r="P532" s="614"/>
      <c r="Q532" s="614"/>
      <c r="R532" s="614"/>
      <c r="S532" s="614"/>
      <c r="T532" s="614"/>
    </row>
    <row r="533" spans="1:20">
      <c r="A533" s="610"/>
      <c r="B533" s="610"/>
      <c r="C533" s="610"/>
      <c r="D533" s="612"/>
      <c r="E533" s="610"/>
      <c r="F533" s="610"/>
      <c r="G533" s="610"/>
      <c r="H533" s="610"/>
      <c r="I533" s="610"/>
      <c r="J533" s="612"/>
      <c r="K533" s="615"/>
      <c r="L533" s="613"/>
      <c r="M533" s="614"/>
      <c r="N533" s="614"/>
      <c r="O533" s="614"/>
      <c r="P533" s="614"/>
      <c r="Q533" s="614"/>
      <c r="R533" s="614"/>
      <c r="S533" s="614"/>
      <c r="T533" s="614"/>
    </row>
    <row r="534" spans="1:20">
      <c r="A534" s="610"/>
      <c r="B534" s="610"/>
      <c r="C534" s="610"/>
      <c r="D534" s="612"/>
      <c r="E534" s="610"/>
      <c r="F534" s="610"/>
      <c r="G534" s="610"/>
      <c r="H534" s="610"/>
      <c r="I534" s="610"/>
      <c r="J534" s="612"/>
      <c r="K534" s="615"/>
      <c r="L534" s="613"/>
      <c r="M534" s="614"/>
      <c r="N534" s="614"/>
      <c r="O534" s="614"/>
      <c r="P534" s="614"/>
      <c r="Q534" s="614"/>
      <c r="R534" s="614"/>
      <c r="S534" s="614"/>
      <c r="T534" s="614"/>
    </row>
    <row r="535" spans="1:20">
      <c r="A535" s="610"/>
      <c r="B535" s="610"/>
      <c r="C535" s="610"/>
      <c r="D535" s="612"/>
      <c r="E535" s="610"/>
      <c r="F535" s="610"/>
      <c r="G535" s="610"/>
      <c r="H535" s="610"/>
      <c r="I535" s="610"/>
      <c r="J535" s="612"/>
      <c r="K535" s="615"/>
      <c r="L535" s="613"/>
      <c r="M535" s="614"/>
      <c r="N535" s="614"/>
      <c r="O535" s="614"/>
      <c r="P535" s="614"/>
      <c r="Q535" s="614"/>
      <c r="R535" s="614"/>
      <c r="S535" s="614"/>
      <c r="T535" s="614"/>
    </row>
    <row r="536" spans="1:20">
      <c r="A536" s="610"/>
      <c r="B536" s="610"/>
      <c r="C536" s="610"/>
      <c r="D536" s="612"/>
      <c r="E536" s="610"/>
      <c r="F536" s="610"/>
      <c r="G536" s="610"/>
      <c r="H536" s="610"/>
      <c r="I536" s="610"/>
      <c r="J536" s="612"/>
      <c r="K536" s="615"/>
      <c r="L536" s="613"/>
      <c r="M536" s="614"/>
      <c r="N536" s="614"/>
      <c r="O536" s="614"/>
      <c r="P536" s="614"/>
      <c r="Q536" s="614"/>
      <c r="R536" s="614"/>
      <c r="S536" s="614"/>
      <c r="T536" s="614"/>
    </row>
    <row r="537" spans="1:20">
      <c r="A537" s="610"/>
      <c r="B537" s="610"/>
      <c r="C537" s="610"/>
      <c r="D537" s="612"/>
      <c r="E537" s="610"/>
      <c r="F537" s="610"/>
      <c r="G537" s="610"/>
      <c r="H537" s="610"/>
      <c r="I537" s="610"/>
      <c r="J537" s="612"/>
      <c r="K537" s="615"/>
      <c r="L537" s="613"/>
      <c r="M537" s="614"/>
      <c r="N537" s="614"/>
      <c r="O537" s="614"/>
      <c r="P537" s="614"/>
      <c r="Q537" s="614"/>
      <c r="R537" s="614"/>
      <c r="S537" s="614"/>
      <c r="T537" s="614"/>
    </row>
    <row r="538" spans="1:20">
      <c r="A538" s="610"/>
      <c r="B538" s="610"/>
      <c r="C538" s="610"/>
      <c r="D538" s="612"/>
      <c r="E538" s="610"/>
      <c r="F538" s="610"/>
      <c r="G538" s="610"/>
      <c r="H538" s="610"/>
      <c r="I538" s="610"/>
      <c r="J538" s="612"/>
      <c r="K538" s="615"/>
      <c r="L538" s="613"/>
      <c r="M538" s="614"/>
      <c r="N538" s="614"/>
      <c r="O538" s="614"/>
      <c r="P538" s="614"/>
      <c r="Q538" s="614"/>
      <c r="R538" s="614"/>
      <c r="S538" s="614"/>
      <c r="T538" s="614"/>
    </row>
    <row r="539" spans="1:20">
      <c r="A539" s="610"/>
      <c r="B539" s="610"/>
      <c r="C539" s="610"/>
      <c r="D539" s="612"/>
      <c r="E539" s="610"/>
      <c r="F539" s="610"/>
      <c r="G539" s="610"/>
      <c r="H539" s="610"/>
      <c r="I539" s="610"/>
      <c r="J539" s="612"/>
      <c r="K539" s="615"/>
      <c r="L539" s="613"/>
      <c r="M539" s="614"/>
      <c r="N539" s="614"/>
      <c r="O539" s="614"/>
      <c r="P539" s="614"/>
      <c r="Q539" s="614"/>
      <c r="R539" s="614"/>
      <c r="S539" s="614"/>
      <c r="T539" s="614"/>
    </row>
    <row r="540" spans="1:20">
      <c r="A540" s="610"/>
      <c r="B540" s="610"/>
      <c r="C540" s="610"/>
      <c r="D540" s="612"/>
      <c r="E540" s="610"/>
      <c r="F540" s="610"/>
      <c r="G540" s="610"/>
      <c r="H540" s="610"/>
      <c r="I540" s="610"/>
      <c r="J540" s="612"/>
      <c r="K540" s="615"/>
      <c r="L540" s="613"/>
      <c r="M540" s="614"/>
      <c r="N540" s="614"/>
      <c r="O540" s="614"/>
      <c r="P540" s="614"/>
      <c r="Q540" s="614"/>
      <c r="R540" s="614"/>
      <c r="S540" s="614"/>
      <c r="T540" s="614"/>
    </row>
    <row r="541" spans="1:20">
      <c r="A541" s="610"/>
      <c r="B541" s="610"/>
      <c r="C541" s="610"/>
      <c r="D541" s="612"/>
      <c r="E541" s="610"/>
      <c r="F541" s="610"/>
      <c r="G541" s="610"/>
      <c r="H541" s="610"/>
      <c r="I541" s="610"/>
      <c r="J541" s="612"/>
      <c r="K541" s="615"/>
      <c r="L541" s="613"/>
      <c r="M541" s="614"/>
      <c r="N541" s="614"/>
      <c r="O541" s="614"/>
      <c r="P541" s="614"/>
      <c r="Q541" s="614"/>
      <c r="R541" s="614"/>
      <c r="S541" s="614"/>
      <c r="T541" s="614"/>
    </row>
    <row r="542" spans="1:20">
      <c r="A542" s="610"/>
      <c r="B542" s="610"/>
      <c r="C542" s="610"/>
      <c r="D542" s="612"/>
      <c r="E542" s="610"/>
      <c r="F542" s="610"/>
      <c r="G542" s="610"/>
      <c r="H542" s="610"/>
      <c r="I542" s="610"/>
      <c r="J542" s="612"/>
      <c r="K542" s="615"/>
      <c r="L542" s="613"/>
      <c r="M542" s="614"/>
      <c r="N542" s="614"/>
      <c r="O542" s="614"/>
      <c r="P542" s="614"/>
      <c r="Q542" s="614"/>
      <c r="R542" s="614"/>
      <c r="S542" s="614"/>
      <c r="T542" s="614"/>
    </row>
    <row r="543" spans="1:20">
      <c r="A543" s="610"/>
      <c r="B543" s="610"/>
      <c r="C543" s="610"/>
      <c r="D543" s="612"/>
      <c r="E543" s="610"/>
      <c r="F543" s="610"/>
      <c r="G543" s="610"/>
      <c r="H543" s="610"/>
      <c r="I543" s="610"/>
      <c r="J543" s="612"/>
      <c r="K543" s="615"/>
      <c r="L543" s="613"/>
      <c r="M543" s="614"/>
      <c r="N543" s="614"/>
      <c r="O543" s="614"/>
      <c r="P543" s="614"/>
      <c r="Q543" s="614"/>
      <c r="R543" s="614"/>
      <c r="S543" s="614"/>
      <c r="T543" s="614"/>
    </row>
    <row r="544" spans="1:20">
      <c r="A544" s="610"/>
      <c r="B544" s="610"/>
      <c r="C544" s="610"/>
      <c r="D544" s="612"/>
      <c r="E544" s="610"/>
      <c r="F544" s="610"/>
      <c r="G544" s="610"/>
      <c r="H544" s="610"/>
      <c r="I544" s="610"/>
      <c r="J544" s="612"/>
      <c r="K544" s="615"/>
      <c r="L544" s="613"/>
      <c r="M544" s="614"/>
      <c r="N544" s="614"/>
      <c r="O544" s="614"/>
      <c r="P544" s="614"/>
      <c r="Q544" s="614"/>
      <c r="R544" s="614"/>
      <c r="S544" s="614"/>
      <c r="T544" s="614"/>
    </row>
    <row r="545" spans="1:20">
      <c r="A545" s="610"/>
      <c r="B545" s="610"/>
      <c r="C545" s="610"/>
      <c r="D545" s="612"/>
      <c r="E545" s="610"/>
      <c r="F545" s="610"/>
      <c r="G545" s="610"/>
      <c r="H545" s="610"/>
      <c r="I545" s="610"/>
      <c r="J545" s="612"/>
      <c r="K545" s="615"/>
      <c r="L545" s="613"/>
      <c r="M545" s="614"/>
      <c r="N545" s="614"/>
      <c r="O545" s="614"/>
      <c r="P545" s="614"/>
      <c r="Q545" s="614"/>
      <c r="R545" s="614"/>
      <c r="S545" s="614"/>
      <c r="T545" s="614"/>
    </row>
    <row r="546" spans="1:20">
      <c r="A546" s="610"/>
      <c r="B546" s="610"/>
      <c r="C546" s="610"/>
      <c r="D546" s="612"/>
      <c r="E546" s="610"/>
      <c r="F546" s="610"/>
      <c r="G546" s="610"/>
      <c r="H546" s="610"/>
      <c r="I546" s="610"/>
      <c r="J546" s="612"/>
      <c r="K546" s="615"/>
      <c r="L546" s="613"/>
      <c r="M546" s="614"/>
      <c r="N546" s="614"/>
      <c r="O546" s="614"/>
      <c r="P546" s="614"/>
      <c r="Q546" s="614"/>
      <c r="R546" s="614"/>
      <c r="S546" s="614"/>
      <c r="T546" s="614"/>
    </row>
    <row r="547" spans="1:20">
      <c r="A547" s="610"/>
      <c r="B547" s="610"/>
      <c r="C547" s="610"/>
      <c r="D547" s="612"/>
      <c r="E547" s="610"/>
      <c r="F547" s="610"/>
      <c r="G547" s="610"/>
      <c r="H547" s="610"/>
      <c r="I547" s="610"/>
      <c r="J547" s="612"/>
      <c r="K547" s="615"/>
      <c r="L547" s="613"/>
      <c r="M547" s="614"/>
      <c r="N547" s="614"/>
      <c r="O547" s="614"/>
      <c r="P547" s="614"/>
      <c r="Q547" s="614"/>
      <c r="R547" s="614"/>
      <c r="S547" s="614"/>
      <c r="T547" s="614"/>
    </row>
    <row r="548" spans="1:20">
      <c r="A548" s="610"/>
      <c r="B548" s="610"/>
      <c r="C548" s="610"/>
      <c r="D548" s="612"/>
      <c r="E548" s="610"/>
      <c r="F548" s="610"/>
      <c r="G548" s="610"/>
      <c r="H548" s="610"/>
      <c r="I548" s="610"/>
      <c r="J548" s="612"/>
      <c r="K548" s="615"/>
      <c r="L548" s="613"/>
      <c r="M548" s="614"/>
      <c r="N548" s="614"/>
      <c r="O548" s="614"/>
      <c r="P548" s="614"/>
      <c r="Q548" s="614"/>
      <c r="R548" s="614"/>
      <c r="S548" s="614"/>
      <c r="T548" s="614"/>
    </row>
    <row r="549" spans="1:20">
      <c r="A549" s="610"/>
      <c r="B549" s="610"/>
      <c r="C549" s="610"/>
      <c r="D549" s="612"/>
      <c r="E549" s="610"/>
      <c r="F549" s="610"/>
      <c r="G549" s="610"/>
      <c r="H549" s="610"/>
      <c r="I549" s="610"/>
      <c r="J549" s="612"/>
      <c r="K549" s="615"/>
      <c r="L549" s="613"/>
      <c r="M549" s="614"/>
      <c r="N549" s="614"/>
      <c r="O549" s="614"/>
      <c r="P549" s="614"/>
      <c r="Q549" s="614"/>
      <c r="R549" s="614"/>
      <c r="S549" s="614"/>
      <c r="T549" s="614"/>
    </row>
    <row r="550" spans="1:20">
      <c r="A550" s="610"/>
      <c r="B550" s="610"/>
      <c r="C550" s="610"/>
      <c r="D550" s="612"/>
      <c r="E550" s="610"/>
      <c r="F550" s="610"/>
      <c r="G550" s="610"/>
      <c r="H550" s="610"/>
      <c r="I550" s="610"/>
      <c r="J550" s="612"/>
      <c r="K550" s="615"/>
      <c r="L550" s="613"/>
      <c r="M550" s="614"/>
      <c r="N550" s="614"/>
      <c r="O550" s="614"/>
      <c r="P550" s="614"/>
      <c r="Q550" s="614"/>
      <c r="R550" s="614"/>
      <c r="S550" s="614"/>
      <c r="T550" s="614"/>
    </row>
    <row r="551" spans="1:20">
      <c r="A551" s="610"/>
      <c r="B551" s="610"/>
      <c r="C551" s="610"/>
      <c r="D551" s="612"/>
      <c r="E551" s="610"/>
      <c r="F551" s="610"/>
      <c r="G551" s="610"/>
      <c r="H551" s="610"/>
      <c r="I551" s="610"/>
      <c r="J551" s="612"/>
      <c r="K551" s="615"/>
      <c r="L551" s="613"/>
      <c r="M551" s="614"/>
      <c r="N551" s="614"/>
      <c r="O551" s="614"/>
      <c r="P551" s="614"/>
      <c r="Q551" s="614"/>
      <c r="R551" s="614"/>
      <c r="S551" s="614"/>
      <c r="T551" s="614"/>
    </row>
    <row r="552" spans="1:20">
      <c r="A552" s="610"/>
      <c r="B552" s="610"/>
      <c r="C552" s="610"/>
      <c r="D552" s="612"/>
      <c r="E552" s="610"/>
      <c r="F552" s="610"/>
      <c r="G552" s="610"/>
      <c r="H552" s="610"/>
      <c r="I552" s="610"/>
      <c r="J552" s="612"/>
      <c r="K552" s="615"/>
      <c r="L552" s="613"/>
      <c r="M552" s="614"/>
      <c r="N552" s="614"/>
      <c r="O552" s="614"/>
      <c r="P552" s="614"/>
      <c r="Q552" s="614"/>
      <c r="R552" s="614"/>
      <c r="S552" s="614"/>
      <c r="T552" s="614"/>
    </row>
    <row r="553" spans="1:20">
      <c r="A553" s="610"/>
      <c r="B553" s="610"/>
      <c r="C553" s="610"/>
      <c r="D553" s="612"/>
      <c r="E553" s="610"/>
      <c r="F553" s="610"/>
      <c r="G553" s="610"/>
      <c r="H553" s="610"/>
      <c r="I553" s="610"/>
      <c r="J553" s="612"/>
      <c r="K553" s="615"/>
      <c r="L553" s="613"/>
      <c r="M553" s="614"/>
      <c r="N553" s="614"/>
      <c r="O553" s="614"/>
      <c r="P553" s="614"/>
      <c r="Q553" s="614"/>
      <c r="R553" s="614"/>
      <c r="S553" s="614"/>
      <c r="T553" s="614"/>
    </row>
    <row r="554" spans="1:20">
      <c r="A554" s="610"/>
      <c r="B554" s="610"/>
      <c r="C554" s="610"/>
      <c r="D554" s="612"/>
      <c r="E554" s="610"/>
      <c r="F554" s="610"/>
      <c r="G554" s="610"/>
      <c r="H554" s="610"/>
      <c r="I554" s="610"/>
      <c r="J554" s="612"/>
      <c r="K554" s="615"/>
      <c r="L554" s="613"/>
      <c r="M554" s="614"/>
      <c r="N554" s="614"/>
      <c r="O554" s="614"/>
      <c r="P554" s="614"/>
      <c r="Q554" s="614"/>
      <c r="R554" s="614"/>
      <c r="S554" s="614"/>
      <c r="T554" s="614"/>
    </row>
    <row r="555" spans="1:20">
      <c r="A555" s="610"/>
      <c r="B555" s="610"/>
      <c r="C555" s="610"/>
      <c r="D555" s="612"/>
      <c r="E555" s="610"/>
      <c r="F555" s="610"/>
      <c r="G555" s="610"/>
      <c r="H555" s="610"/>
      <c r="I555" s="610"/>
      <c r="J555" s="612"/>
      <c r="K555" s="615"/>
      <c r="L555" s="613"/>
      <c r="M555" s="614"/>
      <c r="N555" s="614"/>
      <c r="O555" s="614"/>
      <c r="P555" s="614"/>
      <c r="Q555" s="614"/>
      <c r="R555" s="614"/>
      <c r="S555" s="614"/>
      <c r="T555" s="614"/>
    </row>
    <row r="556" spans="1:20">
      <c r="A556" s="610"/>
      <c r="B556" s="610"/>
      <c r="C556" s="610"/>
      <c r="D556" s="612"/>
      <c r="E556" s="610"/>
      <c r="F556" s="610"/>
      <c r="G556" s="610"/>
      <c r="H556" s="610"/>
      <c r="I556" s="610"/>
      <c r="J556" s="612"/>
      <c r="K556" s="615"/>
      <c r="L556" s="613"/>
      <c r="M556" s="614"/>
      <c r="N556" s="614"/>
      <c r="O556" s="614"/>
      <c r="P556" s="614"/>
      <c r="Q556" s="614"/>
      <c r="R556" s="614"/>
      <c r="S556" s="614"/>
      <c r="T556" s="614"/>
    </row>
    <row r="557" spans="1:20">
      <c r="A557" s="610"/>
      <c r="B557" s="610"/>
      <c r="C557" s="610"/>
      <c r="D557" s="612"/>
      <c r="E557" s="610"/>
      <c r="F557" s="610"/>
      <c r="G557" s="610"/>
      <c r="H557" s="610"/>
      <c r="I557" s="610"/>
      <c r="J557" s="612"/>
      <c r="K557" s="615"/>
      <c r="L557" s="613"/>
      <c r="M557" s="614"/>
      <c r="N557" s="614"/>
      <c r="O557" s="614"/>
      <c r="P557" s="614"/>
      <c r="Q557" s="614"/>
      <c r="R557" s="614"/>
      <c r="S557" s="614"/>
      <c r="T557" s="614"/>
    </row>
    <row r="558" spans="1:20">
      <c r="A558" s="610"/>
      <c r="B558" s="610"/>
      <c r="C558" s="610"/>
      <c r="D558" s="612"/>
      <c r="E558" s="610"/>
      <c r="F558" s="610"/>
      <c r="G558" s="610"/>
      <c r="H558" s="610"/>
      <c r="I558" s="610"/>
      <c r="J558" s="612"/>
      <c r="K558" s="615"/>
      <c r="L558" s="613"/>
      <c r="M558" s="614"/>
      <c r="N558" s="614"/>
      <c r="O558" s="614"/>
      <c r="P558" s="614"/>
      <c r="Q558" s="614"/>
      <c r="R558" s="614"/>
      <c r="S558" s="614"/>
      <c r="T558" s="614"/>
    </row>
    <row r="559" spans="1:20">
      <c r="A559" s="610"/>
      <c r="B559" s="610"/>
      <c r="C559" s="610"/>
      <c r="D559" s="612"/>
      <c r="E559" s="610"/>
      <c r="F559" s="610"/>
      <c r="G559" s="610"/>
      <c r="H559" s="610"/>
      <c r="I559" s="610"/>
      <c r="J559" s="612"/>
      <c r="K559" s="615"/>
      <c r="L559" s="613"/>
      <c r="M559" s="614"/>
      <c r="N559" s="614"/>
      <c r="O559" s="614"/>
      <c r="P559" s="614"/>
      <c r="Q559" s="614"/>
      <c r="R559" s="614"/>
      <c r="S559" s="614"/>
      <c r="T559" s="614"/>
    </row>
    <row r="560" spans="1:20">
      <c r="A560" s="610"/>
      <c r="B560" s="610"/>
      <c r="C560" s="610"/>
      <c r="D560" s="612"/>
      <c r="E560" s="610"/>
      <c r="F560" s="610"/>
      <c r="G560" s="610"/>
      <c r="H560" s="610"/>
      <c r="I560" s="610"/>
      <c r="J560" s="612"/>
      <c r="K560" s="615"/>
      <c r="L560" s="613"/>
      <c r="M560" s="614"/>
      <c r="N560" s="614"/>
      <c r="O560" s="614"/>
      <c r="P560" s="614"/>
      <c r="Q560" s="614"/>
      <c r="R560" s="614"/>
      <c r="S560" s="614"/>
      <c r="T560" s="614"/>
    </row>
    <row r="561" spans="1:20">
      <c r="A561" s="610"/>
      <c r="B561" s="610"/>
      <c r="C561" s="610"/>
      <c r="D561" s="612"/>
      <c r="E561" s="610"/>
      <c r="F561" s="610"/>
      <c r="G561" s="610"/>
      <c r="H561" s="610"/>
      <c r="I561" s="610"/>
      <c r="J561" s="612"/>
      <c r="K561" s="615"/>
      <c r="L561" s="613"/>
      <c r="M561" s="614"/>
      <c r="N561" s="614"/>
      <c r="O561" s="614"/>
      <c r="P561" s="614"/>
      <c r="Q561" s="614"/>
      <c r="R561" s="614"/>
      <c r="S561" s="614"/>
      <c r="T561" s="614"/>
    </row>
    <row r="562" spans="1:20">
      <c r="A562" s="610"/>
      <c r="B562" s="610"/>
      <c r="C562" s="610"/>
      <c r="D562" s="612"/>
      <c r="E562" s="610"/>
      <c r="F562" s="610"/>
      <c r="G562" s="610"/>
      <c r="H562" s="610"/>
      <c r="I562" s="610"/>
      <c r="J562" s="612"/>
      <c r="K562" s="615"/>
      <c r="L562" s="613"/>
      <c r="M562" s="614"/>
      <c r="N562" s="614"/>
      <c r="O562" s="614"/>
      <c r="P562" s="614"/>
      <c r="Q562" s="614"/>
      <c r="R562" s="614"/>
      <c r="S562" s="614"/>
      <c r="T562" s="614"/>
    </row>
    <row r="563" spans="1:20">
      <c r="A563" s="610"/>
      <c r="B563" s="610"/>
      <c r="C563" s="610"/>
      <c r="D563" s="612"/>
      <c r="E563" s="610"/>
      <c r="F563" s="610"/>
      <c r="G563" s="610"/>
      <c r="H563" s="610"/>
      <c r="I563" s="610"/>
      <c r="J563" s="612"/>
      <c r="K563" s="615"/>
      <c r="L563" s="613"/>
      <c r="M563" s="614"/>
      <c r="N563" s="614"/>
      <c r="O563" s="614"/>
      <c r="P563" s="614"/>
      <c r="Q563" s="614"/>
      <c r="R563" s="614"/>
      <c r="S563" s="614"/>
      <c r="T563" s="614"/>
    </row>
    <row r="564" spans="1:20">
      <c r="A564" s="610"/>
      <c r="B564" s="610"/>
      <c r="C564" s="610"/>
      <c r="D564" s="612"/>
      <c r="E564" s="610"/>
      <c r="F564" s="610"/>
      <c r="G564" s="610"/>
      <c r="H564" s="610"/>
      <c r="I564" s="610"/>
      <c r="J564" s="612"/>
      <c r="K564" s="615"/>
      <c r="L564" s="613"/>
      <c r="M564" s="614"/>
      <c r="N564" s="614"/>
      <c r="O564" s="614"/>
      <c r="P564" s="614"/>
      <c r="Q564" s="614"/>
      <c r="R564" s="614"/>
      <c r="S564" s="614"/>
      <c r="T564" s="614"/>
    </row>
    <row r="565" spans="1:20">
      <c r="A565" s="610"/>
      <c r="B565" s="610"/>
      <c r="C565" s="610"/>
      <c r="D565" s="612"/>
      <c r="E565" s="610"/>
      <c r="F565" s="610"/>
      <c r="G565" s="610"/>
      <c r="H565" s="610"/>
      <c r="I565" s="610"/>
      <c r="J565" s="612"/>
      <c r="K565" s="615"/>
      <c r="L565" s="613"/>
      <c r="M565" s="614"/>
      <c r="N565" s="614"/>
      <c r="O565" s="614"/>
      <c r="P565" s="614"/>
      <c r="Q565" s="614"/>
      <c r="R565" s="614"/>
      <c r="S565" s="614"/>
      <c r="T565" s="614"/>
    </row>
    <row r="566" spans="1:20">
      <c r="A566" s="610"/>
      <c r="B566" s="610"/>
      <c r="C566" s="610"/>
      <c r="D566" s="612"/>
      <c r="E566" s="610"/>
      <c r="F566" s="610"/>
      <c r="G566" s="610"/>
      <c r="H566" s="610"/>
      <c r="I566" s="610"/>
      <c r="J566" s="612"/>
      <c r="K566" s="615"/>
      <c r="L566" s="613"/>
      <c r="M566" s="614"/>
      <c r="N566" s="614"/>
      <c r="O566" s="614"/>
      <c r="P566" s="614"/>
      <c r="Q566" s="614"/>
      <c r="R566" s="614"/>
      <c r="S566" s="614"/>
      <c r="T566" s="614"/>
    </row>
    <row r="567" spans="1:20">
      <c r="A567" s="610"/>
      <c r="B567" s="610"/>
      <c r="C567" s="610"/>
      <c r="D567" s="612"/>
      <c r="E567" s="610"/>
      <c r="F567" s="610"/>
      <c r="G567" s="610"/>
      <c r="H567" s="610"/>
      <c r="I567" s="610"/>
      <c r="J567" s="612"/>
      <c r="K567" s="615"/>
      <c r="L567" s="613"/>
      <c r="M567" s="614"/>
      <c r="N567" s="614"/>
      <c r="O567" s="614"/>
      <c r="P567" s="614"/>
      <c r="Q567" s="614"/>
      <c r="R567" s="614"/>
      <c r="S567" s="614"/>
      <c r="T567" s="614"/>
    </row>
    <row r="568" spans="1:20">
      <c r="A568" s="610"/>
      <c r="B568" s="610"/>
      <c r="C568" s="610"/>
      <c r="D568" s="612"/>
      <c r="E568" s="610"/>
      <c r="F568" s="610"/>
      <c r="G568" s="610"/>
      <c r="H568" s="610"/>
      <c r="I568" s="610"/>
      <c r="J568" s="612"/>
      <c r="K568" s="615"/>
      <c r="L568" s="613"/>
      <c r="M568" s="614"/>
      <c r="N568" s="614"/>
      <c r="O568" s="614"/>
      <c r="P568" s="614"/>
      <c r="Q568" s="614"/>
      <c r="R568" s="614"/>
      <c r="S568" s="614"/>
      <c r="T568" s="614"/>
    </row>
    <row r="569" spans="1:20">
      <c r="A569" s="610"/>
      <c r="B569" s="610"/>
      <c r="C569" s="610"/>
      <c r="D569" s="612"/>
      <c r="E569" s="610"/>
      <c r="F569" s="610"/>
      <c r="G569" s="610"/>
      <c r="H569" s="610"/>
      <c r="I569" s="610"/>
      <c r="J569" s="612"/>
      <c r="K569" s="615"/>
      <c r="L569" s="613"/>
      <c r="M569" s="614"/>
      <c r="N569" s="614"/>
      <c r="O569" s="614"/>
      <c r="P569" s="614"/>
      <c r="Q569" s="614"/>
      <c r="R569" s="614"/>
      <c r="S569" s="614"/>
      <c r="T569" s="614"/>
    </row>
    <row r="570" spans="1:20">
      <c r="A570" s="610"/>
      <c r="B570" s="610"/>
      <c r="C570" s="610"/>
      <c r="D570" s="612"/>
      <c r="E570" s="610"/>
      <c r="F570" s="610"/>
      <c r="G570" s="610"/>
      <c r="H570" s="610"/>
      <c r="I570" s="610"/>
      <c r="J570" s="612"/>
      <c r="K570" s="615"/>
      <c r="L570" s="613"/>
      <c r="M570" s="614"/>
      <c r="N570" s="614"/>
      <c r="O570" s="614"/>
      <c r="P570" s="614"/>
      <c r="Q570" s="614"/>
      <c r="R570" s="614"/>
      <c r="S570" s="614"/>
      <c r="T570" s="614"/>
    </row>
    <row r="571" spans="1:20">
      <c r="A571" s="610"/>
      <c r="B571" s="610"/>
      <c r="C571" s="610"/>
      <c r="D571" s="612"/>
      <c r="E571" s="610"/>
      <c r="F571" s="610"/>
      <c r="G571" s="610"/>
      <c r="H571" s="610"/>
      <c r="I571" s="610"/>
      <c r="J571" s="612"/>
      <c r="K571" s="615"/>
      <c r="L571" s="613"/>
      <c r="M571" s="614"/>
      <c r="N571" s="614"/>
      <c r="O571" s="614"/>
      <c r="P571" s="614"/>
      <c r="Q571" s="614"/>
      <c r="R571" s="614"/>
      <c r="S571" s="614"/>
      <c r="T571" s="614"/>
    </row>
    <row r="572" spans="1:20">
      <c r="A572" s="610"/>
      <c r="B572" s="610"/>
      <c r="C572" s="610"/>
      <c r="D572" s="612"/>
      <c r="E572" s="610"/>
      <c r="F572" s="610"/>
      <c r="G572" s="610"/>
      <c r="H572" s="610"/>
      <c r="I572" s="610"/>
      <c r="J572" s="612"/>
      <c r="K572" s="615"/>
      <c r="L572" s="613"/>
      <c r="M572" s="614"/>
      <c r="N572" s="614"/>
      <c r="O572" s="614"/>
      <c r="P572" s="614"/>
      <c r="Q572" s="614"/>
      <c r="R572" s="614"/>
      <c r="S572" s="614"/>
      <c r="T572" s="614"/>
    </row>
    <row r="573" spans="1:20">
      <c r="A573" s="610"/>
      <c r="B573" s="610"/>
      <c r="C573" s="610"/>
      <c r="D573" s="612"/>
      <c r="E573" s="610"/>
      <c r="F573" s="610"/>
      <c r="G573" s="610"/>
      <c r="H573" s="610"/>
      <c r="I573" s="610"/>
      <c r="J573" s="612"/>
      <c r="K573" s="615"/>
      <c r="L573" s="613"/>
      <c r="M573" s="614"/>
      <c r="N573" s="614"/>
      <c r="O573" s="614"/>
      <c r="P573" s="614"/>
      <c r="Q573" s="614"/>
      <c r="R573" s="614"/>
      <c r="S573" s="614"/>
      <c r="T573" s="614"/>
    </row>
    <row r="574" spans="1:20">
      <c r="A574" s="610"/>
      <c r="B574" s="610"/>
      <c r="C574" s="610"/>
      <c r="D574" s="612"/>
      <c r="E574" s="610"/>
      <c r="F574" s="610"/>
      <c r="G574" s="610"/>
      <c r="H574" s="610"/>
      <c r="I574" s="610"/>
      <c r="J574" s="612"/>
      <c r="K574" s="615"/>
      <c r="L574" s="613"/>
      <c r="M574" s="614"/>
      <c r="N574" s="614"/>
      <c r="O574" s="614"/>
      <c r="P574" s="614"/>
      <c r="Q574" s="614"/>
      <c r="R574" s="614"/>
      <c r="S574" s="614"/>
      <c r="T574" s="614"/>
    </row>
    <row r="575" spans="1:20">
      <c r="A575" s="610"/>
      <c r="B575" s="610"/>
      <c r="C575" s="610"/>
      <c r="D575" s="612"/>
      <c r="E575" s="610"/>
      <c r="F575" s="610"/>
      <c r="G575" s="610"/>
      <c r="H575" s="610"/>
      <c r="I575" s="610"/>
      <c r="J575" s="612"/>
      <c r="K575" s="615"/>
      <c r="L575" s="613"/>
      <c r="M575" s="614"/>
      <c r="N575" s="614"/>
      <c r="O575" s="614"/>
      <c r="P575" s="614"/>
      <c r="Q575" s="614"/>
      <c r="R575" s="614"/>
      <c r="S575" s="614"/>
      <c r="T575" s="614"/>
    </row>
    <row r="576" spans="1:20">
      <c r="A576" s="610"/>
      <c r="B576" s="610"/>
      <c r="C576" s="610"/>
      <c r="D576" s="612"/>
      <c r="E576" s="610"/>
      <c r="F576" s="610"/>
      <c r="G576" s="610"/>
      <c r="H576" s="610"/>
      <c r="I576" s="610"/>
      <c r="J576" s="612"/>
      <c r="K576" s="615"/>
      <c r="L576" s="613"/>
      <c r="M576" s="614"/>
      <c r="N576" s="614"/>
      <c r="O576" s="614"/>
      <c r="P576" s="614"/>
      <c r="Q576" s="614"/>
      <c r="R576" s="614"/>
      <c r="S576" s="614"/>
      <c r="T576" s="614"/>
    </row>
    <row r="577" spans="1:20">
      <c r="A577" s="610"/>
      <c r="B577" s="610"/>
      <c r="C577" s="610"/>
      <c r="D577" s="612"/>
      <c r="E577" s="610"/>
      <c r="F577" s="610"/>
      <c r="G577" s="610"/>
      <c r="H577" s="610"/>
      <c r="I577" s="610"/>
      <c r="J577" s="612"/>
      <c r="K577" s="615"/>
      <c r="L577" s="613"/>
      <c r="M577" s="614"/>
      <c r="N577" s="614"/>
      <c r="O577" s="614"/>
      <c r="P577" s="614"/>
      <c r="Q577" s="614"/>
      <c r="R577" s="614"/>
      <c r="S577" s="614"/>
      <c r="T577" s="614"/>
    </row>
    <row r="578" spans="1:20">
      <c r="A578" s="610"/>
      <c r="B578" s="610"/>
      <c r="C578" s="610"/>
      <c r="D578" s="612"/>
      <c r="E578" s="610"/>
      <c r="F578" s="610"/>
      <c r="G578" s="610"/>
      <c r="H578" s="610"/>
      <c r="I578" s="610"/>
      <c r="J578" s="612"/>
      <c r="K578" s="615"/>
      <c r="L578" s="613"/>
      <c r="M578" s="614"/>
      <c r="N578" s="614"/>
      <c r="O578" s="614"/>
      <c r="P578" s="614"/>
      <c r="Q578" s="614"/>
      <c r="R578" s="614"/>
      <c r="S578" s="614"/>
      <c r="T578" s="614"/>
    </row>
    <row r="579" spans="1:20">
      <c r="A579" s="610"/>
      <c r="B579" s="610"/>
      <c r="C579" s="610"/>
      <c r="D579" s="612"/>
      <c r="E579" s="610"/>
      <c r="F579" s="610"/>
      <c r="G579" s="610"/>
      <c r="H579" s="610"/>
      <c r="I579" s="610"/>
      <c r="J579" s="612"/>
      <c r="K579" s="615"/>
      <c r="L579" s="613"/>
      <c r="M579" s="614"/>
      <c r="N579" s="614"/>
      <c r="O579" s="614"/>
      <c r="P579" s="614"/>
      <c r="Q579" s="614"/>
      <c r="R579" s="614"/>
      <c r="S579" s="614"/>
      <c r="T579" s="614"/>
    </row>
    <row r="580" spans="1:20">
      <c r="A580" s="610"/>
      <c r="B580" s="610"/>
      <c r="C580" s="610"/>
      <c r="D580" s="612"/>
      <c r="E580" s="610"/>
      <c r="F580" s="610"/>
      <c r="G580" s="610"/>
      <c r="H580" s="610"/>
      <c r="I580" s="610"/>
      <c r="J580" s="612"/>
      <c r="K580" s="615"/>
      <c r="L580" s="613"/>
      <c r="M580" s="614"/>
      <c r="N580" s="614"/>
      <c r="O580" s="614"/>
      <c r="P580" s="614"/>
      <c r="Q580" s="614"/>
      <c r="R580" s="614"/>
      <c r="S580" s="614"/>
      <c r="T580" s="614"/>
    </row>
    <row r="581" spans="1:20">
      <c r="A581" s="610"/>
      <c r="B581" s="610"/>
      <c r="C581" s="610"/>
      <c r="D581" s="612"/>
      <c r="E581" s="610"/>
      <c r="F581" s="610"/>
      <c r="G581" s="610"/>
      <c r="H581" s="610"/>
      <c r="I581" s="610"/>
      <c r="J581" s="612"/>
      <c r="K581" s="615"/>
      <c r="L581" s="613"/>
      <c r="M581" s="614"/>
      <c r="N581" s="614"/>
      <c r="O581" s="614"/>
      <c r="P581" s="614"/>
      <c r="Q581" s="614"/>
      <c r="R581" s="614"/>
      <c r="S581" s="614"/>
      <c r="T581" s="614"/>
    </row>
    <row r="582" spans="1:20">
      <c r="A582" s="610"/>
      <c r="B582" s="610"/>
      <c r="C582" s="610"/>
      <c r="D582" s="612"/>
      <c r="E582" s="610"/>
      <c r="F582" s="610"/>
      <c r="G582" s="610"/>
      <c r="H582" s="610"/>
      <c r="I582" s="610"/>
      <c r="J582" s="612"/>
      <c r="K582" s="615"/>
      <c r="L582" s="613"/>
      <c r="M582" s="614"/>
      <c r="N582" s="614"/>
      <c r="O582" s="614"/>
      <c r="P582" s="614"/>
      <c r="Q582" s="614"/>
      <c r="R582" s="614"/>
      <c r="S582" s="614"/>
      <c r="T582" s="614"/>
    </row>
    <row r="583" spans="1:20">
      <c r="A583" s="610"/>
      <c r="B583" s="610"/>
      <c r="C583" s="610"/>
      <c r="D583" s="612"/>
      <c r="E583" s="610"/>
      <c r="F583" s="610"/>
      <c r="G583" s="610"/>
      <c r="H583" s="610"/>
      <c r="I583" s="610"/>
      <c r="J583" s="612"/>
      <c r="K583" s="615"/>
      <c r="L583" s="613"/>
      <c r="M583" s="614"/>
      <c r="N583" s="614"/>
      <c r="O583" s="614"/>
      <c r="P583" s="614"/>
      <c r="Q583" s="614"/>
      <c r="R583" s="614"/>
      <c r="S583" s="614"/>
      <c r="T583" s="614"/>
    </row>
    <row r="584" spans="1:20">
      <c r="A584" s="610"/>
      <c r="B584" s="610"/>
      <c r="C584" s="610"/>
      <c r="D584" s="612"/>
      <c r="E584" s="610"/>
      <c r="F584" s="610"/>
      <c r="G584" s="610"/>
      <c r="H584" s="610"/>
      <c r="I584" s="610"/>
      <c r="J584" s="612"/>
      <c r="K584" s="615"/>
      <c r="L584" s="613"/>
      <c r="M584" s="614"/>
      <c r="N584" s="614"/>
      <c r="O584" s="614"/>
      <c r="P584" s="614"/>
      <c r="Q584" s="614"/>
      <c r="R584" s="614"/>
      <c r="S584" s="614"/>
      <c r="T584" s="614"/>
    </row>
    <row r="585" spans="1:20">
      <c r="A585" s="610"/>
      <c r="B585" s="610"/>
      <c r="C585" s="610"/>
      <c r="D585" s="612"/>
      <c r="E585" s="610"/>
      <c r="F585" s="610"/>
      <c r="G585" s="610"/>
      <c r="H585" s="610"/>
      <c r="I585" s="610"/>
      <c r="J585" s="612"/>
      <c r="K585" s="615"/>
      <c r="L585" s="613"/>
      <c r="M585" s="614"/>
      <c r="N585" s="614"/>
      <c r="O585" s="614"/>
      <c r="P585" s="614"/>
      <c r="Q585" s="614"/>
      <c r="R585" s="614"/>
      <c r="S585" s="614"/>
      <c r="T585" s="614"/>
    </row>
    <row r="586" spans="1:20">
      <c r="A586" s="610"/>
      <c r="B586" s="610"/>
      <c r="C586" s="610"/>
      <c r="D586" s="612"/>
      <c r="E586" s="610"/>
      <c r="F586" s="610"/>
      <c r="G586" s="610"/>
      <c r="H586" s="610"/>
      <c r="I586" s="610"/>
      <c r="J586" s="612"/>
      <c r="K586" s="615"/>
      <c r="L586" s="613"/>
      <c r="M586" s="614"/>
      <c r="N586" s="614"/>
      <c r="O586" s="614"/>
      <c r="P586" s="614"/>
      <c r="Q586" s="614"/>
      <c r="R586" s="614"/>
      <c r="S586" s="614"/>
      <c r="T586" s="614"/>
    </row>
    <row r="587" spans="1:20">
      <c r="A587" s="610"/>
      <c r="B587" s="610"/>
      <c r="C587" s="610"/>
      <c r="D587" s="612"/>
      <c r="E587" s="610"/>
      <c r="F587" s="610"/>
      <c r="G587" s="610"/>
      <c r="H587" s="610"/>
      <c r="I587" s="610"/>
      <c r="J587" s="612"/>
      <c r="K587" s="615"/>
      <c r="L587" s="613"/>
      <c r="M587" s="614"/>
      <c r="N587" s="614"/>
      <c r="O587" s="614"/>
      <c r="P587" s="614"/>
      <c r="Q587" s="614"/>
      <c r="R587" s="614"/>
      <c r="S587" s="614"/>
      <c r="T587" s="614"/>
    </row>
    <row r="588" spans="1:20">
      <c r="A588" s="610"/>
      <c r="B588" s="610"/>
      <c r="C588" s="610"/>
      <c r="D588" s="612"/>
      <c r="E588" s="610"/>
      <c r="F588" s="610"/>
      <c r="G588" s="610"/>
      <c r="H588" s="610"/>
      <c r="I588" s="610"/>
      <c r="J588" s="612"/>
      <c r="K588" s="615"/>
      <c r="L588" s="613"/>
      <c r="M588" s="614"/>
      <c r="N588" s="614"/>
      <c r="O588" s="614"/>
      <c r="P588" s="614"/>
      <c r="Q588" s="614"/>
      <c r="R588" s="614"/>
      <c r="S588" s="614"/>
      <c r="T588" s="614"/>
    </row>
    <row r="589" spans="1:20">
      <c r="A589" s="610"/>
      <c r="B589" s="610"/>
      <c r="C589" s="610"/>
      <c r="D589" s="612"/>
      <c r="E589" s="610"/>
      <c r="F589" s="610"/>
      <c r="G589" s="610"/>
      <c r="H589" s="610"/>
      <c r="I589" s="610"/>
      <c r="J589" s="612"/>
      <c r="K589" s="615"/>
      <c r="L589" s="613"/>
      <c r="M589" s="614"/>
      <c r="N589" s="614"/>
      <c r="O589" s="614"/>
      <c r="P589" s="614"/>
      <c r="Q589" s="614"/>
      <c r="R589" s="614"/>
      <c r="S589" s="614"/>
      <c r="T589" s="614"/>
    </row>
    <row r="590" spans="1:20">
      <c r="A590" s="610"/>
      <c r="B590" s="610"/>
      <c r="C590" s="610"/>
      <c r="D590" s="612"/>
      <c r="E590" s="610"/>
      <c r="F590" s="610"/>
      <c r="G590" s="610"/>
      <c r="H590" s="610"/>
      <c r="I590" s="610"/>
      <c r="J590" s="612"/>
      <c r="K590" s="615"/>
      <c r="L590" s="613"/>
      <c r="M590" s="614"/>
      <c r="N590" s="614"/>
      <c r="O590" s="614"/>
      <c r="P590" s="614"/>
      <c r="Q590" s="614"/>
      <c r="R590" s="614"/>
      <c r="S590" s="614"/>
      <c r="T590" s="614"/>
    </row>
    <row r="591" spans="1:20">
      <c r="A591" s="610"/>
      <c r="B591" s="610"/>
      <c r="C591" s="610"/>
      <c r="D591" s="612"/>
      <c r="E591" s="610"/>
      <c r="F591" s="610"/>
      <c r="G591" s="610"/>
      <c r="H591" s="610"/>
      <c r="I591" s="610"/>
      <c r="J591" s="612"/>
      <c r="K591" s="615"/>
      <c r="L591" s="613"/>
      <c r="M591" s="614"/>
      <c r="N591" s="614"/>
      <c r="O591" s="614"/>
      <c r="P591" s="614"/>
      <c r="Q591" s="614"/>
      <c r="R591" s="614"/>
      <c r="S591" s="614"/>
      <c r="T591" s="614"/>
    </row>
    <row r="592" spans="1:20">
      <c r="A592" s="610"/>
      <c r="B592" s="610"/>
      <c r="C592" s="610"/>
      <c r="D592" s="612"/>
      <c r="E592" s="610"/>
      <c r="F592" s="610"/>
      <c r="G592" s="610"/>
      <c r="H592" s="610"/>
      <c r="I592" s="610"/>
      <c r="J592" s="612"/>
      <c r="K592" s="615"/>
      <c r="L592" s="613"/>
      <c r="M592" s="614"/>
      <c r="N592" s="614"/>
      <c r="O592" s="614"/>
      <c r="P592" s="614"/>
      <c r="Q592" s="614"/>
      <c r="R592" s="614"/>
      <c r="S592" s="614"/>
      <c r="T592" s="614"/>
    </row>
    <row r="593" spans="1:20">
      <c r="A593" s="610"/>
      <c r="B593" s="610"/>
      <c r="C593" s="610"/>
      <c r="D593" s="612"/>
      <c r="E593" s="610"/>
      <c r="F593" s="610"/>
      <c r="G593" s="610"/>
      <c r="H593" s="610"/>
      <c r="I593" s="610"/>
      <c r="J593" s="612"/>
      <c r="K593" s="615"/>
      <c r="L593" s="613"/>
      <c r="M593" s="614"/>
      <c r="N593" s="614"/>
      <c r="O593" s="614"/>
      <c r="P593" s="614"/>
      <c r="Q593" s="614"/>
      <c r="R593" s="614"/>
      <c r="S593" s="614"/>
      <c r="T593" s="614"/>
    </row>
    <row r="594" spans="1:20">
      <c r="A594" s="610"/>
      <c r="B594" s="610"/>
      <c r="C594" s="610"/>
      <c r="D594" s="612"/>
      <c r="E594" s="610"/>
      <c r="F594" s="610"/>
      <c r="G594" s="610"/>
      <c r="H594" s="610"/>
      <c r="I594" s="610"/>
      <c r="J594" s="612"/>
      <c r="K594" s="615"/>
      <c r="L594" s="613"/>
      <c r="M594" s="614"/>
      <c r="N594" s="614"/>
      <c r="O594" s="614"/>
      <c r="P594" s="614"/>
      <c r="Q594" s="614"/>
      <c r="R594" s="614"/>
      <c r="S594" s="614"/>
      <c r="T594" s="614"/>
    </row>
    <row r="595" spans="1:20">
      <c r="A595" s="610"/>
      <c r="B595" s="610"/>
      <c r="C595" s="610"/>
      <c r="D595" s="612"/>
      <c r="E595" s="610"/>
      <c r="F595" s="610"/>
      <c r="G595" s="610"/>
      <c r="H595" s="610"/>
      <c r="I595" s="610"/>
      <c r="J595" s="612"/>
      <c r="K595" s="615"/>
      <c r="L595" s="613"/>
      <c r="M595" s="614"/>
      <c r="N595" s="614"/>
      <c r="O595" s="614"/>
      <c r="P595" s="614"/>
      <c r="Q595" s="614"/>
      <c r="R595" s="614"/>
      <c r="S595" s="614"/>
      <c r="T595" s="614"/>
    </row>
    <row r="596" spans="1:20">
      <c r="A596" s="610"/>
      <c r="B596" s="610"/>
      <c r="C596" s="610"/>
      <c r="D596" s="612"/>
      <c r="E596" s="610"/>
      <c r="F596" s="610"/>
      <c r="G596" s="610"/>
      <c r="H596" s="610"/>
      <c r="I596" s="610"/>
      <c r="J596" s="612"/>
      <c r="K596" s="615"/>
      <c r="L596" s="613"/>
      <c r="M596" s="614"/>
      <c r="N596" s="614"/>
      <c r="O596" s="614"/>
      <c r="P596" s="614"/>
      <c r="Q596" s="614"/>
      <c r="R596" s="614"/>
      <c r="S596" s="614"/>
      <c r="T596" s="614"/>
    </row>
    <row r="597" spans="1:20">
      <c r="A597" s="610"/>
      <c r="B597" s="610"/>
      <c r="C597" s="610"/>
      <c r="D597" s="612"/>
      <c r="E597" s="610"/>
      <c r="F597" s="610"/>
      <c r="G597" s="610"/>
      <c r="H597" s="610"/>
      <c r="I597" s="610"/>
      <c r="J597" s="612"/>
      <c r="K597" s="615"/>
      <c r="L597" s="613"/>
      <c r="M597" s="614"/>
      <c r="N597" s="614"/>
      <c r="O597" s="614"/>
      <c r="P597" s="614"/>
      <c r="Q597" s="614"/>
      <c r="R597" s="614"/>
      <c r="S597" s="614"/>
      <c r="T597" s="614"/>
    </row>
    <row r="598" spans="1:20">
      <c r="A598" s="610"/>
      <c r="B598" s="610"/>
      <c r="C598" s="610"/>
      <c r="D598" s="612"/>
      <c r="E598" s="610"/>
      <c r="F598" s="610"/>
      <c r="G598" s="610"/>
      <c r="H598" s="610"/>
      <c r="I598" s="610"/>
      <c r="J598" s="612"/>
      <c r="K598" s="615"/>
      <c r="L598" s="613"/>
      <c r="M598" s="614"/>
      <c r="N598" s="614"/>
      <c r="O598" s="614"/>
      <c r="P598" s="614"/>
      <c r="Q598" s="614"/>
      <c r="R598" s="614"/>
      <c r="S598" s="614"/>
      <c r="T598" s="614"/>
    </row>
    <row r="599" spans="1:20">
      <c r="A599" s="610"/>
      <c r="B599" s="610"/>
      <c r="C599" s="610"/>
      <c r="D599" s="612"/>
      <c r="E599" s="610"/>
      <c r="F599" s="610"/>
      <c r="G599" s="610"/>
      <c r="H599" s="610"/>
      <c r="I599" s="610"/>
      <c r="J599" s="612"/>
      <c r="K599" s="615"/>
      <c r="L599" s="613"/>
      <c r="M599" s="614"/>
      <c r="N599" s="614"/>
      <c r="O599" s="614"/>
      <c r="P599" s="614"/>
      <c r="Q599" s="614"/>
      <c r="R599" s="614"/>
      <c r="S599" s="614"/>
      <c r="T599" s="614"/>
    </row>
    <row r="600" spans="1:20">
      <c r="A600" s="610"/>
      <c r="B600" s="610"/>
      <c r="C600" s="610"/>
      <c r="D600" s="612"/>
      <c r="E600" s="610"/>
      <c r="F600" s="610"/>
      <c r="G600" s="610"/>
      <c r="H600" s="610"/>
      <c r="I600" s="610"/>
      <c r="J600" s="612"/>
      <c r="K600" s="615"/>
      <c r="L600" s="613"/>
      <c r="M600" s="614"/>
      <c r="N600" s="614"/>
      <c r="O600" s="614"/>
      <c r="P600" s="614"/>
      <c r="Q600" s="614"/>
      <c r="R600" s="614"/>
      <c r="S600" s="614"/>
      <c r="T600" s="614"/>
    </row>
    <row r="601" spans="1:20">
      <c r="A601" s="610"/>
      <c r="B601" s="610"/>
      <c r="C601" s="610"/>
      <c r="D601" s="612"/>
      <c r="E601" s="610"/>
      <c r="F601" s="610"/>
      <c r="G601" s="610"/>
      <c r="H601" s="610"/>
      <c r="I601" s="610"/>
      <c r="J601" s="612"/>
      <c r="K601" s="615"/>
      <c r="L601" s="613"/>
      <c r="M601" s="614"/>
      <c r="N601" s="614"/>
      <c r="O601" s="614"/>
      <c r="P601" s="614"/>
      <c r="Q601" s="614"/>
      <c r="R601" s="614"/>
      <c r="S601" s="614"/>
      <c r="T601" s="614"/>
    </row>
    <row r="602" spans="1:20">
      <c r="A602" s="610"/>
      <c r="B602" s="610"/>
      <c r="C602" s="610"/>
      <c r="D602" s="612"/>
      <c r="E602" s="610"/>
      <c r="F602" s="610"/>
      <c r="G602" s="610"/>
      <c r="H602" s="610"/>
      <c r="I602" s="610"/>
      <c r="J602" s="612"/>
      <c r="K602" s="615"/>
      <c r="L602" s="613"/>
      <c r="M602" s="614"/>
      <c r="N602" s="614"/>
      <c r="O602" s="614"/>
      <c r="P602" s="614"/>
      <c r="Q602" s="614"/>
      <c r="R602" s="614"/>
      <c r="S602" s="614"/>
      <c r="T602" s="614"/>
    </row>
    <row r="603" spans="1:20">
      <c r="A603" s="610"/>
      <c r="B603" s="610"/>
      <c r="C603" s="610"/>
      <c r="D603" s="612"/>
      <c r="E603" s="610"/>
      <c r="F603" s="610"/>
      <c r="G603" s="610"/>
      <c r="H603" s="610"/>
      <c r="I603" s="610"/>
      <c r="J603" s="612"/>
      <c r="K603" s="615"/>
      <c r="L603" s="613"/>
      <c r="M603" s="614"/>
      <c r="N603" s="614"/>
      <c r="O603" s="614"/>
      <c r="P603" s="614"/>
      <c r="Q603" s="614"/>
      <c r="R603" s="614"/>
      <c r="S603" s="614"/>
      <c r="T603" s="614"/>
    </row>
    <row r="604" spans="1:20">
      <c r="A604" s="610"/>
      <c r="B604" s="610"/>
      <c r="C604" s="610"/>
      <c r="D604" s="612"/>
      <c r="E604" s="610"/>
      <c r="F604" s="610"/>
      <c r="G604" s="610"/>
      <c r="H604" s="610"/>
      <c r="I604" s="610"/>
      <c r="J604" s="612"/>
      <c r="K604" s="615"/>
      <c r="L604" s="613"/>
      <c r="M604" s="614"/>
      <c r="N604" s="614"/>
      <c r="O604" s="614"/>
      <c r="P604" s="614"/>
      <c r="Q604" s="614"/>
      <c r="R604" s="614"/>
      <c r="S604" s="614"/>
      <c r="T604" s="614"/>
    </row>
    <row r="605" spans="1:20">
      <c r="A605" s="610"/>
      <c r="B605" s="610"/>
      <c r="C605" s="610"/>
      <c r="D605" s="612"/>
      <c r="E605" s="610"/>
      <c r="F605" s="610"/>
      <c r="G605" s="610"/>
      <c r="H605" s="610"/>
      <c r="I605" s="610"/>
      <c r="J605" s="612"/>
      <c r="K605" s="615"/>
      <c r="L605" s="613"/>
      <c r="M605" s="614"/>
      <c r="N605" s="614"/>
      <c r="O605" s="614"/>
      <c r="P605" s="614"/>
      <c r="Q605" s="614"/>
      <c r="R605" s="614"/>
      <c r="S605" s="614"/>
      <c r="T605" s="614"/>
    </row>
    <row r="606" spans="1:20">
      <c r="A606" s="610"/>
      <c r="B606" s="610"/>
      <c r="C606" s="610"/>
      <c r="D606" s="612"/>
      <c r="E606" s="610"/>
      <c r="F606" s="610"/>
      <c r="G606" s="610"/>
      <c r="H606" s="610"/>
      <c r="I606" s="610"/>
      <c r="J606" s="612"/>
      <c r="K606" s="615"/>
      <c r="L606" s="613"/>
      <c r="M606" s="614"/>
      <c r="N606" s="614"/>
      <c r="O606" s="614"/>
      <c r="P606" s="614"/>
      <c r="Q606" s="614"/>
      <c r="R606" s="614"/>
      <c r="S606" s="614"/>
      <c r="T606" s="614"/>
    </row>
    <row r="607" spans="1:20">
      <c r="A607" s="610"/>
      <c r="B607" s="610"/>
      <c r="C607" s="610"/>
      <c r="D607" s="612"/>
      <c r="E607" s="610"/>
      <c r="F607" s="610"/>
      <c r="G607" s="610"/>
      <c r="H607" s="610"/>
      <c r="I607" s="610"/>
      <c r="J607" s="612"/>
      <c r="K607" s="615"/>
      <c r="L607" s="613"/>
      <c r="M607" s="614"/>
      <c r="N607" s="614"/>
      <c r="O607" s="614"/>
      <c r="P607" s="614"/>
      <c r="Q607" s="614"/>
      <c r="R607" s="614"/>
      <c r="S607" s="614"/>
      <c r="T607" s="614"/>
    </row>
    <row r="608" spans="1:20">
      <c r="A608" s="610"/>
      <c r="B608" s="610"/>
      <c r="C608" s="610"/>
      <c r="D608" s="612"/>
      <c r="E608" s="610"/>
      <c r="F608" s="610"/>
      <c r="G608" s="610"/>
      <c r="H608" s="610"/>
      <c r="I608" s="610"/>
      <c r="J608" s="612"/>
      <c r="K608" s="615"/>
      <c r="L608" s="613"/>
      <c r="M608" s="614"/>
      <c r="N608" s="614"/>
      <c r="O608" s="614"/>
      <c r="P608" s="614"/>
      <c r="Q608" s="614"/>
      <c r="R608" s="614"/>
      <c r="S608" s="614"/>
      <c r="T608" s="614"/>
    </row>
    <row r="609" spans="1:20">
      <c r="A609" s="610"/>
      <c r="B609" s="610"/>
      <c r="C609" s="610"/>
      <c r="D609" s="612"/>
      <c r="E609" s="610"/>
      <c r="F609" s="610"/>
      <c r="G609" s="610"/>
      <c r="H609" s="610"/>
      <c r="I609" s="610"/>
      <c r="J609" s="612"/>
      <c r="K609" s="615"/>
      <c r="L609" s="613"/>
      <c r="M609" s="614"/>
      <c r="N609" s="614"/>
      <c r="O609" s="614"/>
      <c r="P609" s="614"/>
      <c r="Q609" s="614"/>
      <c r="R609" s="614"/>
      <c r="S609" s="614"/>
      <c r="T609" s="614"/>
    </row>
    <row r="610" spans="1:20">
      <c r="A610" s="610"/>
      <c r="B610" s="610"/>
      <c r="C610" s="610"/>
      <c r="D610" s="612"/>
      <c r="E610" s="610"/>
      <c r="F610" s="610"/>
      <c r="G610" s="610"/>
      <c r="H610" s="610"/>
      <c r="I610" s="610"/>
      <c r="J610" s="612"/>
      <c r="K610" s="615"/>
      <c r="L610" s="613"/>
      <c r="M610" s="614"/>
      <c r="N610" s="614"/>
      <c r="O610" s="614"/>
      <c r="P610" s="614"/>
      <c r="Q610" s="614"/>
      <c r="R610" s="614"/>
      <c r="S610" s="614"/>
      <c r="T610" s="614"/>
    </row>
    <row r="611" spans="1:20">
      <c r="A611" s="610"/>
      <c r="B611" s="610"/>
      <c r="C611" s="610"/>
      <c r="D611" s="612"/>
      <c r="E611" s="610"/>
      <c r="F611" s="610"/>
      <c r="G611" s="610"/>
      <c r="H611" s="610"/>
      <c r="I611" s="610"/>
      <c r="J611" s="612"/>
      <c r="K611" s="615"/>
      <c r="L611" s="613"/>
      <c r="M611" s="614"/>
      <c r="N611" s="614"/>
      <c r="O611" s="614"/>
      <c r="P611" s="614"/>
      <c r="Q611" s="614"/>
      <c r="R611" s="614"/>
      <c r="S611" s="614"/>
      <c r="T611" s="614"/>
    </row>
    <row r="612" spans="1:20">
      <c r="A612" s="610"/>
      <c r="B612" s="610"/>
      <c r="C612" s="610"/>
      <c r="D612" s="612"/>
      <c r="E612" s="610"/>
      <c r="F612" s="610"/>
      <c r="G612" s="610"/>
      <c r="H612" s="610"/>
      <c r="I612" s="610"/>
      <c r="J612" s="612"/>
      <c r="K612" s="615"/>
      <c r="L612" s="613"/>
      <c r="M612" s="614"/>
      <c r="N612" s="614"/>
      <c r="O612" s="614"/>
      <c r="P612" s="614"/>
      <c r="Q612" s="614"/>
      <c r="R612" s="614"/>
      <c r="S612" s="614"/>
      <c r="T612" s="614"/>
    </row>
    <row r="613" spans="1:20">
      <c r="A613" s="610"/>
      <c r="B613" s="610"/>
      <c r="C613" s="610"/>
      <c r="D613" s="612"/>
      <c r="E613" s="610"/>
      <c r="F613" s="610"/>
      <c r="G613" s="610"/>
      <c r="H613" s="610"/>
      <c r="I613" s="610"/>
      <c r="J613" s="612"/>
      <c r="K613" s="615"/>
      <c r="L613" s="613"/>
      <c r="M613" s="614"/>
      <c r="N613" s="614"/>
      <c r="O613" s="614"/>
      <c r="P613" s="614"/>
      <c r="Q613" s="614"/>
      <c r="R613" s="614"/>
      <c r="S613" s="614"/>
      <c r="T613" s="614"/>
    </row>
    <row r="614" spans="1:20">
      <c r="A614" s="610"/>
      <c r="B614" s="610"/>
      <c r="C614" s="610"/>
      <c r="D614" s="612"/>
      <c r="E614" s="610"/>
      <c r="F614" s="610"/>
      <c r="G614" s="610"/>
      <c r="H614" s="610"/>
      <c r="I614" s="610"/>
      <c r="J614" s="612"/>
      <c r="K614" s="615"/>
      <c r="L614" s="613"/>
      <c r="M614" s="614"/>
      <c r="N614" s="614"/>
      <c r="O614" s="614"/>
      <c r="P614" s="614"/>
      <c r="Q614" s="614"/>
      <c r="R614" s="614"/>
      <c r="S614" s="614"/>
      <c r="T614" s="614"/>
    </row>
    <row r="615" spans="1:20">
      <c r="A615" s="610"/>
      <c r="B615" s="610"/>
      <c r="C615" s="610"/>
      <c r="D615" s="612"/>
      <c r="E615" s="610"/>
      <c r="F615" s="610"/>
      <c r="G615" s="610"/>
      <c r="H615" s="610"/>
      <c r="I615" s="610"/>
      <c r="J615" s="612"/>
      <c r="K615" s="615"/>
      <c r="L615" s="613"/>
      <c r="M615" s="614"/>
      <c r="N615" s="614"/>
      <c r="O615" s="614"/>
      <c r="P615" s="614"/>
      <c r="Q615" s="614"/>
      <c r="R615" s="614"/>
      <c r="S615" s="614"/>
      <c r="T615" s="614"/>
    </row>
    <row r="616" spans="1:20">
      <c r="A616" s="610"/>
      <c r="B616" s="610"/>
      <c r="C616" s="610"/>
      <c r="D616" s="612"/>
      <c r="E616" s="610"/>
      <c r="F616" s="610"/>
      <c r="G616" s="610"/>
      <c r="H616" s="610"/>
      <c r="I616" s="610"/>
      <c r="J616" s="612"/>
      <c r="K616" s="615"/>
      <c r="L616" s="613"/>
      <c r="M616" s="614"/>
      <c r="N616" s="614"/>
      <c r="O616" s="614"/>
      <c r="P616" s="614"/>
      <c r="Q616" s="614"/>
      <c r="R616" s="614"/>
      <c r="S616" s="614"/>
      <c r="T616" s="614"/>
    </row>
    <row r="617" spans="1:20">
      <c r="A617" s="610"/>
      <c r="B617" s="610"/>
      <c r="C617" s="610"/>
      <c r="D617" s="612"/>
      <c r="E617" s="610"/>
      <c r="F617" s="610"/>
      <c r="G617" s="610"/>
      <c r="H617" s="610"/>
      <c r="I617" s="610"/>
      <c r="J617" s="612"/>
      <c r="K617" s="615"/>
      <c r="L617" s="613"/>
      <c r="M617" s="614"/>
      <c r="N617" s="614"/>
      <c r="O617" s="614"/>
      <c r="P617" s="614"/>
      <c r="Q617" s="614"/>
      <c r="R617" s="614"/>
      <c r="S617" s="614"/>
      <c r="T617" s="614"/>
    </row>
    <row r="618" spans="1:20">
      <c r="A618" s="610"/>
      <c r="B618" s="610"/>
      <c r="C618" s="610"/>
      <c r="D618" s="612"/>
      <c r="E618" s="610"/>
      <c r="F618" s="610"/>
      <c r="G618" s="610"/>
      <c r="H618" s="610"/>
      <c r="I618" s="610"/>
      <c r="J618" s="612"/>
      <c r="K618" s="615"/>
      <c r="L618" s="613"/>
      <c r="M618" s="614"/>
      <c r="N618" s="614"/>
      <c r="O618" s="614"/>
      <c r="P618" s="614"/>
      <c r="Q618" s="614"/>
      <c r="R618" s="614"/>
      <c r="S618" s="614"/>
      <c r="T618" s="614"/>
    </row>
    <row r="619" spans="1:20">
      <c r="A619" s="610"/>
      <c r="B619" s="610"/>
      <c r="C619" s="610"/>
      <c r="D619" s="612"/>
      <c r="E619" s="610"/>
      <c r="F619" s="610"/>
      <c r="G619" s="610"/>
      <c r="H619" s="610"/>
      <c r="I619" s="610"/>
      <c r="J619" s="612"/>
      <c r="K619" s="615"/>
      <c r="L619" s="613"/>
      <c r="M619" s="614"/>
      <c r="N619" s="614"/>
      <c r="O619" s="614"/>
      <c r="P619" s="614"/>
      <c r="Q619" s="614"/>
      <c r="R619" s="614"/>
      <c r="S619" s="614"/>
      <c r="T619" s="614"/>
    </row>
    <row r="620" spans="1:20">
      <c r="A620" s="610"/>
      <c r="B620" s="610"/>
      <c r="C620" s="610"/>
      <c r="D620" s="612"/>
      <c r="E620" s="610"/>
      <c r="F620" s="610"/>
      <c r="G620" s="610"/>
      <c r="H620" s="610"/>
      <c r="I620" s="610"/>
      <c r="J620" s="612"/>
      <c r="K620" s="615"/>
      <c r="L620" s="613"/>
      <c r="M620" s="614"/>
      <c r="N620" s="614"/>
      <c r="O620" s="614"/>
      <c r="P620" s="614"/>
      <c r="Q620" s="614"/>
      <c r="R620" s="614"/>
      <c r="S620" s="614"/>
      <c r="T620" s="614"/>
    </row>
    <row r="621" spans="1:20">
      <c r="A621" s="610"/>
      <c r="B621" s="610"/>
      <c r="C621" s="610"/>
      <c r="D621" s="612"/>
      <c r="E621" s="610"/>
      <c r="F621" s="610"/>
      <c r="G621" s="610"/>
      <c r="H621" s="610"/>
      <c r="I621" s="610"/>
      <c r="J621" s="612"/>
      <c r="K621" s="615"/>
      <c r="L621" s="613"/>
      <c r="M621" s="614"/>
      <c r="N621" s="614"/>
      <c r="O621" s="614"/>
      <c r="P621" s="614"/>
      <c r="Q621" s="614"/>
      <c r="R621" s="614"/>
      <c r="S621" s="614"/>
      <c r="T621" s="614"/>
    </row>
    <row r="622" spans="1:20">
      <c r="A622" s="610"/>
      <c r="B622" s="610"/>
      <c r="C622" s="610"/>
      <c r="D622" s="612"/>
      <c r="E622" s="610"/>
      <c r="F622" s="610"/>
      <c r="G622" s="610"/>
      <c r="H622" s="610"/>
      <c r="I622" s="610"/>
      <c r="J622" s="612"/>
      <c r="K622" s="615"/>
      <c r="L622" s="613"/>
      <c r="M622" s="614"/>
      <c r="N622" s="614"/>
      <c r="O622" s="614"/>
      <c r="P622" s="614"/>
      <c r="Q622" s="614"/>
      <c r="R622" s="614"/>
      <c r="S622" s="614"/>
      <c r="T622" s="614"/>
    </row>
    <row r="623" spans="1:20">
      <c r="A623" s="610"/>
      <c r="B623" s="610"/>
      <c r="C623" s="610"/>
      <c r="D623" s="612"/>
      <c r="E623" s="610"/>
      <c r="F623" s="610"/>
      <c r="G623" s="610"/>
      <c r="H623" s="610"/>
      <c r="I623" s="610"/>
      <c r="J623" s="612"/>
      <c r="K623" s="615"/>
      <c r="L623" s="613"/>
      <c r="M623" s="614"/>
      <c r="N623" s="614"/>
      <c r="O623" s="614"/>
      <c r="P623" s="614"/>
      <c r="Q623" s="614"/>
      <c r="R623" s="614"/>
      <c r="S623" s="614"/>
      <c r="T623" s="614"/>
    </row>
    <row r="624" spans="1:20">
      <c r="A624" s="610"/>
      <c r="B624" s="610"/>
      <c r="C624" s="610"/>
      <c r="D624" s="612"/>
      <c r="E624" s="610"/>
      <c r="F624" s="610"/>
      <c r="G624" s="610"/>
      <c r="H624" s="610"/>
      <c r="I624" s="610"/>
      <c r="J624" s="612"/>
      <c r="K624" s="615"/>
      <c r="L624" s="613"/>
      <c r="M624" s="614"/>
      <c r="N624" s="614"/>
      <c r="O624" s="614"/>
      <c r="P624" s="614"/>
      <c r="Q624" s="614"/>
      <c r="R624" s="614"/>
      <c r="S624" s="614"/>
      <c r="T624" s="614"/>
    </row>
    <row r="625" spans="1:20">
      <c r="A625" s="610"/>
      <c r="B625" s="610"/>
      <c r="C625" s="610"/>
      <c r="D625" s="612"/>
      <c r="E625" s="610"/>
      <c r="F625" s="610"/>
      <c r="G625" s="610"/>
      <c r="H625" s="610"/>
      <c r="I625" s="610"/>
      <c r="J625" s="612"/>
      <c r="K625" s="615"/>
      <c r="L625" s="613"/>
      <c r="M625" s="614"/>
      <c r="N625" s="614"/>
      <c r="O625" s="614"/>
      <c r="P625" s="614"/>
      <c r="Q625" s="614"/>
      <c r="R625" s="614"/>
      <c r="S625" s="614"/>
      <c r="T625" s="614"/>
    </row>
    <row r="626" spans="1:20">
      <c r="A626" s="610"/>
      <c r="B626" s="610"/>
      <c r="C626" s="610"/>
      <c r="D626" s="612"/>
      <c r="E626" s="610"/>
      <c r="F626" s="610"/>
      <c r="G626" s="610"/>
      <c r="H626" s="610"/>
      <c r="I626" s="610"/>
      <c r="J626" s="612"/>
      <c r="K626" s="615"/>
      <c r="L626" s="613"/>
      <c r="M626" s="614"/>
      <c r="N626" s="614"/>
      <c r="O626" s="614"/>
      <c r="P626" s="614"/>
      <c r="Q626" s="614"/>
      <c r="R626" s="614"/>
      <c r="S626" s="614"/>
      <c r="T626" s="614"/>
    </row>
    <row r="627" spans="1:20">
      <c r="A627" s="610"/>
      <c r="B627" s="610"/>
      <c r="C627" s="610"/>
      <c r="D627" s="612"/>
      <c r="E627" s="610"/>
      <c r="F627" s="610"/>
      <c r="G627" s="610"/>
      <c r="H627" s="610"/>
      <c r="I627" s="610"/>
      <c r="J627" s="612"/>
      <c r="K627" s="615"/>
      <c r="L627" s="613"/>
      <c r="M627" s="614"/>
      <c r="N627" s="614"/>
      <c r="O627" s="614"/>
      <c r="P627" s="614"/>
      <c r="Q627" s="614"/>
      <c r="R627" s="614"/>
      <c r="S627" s="614"/>
      <c r="T627" s="614"/>
    </row>
    <row r="628" spans="1:20">
      <c r="A628" s="610"/>
      <c r="B628" s="610"/>
      <c r="C628" s="610"/>
      <c r="D628" s="612"/>
      <c r="E628" s="610"/>
      <c r="F628" s="610"/>
      <c r="G628" s="610"/>
      <c r="H628" s="610"/>
      <c r="I628" s="610"/>
      <c r="J628" s="612"/>
      <c r="K628" s="615"/>
      <c r="L628" s="613"/>
      <c r="M628" s="614"/>
      <c r="N628" s="614"/>
      <c r="O628" s="614"/>
      <c r="P628" s="614"/>
      <c r="Q628" s="614"/>
      <c r="R628" s="614"/>
      <c r="S628" s="614"/>
      <c r="T628" s="614"/>
    </row>
    <row r="629" spans="1:20">
      <c r="A629" s="610"/>
      <c r="B629" s="610"/>
      <c r="C629" s="610"/>
      <c r="D629" s="612"/>
      <c r="E629" s="610"/>
      <c r="F629" s="610"/>
      <c r="G629" s="610"/>
      <c r="H629" s="610"/>
      <c r="I629" s="610"/>
      <c r="J629" s="612"/>
      <c r="K629" s="615"/>
      <c r="L629" s="613"/>
      <c r="M629" s="614"/>
      <c r="N629" s="614"/>
      <c r="O629" s="614"/>
      <c r="P629" s="614"/>
      <c r="Q629" s="614"/>
      <c r="R629" s="614"/>
      <c r="S629" s="614"/>
      <c r="T629" s="614"/>
    </row>
    <row r="630" spans="1:20">
      <c r="A630" s="610"/>
      <c r="B630" s="610"/>
      <c r="C630" s="610"/>
      <c r="D630" s="612"/>
      <c r="E630" s="610"/>
      <c r="F630" s="610"/>
      <c r="G630" s="610"/>
      <c r="H630" s="610"/>
      <c r="I630" s="610"/>
      <c r="J630" s="612"/>
      <c r="K630" s="615"/>
      <c r="L630" s="613"/>
      <c r="M630" s="614"/>
      <c r="N630" s="614"/>
      <c r="O630" s="614"/>
      <c r="P630" s="614"/>
      <c r="Q630" s="614"/>
      <c r="R630" s="614"/>
      <c r="S630" s="614"/>
      <c r="T630" s="614"/>
    </row>
    <row r="631" spans="1:20">
      <c r="A631" s="610"/>
      <c r="B631" s="610"/>
      <c r="C631" s="610"/>
      <c r="D631" s="612"/>
      <c r="E631" s="610"/>
      <c r="F631" s="610"/>
      <c r="G631" s="610"/>
      <c r="H631" s="610"/>
      <c r="I631" s="610"/>
      <c r="J631" s="612"/>
      <c r="K631" s="615"/>
      <c r="L631" s="613"/>
      <c r="M631" s="614"/>
      <c r="N631" s="614"/>
      <c r="O631" s="614"/>
      <c r="P631" s="614"/>
      <c r="Q631" s="614"/>
      <c r="R631" s="614"/>
      <c r="S631" s="614"/>
      <c r="T631" s="614"/>
    </row>
    <row r="632" spans="1:20">
      <c r="A632" s="610"/>
      <c r="B632" s="610"/>
      <c r="C632" s="610"/>
      <c r="D632" s="612"/>
      <c r="E632" s="610"/>
      <c r="F632" s="610"/>
      <c r="G632" s="610"/>
      <c r="H632" s="610"/>
      <c r="I632" s="610"/>
      <c r="J632" s="612"/>
      <c r="K632" s="615"/>
      <c r="L632" s="613"/>
      <c r="M632" s="614"/>
      <c r="N632" s="614"/>
      <c r="O632" s="614"/>
      <c r="P632" s="614"/>
      <c r="Q632" s="614"/>
      <c r="R632" s="614"/>
      <c r="S632" s="614"/>
      <c r="T632" s="614"/>
    </row>
    <row r="633" spans="1:20">
      <c r="A633" s="610"/>
      <c r="B633" s="610"/>
      <c r="C633" s="610"/>
      <c r="D633" s="612"/>
      <c r="E633" s="610"/>
      <c r="F633" s="610"/>
      <c r="G633" s="610"/>
      <c r="H633" s="610"/>
      <c r="I633" s="610"/>
      <c r="J633" s="612"/>
      <c r="K633" s="615"/>
      <c r="L633" s="613"/>
      <c r="M633" s="614"/>
      <c r="N633" s="614"/>
      <c r="O633" s="614"/>
      <c r="P633" s="614"/>
      <c r="Q633" s="614"/>
      <c r="R633" s="614"/>
      <c r="S633" s="614"/>
      <c r="T633" s="614"/>
    </row>
    <row r="634" spans="1:20">
      <c r="A634" s="610"/>
      <c r="B634" s="610"/>
      <c r="C634" s="610"/>
      <c r="D634" s="612"/>
      <c r="E634" s="610"/>
      <c r="F634" s="610"/>
      <c r="G634" s="610"/>
      <c r="H634" s="610"/>
      <c r="I634" s="610"/>
      <c r="J634" s="612"/>
      <c r="K634" s="615"/>
      <c r="L634" s="613"/>
      <c r="M634" s="614"/>
      <c r="N634" s="614"/>
      <c r="O634" s="614"/>
      <c r="P634" s="614"/>
      <c r="Q634" s="614"/>
      <c r="R634" s="614"/>
      <c r="S634" s="614"/>
      <c r="T634" s="614"/>
    </row>
    <row r="635" spans="1:20">
      <c r="A635" s="610"/>
      <c r="B635" s="610"/>
      <c r="C635" s="610"/>
      <c r="D635" s="612"/>
      <c r="E635" s="610"/>
      <c r="F635" s="610"/>
      <c r="G635" s="610"/>
      <c r="H635" s="610"/>
      <c r="I635" s="610"/>
      <c r="J635" s="612"/>
      <c r="K635" s="615"/>
      <c r="L635" s="613"/>
      <c r="M635" s="614"/>
      <c r="N635" s="614"/>
      <c r="O635" s="614"/>
      <c r="P635" s="614"/>
      <c r="Q635" s="614"/>
      <c r="R635" s="614"/>
      <c r="S635" s="614"/>
      <c r="T635" s="614"/>
    </row>
    <row r="636" spans="1:20">
      <c r="A636" s="610"/>
      <c r="B636" s="610"/>
      <c r="C636" s="610"/>
      <c r="D636" s="612"/>
      <c r="E636" s="610"/>
      <c r="F636" s="610"/>
      <c r="G636" s="610"/>
      <c r="H636" s="610"/>
      <c r="I636" s="610"/>
      <c r="J636" s="612"/>
      <c r="K636" s="615"/>
      <c r="L636" s="613"/>
      <c r="M636" s="614"/>
      <c r="N636" s="614"/>
      <c r="O636" s="614"/>
      <c r="P636" s="614"/>
      <c r="Q636" s="614"/>
      <c r="R636" s="614"/>
      <c r="S636" s="614"/>
      <c r="T636" s="614"/>
    </row>
    <row r="637" spans="1:20">
      <c r="A637" s="610"/>
      <c r="B637" s="610"/>
      <c r="C637" s="610"/>
      <c r="D637" s="612"/>
      <c r="E637" s="610"/>
      <c r="F637" s="610"/>
      <c r="G637" s="610"/>
      <c r="H637" s="610"/>
      <c r="I637" s="610"/>
      <c r="J637" s="612"/>
      <c r="K637" s="615"/>
      <c r="L637" s="613"/>
      <c r="M637" s="614"/>
      <c r="N637" s="614"/>
      <c r="O637" s="614"/>
      <c r="P637" s="614"/>
      <c r="Q637" s="614"/>
      <c r="R637" s="614"/>
      <c r="S637" s="614"/>
      <c r="T637" s="614"/>
    </row>
    <row r="638" spans="1:20">
      <c r="A638" s="610"/>
      <c r="B638" s="610"/>
      <c r="C638" s="610"/>
      <c r="D638" s="612"/>
      <c r="E638" s="610"/>
      <c r="F638" s="610"/>
      <c r="G638" s="610"/>
      <c r="H638" s="610"/>
      <c r="I638" s="610"/>
      <c r="J638" s="612"/>
      <c r="K638" s="615"/>
      <c r="L638" s="613"/>
      <c r="M638" s="614"/>
      <c r="N638" s="614"/>
      <c r="O638" s="614"/>
      <c r="P638" s="614"/>
      <c r="Q638" s="614"/>
      <c r="R638" s="614"/>
      <c r="S638" s="614"/>
      <c r="T638" s="614"/>
    </row>
    <row r="639" spans="1:20">
      <c r="A639" s="610"/>
      <c r="B639" s="610"/>
      <c r="C639" s="610"/>
      <c r="D639" s="612"/>
      <c r="E639" s="610"/>
      <c r="F639" s="610"/>
      <c r="G639" s="610"/>
      <c r="H639" s="610"/>
      <c r="I639" s="610"/>
      <c r="J639" s="612"/>
      <c r="K639" s="615"/>
      <c r="L639" s="613"/>
      <c r="M639" s="614"/>
      <c r="N639" s="614"/>
      <c r="O639" s="614"/>
      <c r="P639" s="614"/>
      <c r="Q639" s="614"/>
      <c r="R639" s="614"/>
      <c r="S639" s="614"/>
      <c r="T639" s="614"/>
    </row>
    <row r="640" spans="1:20">
      <c r="A640" s="610"/>
      <c r="B640" s="610"/>
      <c r="C640" s="610"/>
      <c r="D640" s="612"/>
      <c r="E640" s="610"/>
      <c r="F640" s="610"/>
      <c r="G640" s="610"/>
      <c r="H640" s="610"/>
      <c r="I640" s="610"/>
      <c r="J640" s="612"/>
      <c r="K640" s="615"/>
      <c r="L640" s="613"/>
      <c r="M640" s="614"/>
      <c r="N640" s="614"/>
      <c r="O640" s="614"/>
      <c r="P640" s="614"/>
      <c r="Q640" s="614"/>
      <c r="R640" s="614"/>
      <c r="S640" s="614"/>
      <c r="T640" s="614"/>
    </row>
    <row r="641" spans="1:20">
      <c r="A641" s="610"/>
      <c r="B641" s="610"/>
      <c r="C641" s="610"/>
      <c r="D641" s="612"/>
      <c r="E641" s="610"/>
      <c r="F641" s="610"/>
      <c r="G641" s="610"/>
      <c r="H641" s="610"/>
      <c r="I641" s="610"/>
      <c r="J641" s="612"/>
      <c r="K641" s="615"/>
      <c r="L641" s="613"/>
      <c r="M641" s="614"/>
      <c r="N641" s="614"/>
      <c r="O641" s="614"/>
      <c r="P641" s="614"/>
      <c r="Q641" s="614"/>
      <c r="R641" s="614"/>
      <c r="S641" s="614"/>
      <c r="T641" s="614"/>
    </row>
    <row r="642" spans="1:20">
      <c r="A642" s="610"/>
      <c r="B642" s="610"/>
      <c r="C642" s="610"/>
      <c r="D642" s="612"/>
      <c r="E642" s="610"/>
      <c r="F642" s="610"/>
      <c r="G642" s="610"/>
      <c r="H642" s="610"/>
      <c r="I642" s="610"/>
      <c r="J642" s="612"/>
      <c r="K642" s="615"/>
      <c r="L642" s="613"/>
      <c r="M642" s="614"/>
      <c r="N642" s="614"/>
      <c r="O642" s="614"/>
      <c r="P642" s="614"/>
      <c r="Q642" s="614"/>
      <c r="R642" s="614"/>
      <c r="S642" s="614"/>
      <c r="T642" s="614"/>
    </row>
    <row r="643" spans="1:20">
      <c r="A643" s="610"/>
      <c r="B643" s="610"/>
      <c r="C643" s="610"/>
      <c r="D643" s="612"/>
      <c r="E643" s="610"/>
      <c r="F643" s="610"/>
      <c r="G643" s="610"/>
      <c r="H643" s="610"/>
      <c r="I643" s="610"/>
      <c r="J643" s="612"/>
      <c r="K643" s="615"/>
      <c r="L643" s="613"/>
      <c r="M643" s="614"/>
      <c r="N643" s="614"/>
      <c r="O643" s="614"/>
      <c r="P643" s="614"/>
      <c r="Q643" s="614"/>
      <c r="R643" s="614"/>
      <c r="S643" s="614"/>
      <c r="T643" s="614"/>
    </row>
    <row r="644" spans="1:20">
      <c r="A644" s="610"/>
      <c r="B644" s="610"/>
      <c r="C644" s="610"/>
      <c r="D644" s="612"/>
      <c r="E644" s="610"/>
      <c r="F644" s="610"/>
      <c r="G644" s="610"/>
      <c r="H644" s="610"/>
      <c r="I644" s="610"/>
      <c r="J644" s="612"/>
      <c r="K644" s="615"/>
      <c r="L644" s="613"/>
      <c r="M644" s="614"/>
      <c r="N644" s="614"/>
      <c r="O644" s="614"/>
      <c r="P644" s="614"/>
      <c r="Q644" s="614"/>
      <c r="R644" s="614"/>
      <c r="S644" s="614"/>
      <c r="T644" s="614"/>
    </row>
    <row r="645" spans="1:20">
      <c r="A645" s="610"/>
      <c r="B645" s="610"/>
      <c r="C645" s="610"/>
      <c r="D645" s="612"/>
      <c r="E645" s="610"/>
      <c r="F645" s="610"/>
      <c r="G645" s="610"/>
      <c r="H645" s="610"/>
      <c r="I645" s="610"/>
      <c r="J645" s="612"/>
      <c r="K645" s="615"/>
      <c r="L645" s="613"/>
      <c r="M645" s="614"/>
      <c r="N645" s="614"/>
      <c r="O645" s="614"/>
      <c r="P645" s="614"/>
      <c r="Q645" s="614"/>
      <c r="R645" s="614"/>
      <c r="S645" s="614"/>
      <c r="T645" s="614"/>
    </row>
    <row r="646" spans="1:20">
      <c r="A646" s="610"/>
      <c r="B646" s="610"/>
      <c r="C646" s="610"/>
      <c r="D646" s="612"/>
      <c r="E646" s="610"/>
      <c r="F646" s="610"/>
      <c r="G646" s="610"/>
      <c r="H646" s="610"/>
      <c r="I646" s="610"/>
      <c r="J646" s="612"/>
      <c r="K646" s="615"/>
      <c r="L646" s="613"/>
      <c r="M646" s="614"/>
      <c r="N646" s="614"/>
      <c r="O646" s="614"/>
      <c r="P646" s="614"/>
      <c r="Q646" s="614"/>
      <c r="R646" s="614"/>
      <c r="S646" s="614"/>
      <c r="T646" s="614"/>
    </row>
    <row r="647" spans="1:20">
      <c r="A647" s="610"/>
      <c r="B647" s="610"/>
      <c r="C647" s="610"/>
      <c r="D647" s="612"/>
      <c r="E647" s="610"/>
      <c r="F647" s="610"/>
      <c r="G647" s="610"/>
      <c r="H647" s="610"/>
      <c r="I647" s="610"/>
      <c r="J647" s="612"/>
      <c r="K647" s="615"/>
      <c r="L647" s="613"/>
      <c r="M647" s="614"/>
      <c r="N647" s="614"/>
      <c r="O647" s="614"/>
      <c r="P647" s="614"/>
      <c r="Q647" s="614"/>
      <c r="R647" s="614"/>
      <c r="S647" s="614"/>
      <c r="T647" s="614"/>
    </row>
    <row r="648" spans="1:20">
      <c r="A648" s="610"/>
      <c r="B648" s="610"/>
      <c r="C648" s="610"/>
      <c r="D648" s="612"/>
      <c r="E648" s="610"/>
      <c r="F648" s="610"/>
      <c r="G648" s="610"/>
      <c r="H648" s="610"/>
      <c r="I648" s="610"/>
      <c r="J648" s="612"/>
      <c r="K648" s="615"/>
      <c r="L648" s="613"/>
      <c r="M648" s="614"/>
      <c r="N648" s="614"/>
      <c r="O648" s="614"/>
      <c r="P648" s="614"/>
      <c r="Q648" s="614"/>
      <c r="R648" s="614"/>
      <c r="S648" s="614"/>
      <c r="T648" s="614"/>
    </row>
    <row r="649" spans="1:20">
      <c r="A649" s="610"/>
      <c r="B649" s="610"/>
      <c r="C649" s="610"/>
      <c r="D649" s="612"/>
      <c r="E649" s="610"/>
      <c r="F649" s="610"/>
      <c r="G649" s="610"/>
      <c r="H649" s="610"/>
      <c r="I649" s="610"/>
      <c r="J649" s="612"/>
      <c r="K649" s="615"/>
      <c r="L649" s="613"/>
      <c r="M649" s="614"/>
      <c r="N649" s="614"/>
      <c r="O649" s="614"/>
      <c r="P649" s="614"/>
      <c r="Q649" s="614"/>
      <c r="R649" s="614"/>
      <c r="S649" s="614"/>
      <c r="T649" s="614"/>
    </row>
    <row r="650" spans="1:20">
      <c r="A650" s="610"/>
      <c r="B650" s="610"/>
      <c r="C650" s="610"/>
      <c r="D650" s="612"/>
      <c r="E650" s="610"/>
      <c r="F650" s="610"/>
      <c r="G650" s="610"/>
      <c r="H650" s="610"/>
      <c r="I650" s="610"/>
      <c r="J650" s="612"/>
      <c r="K650" s="615"/>
      <c r="L650" s="613"/>
      <c r="M650" s="614"/>
      <c r="N650" s="614"/>
      <c r="O650" s="614"/>
      <c r="P650" s="614"/>
      <c r="Q650" s="614"/>
      <c r="R650" s="614"/>
      <c r="S650" s="614"/>
      <c r="T650" s="614"/>
    </row>
    <row r="651" spans="1:20">
      <c r="A651" s="610"/>
      <c r="B651" s="610"/>
      <c r="C651" s="610"/>
      <c r="D651" s="612"/>
      <c r="E651" s="610"/>
      <c r="F651" s="610"/>
      <c r="G651" s="610"/>
      <c r="H651" s="610"/>
      <c r="I651" s="610"/>
      <c r="J651" s="612"/>
      <c r="K651" s="615"/>
      <c r="L651" s="613"/>
      <c r="M651" s="614"/>
      <c r="N651" s="614"/>
      <c r="O651" s="614"/>
      <c r="P651" s="614"/>
      <c r="Q651" s="614"/>
      <c r="R651" s="614"/>
      <c r="S651" s="614"/>
      <c r="T651" s="614"/>
    </row>
    <row r="652" spans="1:20">
      <c r="A652" s="610"/>
      <c r="B652" s="610"/>
      <c r="C652" s="610"/>
      <c r="D652" s="612"/>
      <c r="E652" s="610"/>
      <c r="F652" s="610"/>
      <c r="G652" s="610"/>
      <c r="H652" s="610"/>
      <c r="I652" s="610"/>
      <c r="J652" s="612"/>
      <c r="K652" s="615"/>
      <c r="L652" s="613"/>
      <c r="M652" s="614"/>
      <c r="N652" s="614"/>
      <c r="O652" s="614"/>
      <c r="P652" s="614"/>
      <c r="Q652" s="614"/>
      <c r="R652" s="614"/>
      <c r="S652" s="614"/>
      <c r="T652" s="614"/>
    </row>
    <row r="653" spans="1:20">
      <c r="A653" s="610"/>
      <c r="B653" s="610"/>
      <c r="C653" s="610"/>
      <c r="D653" s="612"/>
      <c r="E653" s="610"/>
      <c r="F653" s="610"/>
      <c r="G653" s="610"/>
      <c r="H653" s="610"/>
      <c r="I653" s="610"/>
      <c r="J653" s="612"/>
      <c r="K653" s="615"/>
      <c r="L653" s="613"/>
      <c r="M653" s="614"/>
      <c r="N653" s="614"/>
      <c r="O653" s="614"/>
      <c r="P653" s="614"/>
      <c r="Q653" s="614"/>
      <c r="R653" s="614"/>
      <c r="S653" s="614"/>
      <c r="T653" s="614"/>
    </row>
    <row r="654" spans="1:20">
      <c r="A654" s="610"/>
      <c r="B654" s="610"/>
      <c r="C654" s="610"/>
      <c r="D654" s="612"/>
      <c r="E654" s="610"/>
      <c r="F654" s="610"/>
      <c r="G654" s="610"/>
      <c r="H654" s="610"/>
      <c r="I654" s="610"/>
      <c r="J654" s="612"/>
      <c r="K654" s="615"/>
      <c r="L654" s="613"/>
      <c r="M654" s="614"/>
      <c r="N654" s="614"/>
      <c r="O654" s="614"/>
      <c r="P654" s="614"/>
      <c r="Q654" s="614"/>
      <c r="R654" s="614"/>
      <c r="S654" s="614"/>
      <c r="T654" s="614"/>
    </row>
    <row r="655" spans="1:20">
      <c r="A655" s="610"/>
      <c r="B655" s="610"/>
      <c r="C655" s="610"/>
      <c r="D655" s="612"/>
      <c r="E655" s="610"/>
      <c r="F655" s="610"/>
      <c r="G655" s="610"/>
      <c r="H655" s="610"/>
      <c r="I655" s="610"/>
      <c r="J655" s="612"/>
      <c r="K655" s="615"/>
      <c r="L655" s="613"/>
      <c r="M655" s="614"/>
      <c r="N655" s="614"/>
      <c r="O655" s="614"/>
      <c r="P655" s="614"/>
      <c r="Q655" s="614"/>
      <c r="R655" s="614"/>
      <c r="S655" s="614"/>
      <c r="T655" s="614"/>
    </row>
    <row r="656" spans="1:20">
      <c r="A656" s="610"/>
      <c r="B656" s="610"/>
      <c r="C656" s="610"/>
      <c r="D656" s="612"/>
      <c r="E656" s="610"/>
      <c r="F656" s="610"/>
      <c r="G656" s="610"/>
      <c r="H656" s="610"/>
      <c r="I656" s="610"/>
      <c r="J656" s="612"/>
      <c r="K656" s="615"/>
      <c r="L656" s="613"/>
      <c r="M656" s="614"/>
      <c r="N656" s="614"/>
      <c r="O656" s="614"/>
      <c r="P656" s="614"/>
      <c r="Q656" s="614"/>
      <c r="R656" s="614"/>
      <c r="S656" s="614"/>
      <c r="T656" s="614"/>
    </row>
    <row r="657" spans="1:20">
      <c r="A657" s="610"/>
      <c r="B657" s="610"/>
      <c r="C657" s="610"/>
      <c r="D657" s="612"/>
      <c r="E657" s="610"/>
      <c r="F657" s="610"/>
      <c r="G657" s="610"/>
      <c r="H657" s="610"/>
      <c r="I657" s="610"/>
      <c r="J657" s="612"/>
      <c r="K657" s="615"/>
      <c r="L657" s="613"/>
      <c r="M657" s="614"/>
      <c r="N657" s="614"/>
      <c r="O657" s="614"/>
      <c r="P657" s="614"/>
      <c r="Q657" s="614"/>
      <c r="R657" s="614"/>
      <c r="S657" s="614"/>
      <c r="T657" s="614"/>
    </row>
    <row r="658" spans="1:20">
      <c r="A658" s="610"/>
      <c r="B658" s="610"/>
      <c r="C658" s="610"/>
      <c r="D658" s="612"/>
      <c r="E658" s="610"/>
      <c r="F658" s="610"/>
      <c r="G658" s="610"/>
      <c r="H658" s="610"/>
      <c r="I658" s="610"/>
      <c r="J658" s="612"/>
      <c r="K658" s="615"/>
      <c r="L658" s="613"/>
      <c r="M658" s="614"/>
      <c r="N658" s="614"/>
      <c r="O658" s="614"/>
      <c r="P658" s="614"/>
      <c r="Q658" s="614"/>
      <c r="R658" s="614"/>
      <c r="S658" s="614"/>
      <c r="T658" s="614"/>
    </row>
    <row r="659" spans="1:20">
      <c r="A659" s="610"/>
      <c r="B659" s="610"/>
      <c r="C659" s="610"/>
      <c r="D659" s="612"/>
      <c r="E659" s="610"/>
      <c r="F659" s="610"/>
      <c r="G659" s="610"/>
      <c r="H659" s="610"/>
      <c r="I659" s="610"/>
      <c r="J659" s="612"/>
      <c r="K659" s="615"/>
      <c r="L659" s="613"/>
      <c r="M659" s="614"/>
      <c r="N659" s="614"/>
      <c r="O659" s="614"/>
      <c r="P659" s="614"/>
      <c r="Q659" s="614"/>
      <c r="R659" s="614"/>
      <c r="S659" s="614"/>
      <c r="T659" s="614"/>
    </row>
    <row r="660" spans="1:20">
      <c r="A660" s="610"/>
      <c r="B660" s="610"/>
      <c r="C660" s="610"/>
      <c r="D660" s="612"/>
      <c r="E660" s="610"/>
      <c r="F660" s="610"/>
      <c r="G660" s="610"/>
      <c r="H660" s="610"/>
      <c r="I660" s="610"/>
      <c r="J660" s="612"/>
      <c r="K660" s="615"/>
      <c r="L660" s="613"/>
      <c r="M660" s="614"/>
      <c r="N660" s="614"/>
      <c r="O660" s="614"/>
      <c r="P660" s="614"/>
      <c r="Q660" s="614"/>
      <c r="R660" s="614"/>
      <c r="S660" s="614"/>
      <c r="T660" s="614"/>
    </row>
    <row r="661" spans="1:20">
      <c r="A661" s="610"/>
      <c r="B661" s="610"/>
      <c r="C661" s="610"/>
      <c r="D661" s="612"/>
      <c r="E661" s="610"/>
      <c r="F661" s="610"/>
      <c r="G661" s="610"/>
      <c r="H661" s="610"/>
      <c r="I661" s="610"/>
      <c r="J661" s="612"/>
      <c r="K661" s="615"/>
      <c r="L661" s="613"/>
      <c r="M661" s="614"/>
      <c r="N661" s="614"/>
      <c r="O661" s="614"/>
      <c r="P661" s="614"/>
      <c r="Q661" s="614"/>
      <c r="R661" s="614"/>
      <c r="S661" s="614"/>
      <c r="T661" s="614"/>
    </row>
    <row r="662" spans="1:20">
      <c r="A662" s="610"/>
      <c r="B662" s="610"/>
      <c r="C662" s="610"/>
      <c r="D662" s="612"/>
      <c r="E662" s="610"/>
      <c r="F662" s="610"/>
      <c r="G662" s="610"/>
      <c r="H662" s="610"/>
      <c r="I662" s="610"/>
      <c r="J662" s="612"/>
      <c r="K662" s="615"/>
      <c r="L662" s="613"/>
      <c r="M662" s="614"/>
      <c r="N662" s="614"/>
      <c r="O662" s="614"/>
      <c r="P662" s="614"/>
      <c r="Q662" s="614"/>
      <c r="R662" s="614"/>
      <c r="S662" s="614"/>
      <c r="T662" s="614"/>
    </row>
    <row r="663" spans="1:20">
      <c r="A663" s="610"/>
      <c r="B663" s="610"/>
      <c r="C663" s="610"/>
      <c r="D663" s="612"/>
      <c r="E663" s="610"/>
      <c r="F663" s="610"/>
      <c r="G663" s="610"/>
      <c r="H663" s="610"/>
      <c r="I663" s="610"/>
      <c r="J663" s="612"/>
      <c r="K663" s="615"/>
      <c r="L663" s="613"/>
      <c r="M663" s="614"/>
      <c r="N663" s="614"/>
      <c r="O663" s="614"/>
      <c r="P663" s="614"/>
      <c r="Q663" s="614"/>
      <c r="R663" s="614"/>
      <c r="S663" s="614"/>
      <c r="T663" s="614"/>
    </row>
    <row r="664" spans="1:20">
      <c r="A664" s="610"/>
      <c r="B664" s="610"/>
      <c r="C664" s="610"/>
      <c r="D664" s="612"/>
      <c r="E664" s="610"/>
      <c r="F664" s="610"/>
      <c r="G664" s="610"/>
      <c r="H664" s="610"/>
      <c r="I664" s="610"/>
      <c r="J664" s="612"/>
      <c r="K664" s="615"/>
      <c r="L664" s="613"/>
      <c r="M664" s="614"/>
      <c r="N664" s="614"/>
      <c r="O664" s="614"/>
      <c r="P664" s="614"/>
      <c r="Q664" s="614"/>
      <c r="R664" s="614"/>
      <c r="S664" s="614"/>
      <c r="T664" s="614"/>
    </row>
    <row r="665" spans="1:20">
      <c r="A665" s="610"/>
      <c r="B665" s="610"/>
      <c r="C665" s="610"/>
      <c r="D665" s="612"/>
      <c r="E665" s="610"/>
      <c r="F665" s="610"/>
      <c r="G665" s="610"/>
      <c r="H665" s="610"/>
      <c r="I665" s="610"/>
      <c r="J665" s="612"/>
      <c r="K665" s="615"/>
      <c r="L665" s="613"/>
      <c r="M665" s="614"/>
      <c r="N665" s="614"/>
      <c r="O665" s="614"/>
      <c r="P665" s="614"/>
      <c r="Q665" s="614"/>
      <c r="R665" s="614"/>
      <c r="S665" s="614"/>
      <c r="T665" s="614"/>
    </row>
    <row r="666" spans="1:20">
      <c r="A666" s="610"/>
      <c r="B666" s="610"/>
      <c r="C666" s="610"/>
      <c r="D666" s="612"/>
      <c r="E666" s="610"/>
      <c r="F666" s="610"/>
      <c r="G666" s="610"/>
      <c r="H666" s="610"/>
      <c r="I666" s="610"/>
      <c r="J666" s="612"/>
      <c r="K666" s="615"/>
      <c r="L666" s="613"/>
      <c r="M666" s="614"/>
      <c r="N666" s="614"/>
      <c r="O666" s="614"/>
      <c r="P666" s="614"/>
      <c r="Q666" s="614"/>
      <c r="R666" s="614"/>
      <c r="S666" s="614"/>
      <c r="T666" s="614"/>
    </row>
    <row r="667" spans="1:20">
      <c r="A667" s="610"/>
      <c r="B667" s="610"/>
      <c r="C667" s="610"/>
      <c r="D667" s="612"/>
      <c r="E667" s="610"/>
      <c r="F667" s="610"/>
      <c r="G667" s="610"/>
      <c r="H667" s="610"/>
      <c r="I667" s="610"/>
      <c r="J667" s="612"/>
      <c r="K667" s="615"/>
      <c r="L667" s="613"/>
      <c r="M667" s="614"/>
      <c r="N667" s="614"/>
      <c r="O667" s="614"/>
      <c r="P667" s="614"/>
      <c r="Q667" s="614"/>
      <c r="R667" s="614"/>
      <c r="S667" s="614"/>
      <c r="T667" s="614"/>
    </row>
    <row r="668" spans="1:20">
      <c r="A668" s="610"/>
      <c r="B668" s="610"/>
      <c r="C668" s="610"/>
      <c r="D668" s="612"/>
      <c r="E668" s="610"/>
      <c r="F668" s="610"/>
      <c r="G668" s="610"/>
      <c r="H668" s="610"/>
      <c r="I668" s="610"/>
      <c r="J668" s="612"/>
      <c r="K668" s="615"/>
      <c r="L668" s="613"/>
      <c r="M668" s="614"/>
      <c r="N668" s="614"/>
      <c r="O668" s="614"/>
      <c r="P668" s="614"/>
      <c r="Q668" s="614"/>
      <c r="R668" s="614"/>
      <c r="S668" s="614"/>
      <c r="T668" s="614"/>
    </row>
    <row r="669" spans="1:20">
      <c r="A669" s="610"/>
      <c r="B669" s="610"/>
      <c r="C669" s="610"/>
      <c r="D669" s="612"/>
      <c r="E669" s="610"/>
      <c r="F669" s="610"/>
      <c r="G669" s="610"/>
      <c r="H669" s="610"/>
      <c r="I669" s="610"/>
      <c r="J669" s="612"/>
      <c r="K669" s="615"/>
      <c r="L669" s="613"/>
      <c r="M669" s="614"/>
      <c r="N669" s="614"/>
      <c r="O669" s="614"/>
      <c r="P669" s="614"/>
      <c r="Q669" s="614"/>
      <c r="R669" s="614"/>
      <c r="S669" s="614"/>
      <c r="T669" s="614"/>
    </row>
    <row r="670" spans="1:20">
      <c r="A670" s="610"/>
      <c r="B670" s="610"/>
      <c r="C670" s="610"/>
      <c r="D670" s="612"/>
      <c r="E670" s="610"/>
      <c r="F670" s="610"/>
      <c r="G670" s="610"/>
      <c r="H670" s="610"/>
      <c r="I670" s="610"/>
      <c r="J670" s="612"/>
      <c r="K670" s="615"/>
      <c r="L670" s="613"/>
      <c r="M670" s="614"/>
      <c r="N670" s="614"/>
      <c r="O670" s="614"/>
      <c r="P670" s="614"/>
      <c r="Q670" s="614"/>
      <c r="R670" s="614"/>
      <c r="S670" s="614"/>
      <c r="T670" s="614"/>
    </row>
    <row r="671" spans="1:20">
      <c r="A671" s="610"/>
      <c r="B671" s="610"/>
      <c r="C671" s="610"/>
      <c r="D671" s="612"/>
      <c r="E671" s="610"/>
      <c r="F671" s="610"/>
      <c r="G671" s="610"/>
      <c r="H671" s="610"/>
      <c r="I671" s="610"/>
      <c r="J671" s="612"/>
      <c r="K671" s="615"/>
      <c r="L671" s="613"/>
      <c r="M671" s="614"/>
      <c r="N671" s="614"/>
      <c r="O671" s="614"/>
      <c r="P671" s="614"/>
      <c r="Q671" s="614"/>
      <c r="R671" s="614"/>
      <c r="S671" s="614"/>
      <c r="T671" s="614"/>
    </row>
    <row r="672" spans="1:20">
      <c r="A672" s="610"/>
      <c r="B672" s="610"/>
      <c r="C672" s="610"/>
      <c r="D672" s="612"/>
      <c r="E672" s="610"/>
      <c r="F672" s="610"/>
      <c r="G672" s="610"/>
      <c r="H672" s="610"/>
      <c r="I672" s="610"/>
      <c r="J672" s="612"/>
      <c r="K672" s="615"/>
      <c r="L672" s="613"/>
      <c r="M672" s="614"/>
      <c r="N672" s="614"/>
      <c r="O672" s="614"/>
      <c r="P672" s="614"/>
      <c r="Q672" s="614"/>
      <c r="R672" s="614"/>
      <c r="S672" s="614"/>
      <c r="T672" s="614"/>
    </row>
    <row r="673" spans="1:20">
      <c r="A673" s="610"/>
      <c r="B673" s="610"/>
      <c r="C673" s="610"/>
      <c r="D673" s="612"/>
      <c r="E673" s="610"/>
      <c r="F673" s="610"/>
      <c r="G673" s="610"/>
      <c r="H673" s="610"/>
      <c r="I673" s="610"/>
      <c r="J673" s="612"/>
      <c r="K673" s="615"/>
      <c r="L673" s="613"/>
      <c r="M673" s="614"/>
      <c r="N673" s="614"/>
      <c r="O673" s="614"/>
      <c r="P673" s="614"/>
      <c r="Q673" s="614"/>
      <c r="R673" s="614"/>
      <c r="S673" s="614"/>
      <c r="T673" s="614"/>
    </row>
    <row r="674" spans="1:20">
      <c r="A674" s="610"/>
      <c r="B674" s="610"/>
      <c r="C674" s="610"/>
      <c r="D674" s="612"/>
      <c r="E674" s="610"/>
      <c r="F674" s="610"/>
      <c r="G674" s="610"/>
      <c r="H674" s="610"/>
      <c r="I674" s="610"/>
      <c r="J674" s="612"/>
      <c r="K674" s="615"/>
      <c r="L674" s="613"/>
      <c r="M674" s="614"/>
      <c r="N674" s="614"/>
      <c r="O674" s="614"/>
      <c r="P674" s="614"/>
      <c r="Q674" s="614"/>
      <c r="R674" s="614"/>
      <c r="S674" s="614"/>
      <c r="T674" s="614"/>
    </row>
    <row r="675" spans="1:20">
      <c r="A675" s="610"/>
      <c r="B675" s="610"/>
      <c r="C675" s="610"/>
      <c r="D675" s="612"/>
      <c r="E675" s="610"/>
      <c r="F675" s="610"/>
      <c r="G675" s="610"/>
      <c r="H675" s="610"/>
      <c r="I675" s="610"/>
      <c r="J675" s="612"/>
      <c r="K675" s="615"/>
      <c r="L675" s="613"/>
      <c r="M675" s="614"/>
      <c r="N675" s="614"/>
      <c r="O675" s="614"/>
      <c r="P675" s="614"/>
      <c r="Q675" s="614"/>
      <c r="R675" s="614"/>
      <c r="S675" s="614"/>
      <c r="T675" s="614"/>
    </row>
    <row r="676" spans="1:20">
      <c r="A676" s="610"/>
      <c r="B676" s="610"/>
      <c r="C676" s="610"/>
      <c r="D676" s="612"/>
      <c r="E676" s="610"/>
      <c r="F676" s="610"/>
      <c r="G676" s="610"/>
      <c r="H676" s="610"/>
      <c r="I676" s="610"/>
      <c r="J676" s="612"/>
      <c r="K676" s="615"/>
      <c r="L676" s="613"/>
      <c r="M676" s="614"/>
      <c r="N676" s="614"/>
      <c r="O676" s="614"/>
      <c r="P676" s="614"/>
      <c r="Q676" s="614"/>
      <c r="R676" s="614"/>
      <c r="S676" s="614"/>
      <c r="T676" s="614"/>
    </row>
    <row r="677" spans="1:20">
      <c r="A677" s="610"/>
      <c r="B677" s="610"/>
      <c r="C677" s="610"/>
      <c r="D677" s="612"/>
      <c r="E677" s="610"/>
      <c r="F677" s="610"/>
      <c r="G677" s="610"/>
      <c r="H677" s="610"/>
      <c r="I677" s="610"/>
      <c r="J677" s="612"/>
      <c r="K677" s="615"/>
      <c r="L677" s="613"/>
      <c r="M677" s="614"/>
      <c r="N677" s="614"/>
      <c r="O677" s="614"/>
      <c r="P677" s="614"/>
      <c r="Q677" s="614"/>
      <c r="R677" s="614"/>
      <c r="S677" s="614"/>
      <c r="T677" s="614"/>
    </row>
    <row r="678" spans="1:20">
      <c r="A678" s="610"/>
      <c r="B678" s="610"/>
      <c r="C678" s="610"/>
      <c r="D678" s="612"/>
      <c r="E678" s="610"/>
      <c r="F678" s="610"/>
      <c r="G678" s="610"/>
      <c r="H678" s="610"/>
      <c r="I678" s="610"/>
      <c r="J678" s="612"/>
      <c r="K678" s="615"/>
      <c r="L678" s="613"/>
      <c r="M678" s="614"/>
      <c r="N678" s="614"/>
      <c r="O678" s="614"/>
      <c r="P678" s="614"/>
      <c r="Q678" s="614"/>
      <c r="R678" s="614"/>
      <c r="S678" s="614"/>
      <c r="T678" s="614"/>
    </row>
    <row r="679" spans="1:20">
      <c r="A679" s="610"/>
      <c r="B679" s="610"/>
      <c r="C679" s="610"/>
      <c r="D679" s="612"/>
      <c r="E679" s="610"/>
      <c r="F679" s="610"/>
      <c r="G679" s="610"/>
      <c r="H679" s="610"/>
      <c r="I679" s="610"/>
      <c r="J679" s="612"/>
      <c r="K679" s="615"/>
      <c r="L679" s="613"/>
      <c r="M679" s="614"/>
      <c r="N679" s="614"/>
      <c r="O679" s="614"/>
      <c r="P679" s="614"/>
      <c r="Q679" s="614"/>
      <c r="R679" s="614"/>
      <c r="S679" s="614"/>
      <c r="T679" s="614"/>
    </row>
    <row r="680" spans="1:20">
      <c r="A680" s="610"/>
      <c r="B680" s="610"/>
      <c r="C680" s="610"/>
      <c r="D680" s="612"/>
      <c r="E680" s="610"/>
      <c r="F680" s="610"/>
      <c r="G680" s="610"/>
      <c r="H680" s="610"/>
      <c r="I680" s="610"/>
      <c r="J680" s="612"/>
      <c r="K680" s="615"/>
      <c r="L680" s="613"/>
      <c r="M680" s="614"/>
      <c r="N680" s="614"/>
      <c r="O680" s="614"/>
      <c r="P680" s="614"/>
      <c r="Q680" s="614"/>
      <c r="R680" s="614"/>
      <c r="S680" s="614"/>
      <c r="T680" s="614"/>
    </row>
    <row r="681" spans="1:20">
      <c r="A681" s="610"/>
      <c r="B681" s="610"/>
      <c r="C681" s="610"/>
      <c r="D681" s="612"/>
      <c r="E681" s="610"/>
      <c r="F681" s="610"/>
      <c r="G681" s="610"/>
      <c r="H681" s="610"/>
      <c r="I681" s="610"/>
      <c r="J681" s="612"/>
      <c r="K681" s="615"/>
      <c r="L681" s="613"/>
      <c r="M681" s="614"/>
      <c r="N681" s="614"/>
      <c r="O681" s="614"/>
      <c r="P681" s="614"/>
      <c r="Q681" s="614"/>
      <c r="R681" s="614"/>
      <c r="S681" s="614"/>
      <c r="T681" s="614"/>
    </row>
    <row r="682" spans="1:20">
      <c r="A682" s="610"/>
      <c r="B682" s="610"/>
      <c r="C682" s="610"/>
      <c r="D682" s="612"/>
      <c r="E682" s="610"/>
      <c r="F682" s="610"/>
      <c r="G682" s="610"/>
      <c r="H682" s="610"/>
      <c r="I682" s="610"/>
      <c r="J682" s="612"/>
      <c r="K682" s="615"/>
      <c r="L682" s="613"/>
      <c r="M682" s="614"/>
      <c r="N682" s="614"/>
      <c r="O682" s="614"/>
      <c r="P682" s="614"/>
      <c r="Q682" s="614"/>
      <c r="R682" s="614"/>
      <c r="S682" s="614"/>
      <c r="T682" s="614"/>
    </row>
    <row r="683" spans="1:20">
      <c r="A683" s="610"/>
      <c r="B683" s="610"/>
      <c r="C683" s="610"/>
      <c r="D683" s="612"/>
      <c r="E683" s="610"/>
      <c r="F683" s="610"/>
      <c r="G683" s="610"/>
      <c r="H683" s="610"/>
      <c r="I683" s="610"/>
      <c r="J683" s="612"/>
      <c r="K683" s="615"/>
      <c r="L683" s="613"/>
      <c r="M683" s="614"/>
      <c r="N683" s="614"/>
      <c r="O683" s="614"/>
      <c r="P683" s="614"/>
      <c r="Q683" s="614"/>
      <c r="R683" s="614"/>
      <c r="S683" s="614"/>
      <c r="T683" s="614"/>
    </row>
    <row r="684" spans="1:20">
      <c r="A684" s="610"/>
      <c r="B684" s="610"/>
      <c r="C684" s="610"/>
      <c r="D684" s="612"/>
      <c r="E684" s="610"/>
      <c r="F684" s="610"/>
      <c r="G684" s="610"/>
      <c r="H684" s="610"/>
      <c r="I684" s="610"/>
      <c r="J684" s="612"/>
      <c r="K684" s="615"/>
      <c r="L684" s="613"/>
      <c r="M684" s="614"/>
      <c r="N684" s="614"/>
      <c r="O684" s="614"/>
      <c r="P684" s="614"/>
      <c r="Q684" s="614"/>
      <c r="R684" s="614"/>
      <c r="S684" s="614"/>
      <c r="T684" s="614"/>
    </row>
    <row r="685" spans="1:20">
      <c r="A685" s="610"/>
      <c r="B685" s="610"/>
      <c r="C685" s="610"/>
      <c r="D685" s="612"/>
      <c r="E685" s="610"/>
      <c r="F685" s="610"/>
      <c r="G685" s="610"/>
      <c r="H685" s="610"/>
      <c r="I685" s="610"/>
      <c r="J685" s="612"/>
      <c r="K685" s="615"/>
      <c r="L685" s="613"/>
      <c r="M685" s="614"/>
      <c r="N685" s="614"/>
      <c r="O685" s="614"/>
      <c r="P685" s="614"/>
      <c r="Q685" s="614"/>
      <c r="R685" s="614"/>
      <c r="S685" s="614"/>
      <c r="T685" s="614"/>
    </row>
    <row r="686" spans="1:20">
      <c r="A686" s="610"/>
      <c r="B686" s="610"/>
      <c r="C686" s="610"/>
      <c r="D686" s="612"/>
      <c r="E686" s="610"/>
      <c r="F686" s="610"/>
      <c r="G686" s="610"/>
      <c r="H686" s="610"/>
      <c r="I686" s="610"/>
      <c r="J686" s="612"/>
      <c r="K686" s="615"/>
      <c r="L686" s="613"/>
      <c r="M686" s="614"/>
      <c r="N686" s="614"/>
      <c r="O686" s="614"/>
      <c r="P686" s="614"/>
      <c r="Q686" s="614"/>
      <c r="R686" s="614"/>
      <c r="S686" s="614"/>
      <c r="T686" s="614"/>
    </row>
    <row r="687" spans="1:20">
      <c r="A687" s="610"/>
      <c r="B687" s="610"/>
      <c r="C687" s="610"/>
      <c r="D687" s="612"/>
      <c r="E687" s="610"/>
      <c r="F687" s="610"/>
      <c r="G687" s="610"/>
      <c r="H687" s="610"/>
      <c r="I687" s="610"/>
      <c r="J687" s="612"/>
      <c r="K687" s="615"/>
      <c r="L687" s="613"/>
      <c r="M687" s="614"/>
      <c r="N687" s="614"/>
      <c r="O687" s="614"/>
      <c r="P687" s="614"/>
      <c r="Q687" s="614"/>
      <c r="R687" s="614"/>
      <c r="S687" s="614"/>
      <c r="T687" s="614"/>
    </row>
    <row r="688" spans="1:20">
      <c r="A688" s="610"/>
      <c r="B688" s="610"/>
      <c r="C688" s="610"/>
      <c r="D688" s="612"/>
      <c r="E688" s="610"/>
      <c r="F688" s="610"/>
      <c r="G688" s="610"/>
      <c r="H688" s="610"/>
      <c r="I688" s="610"/>
      <c r="J688" s="612"/>
      <c r="K688" s="615"/>
      <c r="L688" s="613"/>
      <c r="M688" s="614"/>
      <c r="N688" s="614"/>
      <c r="O688" s="614"/>
      <c r="P688" s="614"/>
      <c r="Q688" s="614"/>
      <c r="R688" s="614"/>
      <c r="S688" s="614"/>
      <c r="T688" s="614"/>
    </row>
    <row r="689" spans="1:20">
      <c r="A689" s="610"/>
      <c r="B689" s="610"/>
      <c r="C689" s="610"/>
      <c r="D689" s="612"/>
      <c r="E689" s="610"/>
      <c r="F689" s="610"/>
      <c r="G689" s="610"/>
      <c r="H689" s="610"/>
      <c r="I689" s="610"/>
      <c r="J689" s="612"/>
      <c r="K689" s="615"/>
      <c r="L689" s="613"/>
      <c r="M689" s="614"/>
      <c r="N689" s="614"/>
      <c r="O689" s="614"/>
      <c r="P689" s="614"/>
      <c r="Q689" s="614"/>
      <c r="R689" s="614"/>
      <c r="S689" s="614"/>
      <c r="T689" s="614"/>
    </row>
    <row r="690" spans="1:20">
      <c r="A690" s="610"/>
      <c r="B690" s="610"/>
      <c r="C690" s="610"/>
      <c r="D690" s="612"/>
      <c r="E690" s="610"/>
      <c r="F690" s="610"/>
      <c r="G690" s="610"/>
      <c r="H690" s="610"/>
      <c r="I690" s="610"/>
      <c r="J690" s="612"/>
      <c r="K690" s="615"/>
      <c r="L690" s="613"/>
      <c r="M690" s="614"/>
      <c r="N690" s="614"/>
      <c r="O690" s="614"/>
      <c r="P690" s="614"/>
      <c r="Q690" s="614"/>
      <c r="R690" s="614"/>
      <c r="S690" s="614"/>
      <c r="T690" s="614"/>
    </row>
    <row r="691" spans="1:20">
      <c r="A691" s="610"/>
      <c r="B691" s="610"/>
      <c r="C691" s="610"/>
      <c r="D691" s="612"/>
      <c r="E691" s="610"/>
      <c r="F691" s="610"/>
      <c r="G691" s="610"/>
      <c r="H691" s="610"/>
      <c r="I691" s="610"/>
      <c r="J691" s="612"/>
      <c r="K691" s="615"/>
      <c r="L691" s="613"/>
      <c r="M691" s="614"/>
      <c r="N691" s="614"/>
      <c r="O691" s="614"/>
      <c r="P691" s="614"/>
      <c r="Q691" s="614"/>
      <c r="R691" s="614"/>
      <c r="S691" s="614"/>
      <c r="T691" s="614"/>
    </row>
    <row r="692" spans="1:20">
      <c r="A692" s="610"/>
      <c r="B692" s="610"/>
      <c r="C692" s="610"/>
      <c r="D692" s="612"/>
      <c r="E692" s="610"/>
      <c r="F692" s="610"/>
      <c r="G692" s="610"/>
      <c r="H692" s="610"/>
      <c r="I692" s="610"/>
      <c r="J692" s="612"/>
      <c r="K692" s="615"/>
      <c r="L692" s="613"/>
      <c r="M692" s="614"/>
      <c r="N692" s="614"/>
      <c r="O692" s="614"/>
      <c r="P692" s="614"/>
      <c r="Q692" s="614"/>
      <c r="R692" s="614"/>
      <c r="S692" s="614"/>
      <c r="T692" s="614"/>
    </row>
    <row r="693" spans="1:20">
      <c r="A693" s="610"/>
      <c r="B693" s="610"/>
      <c r="C693" s="610"/>
      <c r="D693" s="612"/>
      <c r="E693" s="610"/>
      <c r="F693" s="610"/>
      <c r="G693" s="610"/>
      <c r="H693" s="610"/>
      <c r="I693" s="610"/>
      <c r="J693" s="612"/>
      <c r="K693" s="615"/>
      <c r="L693" s="613"/>
      <c r="M693" s="614"/>
      <c r="N693" s="614"/>
      <c r="O693" s="614"/>
      <c r="P693" s="614"/>
      <c r="Q693" s="614"/>
      <c r="R693" s="614"/>
      <c r="S693" s="614"/>
      <c r="T693" s="614"/>
    </row>
    <row r="694" spans="1:20">
      <c r="A694" s="610"/>
      <c r="B694" s="610"/>
      <c r="C694" s="610"/>
      <c r="D694" s="612"/>
      <c r="E694" s="610"/>
      <c r="F694" s="610"/>
      <c r="G694" s="610"/>
      <c r="H694" s="610"/>
      <c r="I694" s="610"/>
      <c r="J694" s="612"/>
      <c r="K694" s="615"/>
      <c r="L694" s="613"/>
      <c r="M694" s="614"/>
      <c r="N694" s="614"/>
      <c r="O694" s="614"/>
      <c r="P694" s="614"/>
      <c r="Q694" s="614"/>
      <c r="R694" s="614"/>
      <c r="S694" s="614"/>
      <c r="T694" s="614"/>
    </row>
    <row r="695" spans="1:20">
      <c r="A695" s="610"/>
      <c r="B695" s="610"/>
      <c r="C695" s="610"/>
      <c r="D695" s="612"/>
      <c r="E695" s="610"/>
      <c r="F695" s="610"/>
      <c r="G695" s="610"/>
      <c r="H695" s="610"/>
      <c r="I695" s="610"/>
      <c r="J695" s="612"/>
      <c r="K695" s="615"/>
      <c r="L695" s="613"/>
      <c r="M695" s="614"/>
      <c r="N695" s="614"/>
      <c r="O695" s="614"/>
      <c r="P695" s="614"/>
      <c r="Q695" s="614"/>
      <c r="R695" s="614"/>
      <c r="S695" s="614"/>
      <c r="T695" s="614"/>
    </row>
    <row r="696" spans="1:20">
      <c r="A696" s="610"/>
      <c r="B696" s="610"/>
      <c r="C696" s="610"/>
      <c r="D696" s="612"/>
      <c r="E696" s="610"/>
      <c r="F696" s="610"/>
      <c r="G696" s="610"/>
      <c r="H696" s="610"/>
      <c r="I696" s="610"/>
      <c r="J696" s="612"/>
      <c r="K696" s="615"/>
      <c r="L696" s="613"/>
      <c r="M696" s="614"/>
      <c r="N696" s="614"/>
      <c r="O696" s="614"/>
      <c r="P696" s="614"/>
      <c r="Q696" s="614"/>
      <c r="R696" s="614"/>
      <c r="S696" s="614"/>
      <c r="T696" s="614"/>
    </row>
    <row r="697" spans="1:20">
      <c r="A697" s="610"/>
      <c r="B697" s="610"/>
      <c r="C697" s="610"/>
      <c r="D697" s="612"/>
      <c r="E697" s="610"/>
      <c r="F697" s="610"/>
      <c r="G697" s="610"/>
      <c r="H697" s="610"/>
      <c r="I697" s="610"/>
      <c r="J697" s="612"/>
      <c r="K697" s="615"/>
      <c r="L697" s="613"/>
      <c r="M697" s="614"/>
      <c r="N697" s="614"/>
      <c r="O697" s="614"/>
      <c r="P697" s="614"/>
      <c r="Q697" s="614"/>
      <c r="R697" s="614"/>
      <c r="S697" s="614"/>
      <c r="T697" s="614"/>
    </row>
    <row r="698" spans="1:20">
      <c r="A698" s="610"/>
      <c r="B698" s="610"/>
      <c r="C698" s="610"/>
      <c r="D698" s="612"/>
      <c r="E698" s="610"/>
      <c r="F698" s="610"/>
      <c r="G698" s="610"/>
      <c r="H698" s="610"/>
      <c r="I698" s="610"/>
      <c r="J698" s="612"/>
      <c r="K698" s="615"/>
      <c r="L698" s="613"/>
      <c r="M698" s="614"/>
      <c r="N698" s="614"/>
      <c r="O698" s="614"/>
      <c r="P698" s="614"/>
      <c r="Q698" s="614"/>
      <c r="R698" s="614"/>
      <c r="S698" s="614"/>
      <c r="T698" s="614"/>
    </row>
    <row r="699" spans="1:20">
      <c r="A699" s="610"/>
      <c r="B699" s="610"/>
      <c r="C699" s="610"/>
      <c r="D699" s="612"/>
      <c r="E699" s="610"/>
      <c r="F699" s="610"/>
      <c r="G699" s="610"/>
      <c r="H699" s="610"/>
      <c r="I699" s="610"/>
      <c r="J699" s="612"/>
      <c r="K699" s="615"/>
      <c r="L699" s="613"/>
      <c r="M699" s="614"/>
      <c r="N699" s="614"/>
      <c r="O699" s="614"/>
      <c r="P699" s="614"/>
      <c r="Q699" s="614"/>
      <c r="R699" s="614"/>
      <c r="S699" s="614"/>
      <c r="T699" s="614"/>
    </row>
    <row r="700" spans="1:20">
      <c r="A700" s="610"/>
      <c r="B700" s="610"/>
      <c r="C700" s="610"/>
      <c r="D700" s="612"/>
      <c r="E700" s="610"/>
      <c r="F700" s="610"/>
      <c r="G700" s="610"/>
      <c r="H700" s="610"/>
      <c r="I700" s="610"/>
      <c r="J700" s="612"/>
      <c r="K700" s="615"/>
      <c r="L700" s="613"/>
      <c r="M700" s="614"/>
      <c r="N700" s="614"/>
      <c r="O700" s="614"/>
      <c r="P700" s="614"/>
      <c r="Q700" s="614"/>
      <c r="R700" s="614"/>
      <c r="S700" s="614"/>
      <c r="T700" s="614"/>
    </row>
    <row r="701" spans="1:20">
      <c r="A701" s="610"/>
      <c r="B701" s="610"/>
      <c r="C701" s="610"/>
      <c r="D701" s="612"/>
      <c r="E701" s="610"/>
      <c r="F701" s="610"/>
      <c r="G701" s="610"/>
      <c r="H701" s="610"/>
      <c r="I701" s="610"/>
      <c r="J701" s="612"/>
      <c r="K701" s="615"/>
      <c r="L701" s="613"/>
      <c r="M701" s="614"/>
      <c r="N701" s="614"/>
      <c r="O701" s="614"/>
      <c r="P701" s="614"/>
      <c r="Q701" s="614"/>
      <c r="R701" s="614"/>
      <c r="S701" s="614"/>
      <c r="T701" s="614"/>
    </row>
    <row r="702" spans="1:20">
      <c r="A702" s="610"/>
      <c r="B702" s="610"/>
      <c r="C702" s="610"/>
      <c r="D702" s="612"/>
      <c r="E702" s="610"/>
      <c r="F702" s="610"/>
      <c r="G702" s="610"/>
      <c r="H702" s="610"/>
      <c r="I702" s="610"/>
      <c r="J702" s="612"/>
      <c r="K702" s="615"/>
      <c r="L702" s="613"/>
      <c r="M702" s="614"/>
      <c r="N702" s="614"/>
      <c r="O702" s="614"/>
      <c r="P702" s="614"/>
      <c r="Q702" s="614"/>
      <c r="R702" s="614"/>
      <c r="S702" s="614"/>
      <c r="T702" s="614"/>
    </row>
    <row r="703" spans="1:20">
      <c r="A703" s="610"/>
      <c r="B703" s="610"/>
      <c r="C703" s="610"/>
      <c r="D703" s="612"/>
      <c r="E703" s="610"/>
      <c r="F703" s="610"/>
      <c r="G703" s="610"/>
      <c r="H703" s="610"/>
      <c r="I703" s="610"/>
      <c r="J703" s="612"/>
      <c r="K703" s="615"/>
      <c r="L703" s="613"/>
      <c r="M703" s="614"/>
      <c r="N703" s="614"/>
      <c r="O703" s="614"/>
      <c r="P703" s="614"/>
      <c r="Q703" s="614"/>
      <c r="R703" s="614"/>
      <c r="S703" s="614"/>
      <c r="T703" s="614"/>
    </row>
    <row r="704" spans="1:20">
      <c r="A704" s="610"/>
      <c r="B704" s="610"/>
      <c r="C704" s="610"/>
      <c r="D704" s="612"/>
      <c r="E704" s="610"/>
      <c r="F704" s="610"/>
      <c r="G704" s="610"/>
      <c r="H704" s="610"/>
      <c r="I704" s="610"/>
      <c r="J704" s="612"/>
      <c r="K704" s="615"/>
      <c r="L704" s="613"/>
      <c r="M704" s="614"/>
      <c r="N704" s="614"/>
      <c r="O704" s="614"/>
      <c r="P704" s="614"/>
      <c r="Q704" s="614"/>
      <c r="R704" s="614"/>
      <c r="S704" s="614"/>
      <c r="T704" s="614"/>
    </row>
    <row r="705" spans="1:20">
      <c r="A705" s="610"/>
      <c r="B705" s="610"/>
      <c r="C705" s="610"/>
      <c r="D705" s="612"/>
      <c r="E705" s="610"/>
      <c r="F705" s="610"/>
      <c r="G705" s="610"/>
      <c r="H705" s="610"/>
      <c r="I705" s="610"/>
      <c r="J705" s="612"/>
      <c r="K705" s="615"/>
      <c r="L705" s="613"/>
      <c r="M705" s="614"/>
      <c r="N705" s="614"/>
      <c r="O705" s="614"/>
      <c r="P705" s="614"/>
      <c r="Q705" s="614"/>
      <c r="R705" s="614"/>
      <c r="S705" s="614"/>
      <c r="T705" s="614"/>
    </row>
    <row r="706" spans="1:20">
      <c r="A706" s="610"/>
      <c r="B706" s="610"/>
      <c r="C706" s="610"/>
      <c r="D706" s="612"/>
      <c r="E706" s="610"/>
      <c r="F706" s="610"/>
      <c r="G706" s="610"/>
      <c r="H706" s="610"/>
      <c r="I706" s="610"/>
      <c r="J706" s="612"/>
      <c r="K706" s="615"/>
      <c r="L706" s="613"/>
      <c r="M706" s="614"/>
      <c r="N706" s="614"/>
      <c r="O706" s="614"/>
      <c r="P706" s="614"/>
      <c r="Q706" s="614"/>
      <c r="R706" s="614"/>
      <c r="S706" s="614"/>
      <c r="T706" s="614"/>
    </row>
    <row r="707" spans="1:20">
      <c r="A707" s="610"/>
      <c r="B707" s="610"/>
      <c r="C707" s="610"/>
      <c r="D707" s="612"/>
      <c r="E707" s="610"/>
      <c r="F707" s="610"/>
      <c r="G707" s="610"/>
      <c r="H707" s="610"/>
      <c r="I707" s="610"/>
      <c r="J707" s="612"/>
      <c r="K707" s="615"/>
      <c r="L707" s="613"/>
      <c r="M707" s="614"/>
      <c r="N707" s="614"/>
      <c r="O707" s="614"/>
      <c r="P707" s="614"/>
      <c r="Q707" s="614"/>
      <c r="R707" s="614"/>
      <c r="S707" s="614"/>
      <c r="T707" s="614"/>
    </row>
    <row r="708" spans="1:20">
      <c r="A708" s="610"/>
      <c r="B708" s="610"/>
      <c r="C708" s="610"/>
      <c r="D708" s="612"/>
      <c r="E708" s="610"/>
      <c r="F708" s="610"/>
      <c r="G708" s="610"/>
      <c r="H708" s="610"/>
      <c r="I708" s="610"/>
      <c r="J708" s="612"/>
      <c r="K708" s="615"/>
      <c r="L708" s="613"/>
      <c r="M708" s="614"/>
      <c r="N708" s="614"/>
      <c r="O708" s="614"/>
      <c r="P708" s="614"/>
      <c r="Q708" s="614"/>
      <c r="R708" s="614"/>
      <c r="S708" s="614"/>
      <c r="T708" s="614"/>
    </row>
    <row r="709" spans="1:20">
      <c r="A709" s="610"/>
      <c r="B709" s="610"/>
      <c r="C709" s="610"/>
      <c r="D709" s="612"/>
      <c r="E709" s="610"/>
      <c r="F709" s="610"/>
      <c r="G709" s="610"/>
      <c r="H709" s="610"/>
      <c r="I709" s="610"/>
      <c r="J709" s="612"/>
      <c r="K709" s="615"/>
      <c r="L709" s="613"/>
      <c r="M709" s="614"/>
      <c r="N709" s="614"/>
      <c r="O709" s="614"/>
      <c r="P709" s="614"/>
      <c r="Q709" s="614"/>
      <c r="R709" s="614"/>
      <c r="S709" s="614"/>
      <c r="T709" s="614"/>
    </row>
    <row r="710" spans="1:20">
      <c r="A710" s="610"/>
      <c r="B710" s="610"/>
      <c r="C710" s="610"/>
      <c r="D710" s="612"/>
      <c r="E710" s="610"/>
      <c r="F710" s="610"/>
      <c r="G710" s="610"/>
      <c r="H710" s="610"/>
      <c r="I710" s="610"/>
      <c r="J710" s="612"/>
      <c r="K710" s="615"/>
      <c r="L710" s="613"/>
      <c r="M710" s="614"/>
      <c r="N710" s="614"/>
      <c r="O710" s="614"/>
      <c r="P710" s="614"/>
      <c r="Q710" s="614"/>
      <c r="R710" s="614"/>
      <c r="S710" s="614"/>
      <c r="T710" s="614"/>
    </row>
    <row r="711" spans="1:20">
      <c r="A711" s="610"/>
      <c r="B711" s="610"/>
      <c r="C711" s="610"/>
      <c r="D711" s="612"/>
      <c r="E711" s="610"/>
      <c r="F711" s="610"/>
      <c r="G711" s="610"/>
      <c r="H711" s="610"/>
      <c r="I711" s="610"/>
      <c r="J711" s="612"/>
      <c r="K711" s="615"/>
      <c r="L711" s="613"/>
      <c r="M711" s="614"/>
      <c r="N711" s="614"/>
      <c r="O711" s="614"/>
      <c r="P711" s="614"/>
      <c r="Q711" s="614"/>
      <c r="R711" s="614"/>
      <c r="S711" s="614"/>
      <c r="T711" s="614"/>
    </row>
    <row r="712" spans="1:20">
      <c r="A712" s="610"/>
      <c r="B712" s="610"/>
      <c r="C712" s="610"/>
      <c r="D712" s="612"/>
      <c r="E712" s="610"/>
      <c r="F712" s="610"/>
      <c r="G712" s="610"/>
      <c r="H712" s="610"/>
      <c r="I712" s="610"/>
      <c r="J712" s="612"/>
      <c r="K712" s="615"/>
      <c r="L712" s="613"/>
      <c r="M712" s="614"/>
      <c r="N712" s="614"/>
      <c r="O712" s="614"/>
      <c r="P712" s="614"/>
      <c r="Q712" s="614"/>
      <c r="R712" s="614"/>
      <c r="S712" s="614"/>
      <c r="T712" s="614"/>
    </row>
    <row r="713" spans="1:20">
      <c r="A713" s="610"/>
      <c r="B713" s="610"/>
      <c r="C713" s="610"/>
      <c r="D713" s="612"/>
      <c r="E713" s="610"/>
      <c r="F713" s="610"/>
      <c r="G713" s="610"/>
      <c r="H713" s="610"/>
      <c r="I713" s="610"/>
      <c r="J713" s="612"/>
      <c r="K713" s="615"/>
      <c r="L713" s="613"/>
      <c r="M713" s="614"/>
      <c r="N713" s="614"/>
      <c r="O713" s="614"/>
      <c r="P713" s="614"/>
      <c r="Q713" s="614"/>
      <c r="R713" s="614"/>
      <c r="S713" s="614"/>
      <c r="T713" s="614"/>
    </row>
    <row r="714" spans="1:20">
      <c r="A714" s="610"/>
      <c r="B714" s="610"/>
      <c r="C714" s="610"/>
      <c r="D714" s="612"/>
      <c r="E714" s="610"/>
      <c r="F714" s="610"/>
      <c r="G714" s="610"/>
      <c r="H714" s="610"/>
      <c r="I714" s="610"/>
      <c r="J714" s="612"/>
      <c r="K714" s="615"/>
      <c r="L714" s="613"/>
      <c r="M714" s="614"/>
      <c r="N714" s="614"/>
      <c r="O714" s="614"/>
      <c r="P714" s="614"/>
      <c r="Q714" s="614"/>
      <c r="R714" s="614"/>
      <c r="S714" s="614"/>
      <c r="T714" s="614"/>
    </row>
    <row r="715" spans="1:20">
      <c r="A715" s="610"/>
      <c r="B715" s="610"/>
      <c r="C715" s="610"/>
      <c r="D715" s="612"/>
      <c r="E715" s="610"/>
      <c r="F715" s="610"/>
      <c r="G715" s="610"/>
      <c r="H715" s="610"/>
      <c r="I715" s="610"/>
      <c r="J715" s="612"/>
      <c r="K715" s="615"/>
      <c r="L715" s="613"/>
      <c r="M715" s="614"/>
      <c r="N715" s="614"/>
      <c r="O715" s="614"/>
      <c r="P715" s="614"/>
      <c r="Q715" s="614"/>
      <c r="R715" s="614"/>
      <c r="S715" s="614"/>
      <c r="T715" s="614"/>
    </row>
    <row r="716" spans="1:20">
      <c r="A716" s="610"/>
      <c r="B716" s="610"/>
      <c r="C716" s="610"/>
      <c r="D716" s="612"/>
      <c r="E716" s="610"/>
      <c r="F716" s="610"/>
      <c r="G716" s="610"/>
      <c r="H716" s="610"/>
      <c r="I716" s="610"/>
      <c r="J716" s="612"/>
      <c r="K716" s="615"/>
      <c r="L716" s="613"/>
      <c r="M716" s="614"/>
      <c r="N716" s="614"/>
      <c r="O716" s="614"/>
      <c r="P716" s="614"/>
      <c r="Q716" s="614"/>
      <c r="R716" s="614"/>
      <c r="S716" s="614"/>
      <c r="T716" s="614"/>
    </row>
    <row r="717" spans="1:20">
      <c r="A717" s="610"/>
      <c r="B717" s="610"/>
      <c r="C717" s="610"/>
      <c r="D717" s="612"/>
      <c r="E717" s="610"/>
      <c r="F717" s="610"/>
      <c r="G717" s="610"/>
      <c r="H717" s="610"/>
      <c r="I717" s="610"/>
      <c r="J717" s="612"/>
      <c r="K717" s="615"/>
      <c r="L717" s="613"/>
      <c r="M717" s="614"/>
      <c r="N717" s="614"/>
      <c r="O717" s="614"/>
      <c r="P717" s="614"/>
      <c r="Q717" s="614"/>
      <c r="R717" s="614"/>
      <c r="S717" s="614"/>
      <c r="T717" s="614"/>
    </row>
    <row r="718" spans="1:20">
      <c r="A718" s="610"/>
      <c r="B718" s="610"/>
      <c r="C718" s="610"/>
      <c r="D718" s="612"/>
      <c r="E718" s="610"/>
      <c r="F718" s="610"/>
      <c r="G718" s="610"/>
      <c r="H718" s="610"/>
      <c r="I718" s="610"/>
      <c r="J718" s="612"/>
      <c r="K718" s="615"/>
      <c r="L718" s="613"/>
      <c r="M718" s="614"/>
      <c r="N718" s="614"/>
      <c r="O718" s="614"/>
      <c r="P718" s="614"/>
      <c r="Q718" s="614"/>
      <c r="R718" s="614"/>
      <c r="S718" s="614"/>
      <c r="T718" s="614"/>
    </row>
    <row r="719" spans="1:20">
      <c r="A719" s="610"/>
      <c r="B719" s="610"/>
      <c r="C719" s="610"/>
      <c r="D719" s="612"/>
      <c r="E719" s="610"/>
      <c r="F719" s="610"/>
      <c r="G719" s="610"/>
      <c r="H719" s="610"/>
      <c r="I719" s="610"/>
      <c r="J719" s="612"/>
      <c r="K719" s="615"/>
      <c r="L719" s="613"/>
      <c r="M719" s="614"/>
      <c r="N719" s="614"/>
      <c r="O719" s="614"/>
      <c r="P719" s="614"/>
      <c r="Q719" s="614"/>
      <c r="R719" s="614"/>
      <c r="S719" s="614"/>
      <c r="T719" s="614"/>
    </row>
    <row r="720" spans="1:20">
      <c r="A720" s="610"/>
      <c r="B720" s="610"/>
      <c r="C720" s="610"/>
      <c r="D720" s="612"/>
      <c r="E720" s="610"/>
      <c r="F720" s="610"/>
      <c r="G720" s="610"/>
      <c r="H720" s="610"/>
      <c r="I720" s="610"/>
      <c r="J720" s="612"/>
      <c r="K720" s="615"/>
      <c r="L720" s="613"/>
      <c r="M720" s="614"/>
      <c r="N720" s="614"/>
      <c r="O720" s="614"/>
      <c r="P720" s="614"/>
      <c r="Q720" s="614"/>
      <c r="R720" s="614"/>
      <c r="S720" s="614"/>
      <c r="T720" s="614"/>
    </row>
    <row r="721" spans="1:20">
      <c r="A721" s="610"/>
      <c r="B721" s="610"/>
      <c r="C721" s="610"/>
      <c r="D721" s="612"/>
      <c r="E721" s="610"/>
      <c r="F721" s="610"/>
      <c r="G721" s="610"/>
      <c r="H721" s="610"/>
      <c r="I721" s="610"/>
      <c r="J721" s="612"/>
      <c r="K721" s="615"/>
      <c r="L721" s="613"/>
      <c r="M721" s="614"/>
      <c r="N721" s="614"/>
      <c r="O721" s="614"/>
      <c r="P721" s="614"/>
      <c r="Q721" s="614"/>
      <c r="R721" s="614"/>
      <c r="S721" s="614"/>
      <c r="T721" s="614"/>
    </row>
    <row r="722" spans="1:20">
      <c r="A722" s="610"/>
      <c r="B722" s="610"/>
      <c r="C722" s="610"/>
      <c r="D722" s="612"/>
      <c r="E722" s="610"/>
      <c r="F722" s="610"/>
      <c r="G722" s="610"/>
      <c r="H722" s="610"/>
      <c r="I722" s="610"/>
      <c r="J722" s="612"/>
      <c r="K722" s="615"/>
      <c r="L722" s="613"/>
      <c r="M722" s="614"/>
      <c r="N722" s="614"/>
      <c r="O722" s="614"/>
      <c r="P722" s="614"/>
      <c r="Q722" s="614"/>
      <c r="R722" s="614"/>
      <c r="S722" s="614"/>
      <c r="T722" s="614"/>
    </row>
    <row r="723" spans="1:20">
      <c r="A723" s="610"/>
      <c r="B723" s="610"/>
      <c r="C723" s="610"/>
      <c r="D723" s="612"/>
      <c r="E723" s="610"/>
      <c r="F723" s="610"/>
      <c r="G723" s="610"/>
      <c r="H723" s="610"/>
      <c r="I723" s="610"/>
      <c r="J723" s="612"/>
      <c r="K723" s="615"/>
      <c r="L723" s="613"/>
      <c r="M723" s="614"/>
      <c r="N723" s="614"/>
      <c r="O723" s="614"/>
      <c r="P723" s="614"/>
      <c r="Q723" s="614"/>
      <c r="R723" s="614"/>
      <c r="S723" s="614"/>
      <c r="T723" s="614"/>
    </row>
    <row r="724" spans="1:20">
      <c r="A724" s="610"/>
      <c r="B724" s="610"/>
      <c r="C724" s="610"/>
      <c r="D724" s="612"/>
      <c r="E724" s="610"/>
      <c r="F724" s="610"/>
      <c r="G724" s="610"/>
      <c r="H724" s="610"/>
      <c r="I724" s="610"/>
      <c r="J724" s="612"/>
      <c r="K724" s="615"/>
      <c r="L724" s="613"/>
      <c r="M724" s="614"/>
      <c r="N724" s="614"/>
      <c r="O724" s="614"/>
      <c r="P724" s="614"/>
      <c r="Q724" s="614"/>
      <c r="R724" s="614"/>
      <c r="S724" s="614"/>
      <c r="T724" s="614"/>
    </row>
    <row r="725" spans="1:20">
      <c r="A725" s="610"/>
      <c r="B725" s="610"/>
      <c r="C725" s="610"/>
      <c r="D725" s="612"/>
      <c r="E725" s="610"/>
      <c r="F725" s="610"/>
      <c r="G725" s="610"/>
      <c r="H725" s="610"/>
      <c r="I725" s="610"/>
      <c r="J725" s="612"/>
      <c r="K725" s="615"/>
      <c r="L725" s="613"/>
      <c r="M725" s="614"/>
      <c r="N725" s="614"/>
      <c r="O725" s="614"/>
      <c r="P725" s="614"/>
      <c r="Q725" s="614"/>
      <c r="R725" s="614"/>
      <c r="S725" s="614"/>
      <c r="T725" s="614"/>
    </row>
    <row r="726" spans="1:20">
      <c r="A726" s="610"/>
      <c r="B726" s="610"/>
      <c r="C726" s="610"/>
      <c r="D726" s="612"/>
      <c r="E726" s="610"/>
      <c r="F726" s="610"/>
      <c r="G726" s="610"/>
      <c r="H726" s="610"/>
      <c r="I726" s="610"/>
      <c r="J726" s="612"/>
      <c r="K726" s="615"/>
      <c r="L726" s="613"/>
      <c r="M726" s="614"/>
      <c r="N726" s="614"/>
      <c r="O726" s="614"/>
      <c r="P726" s="614"/>
      <c r="Q726" s="614"/>
      <c r="R726" s="614"/>
      <c r="S726" s="614"/>
      <c r="T726" s="614"/>
    </row>
    <row r="727" spans="1:20">
      <c r="A727" s="610"/>
      <c r="B727" s="610"/>
      <c r="C727" s="610"/>
      <c r="D727" s="612"/>
      <c r="E727" s="610"/>
      <c r="F727" s="610"/>
      <c r="G727" s="610"/>
      <c r="H727" s="610"/>
      <c r="I727" s="610"/>
      <c r="J727" s="612"/>
      <c r="K727" s="615"/>
      <c r="L727" s="613"/>
      <c r="M727" s="614"/>
      <c r="N727" s="614"/>
      <c r="O727" s="614"/>
      <c r="P727" s="614"/>
      <c r="Q727" s="614"/>
      <c r="R727" s="614"/>
      <c r="S727" s="614"/>
      <c r="T727" s="614"/>
    </row>
    <row r="728" spans="1:20">
      <c r="A728" s="610"/>
      <c r="B728" s="610"/>
      <c r="C728" s="610"/>
      <c r="D728" s="612"/>
      <c r="E728" s="610"/>
      <c r="F728" s="610"/>
      <c r="G728" s="610"/>
      <c r="H728" s="610"/>
      <c r="I728" s="610"/>
      <c r="J728" s="612"/>
      <c r="K728" s="615"/>
      <c r="L728" s="613"/>
      <c r="M728" s="614"/>
      <c r="N728" s="614"/>
      <c r="O728" s="614"/>
      <c r="P728" s="614"/>
      <c r="Q728" s="614"/>
      <c r="R728" s="614"/>
      <c r="S728" s="614"/>
      <c r="T728" s="614"/>
    </row>
    <row r="729" spans="1:20">
      <c r="A729" s="610"/>
      <c r="B729" s="610"/>
      <c r="C729" s="610"/>
      <c r="D729" s="612"/>
      <c r="E729" s="610"/>
      <c r="F729" s="610"/>
      <c r="G729" s="610"/>
      <c r="H729" s="610"/>
      <c r="I729" s="610"/>
      <c r="J729" s="612"/>
      <c r="K729" s="615"/>
      <c r="L729" s="613"/>
      <c r="M729" s="614"/>
      <c r="N729" s="614"/>
      <c r="O729" s="614"/>
      <c r="P729" s="614"/>
      <c r="Q729" s="614"/>
      <c r="R729" s="614"/>
      <c r="S729" s="614"/>
      <c r="T729" s="614"/>
    </row>
    <row r="730" spans="1:20">
      <c r="A730" s="610"/>
      <c r="B730" s="610"/>
      <c r="C730" s="610"/>
      <c r="D730" s="612"/>
      <c r="E730" s="610"/>
      <c r="F730" s="610"/>
      <c r="G730" s="610"/>
      <c r="H730" s="610"/>
      <c r="I730" s="610"/>
      <c r="J730" s="612"/>
      <c r="K730" s="615"/>
      <c r="L730" s="613"/>
      <c r="M730" s="614"/>
      <c r="N730" s="614"/>
      <c r="O730" s="614"/>
      <c r="P730" s="614"/>
      <c r="Q730" s="614"/>
      <c r="R730" s="614"/>
      <c r="S730" s="614"/>
      <c r="T730" s="614"/>
    </row>
    <row r="731" spans="1:20">
      <c r="A731" s="610"/>
      <c r="B731" s="610"/>
      <c r="C731" s="610"/>
      <c r="D731" s="612"/>
      <c r="E731" s="610"/>
      <c r="F731" s="610"/>
      <c r="G731" s="610"/>
      <c r="H731" s="610"/>
      <c r="I731" s="610"/>
      <c r="J731" s="612"/>
      <c r="K731" s="615"/>
      <c r="L731" s="613"/>
      <c r="M731" s="614"/>
      <c r="N731" s="614"/>
      <c r="O731" s="614"/>
      <c r="P731" s="614"/>
      <c r="Q731" s="614"/>
      <c r="R731" s="614"/>
      <c r="S731" s="614"/>
      <c r="T731" s="614"/>
    </row>
    <row r="732" spans="1:20">
      <c r="A732" s="610"/>
      <c r="B732" s="610"/>
      <c r="C732" s="610"/>
      <c r="D732" s="612"/>
      <c r="E732" s="610"/>
      <c r="F732" s="610"/>
      <c r="G732" s="610"/>
      <c r="H732" s="610"/>
      <c r="I732" s="610"/>
      <c r="J732" s="612"/>
      <c r="K732" s="615"/>
      <c r="L732" s="613"/>
      <c r="M732" s="614"/>
      <c r="N732" s="614"/>
      <c r="O732" s="614"/>
      <c r="P732" s="614"/>
      <c r="Q732" s="614"/>
      <c r="R732" s="614"/>
      <c r="S732" s="614"/>
      <c r="T732" s="614"/>
    </row>
    <row r="733" spans="1:20">
      <c r="A733" s="610"/>
      <c r="B733" s="610"/>
      <c r="C733" s="610"/>
      <c r="D733" s="612"/>
      <c r="E733" s="610"/>
      <c r="F733" s="610"/>
      <c r="G733" s="610"/>
      <c r="H733" s="610"/>
      <c r="I733" s="610"/>
      <c r="J733" s="612"/>
      <c r="K733" s="615"/>
      <c r="L733" s="613"/>
      <c r="M733" s="614"/>
      <c r="N733" s="614"/>
      <c r="O733" s="614"/>
      <c r="P733" s="614"/>
      <c r="Q733" s="614"/>
      <c r="R733" s="614"/>
      <c r="S733" s="614"/>
      <c r="T733" s="614"/>
    </row>
    <row r="734" spans="1:20">
      <c r="A734" s="610"/>
      <c r="B734" s="610"/>
      <c r="C734" s="610"/>
      <c r="D734" s="612"/>
      <c r="E734" s="610"/>
      <c r="F734" s="610"/>
      <c r="G734" s="610"/>
      <c r="H734" s="610"/>
      <c r="I734" s="610"/>
      <c r="J734" s="612"/>
      <c r="K734" s="615"/>
      <c r="L734" s="613"/>
      <c r="M734" s="614"/>
      <c r="N734" s="614"/>
      <c r="O734" s="614"/>
      <c r="P734" s="614"/>
      <c r="Q734" s="614"/>
      <c r="R734" s="614"/>
      <c r="S734" s="614"/>
      <c r="T734" s="614"/>
    </row>
    <row r="735" spans="1:20">
      <c r="A735" s="610"/>
      <c r="B735" s="610"/>
      <c r="C735" s="610"/>
      <c r="D735" s="612"/>
      <c r="E735" s="610"/>
      <c r="F735" s="610"/>
      <c r="G735" s="610"/>
      <c r="H735" s="610"/>
      <c r="I735" s="610"/>
      <c r="J735" s="612"/>
      <c r="K735" s="615"/>
      <c r="L735" s="613"/>
      <c r="M735" s="614"/>
      <c r="N735" s="614"/>
      <c r="O735" s="614"/>
      <c r="P735" s="614"/>
      <c r="Q735" s="614"/>
      <c r="R735" s="614"/>
      <c r="S735" s="614"/>
      <c r="T735" s="614"/>
    </row>
    <row r="736" spans="1:20">
      <c r="A736" s="610"/>
      <c r="B736" s="610"/>
      <c r="C736" s="610"/>
      <c r="D736" s="612"/>
      <c r="E736" s="610"/>
      <c r="F736" s="610"/>
      <c r="G736" s="610"/>
      <c r="H736" s="610"/>
      <c r="I736" s="610"/>
      <c r="J736" s="612"/>
      <c r="K736" s="615"/>
      <c r="L736" s="613"/>
      <c r="M736" s="614"/>
      <c r="N736" s="614"/>
      <c r="O736" s="614"/>
      <c r="P736" s="614"/>
      <c r="Q736" s="614"/>
      <c r="R736" s="614"/>
      <c r="S736" s="614"/>
      <c r="T736" s="614"/>
    </row>
    <row r="737" spans="1:20">
      <c r="A737" s="610"/>
      <c r="B737" s="610"/>
      <c r="C737" s="610"/>
      <c r="D737" s="612"/>
      <c r="E737" s="610"/>
      <c r="F737" s="610"/>
      <c r="G737" s="610"/>
      <c r="H737" s="610"/>
      <c r="I737" s="610"/>
      <c r="J737" s="612"/>
      <c r="K737" s="615"/>
      <c r="L737" s="613"/>
      <c r="M737" s="614"/>
      <c r="N737" s="614"/>
      <c r="O737" s="614"/>
      <c r="P737" s="614"/>
      <c r="Q737" s="614"/>
      <c r="R737" s="614"/>
      <c r="S737" s="614"/>
      <c r="T737" s="614"/>
    </row>
    <row r="738" spans="1:20">
      <c r="A738" s="610"/>
      <c r="B738" s="610"/>
      <c r="C738" s="610"/>
      <c r="D738" s="612"/>
      <c r="E738" s="610"/>
      <c r="F738" s="610"/>
      <c r="G738" s="610"/>
      <c r="H738" s="610"/>
      <c r="I738" s="610"/>
      <c r="J738" s="612"/>
      <c r="K738" s="615"/>
      <c r="L738" s="613"/>
      <c r="M738" s="614"/>
      <c r="N738" s="614"/>
      <c r="O738" s="614"/>
      <c r="P738" s="614"/>
      <c r="Q738" s="614"/>
      <c r="R738" s="614"/>
      <c r="S738" s="614"/>
      <c r="T738" s="614"/>
    </row>
    <row r="739" spans="1:20">
      <c r="A739" s="610"/>
      <c r="B739" s="610"/>
      <c r="C739" s="610"/>
      <c r="D739" s="612"/>
      <c r="E739" s="610"/>
      <c r="F739" s="610"/>
      <c r="G739" s="610"/>
      <c r="H739" s="610"/>
      <c r="I739" s="610"/>
      <c r="J739" s="612"/>
      <c r="K739" s="615"/>
      <c r="L739" s="613"/>
      <c r="M739" s="614"/>
      <c r="N739" s="614"/>
      <c r="O739" s="614"/>
      <c r="P739" s="614"/>
      <c r="Q739" s="614"/>
      <c r="R739" s="614"/>
      <c r="S739" s="614"/>
      <c r="T739" s="614"/>
    </row>
    <row r="740" spans="1:20">
      <c r="A740" s="610"/>
      <c r="B740" s="610"/>
      <c r="C740" s="610"/>
      <c r="D740" s="612"/>
      <c r="E740" s="610"/>
      <c r="F740" s="610"/>
      <c r="G740" s="610"/>
      <c r="H740" s="610"/>
      <c r="I740" s="610"/>
      <c r="J740" s="612"/>
      <c r="K740" s="615"/>
      <c r="L740" s="613"/>
      <c r="M740" s="614"/>
      <c r="N740" s="614"/>
      <c r="O740" s="614"/>
      <c r="P740" s="614"/>
      <c r="Q740" s="614"/>
      <c r="R740" s="614"/>
      <c r="S740" s="614"/>
      <c r="T740" s="614"/>
    </row>
    <row r="741" spans="1:20">
      <c r="A741" s="610"/>
      <c r="B741" s="610"/>
      <c r="C741" s="610"/>
      <c r="D741" s="612"/>
      <c r="E741" s="610"/>
      <c r="F741" s="610"/>
      <c r="G741" s="610"/>
      <c r="H741" s="610"/>
      <c r="I741" s="610"/>
      <c r="J741" s="612"/>
      <c r="K741" s="615"/>
      <c r="L741" s="613"/>
      <c r="M741" s="614"/>
      <c r="N741" s="614"/>
      <c r="O741" s="614"/>
      <c r="P741" s="614"/>
      <c r="Q741" s="614"/>
      <c r="R741" s="614"/>
      <c r="S741" s="614"/>
      <c r="T741" s="614"/>
    </row>
    <row r="742" spans="1:20">
      <c r="A742" s="610"/>
      <c r="B742" s="610"/>
      <c r="C742" s="610"/>
      <c r="D742" s="612"/>
      <c r="E742" s="610"/>
      <c r="F742" s="610"/>
      <c r="G742" s="610"/>
      <c r="H742" s="610"/>
      <c r="I742" s="610"/>
      <c r="J742" s="612"/>
      <c r="K742" s="615"/>
      <c r="L742" s="613"/>
      <c r="M742" s="614"/>
      <c r="N742" s="614"/>
      <c r="O742" s="614"/>
      <c r="P742" s="614"/>
      <c r="Q742" s="614"/>
      <c r="R742" s="614"/>
      <c r="S742" s="614"/>
      <c r="T742" s="614"/>
    </row>
    <row r="743" spans="1:20">
      <c r="A743" s="610"/>
      <c r="B743" s="610"/>
      <c r="C743" s="610"/>
      <c r="D743" s="612"/>
      <c r="E743" s="610"/>
      <c r="F743" s="610"/>
      <c r="G743" s="610"/>
      <c r="H743" s="610"/>
      <c r="I743" s="610"/>
      <c r="J743" s="612"/>
      <c r="K743" s="615"/>
      <c r="L743" s="613"/>
      <c r="M743" s="614"/>
      <c r="N743" s="614"/>
      <c r="O743" s="614"/>
      <c r="P743" s="614"/>
      <c r="Q743" s="614"/>
      <c r="R743" s="614"/>
      <c r="S743" s="614"/>
      <c r="T743" s="614"/>
    </row>
    <row r="744" spans="1:20">
      <c r="A744" s="610"/>
      <c r="B744" s="610"/>
      <c r="C744" s="610"/>
      <c r="D744" s="612"/>
      <c r="E744" s="610"/>
      <c r="F744" s="610"/>
      <c r="G744" s="610"/>
      <c r="H744" s="610"/>
      <c r="I744" s="610"/>
      <c r="J744" s="612"/>
      <c r="K744" s="615"/>
      <c r="L744" s="613"/>
      <c r="M744" s="614"/>
      <c r="N744" s="614"/>
      <c r="O744" s="614"/>
      <c r="P744" s="614"/>
      <c r="Q744" s="614"/>
      <c r="R744" s="614"/>
      <c r="S744" s="614"/>
      <c r="T744" s="614"/>
    </row>
    <row r="745" spans="1:20">
      <c r="A745" s="610"/>
      <c r="B745" s="610"/>
      <c r="C745" s="610"/>
      <c r="D745" s="612"/>
      <c r="E745" s="610"/>
      <c r="F745" s="610"/>
      <c r="G745" s="610"/>
      <c r="H745" s="610"/>
      <c r="I745" s="610"/>
      <c r="J745" s="612"/>
      <c r="K745" s="615"/>
      <c r="L745" s="613"/>
      <c r="M745" s="614"/>
      <c r="N745" s="614"/>
      <c r="O745" s="614"/>
      <c r="P745" s="614"/>
      <c r="Q745" s="614"/>
      <c r="R745" s="614"/>
      <c r="S745" s="614"/>
      <c r="T745" s="614"/>
    </row>
    <row r="746" spans="1:20">
      <c r="A746" s="610"/>
      <c r="B746" s="610"/>
      <c r="C746" s="610"/>
      <c r="D746" s="612"/>
      <c r="E746" s="610"/>
      <c r="F746" s="610"/>
      <c r="G746" s="610"/>
      <c r="H746" s="610"/>
      <c r="I746" s="610"/>
      <c r="J746" s="612"/>
      <c r="K746" s="615"/>
      <c r="L746" s="613"/>
      <c r="M746" s="614"/>
      <c r="N746" s="614"/>
      <c r="O746" s="614"/>
      <c r="P746" s="614"/>
      <c r="Q746" s="614"/>
      <c r="R746" s="614"/>
      <c r="S746" s="614"/>
      <c r="T746" s="614"/>
    </row>
    <row r="747" spans="1:20">
      <c r="A747" s="610"/>
      <c r="B747" s="610"/>
      <c r="C747" s="610"/>
      <c r="D747" s="612"/>
      <c r="E747" s="610"/>
      <c r="F747" s="610"/>
      <c r="G747" s="610"/>
      <c r="H747" s="610"/>
      <c r="I747" s="610"/>
      <c r="J747" s="612"/>
      <c r="K747" s="615"/>
      <c r="L747" s="613"/>
      <c r="M747" s="614"/>
      <c r="N747" s="614"/>
      <c r="O747" s="614"/>
      <c r="P747" s="614"/>
      <c r="Q747" s="614"/>
      <c r="R747" s="614"/>
      <c r="S747" s="614"/>
      <c r="T747" s="614"/>
    </row>
    <row r="748" spans="1:20">
      <c r="A748" s="610"/>
      <c r="B748" s="610"/>
      <c r="C748" s="610"/>
      <c r="D748" s="612"/>
      <c r="E748" s="610"/>
      <c r="F748" s="610"/>
      <c r="G748" s="610"/>
      <c r="H748" s="610"/>
      <c r="I748" s="610"/>
      <c r="J748" s="612"/>
      <c r="K748" s="615"/>
      <c r="L748" s="613"/>
      <c r="M748" s="614"/>
      <c r="N748" s="614"/>
      <c r="O748" s="614"/>
      <c r="P748" s="614"/>
      <c r="Q748" s="614"/>
      <c r="R748" s="614"/>
      <c r="S748" s="614"/>
      <c r="T748" s="614"/>
    </row>
    <row r="749" spans="1:20">
      <c r="A749" s="610"/>
      <c r="B749" s="610"/>
      <c r="C749" s="610"/>
      <c r="D749" s="612"/>
      <c r="E749" s="610"/>
      <c r="F749" s="610"/>
      <c r="G749" s="610"/>
      <c r="H749" s="610"/>
      <c r="I749" s="610"/>
      <c r="J749" s="612"/>
      <c r="K749" s="615"/>
      <c r="L749" s="613"/>
      <c r="M749" s="614"/>
      <c r="N749" s="614"/>
      <c r="O749" s="614"/>
      <c r="P749" s="614"/>
      <c r="Q749" s="614"/>
      <c r="R749" s="614"/>
      <c r="S749" s="614"/>
      <c r="T749" s="614"/>
    </row>
    <row r="750" spans="1:20">
      <c r="A750" s="610"/>
      <c r="B750" s="610"/>
      <c r="C750" s="610"/>
      <c r="D750" s="612"/>
      <c r="E750" s="610"/>
      <c r="F750" s="610"/>
      <c r="G750" s="610"/>
      <c r="H750" s="610"/>
      <c r="I750" s="610"/>
      <c r="J750" s="612"/>
      <c r="K750" s="615"/>
      <c r="L750" s="613"/>
      <c r="M750" s="614"/>
      <c r="N750" s="614"/>
      <c r="O750" s="614"/>
      <c r="P750" s="614"/>
      <c r="Q750" s="614"/>
      <c r="R750" s="614"/>
      <c r="S750" s="614"/>
      <c r="T750" s="614"/>
    </row>
    <row r="751" spans="1:20">
      <c r="A751" s="610"/>
      <c r="B751" s="610"/>
      <c r="C751" s="610"/>
      <c r="D751" s="612"/>
      <c r="E751" s="610"/>
      <c r="F751" s="610"/>
      <c r="G751" s="610"/>
      <c r="H751" s="610"/>
      <c r="I751" s="610"/>
      <c r="J751" s="612"/>
      <c r="K751" s="615"/>
      <c r="L751" s="613"/>
      <c r="M751" s="614"/>
      <c r="N751" s="614"/>
      <c r="O751" s="614"/>
      <c r="P751" s="614"/>
      <c r="Q751" s="614"/>
      <c r="R751" s="614"/>
      <c r="S751" s="614"/>
      <c r="T751" s="614"/>
    </row>
    <row r="752" spans="1:20">
      <c r="A752" s="610"/>
      <c r="B752" s="610"/>
      <c r="C752" s="610"/>
      <c r="D752" s="612"/>
      <c r="E752" s="610"/>
      <c r="F752" s="610"/>
      <c r="G752" s="610"/>
      <c r="H752" s="610"/>
      <c r="I752" s="610"/>
      <c r="J752" s="612"/>
      <c r="K752" s="615"/>
      <c r="L752" s="613"/>
      <c r="M752" s="614"/>
      <c r="N752" s="614"/>
      <c r="O752" s="614"/>
      <c r="P752" s="614"/>
      <c r="Q752" s="614"/>
      <c r="R752" s="614"/>
      <c r="S752" s="614"/>
      <c r="T752" s="614"/>
    </row>
    <row r="753" spans="1:20">
      <c r="A753" s="610"/>
      <c r="B753" s="610"/>
      <c r="C753" s="610"/>
      <c r="D753" s="612"/>
      <c r="E753" s="610"/>
      <c r="F753" s="610"/>
      <c r="G753" s="610"/>
      <c r="H753" s="610"/>
      <c r="I753" s="610"/>
      <c r="J753" s="612"/>
      <c r="K753" s="615"/>
      <c r="L753" s="613"/>
      <c r="M753" s="614"/>
      <c r="N753" s="614"/>
      <c r="O753" s="614"/>
      <c r="P753" s="614"/>
      <c r="Q753" s="614"/>
      <c r="R753" s="614"/>
      <c r="S753" s="614"/>
      <c r="T753" s="614"/>
    </row>
    <row r="754" spans="1:20">
      <c r="A754" s="610"/>
      <c r="B754" s="610"/>
      <c r="C754" s="610"/>
      <c r="D754" s="612"/>
      <c r="E754" s="610"/>
      <c r="F754" s="610"/>
      <c r="G754" s="610"/>
      <c r="H754" s="610"/>
      <c r="I754" s="610"/>
      <c r="J754" s="612"/>
      <c r="K754" s="615"/>
      <c r="L754" s="613"/>
      <c r="M754" s="614"/>
      <c r="N754" s="614"/>
      <c r="O754" s="614"/>
      <c r="P754" s="614"/>
      <c r="Q754" s="614"/>
      <c r="R754" s="614"/>
      <c r="S754" s="614"/>
      <c r="T754" s="614"/>
    </row>
    <row r="755" spans="1:20">
      <c r="A755" s="610"/>
      <c r="B755" s="610"/>
      <c r="C755" s="610"/>
      <c r="D755" s="612"/>
      <c r="E755" s="610"/>
      <c r="F755" s="610"/>
      <c r="G755" s="610"/>
      <c r="H755" s="610"/>
      <c r="I755" s="610"/>
      <c r="J755" s="612"/>
      <c r="K755" s="615"/>
      <c r="L755" s="613"/>
      <c r="M755" s="614"/>
      <c r="N755" s="614"/>
      <c r="O755" s="614"/>
      <c r="P755" s="614"/>
      <c r="Q755" s="614"/>
      <c r="R755" s="614"/>
      <c r="S755" s="614"/>
      <c r="T755" s="614"/>
    </row>
    <row r="756" spans="1:20">
      <c r="A756" s="610"/>
      <c r="B756" s="610"/>
      <c r="C756" s="610"/>
      <c r="D756" s="612"/>
      <c r="E756" s="610"/>
      <c r="F756" s="610"/>
      <c r="G756" s="610"/>
      <c r="H756" s="610"/>
      <c r="I756" s="610"/>
      <c r="J756" s="612"/>
      <c r="K756" s="615"/>
      <c r="L756" s="613"/>
      <c r="M756" s="614"/>
      <c r="N756" s="614"/>
      <c r="O756" s="614"/>
      <c r="P756" s="614"/>
      <c r="Q756" s="614"/>
      <c r="R756" s="614"/>
      <c r="S756" s="614"/>
      <c r="T756" s="614"/>
    </row>
    <row r="757" spans="1:20">
      <c r="A757" s="610"/>
      <c r="B757" s="610"/>
      <c r="C757" s="610"/>
      <c r="D757" s="612"/>
      <c r="E757" s="610"/>
      <c r="F757" s="610"/>
      <c r="G757" s="610"/>
      <c r="H757" s="610"/>
      <c r="I757" s="610"/>
      <c r="J757" s="612"/>
      <c r="K757" s="615"/>
      <c r="L757" s="613"/>
      <c r="M757" s="614"/>
      <c r="N757" s="614"/>
      <c r="O757" s="614"/>
      <c r="P757" s="614"/>
      <c r="Q757" s="614"/>
      <c r="R757" s="614"/>
      <c r="S757" s="614"/>
      <c r="T757" s="614"/>
    </row>
    <row r="758" spans="1:20">
      <c r="A758" s="610"/>
      <c r="B758" s="610"/>
      <c r="C758" s="610"/>
      <c r="D758" s="612"/>
      <c r="E758" s="610"/>
      <c r="F758" s="610"/>
      <c r="G758" s="610"/>
      <c r="H758" s="610"/>
      <c r="I758" s="610"/>
      <c r="J758" s="612"/>
      <c r="K758" s="615"/>
      <c r="L758" s="613"/>
      <c r="M758" s="614"/>
      <c r="N758" s="614"/>
      <c r="O758" s="614"/>
      <c r="P758" s="614"/>
      <c r="Q758" s="614"/>
      <c r="R758" s="614"/>
      <c r="S758" s="614"/>
      <c r="T758" s="614"/>
    </row>
    <row r="759" spans="1:20">
      <c r="A759" s="610"/>
      <c r="B759" s="610"/>
      <c r="C759" s="610"/>
      <c r="D759" s="612"/>
      <c r="E759" s="610"/>
      <c r="F759" s="610"/>
      <c r="G759" s="610"/>
      <c r="H759" s="610"/>
      <c r="I759" s="610"/>
      <c r="J759" s="612"/>
      <c r="K759" s="615"/>
      <c r="L759" s="613"/>
      <c r="M759" s="614"/>
      <c r="N759" s="614"/>
      <c r="O759" s="614"/>
      <c r="P759" s="614"/>
      <c r="Q759" s="614"/>
      <c r="R759" s="614"/>
      <c r="S759" s="614"/>
      <c r="T759" s="614"/>
    </row>
    <row r="760" spans="1:20">
      <c r="A760" s="610"/>
      <c r="B760" s="610"/>
      <c r="C760" s="610"/>
      <c r="D760" s="612"/>
      <c r="E760" s="610"/>
      <c r="F760" s="610"/>
      <c r="G760" s="610"/>
      <c r="H760" s="610"/>
      <c r="I760" s="610"/>
      <c r="J760" s="612"/>
      <c r="K760" s="615"/>
      <c r="L760" s="613"/>
      <c r="M760" s="614"/>
      <c r="N760" s="614"/>
      <c r="O760" s="614"/>
      <c r="P760" s="614"/>
      <c r="Q760" s="614"/>
      <c r="R760" s="614"/>
      <c r="S760" s="614"/>
      <c r="T760" s="614"/>
    </row>
    <row r="761" spans="1:20">
      <c r="A761" s="610"/>
      <c r="B761" s="610"/>
      <c r="C761" s="610"/>
      <c r="D761" s="612"/>
      <c r="E761" s="610"/>
      <c r="F761" s="610"/>
      <c r="G761" s="610"/>
      <c r="H761" s="610"/>
      <c r="I761" s="610"/>
      <c r="J761" s="612"/>
      <c r="K761" s="615"/>
      <c r="L761" s="613"/>
      <c r="M761" s="614"/>
      <c r="N761" s="614"/>
      <c r="O761" s="614"/>
      <c r="P761" s="614"/>
      <c r="Q761" s="614"/>
      <c r="R761" s="614"/>
      <c r="S761" s="614"/>
      <c r="T761" s="614"/>
    </row>
    <row r="762" spans="1:20">
      <c r="A762" s="610"/>
      <c r="B762" s="610"/>
      <c r="C762" s="610"/>
      <c r="D762" s="612"/>
      <c r="E762" s="610"/>
      <c r="F762" s="610"/>
      <c r="G762" s="610"/>
      <c r="H762" s="610"/>
      <c r="I762" s="610"/>
      <c r="J762" s="612"/>
      <c r="K762" s="615"/>
      <c r="L762" s="613"/>
      <c r="M762" s="614"/>
      <c r="N762" s="614"/>
      <c r="O762" s="614"/>
      <c r="P762" s="614"/>
      <c r="Q762" s="614"/>
      <c r="R762" s="614"/>
      <c r="S762" s="614"/>
      <c r="T762" s="614"/>
    </row>
    <row r="763" spans="1:20">
      <c r="A763" s="610"/>
      <c r="B763" s="610"/>
      <c r="C763" s="610"/>
      <c r="D763" s="612"/>
      <c r="E763" s="610"/>
      <c r="F763" s="610"/>
      <c r="G763" s="610"/>
      <c r="H763" s="610"/>
      <c r="I763" s="610"/>
      <c r="J763" s="612"/>
      <c r="K763" s="615"/>
      <c r="L763" s="613"/>
      <c r="M763" s="614"/>
      <c r="N763" s="614"/>
      <c r="O763" s="614"/>
      <c r="P763" s="614"/>
      <c r="Q763" s="614"/>
      <c r="R763" s="614"/>
      <c r="S763" s="614"/>
      <c r="T763" s="614"/>
    </row>
    <row r="764" spans="1:20">
      <c r="A764" s="610"/>
      <c r="B764" s="610"/>
      <c r="C764" s="610"/>
      <c r="D764" s="612"/>
      <c r="E764" s="610"/>
      <c r="F764" s="610"/>
      <c r="G764" s="610"/>
      <c r="H764" s="610"/>
      <c r="I764" s="610"/>
      <c r="J764" s="612"/>
      <c r="K764" s="615"/>
      <c r="L764" s="613"/>
      <c r="M764" s="614"/>
      <c r="N764" s="614"/>
      <c r="O764" s="614"/>
      <c r="P764" s="614"/>
      <c r="Q764" s="614"/>
      <c r="R764" s="614"/>
      <c r="S764" s="614"/>
      <c r="T764" s="614"/>
    </row>
    <row r="765" spans="1:20">
      <c r="A765" s="610"/>
      <c r="B765" s="610"/>
      <c r="C765" s="610"/>
      <c r="D765" s="612"/>
      <c r="E765" s="610"/>
      <c r="F765" s="610"/>
      <c r="G765" s="610"/>
      <c r="H765" s="610"/>
      <c r="I765" s="610"/>
      <c r="J765" s="612"/>
      <c r="K765" s="615"/>
      <c r="L765" s="613"/>
      <c r="M765" s="614"/>
      <c r="N765" s="614"/>
      <c r="O765" s="614"/>
      <c r="P765" s="614"/>
      <c r="Q765" s="614"/>
      <c r="R765" s="614"/>
      <c r="S765" s="614"/>
      <c r="T765" s="614"/>
    </row>
    <row r="766" spans="1:20">
      <c r="A766" s="610"/>
      <c r="B766" s="610"/>
      <c r="C766" s="610"/>
      <c r="D766" s="612"/>
      <c r="E766" s="610"/>
      <c r="F766" s="610"/>
      <c r="G766" s="610"/>
      <c r="H766" s="610"/>
      <c r="I766" s="610"/>
      <c r="J766" s="612"/>
      <c r="K766" s="615"/>
      <c r="L766" s="613"/>
      <c r="M766" s="614"/>
      <c r="N766" s="614"/>
      <c r="O766" s="614"/>
      <c r="P766" s="614"/>
      <c r="Q766" s="614"/>
      <c r="R766" s="614"/>
      <c r="S766" s="614"/>
      <c r="T766" s="614"/>
    </row>
    <row r="767" spans="1:20">
      <c r="A767" s="610"/>
      <c r="B767" s="610"/>
      <c r="C767" s="610"/>
      <c r="D767" s="612"/>
      <c r="E767" s="610"/>
      <c r="F767" s="610"/>
      <c r="G767" s="610"/>
      <c r="H767" s="610"/>
      <c r="I767" s="610"/>
      <c r="J767" s="612"/>
      <c r="K767" s="615"/>
      <c r="L767" s="613"/>
      <c r="M767" s="614"/>
      <c r="N767" s="614"/>
      <c r="O767" s="614"/>
      <c r="P767" s="614"/>
      <c r="Q767" s="614"/>
      <c r="R767" s="614"/>
      <c r="S767" s="614"/>
      <c r="T767" s="614"/>
    </row>
    <row r="768" spans="1:20">
      <c r="A768" s="610"/>
      <c r="B768" s="610"/>
      <c r="C768" s="610"/>
      <c r="D768" s="612"/>
      <c r="E768" s="610"/>
      <c r="F768" s="610"/>
      <c r="G768" s="610"/>
      <c r="H768" s="610"/>
      <c r="I768" s="610"/>
      <c r="J768" s="612"/>
      <c r="K768" s="615"/>
      <c r="L768" s="613"/>
      <c r="M768" s="614"/>
      <c r="N768" s="614"/>
      <c r="O768" s="614"/>
      <c r="P768" s="614"/>
      <c r="Q768" s="614"/>
      <c r="R768" s="614"/>
      <c r="S768" s="614"/>
      <c r="T768" s="614"/>
    </row>
    <row r="769" spans="1:20">
      <c r="A769" s="610"/>
      <c r="B769" s="610"/>
      <c r="C769" s="610"/>
      <c r="D769" s="612"/>
      <c r="E769" s="610"/>
      <c r="F769" s="610"/>
      <c r="G769" s="610"/>
      <c r="H769" s="610"/>
      <c r="I769" s="610"/>
      <c r="J769" s="612"/>
      <c r="K769" s="615"/>
      <c r="L769" s="613"/>
      <c r="M769" s="614"/>
      <c r="N769" s="614"/>
      <c r="O769" s="614"/>
      <c r="P769" s="614"/>
      <c r="Q769" s="614"/>
      <c r="R769" s="614"/>
      <c r="S769" s="614"/>
      <c r="T769" s="614"/>
    </row>
    <row r="770" spans="1:20">
      <c r="A770" s="610"/>
      <c r="B770" s="610"/>
      <c r="C770" s="610"/>
      <c r="D770" s="612"/>
      <c r="E770" s="610"/>
      <c r="F770" s="610"/>
      <c r="G770" s="610"/>
      <c r="H770" s="610"/>
      <c r="I770" s="610"/>
      <c r="J770" s="612"/>
      <c r="K770" s="615"/>
      <c r="L770" s="613"/>
      <c r="M770" s="614"/>
      <c r="N770" s="614"/>
      <c r="O770" s="614"/>
      <c r="P770" s="614"/>
      <c r="Q770" s="614"/>
      <c r="R770" s="614"/>
      <c r="S770" s="614"/>
      <c r="T770" s="614"/>
    </row>
    <row r="771" spans="1:20">
      <c r="A771" s="610"/>
      <c r="B771" s="610"/>
      <c r="C771" s="610"/>
      <c r="D771" s="612"/>
      <c r="E771" s="610"/>
      <c r="F771" s="610"/>
      <c r="G771" s="610"/>
      <c r="H771" s="610"/>
      <c r="I771" s="610"/>
      <c r="J771" s="612"/>
      <c r="K771" s="615"/>
      <c r="L771" s="613"/>
      <c r="M771" s="614"/>
      <c r="N771" s="614"/>
      <c r="O771" s="614"/>
      <c r="P771" s="614"/>
      <c r="Q771" s="614"/>
      <c r="R771" s="614"/>
      <c r="S771" s="614"/>
      <c r="T771" s="614"/>
    </row>
    <row r="772" spans="1:20">
      <c r="A772" s="610"/>
      <c r="B772" s="610"/>
      <c r="C772" s="610"/>
      <c r="D772" s="612"/>
      <c r="E772" s="610"/>
      <c r="F772" s="610"/>
      <c r="G772" s="610"/>
      <c r="H772" s="610"/>
      <c r="I772" s="610"/>
      <c r="J772" s="612"/>
      <c r="K772" s="615"/>
      <c r="L772" s="613"/>
      <c r="M772" s="614"/>
      <c r="N772" s="614"/>
      <c r="O772" s="614"/>
      <c r="P772" s="614"/>
      <c r="Q772" s="614"/>
      <c r="R772" s="614"/>
      <c r="S772" s="614"/>
      <c r="T772" s="614"/>
    </row>
    <row r="773" spans="1:20">
      <c r="A773" s="610"/>
      <c r="B773" s="610"/>
      <c r="C773" s="610"/>
      <c r="D773" s="612"/>
      <c r="E773" s="610"/>
      <c r="F773" s="610"/>
      <c r="G773" s="610"/>
      <c r="H773" s="610"/>
      <c r="I773" s="610"/>
      <c r="J773" s="612"/>
      <c r="K773" s="615"/>
      <c r="L773" s="613"/>
      <c r="M773" s="614"/>
      <c r="N773" s="614"/>
      <c r="O773" s="614"/>
      <c r="P773" s="614"/>
      <c r="Q773" s="614"/>
      <c r="R773" s="614"/>
      <c r="S773" s="614"/>
      <c r="T773" s="614"/>
    </row>
    <row r="774" spans="1:20">
      <c r="A774" s="610"/>
      <c r="B774" s="610"/>
      <c r="C774" s="610"/>
      <c r="D774" s="612"/>
      <c r="E774" s="610"/>
      <c r="F774" s="610"/>
      <c r="G774" s="610"/>
      <c r="H774" s="610"/>
      <c r="I774" s="610"/>
      <c r="J774" s="612"/>
      <c r="K774" s="615"/>
      <c r="L774" s="613"/>
      <c r="M774" s="614"/>
      <c r="N774" s="614"/>
      <c r="O774" s="614"/>
      <c r="P774" s="614"/>
      <c r="Q774" s="614"/>
      <c r="R774" s="614"/>
      <c r="S774" s="614"/>
      <c r="T774" s="614"/>
    </row>
    <row r="775" spans="1:20">
      <c r="A775" s="610"/>
      <c r="B775" s="610"/>
      <c r="C775" s="610"/>
      <c r="D775" s="612"/>
      <c r="E775" s="610"/>
      <c r="F775" s="610"/>
      <c r="G775" s="610"/>
      <c r="H775" s="610"/>
      <c r="I775" s="610"/>
      <c r="J775" s="612"/>
      <c r="K775" s="615"/>
      <c r="L775" s="613"/>
      <c r="M775" s="614"/>
      <c r="N775" s="614"/>
      <c r="O775" s="614"/>
      <c r="P775" s="614"/>
      <c r="Q775" s="614"/>
      <c r="R775" s="614"/>
      <c r="S775" s="614"/>
      <c r="T775" s="614"/>
    </row>
    <row r="776" spans="1:20">
      <c r="A776" s="610"/>
      <c r="B776" s="610"/>
      <c r="C776" s="610"/>
      <c r="D776" s="612"/>
      <c r="E776" s="610"/>
      <c r="F776" s="610"/>
      <c r="G776" s="610"/>
      <c r="H776" s="610"/>
      <c r="I776" s="610"/>
      <c r="J776" s="612"/>
      <c r="K776" s="615"/>
      <c r="L776" s="613"/>
      <c r="M776" s="614"/>
      <c r="N776" s="614"/>
      <c r="O776" s="614"/>
      <c r="P776" s="614"/>
      <c r="Q776" s="614"/>
      <c r="R776" s="614"/>
      <c r="S776" s="614"/>
      <c r="T776" s="614"/>
    </row>
    <row r="777" spans="1:20">
      <c r="A777" s="610"/>
      <c r="B777" s="610"/>
      <c r="C777" s="610"/>
      <c r="D777" s="612"/>
      <c r="E777" s="610"/>
      <c r="F777" s="610"/>
      <c r="G777" s="610"/>
      <c r="H777" s="610"/>
      <c r="I777" s="610"/>
      <c r="J777" s="612"/>
      <c r="K777" s="615"/>
      <c r="L777" s="613"/>
      <c r="M777" s="614"/>
      <c r="N777" s="614"/>
      <c r="O777" s="614"/>
      <c r="P777" s="614"/>
      <c r="Q777" s="614"/>
      <c r="R777" s="614"/>
      <c r="S777" s="614"/>
      <c r="T777" s="614"/>
    </row>
    <row r="778" spans="1:20">
      <c r="A778" s="610"/>
      <c r="B778" s="610"/>
      <c r="C778" s="610"/>
      <c r="D778" s="612"/>
      <c r="E778" s="610"/>
      <c r="F778" s="610"/>
      <c r="G778" s="610"/>
      <c r="H778" s="610"/>
      <c r="I778" s="610"/>
      <c r="J778" s="612"/>
      <c r="K778" s="615"/>
      <c r="L778" s="613"/>
      <c r="M778" s="614"/>
      <c r="N778" s="614"/>
      <c r="O778" s="614"/>
      <c r="P778" s="614"/>
      <c r="Q778" s="614"/>
      <c r="R778" s="614"/>
      <c r="S778" s="614"/>
      <c r="T778" s="614"/>
    </row>
    <row r="779" spans="1:20">
      <c r="A779" s="610"/>
      <c r="B779" s="610"/>
      <c r="C779" s="610"/>
      <c r="D779" s="612"/>
      <c r="E779" s="610"/>
      <c r="F779" s="610"/>
      <c r="G779" s="610"/>
      <c r="H779" s="610"/>
      <c r="I779" s="610"/>
      <c r="J779" s="612"/>
      <c r="K779" s="615"/>
      <c r="L779" s="613"/>
      <c r="M779" s="614"/>
      <c r="N779" s="614"/>
      <c r="O779" s="614"/>
      <c r="P779" s="614"/>
      <c r="Q779" s="614"/>
      <c r="R779" s="614"/>
      <c r="S779" s="614"/>
      <c r="T779" s="614"/>
    </row>
    <row r="780" spans="1:20">
      <c r="A780" s="610"/>
      <c r="B780" s="610"/>
      <c r="C780" s="610"/>
      <c r="D780" s="612"/>
      <c r="E780" s="610"/>
      <c r="F780" s="610"/>
      <c r="G780" s="610"/>
      <c r="H780" s="610"/>
      <c r="I780" s="610"/>
      <c r="J780" s="612"/>
      <c r="K780" s="615"/>
      <c r="L780" s="613"/>
      <c r="M780" s="614"/>
      <c r="N780" s="614"/>
      <c r="O780" s="614"/>
      <c r="P780" s="614"/>
      <c r="Q780" s="614"/>
      <c r="R780" s="614"/>
      <c r="S780" s="614"/>
      <c r="T780" s="614"/>
    </row>
    <row r="781" spans="1:20">
      <c r="A781" s="610"/>
      <c r="B781" s="610"/>
      <c r="C781" s="610"/>
      <c r="D781" s="612"/>
      <c r="E781" s="610"/>
      <c r="F781" s="610"/>
      <c r="G781" s="610"/>
      <c r="H781" s="610"/>
      <c r="I781" s="610"/>
      <c r="J781" s="612"/>
      <c r="K781" s="615"/>
      <c r="L781" s="613"/>
      <c r="M781" s="614"/>
      <c r="N781" s="614"/>
      <c r="O781" s="614"/>
      <c r="P781" s="614"/>
      <c r="Q781" s="614"/>
      <c r="R781" s="614"/>
      <c r="S781" s="614"/>
      <c r="T781" s="614"/>
    </row>
    <row r="782" spans="1:20">
      <c r="A782" s="610"/>
      <c r="B782" s="610"/>
      <c r="C782" s="610"/>
      <c r="D782" s="612"/>
      <c r="E782" s="610"/>
      <c r="F782" s="610"/>
      <c r="G782" s="610"/>
      <c r="H782" s="610"/>
      <c r="I782" s="610"/>
      <c r="J782" s="612"/>
      <c r="K782" s="615"/>
      <c r="L782" s="613"/>
      <c r="M782" s="614"/>
      <c r="N782" s="614"/>
      <c r="O782" s="614"/>
      <c r="P782" s="614"/>
      <c r="Q782" s="614"/>
      <c r="R782" s="614"/>
      <c r="S782" s="614"/>
      <c r="T782" s="614"/>
    </row>
    <row r="783" spans="1:20">
      <c r="A783" s="610"/>
      <c r="B783" s="610"/>
      <c r="C783" s="610"/>
      <c r="D783" s="612"/>
      <c r="E783" s="610"/>
      <c r="F783" s="610"/>
      <c r="G783" s="610"/>
      <c r="H783" s="610"/>
      <c r="I783" s="610"/>
      <c r="J783" s="612"/>
      <c r="K783" s="615"/>
      <c r="L783" s="613"/>
      <c r="M783" s="614"/>
      <c r="N783" s="614"/>
      <c r="O783" s="614"/>
      <c r="P783" s="614"/>
      <c r="Q783" s="614"/>
      <c r="R783" s="614"/>
      <c r="S783" s="614"/>
      <c r="T783" s="614"/>
    </row>
    <row r="784" spans="1:20">
      <c r="A784" s="610"/>
      <c r="B784" s="610"/>
      <c r="C784" s="610"/>
      <c r="D784" s="612"/>
      <c r="E784" s="610"/>
      <c r="F784" s="610"/>
      <c r="G784" s="610"/>
      <c r="H784" s="610"/>
      <c r="I784" s="610"/>
      <c r="J784" s="612"/>
      <c r="K784" s="615"/>
      <c r="L784" s="613"/>
      <c r="M784" s="614"/>
      <c r="N784" s="614"/>
      <c r="O784" s="614"/>
      <c r="P784" s="614"/>
      <c r="Q784" s="614"/>
      <c r="R784" s="614"/>
      <c r="S784" s="614"/>
      <c r="T784" s="614"/>
    </row>
    <row r="785" spans="1:20">
      <c r="A785" s="610"/>
      <c r="B785" s="610"/>
      <c r="C785" s="610"/>
      <c r="D785" s="612"/>
      <c r="E785" s="610"/>
      <c r="F785" s="610"/>
      <c r="G785" s="610"/>
      <c r="H785" s="610"/>
      <c r="I785" s="610"/>
      <c r="J785" s="612"/>
      <c r="K785" s="615"/>
      <c r="L785" s="613"/>
      <c r="M785" s="614"/>
      <c r="N785" s="614"/>
      <c r="O785" s="614"/>
      <c r="P785" s="614"/>
      <c r="Q785" s="614"/>
      <c r="R785" s="614"/>
      <c r="S785" s="614"/>
      <c r="T785" s="614"/>
    </row>
    <row r="786" spans="1:20">
      <c r="A786" s="610"/>
      <c r="B786" s="610"/>
      <c r="C786" s="610"/>
      <c r="D786" s="612"/>
      <c r="E786" s="610"/>
      <c r="F786" s="610"/>
      <c r="G786" s="610"/>
      <c r="H786" s="610"/>
      <c r="I786" s="610"/>
      <c r="J786" s="612"/>
      <c r="K786" s="615"/>
      <c r="L786" s="613"/>
      <c r="M786" s="614"/>
      <c r="N786" s="614"/>
      <c r="O786" s="614"/>
      <c r="P786" s="614"/>
      <c r="Q786" s="614"/>
      <c r="R786" s="614"/>
      <c r="S786" s="614"/>
      <c r="T786" s="614"/>
    </row>
    <row r="787" spans="1:20">
      <c r="A787" s="610"/>
      <c r="B787" s="610"/>
      <c r="C787" s="610"/>
      <c r="D787" s="612"/>
      <c r="E787" s="610"/>
      <c r="F787" s="610"/>
      <c r="G787" s="610"/>
      <c r="H787" s="610"/>
      <c r="I787" s="610"/>
      <c r="J787" s="612"/>
      <c r="K787" s="615"/>
      <c r="L787" s="613"/>
      <c r="M787" s="614"/>
      <c r="N787" s="614"/>
      <c r="O787" s="614"/>
      <c r="P787" s="614"/>
      <c r="Q787" s="614"/>
      <c r="R787" s="614"/>
      <c r="S787" s="614"/>
      <c r="T787" s="614"/>
    </row>
    <row r="788" spans="1:20">
      <c r="A788" s="610"/>
      <c r="B788" s="610"/>
      <c r="C788" s="610"/>
      <c r="D788" s="612"/>
      <c r="E788" s="610"/>
      <c r="F788" s="610"/>
      <c r="G788" s="610"/>
      <c r="H788" s="610"/>
      <c r="I788" s="610"/>
      <c r="J788" s="612"/>
      <c r="K788" s="615"/>
      <c r="L788" s="613"/>
      <c r="M788" s="614"/>
      <c r="N788" s="614"/>
      <c r="O788" s="614"/>
      <c r="P788" s="614"/>
      <c r="Q788" s="614"/>
      <c r="R788" s="614"/>
      <c r="S788" s="614"/>
      <c r="T788" s="614"/>
    </row>
    <row r="789" spans="1:20">
      <c r="A789" s="610"/>
      <c r="B789" s="610"/>
      <c r="C789" s="610"/>
      <c r="D789" s="612"/>
      <c r="E789" s="610"/>
      <c r="F789" s="610"/>
      <c r="G789" s="610"/>
      <c r="H789" s="610"/>
      <c r="I789" s="610"/>
      <c r="J789" s="612"/>
      <c r="K789" s="615"/>
      <c r="L789" s="613"/>
      <c r="M789" s="614"/>
      <c r="N789" s="614"/>
      <c r="O789" s="614"/>
      <c r="P789" s="614"/>
      <c r="Q789" s="614"/>
      <c r="R789" s="614"/>
      <c r="S789" s="614"/>
      <c r="T789" s="614"/>
    </row>
    <row r="790" spans="1:20">
      <c r="A790" s="610"/>
      <c r="B790" s="610"/>
      <c r="C790" s="610"/>
      <c r="D790" s="612"/>
      <c r="E790" s="610"/>
      <c r="F790" s="610"/>
      <c r="G790" s="610"/>
      <c r="H790" s="610"/>
      <c r="I790" s="610"/>
      <c r="J790" s="612"/>
      <c r="K790" s="615"/>
      <c r="L790" s="613"/>
      <c r="M790" s="614"/>
      <c r="N790" s="614"/>
      <c r="O790" s="614"/>
      <c r="P790" s="614"/>
      <c r="Q790" s="614"/>
      <c r="R790" s="614"/>
      <c r="S790" s="614"/>
      <c r="T790" s="614"/>
    </row>
    <row r="791" spans="1:20">
      <c r="A791" s="610"/>
      <c r="B791" s="610"/>
      <c r="C791" s="610"/>
      <c r="D791" s="612"/>
      <c r="E791" s="610"/>
      <c r="F791" s="610"/>
      <c r="G791" s="610"/>
      <c r="H791" s="610"/>
      <c r="I791" s="610"/>
      <c r="J791" s="612"/>
      <c r="K791" s="615"/>
      <c r="L791" s="613"/>
      <c r="M791" s="614"/>
      <c r="N791" s="614"/>
      <c r="O791" s="614"/>
      <c r="P791" s="614"/>
      <c r="Q791" s="614"/>
      <c r="R791" s="614"/>
      <c r="S791" s="614"/>
      <c r="T791" s="614"/>
    </row>
    <row r="792" spans="1:20">
      <c r="A792" s="610"/>
      <c r="B792" s="610"/>
      <c r="C792" s="610"/>
      <c r="D792" s="612"/>
      <c r="E792" s="610"/>
      <c r="F792" s="610"/>
      <c r="G792" s="610"/>
      <c r="H792" s="610"/>
      <c r="I792" s="610"/>
      <c r="J792" s="612"/>
      <c r="K792" s="615"/>
      <c r="L792" s="613"/>
      <c r="M792" s="614"/>
      <c r="N792" s="614"/>
      <c r="O792" s="614"/>
      <c r="P792" s="614"/>
      <c r="Q792" s="614"/>
      <c r="R792" s="614"/>
      <c r="S792" s="614"/>
      <c r="T792" s="614"/>
    </row>
    <row r="793" spans="1:20">
      <c r="A793" s="610"/>
      <c r="B793" s="610"/>
      <c r="C793" s="610"/>
      <c r="D793" s="612"/>
      <c r="E793" s="610"/>
      <c r="F793" s="610"/>
      <c r="G793" s="610"/>
      <c r="H793" s="610"/>
      <c r="I793" s="610"/>
      <c r="J793" s="612"/>
      <c r="K793" s="615"/>
      <c r="L793" s="613"/>
      <c r="M793" s="614"/>
      <c r="N793" s="614"/>
      <c r="O793" s="614"/>
      <c r="P793" s="614"/>
      <c r="Q793" s="614"/>
      <c r="R793" s="614"/>
      <c r="S793" s="614"/>
      <c r="T793" s="614"/>
    </row>
    <row r="794" spans="1:20">
      <c r="A794" s="610"/>
      <c r="B794" s="610"/>
      <c r="C794" s="610"/>
      <c r="D794" s="612"/>
      <c r="E794" s="610"/>
      <c r="F794" s="610"/>
      <c r="G794" s="610"/>
      <c r="H794" s="610"/>
      <c r="I794" s="610"/>
      <c r="J794" s="612"/>
      <c r="K794" s="615"/>
      <c r="L794" s="613"/>
      <c r="M794" s="614"/>
      <c r="N794" s="614"/>
      <c r="O794" s="614"/>
      <c r="P794" s="614"/>
      <c r="Q794" s="614"/>
      <c r="R794" s="614"/>
      <c r="S794" s="614"/>
      <c r="T794" s="614"/>
    </row>
    <row r="795" spans="1:20">
      <c r="A795" s="610"/>
      <c r="B795" s="610"/>
      <c r="C795" s="610"/>
      <c r="D795" s="612"/>
      <c r="E795" s="610"/>
      <c r="F795" s="610"/>
      <c r="G795" s="610"/>
      <c r="H795" s="610"/>
      <c r="I795" s="610"/>
      <c r="J795" s="612"/>
      <c r="K795" s="615"/>
      <c r="L795" s="613"/>
      <c r="M795" s="614"/>
      <c r="N795" s="614"/>
      <c r="O795" s="614"/>
      <c r="P795" s="614"/>
      <c r="Q795" s="614"/>
      <c r="R795" s="614"/>
      <c r="S795" s="614"/>
      <c r="T795" s="614"/>
    </row>
    <row r="796" spans="1:20">
      <c r="A796" s="610"/>
      <c r="B796" s="610"/>
      <c r="C796" s="610"/>
      <c r="D796" s="612"/>
      <c r="E796" s="610"/>
      <c r="F796" s="610"/>
      <c r="G796" s="610"/>
      <c r="H796" s="610"/>
      <c r="I796" s="610"/>
      <c r="J796" s="612"/>
      <c r="K796" s="615"/>
      <c r="L796" s="613"/>
      <c r="M796" s="614"/>
      <c r="N796" s="614"/>
      <c r="O796" s="614"/>
      <c r="P796" s="614"/>
      <c r="Q796" s="614"/>
      <c r="R796" s="614"/>
      <c r="S796" s="614"/>
      <c r="T796" s="614"/>
    </row>
    <row r="797" spans="1:20">
      <c r="A797" s="610"/>
      <c r="B797" s="610"/>
      <c r="C797" s="610"/>
      <c r="D797" s="612"/>
      <c r="E797" s="610"/>
      <c r="F797" s="610"/>
      <c r="G797" s="610"/>
      <c r="H797" s="610"/>
      <c r="I797" s="610"/>
      <c r="J797" s="612"/>
      <c r="K797" s="615"/>
      <c r="L797" s="613"/>
      <c r="M797" s="614"/>
      <c r="N797" s="614"/>
      <c r="O797" s="614"/>
      <c r="P797" s="614"/>
      <c r="Q797" s="614"/>
      <c r="R797" s="614"/>
      <c r="S797" s="614"/>
      <c r="T797" s="614"/>
    </row>
    <row r="798" spans="1:20">
      <c r="A798" s="610"/>
      <c r="B798" s="610"/>
      <c r="C798" s="610"/>
      <c r="D798" s="612"/>
      <c r="E798" s="610"/>
      <c r="F798" s="610"/>
      <c r="G798" s="610"/>
      <c r="H798" s="610"/>
      <c r="I798" s="610"/>
      <c r="J798" s="612"/>
      <c r="K798" s="615"/>
      <c r="L798" s="613"/>
      <c r="M798" s="614"/>
      <c r="N798" s="614"/>
      <c r="O798" s="614"/>
      <c r="P798" s="614"/>
      <c r="Q798" s="614"/>
      <c r="R798" s="614"/>
      <c r="S798" s="614"/>
      <c r="T798" s="614"/>
    </row>
    <row r="799" spans="1:20">
      <c r="A799" s="610"/>
      <c r="B799" s="610"/>
      <c r="C799" s="610"/>
      <c r="D799" s="612"/>
      <c r="E799" s="610"/>
      <c r="F799" s="610"/>
      <c r="G799" s="610"/>
      <c r="H799" s="610"/>
      <c r="I799" s="610"/>
      <c r="J799" s="612"/>
      <c r="K799" s="615"/>
      <c r="L799" s="613"/>
      <c r="M799" s="614"/>
      <c r="N799" s="614"/>
      <c r="O799" s="614"/>
      <c r="P799" s="614"/>
      <c r="Q799" s="614"/>
      <c r="R799" s="614"/>
      <c r="S799" s="614"/>
      <c r="T799" s="614"/>
    </row>
    <row r="800" spans="1:20">
      <c r="A800" s="610"/>
      <c r="B800" s="610"/>
      <c r="C800" s="610"/>
      <c r="D800" s="612"/>
      <c r="E800" s="610"/>
      <c r="F800" s="610"/>
      <c r="G800" s="610"/>
      <c r="H800" s="610"/>
      <c r="I800" s="610"/>
      <c r="J800" s="612"/>
      <c r="K800" s="615"/>
      <c r="L800" s="613"/>
      <c r="M800" s="614"/>
      <c r="N800" s="614"/>
      <c r="O800" s="614"/>
      <c r="P800" s="614"/>
      <c r="Q800" s="614"/>
      <c r="R800" s="614"/>
      <c r="S800" s="614"/>
      <c r="T800" s="614"/>
    </row>
    <row r="801" spans="1:20">
      <c r="A801" s="610"/>
      <c r="B801" s="610"/>
      <c r="C801" s="610"/>
      <c r="D801" s="612"/>
      <c r="E801" s="610"/>
      <c r="F801" s="610"/>
      <c r="G801" s="610"/>
      <c r="H801" s="610"/>
      <c r="I801" s="610"/>
      <c r="J801" s="612"/>
      <c r="K801" s="615"/>
      <c r="L801" s="613"/>
      <c r="M801" s="614"/>
      <c r="N801" s="614"/>
      <c r="O801" s="614"/>
      <c r="P801" s="614"/>
      <c r="Q801" s="614"/>
      <c r="R801" s="614"/>
      <c r="S801" s="614"/>
      <c r="T801" s="614"/>
    </row>
    <row r="802" spans="1:20">
      <c r="A802" s="610"/>
      <c r="B802" s="610"/>
      <c r="C802" s="610"/>
      <c r="D802" s="612"/>
      <c r="E802" s="610"/>
      <c r="F802" s="610"/>
      <c r="G802" s="610"/>
      <c r="H802" s="610"/>
      <c r="I802" s="610"/>
      <c r="J802" s="612"/>
      <c r="K802" s="615"/>
      <c r="L802" s="613"/>
      <c r="M802" s="614"/>
      <c r="N802" s="614"/>
      <c r="O802" s="614"/>
      <c r="P802" s="614"/>
      <c r="Q802" s="614"/>
      <c r="R802" s="614"/>
      <c r="S802" s="614"/>
      <c r="T802" s="614"/>
    </row>
    <row r="803" spans="1:20">
      <c r="A803" s="610"/>
      <c r="B803" s="610"/>
      <c r="C803" s="610"/>
      <c r="D803" s="612"/>
      <c r="E803" s="610"/>
      <c r="F803" s="610"/>
      <c r="G803" s="610"/>
      <c r="H803" s="610"/>
      <c r="I803" s="610"/>
      <c r="J803" s="612"/>
      <c r="K803" s="615"/>
      <c r="L803" s="613"/>
      <c r="M803" s="614"/>
      <c r="N803" s="614"/>
      <c r="O803" s="614"/>
      <c r="P803" s="614"/>
      <c r="Q803" s="614"/>
      <c r="R803" s="614"/>
      <c r="S803" s="614"/>
      <c r="T803" s="614"/>
    </row>
    <row r="804" spans="1:20">
      <c r="A804" s="610"/>
      <c r="B804" s="610"/>
      <c r="C804" s="610"/>
      <c r="D804" s="612"/>
      <c r="E804" s="610"/>
      <c r="F804" s="610"/>
      <c r="G804" s="610"/>
      <c r="H804" s="610"/>
      <c r="I804" s="610"/>
      <c r="J804" s="612"/>
      <c r="K804" s="615"/>
      <c r="L804" s="613"/>
      <c r="M804" s="614"/>
      <c r="N804" s="614"/>
      <c r="O804" s="614"/>
      <c r="P804" s="614"/>
      <c r="Q804" s="614"/>
      <c r="R804" s="614"/>
      <c r="S804" s="614"/>
      <c r="T804" s="614"/>
    </row>
    <row r="805" spans="1:20">
      <c r="A805" s="610"/>
      <c r="B805" s="610"/>
      <c r="C805" s="610"/>
      <c r="D805" s="612"/>
      <c r="E805" s="610"/>
      <c r="F805" s="610"/>
      <c r="G805" s="610"/>
      <c r="H805" s="610"/>
      <c r="I805" s="610"/>
      <c r="J805" s="612"/>
      <c r="K805" s="615"/>
      <c r="L805" s="613"/>
      <c r="M805" s="614"/>
      <c r="N805" s="614"/>
      <c r="O805" s="614"/>
      <c r="P805" s="614"/>
      <c r="Q805" s="614"/>
      <c r="R805" s="614"/>
      <c r="S805" s="614"/>
      <c r="T805" s="614"/>
    </row>
    <row r="806" spans="1:20">
      <c r="A806" s="610"/>
      <c r="B806" s="610"/>
      <c r="C806" s="610"/>
      <c r="D806" s="612"/>
      <c r="E806" s="610"/>
      <c r="F806" s="610"/>
      <c r="G806" s="610"/>
      <c r="H806" s="610"/>
      <c r="I806" s="610"/>
      <c r="J806" s="612"/>
      <c r="K806" s="615"/>
      <c r="L806" s="613"/>
      <c r="M806" s="614"/>
      <c r="N806" s="614"/>
      <c r="O806" s="614"/>
      <c r="P806" s="614"/>
      <c r="Q806" s="614"/>
      <c r="R806" s="614"/>
      <c r="S806" s="614"/>
      <c r="T806" s="614"/>
    </row>
    <row r="807" spans="1:20">
      <c r="A807" s="610"/>
      <c r="B807" s="610"/>
      <c r="C807" s="610"/>
      <c r="D807" s="612"/>
      <c r="E807" s="610"/>
      <c r="F807" s="610"/>
      <c r="G807" s="610"/>
      <c r="H807" s="610"/>
      <c r="I807" s="610"/>
      <c r="J807" s="612"/>
      <c r="K807" s="615"/>
      <c r="L807" s="613"/>
      <c r="M807" s="614"/>
      <c r="N807" s="614"/>
      <c r="O807" s="614"/>
      <c r="P807" s="614"/>
      <c r="Q807" s="614"/>
      <c r="R807" s="614"/>
      <c r="S807" s="614"/>
      <c r="T807" s="614"/>
    </row>
    <row r="808" spans="1:20">
      <c r="A808" s="610"/>
      <c r="B808" s="610"/>
      <c r="C808" s="610"/>
      <c r="D808" s="612"/>
      <c r="E808" s="610"/>
      <c r="F808" s="610"/>
      <c r="G808" s="610"/>
      <c r="H808" s="610"/>
      <c r="I808" s="610"/>
      <c r="J808" s="612"/>
      <c r="K808" s="615"/>
      <c r="L808" s="613"/>
      <c r="M808" s="614"/>
      <c r="N808" s="614"/>
      <c r="O808" s="614"/>
      <c r="P808" s="614"/>
      <c r="Q808" s="614"/>
      <c r="R808" s="614"/>
      <c r="S808" s="614"/>
      <c r="T808" s="614"/>
    </row>
    <row r="809" spans="1:20">
      <c r="A809" s="610"/>
      <c r="B809" s="610"/>
      <c r="C809" s="610"/>
      <c r="D809" s="612"/>
      <c r="E809" s="610"/>
      <c r="F809" s="610"/>
      <c r="G809" s="610"/>
      <c r="H809" s="610"/>
      <c r="I809" s="610"/>
      <c r="J809" s="612"/>
      <c r="K809" s="615"/>
      <c r="L809" s="613"/>
      <c r="M809" s="614"/>
      <c r="N809" s="614"/>
      <c r="O809" s="614"/>
      <c r="P809" s="614"/>
      <c r="Q809" s="614"/>
      <c r="R809" s="614"/>
      <c r="S809" s="614"/>
      <c r="T809" s="614"/>
    </row>
    <row r="810" spans="1:20">
      <c r="A810" s="610"/>
      <c r="B810" s="610"/>
      <c r="C810" s="610"/>
      <c r="D810" s="612"/>
      <c r="E810" s="610"/>
      <c r="F810" s="610"/>
      <c r="G810" s="610"/>
      <c r="H810" s="610"/>
      <c r="I810" s="610"/>
      <c r="J810" s="612"/>
      <c r="K810" s="615"/>
      <c r="L810" s="613"/>
      <c r="M810" s="614"/>
      <c r="N810" s="614"/>
      <c r="O810" s="614"/>
      <c r="P810" s="614"/>
      <c r="Q810" s="614"/>
      <c r="R810" s="614"/>
      <c r="S810" s="614"/>
      <c r="T810" s="614"/>
    </row>
    <row r="811" spans="1:20">
      <c r="A811" s="610"/>
      <c r="B811" s="610"/>
      <c r="C811" s="610"/>
      <c r="D811" s="612"/>
      <c r="E811" s="610"/>
      <c r="F811" s="610"/>
      <c r="G811" s="610"/>
      <c r="H811" s="610"/>
      <c r="I811" s="610"/>
      <c r="J811" s="612"/>
      <c r="K811" s="615"/>
      <c r="L811" s="613"/>
      <c r="M811" s="614"/>
      <c r="N811" s="614"/>
      <c r="O811" s="614"/>
      <c r="P811" s="614"/>
      <c r="Q811" s="614"/>
      <c r="R811" s="614"/>
      <c r="S811" s="614"/>
      <c r="T811" s="614"/>
    </row>
    <row r="812" spans="1:20">
      <c r="A812" s="610"/>
      <c r="B812" s="610"/>
      <c r="C812" s="610"/>
      <c r="D812" s="612"/>
      <c r="E812" s="610"/>
      <c r="F812" s="610"/>
      <c r="G812" s="610"/>
      <c r="H812" s="610"/>
      <c r="I812" s="610"/>
      <c r="J812" s="612"/>
      <c r="K812" s="615"/>
      <c r="L812" s="613"/>
      <c r="M812" s="614"/>
      <c r="N812" s="614"/>
      <c r="O812" s="614"/>
      <c r="P812" s="614"/>
      <c r="Q812" s="614"/>
      <c r="R812" s="614"/>
      <c r="S812" s="614"/>
      <c r="T812" s="614"/>
    </row>
    <row r="813" spans="1:20">
      <c r="A813" s="610"/>
      <c r="B813" s="610"/>
      <c r="C813" s="610"/>
      <c r="D813" s="612"/>
      <c r="E813" s="610"/>
      <c r="F813" s="610"/>
      <c r="G813" s="610"/>
      <c r="H813" s="610"/>
      <c r="I813" s="610"/>
      <c r="J813" s="612"/>
      <c r="K813" s="615"/>
      <c r="L813" s="613"/>
      <c r="M813" s="614"/>
      <c r="N813" s="614"/>
      <c r="O813" s="614"/>
      <c r="P813" s="614"/>
      <c r="Q813" s="614"/>
      <c r="R813" s="614"/>
      <c r="S813" s="614"/>
      <c r="T813" s="614"/>
    </row>
    <row r="814" spans="1:20">
      <c r="A814" s="610"/>
      <c r="B814" s="610"/>
      <c r="C814" s="610"/>
      <c r="D814" s="612"/>
      <c r="E814" s="610"/>
      <c r="F814" s="610"/>
      <c r="G814" s="610"/>
      <c r="H814" s="610"/>
      <c r="I814" s="610"/>
      <c r="J814" s="612"/>
      <c r="K814" s="615"/>
      <c r="L814" s="613"/>
      <c r="M814" s="614"/>
      <c r="N814" s="614"/>
      <c r="O814" s="614"/>
      <c r="P814" s="614"/>
      <c r="Q814" s="614"/>
      <c r="R814" s="614"/>
      <c r="S814" s="614"/>
      <c r="T814" s="614"/>
    </row>
    <row r="815" spans="1:20">
      <c r="A815" s="610"/>
      <c r="B815" s="610"/>
      <c r="C815" s="610"/>
      <c r="D815" s="612"/>
      <c r="E815" s="610"/>
      <c r="F815" s="610"/>
      <c r="G815" s="610"/>
      <c r="H815" s="610"/>
      <c r="I815" s="610"/>
      <c r="J815" s="612"/>
      <c r="K815" s="615"/>
      <c r="L815" s="613"/>
      <c r="M815" s="614"/>
      <c r="N815" s="614"/>
      <c r="O815" s="614"/>
      <c r="P815" s="614"/>
      <c r="Q815" s="614"/>
      <c r="R815" s="614"/>
      <c r="S815" s="614"/>
      <c r="T815" s="614"/>
    </row>
    <row r="816" spans="1:20">
      <c r="A816" s="610"/>
      <c r="B816" s="610"/>
      <c r="C816" s="610"/>
      <c r="D816" s="612"/>
      <c r="E816" s="610"/>
      <c r="F816" s="610"/>
      <c r="G816" s="610"/>
      <c r="H816" s="610"/>
      <c r="I816" s="610"/>
      <c r="J816" s="612"/>
      <c r="K816" s="615"/>
      <c r="L816" s="613"/>
      <c r="M816" s="614"/>
      <c r="N816" s="614"/>
      <c r="O816" s="614"/>
      <c r="P816" s="614"/>
      <c r="Q816" s="614"/>
      <c r="R816" s="614"/>
      <c r="S816" s="614"/>
      <c r="T816" s="614"/>
    </row>
    <row r="817" spans="1:20">
      <c r="A817" s="610"/>
      <c r="B817" s="610"/>
      <c r="C817" s="610"/>
      <c r="D817" s="612"/>
      <c r="E817" s="610"/>
      <c r="F817" s="610"/>
      <c r="G817" s="610"/>
      <c r="H817" s="610"/>
      <c r="I817" s="610"/>
      <c r="J817" s="612"/>
      <c r="K817" s="615"/>
      <c r="L817" s="613"/>
      <c r="M817" s="614"/>
      <c r="N817" s="614"/>
      <c r="O817" s="614"/>
      <c r="P817" s="614"/>
      <c r="Q817" s="614"/>
      <c r="R817" s="614"/>
      <c r="S817" s="614"/>
      <c r="T817" s="614"/>
    </row>
    <row r="818" spans="1:20">
      <c r="A818" s="610"/>
      <c r="B818" s="610"/>
      <c r="C818" s="610"/>
      <c r="D818" s="612"/>
      <c r="E818" s="610"/>
      <c r="F818" s="610"/>
      <c r="G818" s="610"/>
      <c r="H818" s="610"/>
      <c r="I818" s="610"/>
      <c r="J818" s="612"/>
      <c r="K818" s="615"/>
      <c r="L818" s="613"/>
      <c r="M818" s="614"/>
      <c r="N818" s="614"/>
      <c r="O818" s="614"/>
      <c r="P818" s="614"/>
      <c r="Q818" s="614"/>
      <c r="R818" s="614"/>
      <c r="S818" s="614"/>
      <c r="T818" s="614"/>
    </row>
    <row r="819" spans="1:20">
      <c r="A819" s="610"/>
      <c r="B819" s="610"/>
      <c r="C819" s="610"/>
      <c r="D819" s="612"/>
      <c r="E819" s="610"/>
      <c r="F819" s="610"/>
      <c r="G819" s="610"/>
      <c r="H819" s="610"/>
      <c r="I819" s="610"/>
      <c r="J819" s="612"/>
      <c r="K819" s="615"/>
      <c r="L819" s="613"/>
      <c r="M819" s="614"/>
      <c r="N819" s="614"/>
      <c r="O819" s="614"/>
      <c r="P819" s="614"/>
      <c r="Q819" s="614"/>
      <c r="R819" s="614"/>
      <c r="S819" s="614"/>
      <c r="T819" s="614"/>
    </row>
    <row r="820" spans="1:20">
      <c r="A820" s="610"/>
      <c r="B820" s="610"/>
      <c r="C820" s="610"/>
      <c r="D820" s="612"/>
      <c r="E820" s="610"/>
      <c r="F820" s="610"/>
      <c r="G820" s="610"/>
      <c r="H820" s="610"/>
      <c r="I820" s="610"/>
      <c r="J820" s="612"/>
      <c r="K820" s="615"/>
      <c r="L820" s="613"/>
      <c r="M820" s="614"/>
      <c r="N820" s="614"/>
      <c r="O820" s="614"/>
      <c r="P820" s="614"/>
      <c r="Q820" s="614"/>
      <c r="R820" s="614"/>
      <c r="S820" s="614"/>
      <c r="T820" s="614"/>
    </row>
    <row r="821" spans="1:20">
      <c r="A821" s="610"/>
      <c r="B821" s="610"/>
      <c r="C821" s="610"/>
      <c r="D821" s="612"/>
      <c r="E821" s="610"/>
      <c r="F821" s="610"/>
      <c r="G821" s="610"/>
      <c r="H821" s="610"/>
      <c r="I821" s="610"/>
      <c r="J821" s="612"/>
      <c r="K821" s="615"/>
      <c r="L821" s="613"/>
      <c r="M821" s="614"/>
      <c r="N821" s="614"/>
      <c r="O821" s="614"/>
      <c r="P821" s="614"/>
      <c r="Q821" s="614"/>
      <c r="R821" s="614"/>
      <c r="S821" s="614"/>
      <c r="T821" s="614"/>
    </row>
    <row r="822" spans="1:20">
      <c r="A822" s="610"/>
      <c r="B822" s="610"/>
      <c r="C822" s="610"/>
      <c r="D822" s="612"/>
      <c r="E822" s="610"/>
      <c r="F822" s="610"/>
      <c r="G822" s="610"/>
      <c r="H822" s="610"/>
      <c r="I822" s="610"/>
      <c r="J822" s="612"/>
      <c r="K822" s="615"/>
      <c r="L822" s="613"/>
      <c r="M822" s="614"/>
      <c r="N822" s="614"/>
      <c r="O822" s="614"/>
      <c r="P822" s="614"/>
      <c r="Q822" s="614"/>
      <c r="R822" s="614"/>
      <c r="S822" s="614"/>
      <c r="T822" s="614"/>
    </row>
    <row r="823" spans="1:20">
      <c r="A823" s="610"/>
      <c r="B823" s="610"/>
      <c r="C823" s="610"/>
      <c r="D823" s="612"/>
      <c r="E823" s="610"/>
      <c r="F823" s="610"/>
      <c r="G823" s="610"/>
      <c r="H823" s="610"/>
      <c r="I823" s="610"/>
      <c r="J823" s="612"/>
      <c r="K823" s="615"/>
      <c r="L823" s="613"/>
      <c r="M823" s="614"/>
      <c r="N823" s="614"/>
      <c r="O823" s="614"/>
      <c r="P823" s="614"/>
      <c r="Q823" s="614"/>
      <c r="R823" s="614"/>
      <c r="S823" s="614"/>
      <c r="T823" s="614"/>
    </row>
    <row r="824" spans="1:20">
      <c r="A824" s="610"/>
      <c r="B824" s="610"/>
      <c r="C824" s="610"/>
      <c r="D824" s="612"/>
      <c r="E824" s="610"/>
      <c r="F824" s="610"/>
      <c r="G824" s="610"/>
      <c r="H824" s="610"/>
      <c r="I824" s="610"/>
      <c r="J824" s="612"/>
      <c r="K824" s="615"/>
      <c r="L824" s="613"/>
      <c r="M824" s="614"/>
      <c r="N824" s="614"/>
      <c r="O824" s="614"/>
      <c r="P824" s="614"/>
      <c r="Q824" s="614"/>
      <c r="R824" s="614"/>
      <c r="S824" s="614"/>
      <c r="T824" s="614"/>
    </row>
    <row r="825" spans="1:20">
      <c r="A825" s="610"/>
      <c r="B825" s="610"/>
      <c r="C825" s="610"/>
      <c r="D825" s="612"/>
      <c r="E825" s="610"/>
      <c r="F825" s="610"/>
      <c r="G825" s="610"/>
      <c r="H825" s="610"/>
      <c r="I825" s="610"/>
      <c r="J825" s="612"/>
      <c r="K825" s="615"/>
      <c r="L825" s="613"/>
      <c r="M825" s="614"/>
      <c r="N825" s="614"/>
      <c r="O825" s="614"/>
      <c r="P825" s="614"/>
      <c r="Q825" s="614"/>
      <c r="R825" s="614"/>
      <c r="S825" s="614"/>
      <c r="T825" s="614"/>
    </row>
    <row r="826" spans="1:20">
      <c r="A826" s="610"/>
      <c r="B826" s="610"/>
      <c r="C826" s="610"/>
      <c r="D826" s="612"/>
      <c r="E826" s="610"/>
      <c r="F826" s="610"/>
      <c r="G826" s="610"/>
      <c r="H826" s="610"/>
      <c r="I826" s="610"/>
      <c r="J826" s="612"/>
      <c r="K826" s="615"/>
      <c r="L826" s="613"/>
      <c r="M826" s="614"/>
      <c r="N826" s="614"/>
      <c r="O826" s="614"/>
      <c r="P826" s="614"/>
      <c r="Q826" s="614"/>
      <c r="R826" s="614"/>
      <c r="S826" s="614"/>
      <c r="T826" s="614"/>
    </row>
    <row r="827" spans="1:20">
      <c r="A827" s="610"/>
      <c r="B827" s="610"/>
      <c r="C827" s="610"/>
      <c r="D827" s="612"/>
      <c r="E827" s="610"/>
      <c r="F827" s="610"/>
      <c r="G827" s="610"/>
      <c r="H827" s="610"/>
      <c r="I827" s="610"/>
      <c r="J827" s="612"/>
      <c r="K827" s="615"/>
      <c r="L827" s="613"/>
      <c r="M827" s="614"/>
      <c r="N827" s="614"/>
      <c r="O827" s="614"/>
      <c r="P827" s="614"/>
      <c r="Q827" s="614"/>
      <c r="R827" s="614"/>
      <c r="S827" s="614"/>
      <c r="T827" s="614"/>
    </row>
    <row r="828" spans="1:20">
      <c r="A828" s="610"/>
      <c r="B828" s="610"/>
      <c r="C828" s="610"/>
      <c r="D828" s="612"/>
      <c r="E828" s="610"/>
      <c r="F828" s="610"/>
      <c r="G828" s="610"/>
      <c r="H828" s="610"/>
      <c r="I828" s="610"/>
      <c r="J828" s="612"/>
      <c r="K828" s="615"/>
      <c r="L828" s="613"/>
      <c r="M828" s="614"/>
      <c r="N828" s="614"/>
      <c r="O828" s="614"/>
      <c r="P828" s="614"/>
      <c r="Q828" s="614"/>
      <c r="R828" s="614"/>
      <c r="S828" s="614"/>
      <c r="T828" s="614"/>
    </row>
    <row r="829" spans="1:20">
      <c r="A829" s="610"/>
      <c r="B829" s="610"/>
      <c r="C829" s="610"/>
      <c r="D829" s="612"/>
      <c r="E829" s="610"/>
      <c r="F829" s="610"/>
      <c r="G829" s="610"/>
      <c r="H829" s="610"/>
      <c r="I829" s="610"/>
      <c r="J829" s="612"/>
      <c r="K829" s="615"/>
      <c r="L829" s="613"/>
      <c r="M829" s="614"/>
      <c r="N829" s="614"/>
      <c r="O829" s="614"/>
      <c r="P829" s="614"/>
      <c r="Q829" s="614"/>
      <c r="R829" s="614"/>
      <c r="S829" s="614"/>
      <c r="T829" s="614"/>
    </row>
    <row r="830" spans="1:20">
      <c r="A830" s="610"/>
      <c r="B830" s="610"/>
      <c r="C830" s="610"/>
      <c r="D830" s="612"/>
      <c r="E830" s="610"/>
      <c r="F830" s="610"/>
      <c r="G830" s="610"/>
      <c r="H830" s="610"/>
      <c r="I830" s="610"/>
      <c r="J830" s="612"/>
      <c r="K830" s="615"/>
      <c r="L830" s="613"/>
      <c r="M830" s="614"/>
      <c r="N830" s="614"/>
      <c r="O830" s="614"/>
      <c r="P830" s="614"/>
      <c r="Q830" s="614"/>
      <c r="R830" s="614"/>
      <c r="S830" s="614"/>
      <c r="T830" s="614"/>
    </row>
    <row r="831" spans="1:20">
      <c r="A831" s="610"/>
      <c r="B831" s="610"/>
      <c r="C831" s="610"/>
      <c r="D831" s="612"/>
      <c r="E831" s="610"/>
      <c r="F831" s="610"/>
      <c r="G831" s="610"/>
      <c r="H831" s="610"/>
      <c r="I831" s="610"/>
      <c r="J831" s="612"/>
      <c r="K831" s="615"/>
      <c r="L831" s="613"/>
      <c r="M831" s="614"/>
      <c r="N831" s="614"/>
      <c r="O831" s="614"/>
      <c r="P831" s="614"/>
      <c r="Q831" s="614"/>
      <c r="R831" s="614"/>
      <c r="S831" s="614"/>
      <c r="T831" s="614"/>
    </row>
    <row r="832" spans="1:20">
      <c r="A832" s="610"/>
      <c r="B832" s="610"/>
      <c r="C832" s="610"/>
      <c r="D832" s="612"/>
      <c r="E832" s="610"/>
      <c r="F832" s="610"/>
      <c r="G832" s="610"/>
      <c r="H832" s="610"/>
      <c r="I832" s="610"/>
      <c r="J832" s="612"/>
      <c r="K832" s="615"/>
      <c r="L832" s="613"/>
      <c r="M832" s="614"/>
      <c r="N832" s="614"/>
      <c r="O832" s="614"/>
      <c r="P832" s="614"/>
      <c r="Q832" s="614"/>
      <c r="R832" s="614"/>
      <c r="S832" s="614"/>
      <c r="T832" s="614"/>
    </row>
    <row r="833" spans="1:20">
      <c r="A833" s="610"/>
      <c r="B833" s="610"/>
      <c r="C833" s="610"/>
      <c r="D833" s="612"/>
      <c r="E833" s="610"/>
      <c r="F833" s="610"/>
      <c r="G833" s="610"/>
      <c r="H833" s="610"/>
      <c r="I833" s="610"/>
      <c r="J833" s="612"/>
      <c r="K833" s="615"/>
      <c r="L833" s="613"/>
      <c r="M833" s="614"/>
      <c r="N833" s="614"/>
      <c r="O833" s="614"/>
      <c r="P833" s="614"/>
      <c r="Q833" s="614"/>
      <c r="R833" s="614"/>
      <c r="S833" s="614"/>
      <c r="T833" s="614"/>
    </row>
    <row r="834" spans="1:20">
      <c r="A834" s="610"/>
      <c r="B834" s="610"/>
      <c r="C834" s="610"/>
      <c r="D834" s="612"/>
      <c r="E834" s="610"/>
      <c r="F834" s="610"/>
      <c r="G834" s="610"/>
      <c r="H834" s="610"/>
      <c r="I834" s="610"/>
      <c r="J834" s="612"/>
      <c r="K834" s="615"/>
      <c r="L834" s="613"/>
      <c r="M834" s="614"/>
      <c r="N834" s="614"/>
      <c r="O834" s="614"/>
      <c r="P834" s="614"/>
      <c r="Q834" s="614"/>
      <c r="R834" s="614"/>
      <c r="S834" s="614"/>
      <c r="T834" s="614"/>
    </row>
    <row r="835" spans="1:20">
      <c r="A835" s="610"/>
      <c r="B835" s="610"/>
      <c r="C835" s="610"/>
      <c r="D835" s="612"/>
      <c r="E835" s="610"/>
      <c r="F835" s="610"/>
      <c r="G835" s="610"/>
      <c r="H835" s="610"/>
      <c r="I835" s="610"/>
      <c r="J835" s="612"/>
      <c r="K835" s="615"/>
      <c r="L835" s="613"/>
      <c r="M835" s="614"/>
      <c r="N835" s="614"/>
      <c r="O835" s="614"/>
      <c r="P835" s="614"/>
      <c r="Q835" s="614"/>
      <c r="R835" s="614"/>
      <c r="S835" s="614"/>
      <c r="T835" s="614"/>
    </row>
    <row r="836" spans="1:20">
      <c r="A836" s="610"/>
      <c r="B836" s="610"/>
      <c r="C836" s="610"/>
      <c r="D836" s="612"/>
      <c r="E836" s="610"/>
      <c r="F836" s="610"/>
      <c r="G836" s="610"/>
      <c r="H836" s="610"/>
      <c r="I836" s="610"/>
      <c r="J836" s="612"/>
      <c r="K836" s="615"/>
      <c r="L836" s="613"/>
      <c r="M836" s="614"/>
      <c r="N836" s="614"/>
      <c r="O836" s="614"/>
      <c r="P836" s="614"/>
      <c r="Q836" s="614"/>
      <c r="R836" s="614"/>
      <c r="S836" s="614"/>
      <c r="T836" s="614"/>
    </row>
    <row r="837" spans="1:20">
      <c r="A837" s="610"/>
      <c r="B837" s="610"/>
      <c r="C837" s="610"/>
      <c r="D837" s="612"/>
      <c r="E837" s="610"/>
      <c r="F837" s="610"/>
      <c r="G837" s="610"/>
      <c r="H837" s="610"/>
      <c r="I837" s="610"/>
      <c r="J837" s="612"/>
      <c r="K837" s="615"/>
      <c r="L837" s="613"/>
      <c r="M837" s="614"/>
      <c r="N837" s="614"/>
      <c r="O837" s="614"/>
      <c r="P837" s="614"/>
      <c r="Q837" s="614"/>
      <c r="R837" s="614"/>
      <c r="S837" s="614"/>
      <c r="T837" s="614"/>
    </row>
    <row r="838" spans="1:20">
      <c r="A838" s="610"/>
      <c r="B838" s="610"/>
      <c r="C838" s="610"/>
      <c r="D838" s="612"/>
      <c r="E838" s="610"/>
      <c r="F838" s="610"/>
      <c r="G838" s="610"/>
      <c r="H838" s="610"/>
      <c r="I838" s="610"/>
      <c r="J838" s="612"/>
      <c r="K838" s="615"/>
      <c r="L838" s="613"/>
      <c r="M838" s="614"/>
      <c r="N838" s="614"/>
      <c r="O838" s="614"/>
      <c r="P838" s="614"/>
      <c r="Q838" s="614"/>
      <c r="R838" s="614"/>
      <c r="S838" s="614"/>
      <c r="T838" s="614"/>
    </row>
    <row r="839" spans="1:20">
      <c r="A839" s="610"/>
      <c r="B839" s="610"/>
      <c r="C839" s="610"/>
      <c r="D839" s="612"/>
      <c r="E839" s="610"/>
      <c r="F839" s="610"/>
      <c r="G839" s="610"/>
      <c r="H839" s="610"/>
      <c r="I839" s="610"/>
      <c r="J839" s="612"/>
      <c r="K839" s="615"/>
      <c r="L839" s="613"/>
      <c r="M839" s="614"/>
      <c r="N839" s="614"/>
      <c r="O839" s="614"/>
      <c r="P839" s="614"/>
      <c r="Q839" s="614"/>
      <c r="R839" s="614"/>
      <c r="S839" s="614"/>
      <c r="T839" s="614"/>
    </row>
    <row r="840" spans="1:20">
      <c r="A840" s="610"/>
      <c r="B840" s="610"/>
      <c r="C840" s="610"/>
      <c r="D840" s="612"/>
      <c r="E840" s="610"/>
      <c r="F840" s="610"/>
      <c r="G840" s="610"/>
      <c r="H840" s="610"/>
      <c r="I840" s="610"/>
      <c r="J840" s="612"/>
      <c r="K840" s="615"/>
      <c r="L840" s="613"/>
      <c r="M840" s="614"/>
      <c r="N840" s="614"/>
      <c r="O840" s="614"/>
      <c r="P840" s="614"/>
      <c r="Q840" s="614"/>
      <c r="R840" s="614"/>
      <c r="S840" s="614"/>
      <c r="T840" s="614"/>
    </row>
    <row r="841" spans="1:20">
      <c r="A841" s="610"/>
      <c r="B841" s="610"/>
      <c r="C841" s="610"/>
      <c r="D841" s="612"/>
      <c r="E841" s="610"/>
      <c r="F841" s="610"/>
      <c r="G841" s="610"/>
      <c r="H841" s="610"/>
      <c r="I841" s="610"/>
      <c r="J841" s="612"/>
      <c r="K841" s="615"/>
      <c r="L841" s="613"/>
      <c r="M841" s="614"/>
      <c r="N841" s="614"/>
      <c r="O841" s="614"/>
      <c r="P841" s="614"/>
      <c r="Q841" s="614"/>
      <c r="R841" s="614"/>
      <c r="S841" s="614"/>
      <c r="T841" s="614"/>
    </row>
    <row r="842" spans="1:20">
      <c r="A842" s="610"/>
      <c r="B842" s="610"/>
      <c r="C842" s="610"/>
      <c r="D842" s="612"/>
      <c r="E842" s="610"/>
      <c r="F842" s="610"/>
      <c r="G842" s="610"/>
      <c r="H842" s="610"/>
      <c r="I842" s="610"/>
      <c r="J842" s="612"/>
      <c r="K842" s="615"/>
      <c r="L842" s="613"/>
      <c r="M842" s="614"/>
      <c r="N842" s="614"/>
      <c r="O842" s="614"/>
      <c r="P842" s="614"/>
      <c r="Q842" s="614"/>
      <c r="R842" s="614"/>
      <c r="S842" s="614"/>
      <c r="T842" s="614"/>
    </row>
    <row r="843" spans="1:20">
      <c r="A843" s="610"/>
      <c r="B843" s="610"/>
      <c r="C843" s="610"/>
      <c r="D843" s="612"/>
      <c r="E843" s="610"/>
      <c r="F843" s="610"/>
      <c r="G843" s="610"/>
      <c r="H843" s="610"/>
      <c r="I843" s="610"/>
      <c r="J843" s="612"/>
      <c r="K843" s="615"/>
      <c r="L843" s="613"/>
      <c r="M843" s="614"/>
      <c r="N843" s="614"/>
      <c r="O843" s="614"/>
      <c r="P843" s="614"/>
      <c r="Q843" s="614"/>
      <c r="R843" s="614"/>
      <c r="S843" s="614"/>
      <c r="T843" s="614"/>
    </row>
    <row r="844" spans="1:20">
      <c r="A844" s="610"/>
      <c r="B844" s="610"/>
      <c r="C844" s="610"/>
      <c r="D844" s="612"/>
      <c r="E844" s="610"/>
      <c r="F844" s="610"/>
      <c r="G844" s="610"/>
      <c r="H844" s="610"/>
      <c r="I844" s="610"/>
      <c r="J844" s="612"/>
      <c r="K844" s="615"/>
      <c r="L844" s="613"/>
      <c r="M844" s="614"/>
      <c r="N844" s="614"/>
      <c r="O844" s="614"/>
      <c r="P844" s="614"/>
      <c r="Q844" s="614"/>
      <c r="R844" s="614"/>
      <c r="S844" s="614"/>
      <c r="T844" s="614"/>
    </row>
    <row r="845" spans="1:20">
      <c r="A845" s="610"/>
      <c r="B845" s="610"/>
      <c r="C845" s="610"/>
      <c r="D845" s="612"/>
      <c r="E845" s="610"/>
      <c r="F845" s="610"/>
      <c r="G845" s="610"/>
      <c r="H845" s="610"/>
      <c r="I845" s="610"/>
      <c r="J845" s="612"/>
      <c r="K845" s="615"/>
      <c r="L845" s="613"/>
      <c r="M845" s="614"/>
      <c r="N845" s="614"/>
      <c r="O845" s="614"/>
      <c r="P845" s="614"/>
      <c r="Q845" s="614"/>
      <c r="R845" s="614"/>
      <c r="S845" s="614"/>
      <c r="T845" s="614"/>
    </row>
    <row r="846" spans="1:20">
      <c r="A846" s="610"/>
      <c r="B846" s="610"/>
      <c r="C846" s="610"/>
      <c r="D846" s="612"/>
      <c r="E846" s="610"/>
      <c r="F846" s="610"/>
      <c r="G846" s="610"/>
      <c r="H846" s="610"/>
      <c r="I846" s="610"/>
      <c r="J846" s="612"/>
      <c r="K846" s="615"/>
      <c r="L846" s="613"/>
      <c r="M846" s="614"/>
      <c r="N846" s="614"/>
      <c r="O846" s="614"/>
      <c r="P846" s="614"/>
      <c r="Q846" s="614"/>
      <c r="R846" s="614"/>
      <c r="S846" s="614"/>
      <c r="T846" s="614"/>
    </row>
    <row r="847" spans="1:20">
      <c r="A847" s="610"/>
      <c r="B847" s="610"/>
      <c r="C847" s="610"/>
      <c r="D847" s="612"/>
      <c r="E847" s="610"/>
      <c r="F847" s="610"/>
      <c r="G847" s="610"/>
      <c r="H847" s="610"/>
      <c r="I847" s="610"/>
      <c r="J847" s="612"/>
      <c r="K847" s="615"/>
      <c r="L847" s="613"/>
      <c r="M847" s="614"/>
      <c r="N847" s="614"/>
      <c r="O847" s="614"/>
      <c r="P847" s="614"/>
      <c r="Q847" s="614"/>
      <c r="R847" s="614"/>
      <c r="S847" s="614"/>
      <c r="T847" s="614"/>
    </row>
    <row r="848" spans="1:20">
      <c r="A848" s="610"/>
      <c r="B848" s="610"/>
      <c r="C848" s="610"/>
      <c r="D848" s="612"/>
      <c r="E848" s="610"/>
      <c r="F848" s="610"/>
      <c r="G848" s="610"/>
      <c r="H848" s="610"/>
      <c r="I848" s="610"/>
      <c r="J848" s="612"/>
      <c r="K848" s="615"/>
      <c r="L848" s="613"/>
      <c r="M848" s="614"/>
      <c r="N848" s="614"/>
      <c r="O848" s="614"/>
      <c r="P848" s="614"/>
      <c r="Q848" s="614"/>
      <c r="R848" s="614"/>
      <c r="S848" s="614"/>
      <c r="T848" s="614"/>
    </row>
    <row r="849" spans="1:20">
      <c r="A849" s="610"/>
      <c r="B849" s="610"/>
      <c r="C849" s="610"/>
      <c r="D849" s="612"/>
      <c r="E849" s="610"/>
      <c r="F849" s="610"/>
      <c r="G849" s="610"/>
      <c r="H849" s="610"/>
      <c r="I849" s="610"/>
      <c r="J849" s="612"/>
      <c r="K849" s="615"/>
      <c r="L849" s="613"/>
      <c r="M849" s="614"/>
      <c r="N849" s="614"/>
      <c r="O849" s="614"/>
      <c r="P849" s="614"/>
      <c r="Q849" s="614"/>
      <c r="R849" s="614"/>
      <c r="S849" s="614"/>
      <c r="T849" s="614"/>
    </row>
    <row r="850" spans="1:20">
      <c r="A850" s="610"/>
      <c r="B850" s="610"/>
      <c r="C850" s="610"/>
      <c r="D850" s="612"/>
      <c r="E850" s="610"/>
      <c r="F850" s="610"/>
      <c r="G850" s="610"/>
      <c r="H850" s="610"/>
      <c r="I850" s="610"/>
      <c r="J850" s="612"/>
      <c r="K850" s="615"/>
      <c r="L850" s="613"/>
      <c r="M850" s="614"/>
      <c r="N850" s="614"/>
      <c r="O850" s="614"/>
      <c r="P850" s="614"/>
      <c r="Q850" s="614"/>
      <c r="R850" s="614"/>
      <c r="S850" s="614"/>
      <c r="T850" s="614"/>
    </row>
    <row r="851" spans="1:20">
      <c r="A851" s="610"/>
      <c r="B851" s="610"/>
      <c r="C851" s="610"/>
      <c r="D851" s="612"/>
      <c r="E851" s="610"/>
      <c r="F851" s="610"/>
      <c r="G851" s="610"/>
      <c r="H851" s="610"/>
      <c r="I851" s="610"/>
      <c r="J851" s="612"/>
      <c r="K851" s="615"/>
      <c r="L851" s="613"/>
      <c r="M851" s="614"/>
      <c r="N851" s="614"/>
      <c r="O851" s="614"/>
      <c r="P851" s="614"/>
      <c r="Q851" s="614"/>
      <c r="R851" s="614"/>
      <c r="S851" s="614"/>
      <c r="T851" s="614"/>
    </row>
    <row r="852" spans="1:20">
      <c r="A852" s="610"/>
      <c r="B852" s="610"/>
      <c r="C852" s="610"/>
      <c r="D852" s="612"/>
      <c r="E852" s="610"/>
      <c r="F852" s="610"/>
      <c r="G852" s="610"/>
      <c r="H852" s="610"/>
      <c r="I852" s="610"/>
      <c r="J852" s="612"/>
      <c r="K852" s="615"/>
      <c r="L852" s="613"/>
      <c r="M852" s="614"/>
      <c r="N852" s="614"/>
      <c r="O852" s="614"/>
      <c r="P852" s="614"/>
      <c r="Q852" s="614"/>
      <c r="R852" s="614"/>
      <c r="S852" s="614"/>
      <c r="T852" s="614"/>
    </row>
    <row r="853" spans="1:20">
      <c r="A853" s="610"/>
      <c r="B853" s="610"/>
      <c r="C853" s="610"/>
      <c r="D853" s="612"/>
      <c r="E853" s="610"/>
      <c r="F853" s="610"/>
      <c r="G853" s="610"/>
      <c r="H853" s="610"/>
      <c r="I853" s="610"/>
      <c r="J853" s="612"/>
      <c r="K853" s="615"/>
      <c r="L853" s="613"/>
      <c r="M853" s="614"/>
      <c r="N853" s="614"/>
      <c r="O853" s="614"/>
      <c r="P853" s="614"/>
      <c r="Q853" s="614"/>
      <c r="R853" s="614"/>
      <c r="S853" s="614"/>
      <c r="T853" s="614"/>
    </row>
    <row r="854" spans="1:20">
      <c r="A854" s="610"/>
      <c r="B854" s="610"/>
      <c r="C854" s="610"/>
      <c r="D854" s="612"/>
      <c r="E854" s="610"/>
      <c r="F854" s="610"/>
      <c r="G854" s="610"/>
      <c r="H854" s="610"/>
      <c r="I854" s="610"/>
      <c r="J854" s="612"/>
      <c r="K854" s="615"/>
      <c r="L854" s="613"/>
      <c r="M854" s="614"/>
      <c r="N854" s="614"/>
      <c r="O854" s="614"/>
      <c r="P854" s="614"/>
      <c r="Q854" s="614"/>
      <c r="R854" s="614"/>
      <c r="S854" s="614"/>
      <c r="T854" s="614"/>
    </row>
    <row r="855" spans="1:20">
      <c r="A855" s="610"/>
      <c r="B855" s="610"/>
      <c r="C855" s="610"/>
      <c r="D855" s="612"/>
      <c r="E855" s="610"/>
      <c r="F855" s="610"/>
      <c r="G855" s="610"/>
      <c r="H855" s="610"/>
      <c r="I855" s="610"/>
      <c r="J855" s="612"/>
      <c r="K855" s="615"/>
      <c r="L855" s="613"/>
      <c r="M855" s="614"/>
      <c r="N855" s="614"/>
      <c r="O855" s="614"/>
      <c r="P855" s="614"/>
      <c r="Q855" s="614"/>
      <c r="R855" s="614"/>
      <c r="S855" s="614"/>
      <c r="T855" s="614"/>
    </row>
    <row r="856" spans="1:20">
      <c r="A856" s="610"/>
      <c r="B856" s="610"/>
      <c r="C856" s="610"/>
      <c r="D856" s="612"/>
      <c r="E856" s="610"/>
      <c r="F856" s="610"/>
      <c r="G856" s="610"/>
      <c r="H856" s="610"/>
      <c r="I856" s="610"/>
      <c r="J856" s="612"/>
      <c r="K856" s="615"/>
      <c r="L856" s="613"/>
      <c r="M856" s="614"/>
      <c r="N856" s="614"/>
      <c r="O856" s="614"/>
      <c r="P856" s="614"/>
      <c r="Q856" s="614"/>
      <c r="R856" s="614"/>
      <c r="S856" s="614"/>
      <c r="T856" s="614"/>
    </row>
    <row r="857" spans="1:20">
      <c r="A857" s="610"/>
      <c r="B857" s="610"/>
      <c r="C857" s="610"/>
      <c r="D857" s="612"/>
      <c r="E857" s="610"/>
      <c r="F857" s="610"/>
      <c r="G857" s="610"/>
      <c r="H857" s="610"/>
      <c r="I857" s="610"/>
      <c r="J857" s="612"/>
      <c r="K857" s="615"/>
      <c r="L857" s="613"/>
      <c r="M857" s="614"/>
      <c r="N857" s="614"/>
      <c r="O857" s="614"/>
      <c r="P857" s="614"/>
      <c r="Q857" s="614"/>
      <c r="R857" s="614"/>
      <c r="S857" s="614"/>
      <c r="T857" s="614"/>
    </row>
    <row r="858" spans="1:20">
      <c r="A858" s="610"/>
      <c r="B858" s="610"/>
      <c r="C858" s="610"/>
      <c r="D858" s="612"/>
      <c r="E858" s="610"/>
      <c r="F858" s="610"/>
      <c r="G858" s="610"/>
      <c r="H858" s="610"/>
      <c r="I858" s="610"/>
      <c r="J858" s="612"/>
      <c r="K858" s="615"/>
      <c r="L858" s="613"/>
      <c r="M858" s="614"/>
      <c r="N858" s="614"/>
      <c r="O858" s="614"/>
      <c r="P858" s="614"/>
      <c r="Q858" s="614"/>
      <c r="R858" s="614"/>
      <c r="S858" s="614"/>
      <c r="T858" s="614"/>
    </row>
    <row r="859" spans="1:20">
      <c r="A859" s="610"/>
      <c r="B859" s="610"/>
      <c r="C859" s="610"/>
      <c r="D859" s="612"/>
      <c r="E859" s="610"/>
      <c r="F859" s="610"/>
      <c r="G859" s="610"/>
      <c r="H859" s="610"/>
      <c r="I859" s="610"/>
      <c r="J859" s="612"/>
      <c r="K859" s="615"/>
      <c r="L859" s="613"/>
      <c r="M859" s="614"/>
      <c r="N859" s="614"/>
      <c r="O859" s="614"/>
      <c r="P859" s="614"/>
      <c r="Q859" s="614"/>
      <c r="R859" s="614"/>
      <c r="S859" s="614"/>
      <c r="T859" s="614"/>
    </row>
    <row r="860" spans="1:20">
      <c r="A860" s="610"/>
      <c r="B860" s="610"/>
      <c r="C860" s="610"/>
      <c r="D860" s="612"/>
      <c r="E860" s="610"/>
      <c r="F860" s="610"/>
      <c r="G860" s="610"/>
      <c r="H860" s="610"/>
      <c r="I860" s="610"/>
      <c r="J860" s="612"/>
      <c r="K860" s="615"/>
      <c r="L860" s="613"/>
      <c r="M860" s="614"/>
      <c r="N860" s="614"/>
      <c r="O860" s="614"/>
      <c r="P860" s="614"/>
      <c r="Q860" s="614"/>
      <c r="R860" s="614"/>
      <c r="S860" s="614"/>
      <c r="T860" s="614"/>
    </row>
    <row r="861" spans="1:20">
      <c r="A861" s="610"/>
      <c r="B861" s="610"/>
      <c r="C861" s="610"/>
      <c r="D861" s="612"/>
      <c r="E861" s="610"/>
      <c r="F861" s="610"/>
      <c r="G861" s="610"/>
      <c r="H861" s="610"/>
      <c r="I861" s="610"/>
      <c r="J861" s="612"/>
      <c r="K861" s="615"/>
      <c r="L861" s="613"/>
      <c r="M861" s="614"/>
      <c r="N861" s="614"/>
      <c r="O861" s="614"/>
      <c r="P861" s="614"/>
      <c r="Q861" s="614"/>
      <c r="R861" s="614"/>
      <c r="S861" s="614"/>
      <c r="T861" s="614"/>
    </row>
    <row r="862" spans="1:20">
      <c r="A862" s="610"/>
      <c r="B862" s="610"/>
      <c r="C862" s="610"/>
      <c r="D862" s="612"/>
      <c r="E862" s="610"/>
      <c r="F862" s="610"/>
      <c r="G862" s="610"/>
      <c r="H862" s="610"/>
      <c r="I862" s="610"/>
      <c r="J862" s="612"/>
      <c r="K862" s="615"/>
      <c r="L862" s="613"/>
      <c r="M862" s="614"/>
      <c r="N862" s="614"/>
      <c r="O862" s="614"/>
      <c r="P862" s="614"/>
      <c r="Q862" s="614"/>
      <c r="R862" s="614"/>
      <c r="S862" s="614"/>
      <c r="T862" s="614"/>
    </row>
    <row r="863" spans="1:20">
      <c r="A863" s="610"/>
      <c r="B863" s="610"/>
      <c r="C863" s="610"/>
      <c r="D863" s="612"/>
      <c r="E863" s="610"/>
      <c r="F863" s="610"/>
      <c r="G863" s="610"/>
      <c r="H863" s="610"/>
      <c r="I863" s="610"/>
      <c r="J863" s="612"/>
      <c r="K863" s="615"/>
      <c r="L863" s="613"/>
      <c r="M863" s="614"/>
      <c r="N863" s="614"/>
      <c r="O863" s="614"/>
      <c r="P863" s="614"/>
      <c r="Q863" s="614"/>
      <c r="R863" s="614"/>
      <c r="S863" s="614"/>
      <c r="T863" s="614"/>
    </row>
    <row r="864" spans="1:20">
      <c r="A864" s="610"/>
      <c r="B864" s="610"/>
      <c r="C864" s="610"/>
      <c r="D864" s="612"/>
      <c r="E864" s="610"/>
      <c r="F864" s="610"/>
      <c r="G864" s="610"/>
      <c r="H864" s="610"/>
      <c r="I864" s="610"/>
      <c r="J864" s="612"/>
      <c r="K864" s="615"/>
      <c r="L864" s="613"/>
      <c r="M864" s="614"/>
      <c r="N864" s="614"/>
      <c r="O864" s="614"/>
      <c r="P864" s="614"/>
      <c r="Q864" s="614"/>
      <c r="R864" s="614"/>
      <c r="S864" s="614"/>
      <c r="T864" s="614"/>
    </row>
    <row r="865" spans="1:20">
      <c r="A865" s="610"/>
      <c r="B865" s="610"/>
      <c r="C865" s="610"/>
      <c r="D865" s="612"/>
      <c r="E865" s="610"/>
      <c r="F865" s="610"/>
      <c r="G865" s="610"/>
      <c r="H865" s="610"/>
      <c r="I865" s="610"/>
      <c r="J865" s="612"/>
      <c r="K865" s="615"/>
      <c r="L865" s="613"/>
      <c r="M865" s="614"/>
      <c r="N865" s="614"/>
      <c r="O865" s="614"/>
      <c r="P865" s="614"/>
      <c r="Q865" s="614"/>
      <c r="R865" s="614"/>
      <c r="S865" s="614"/>
      <c r="T865" s="614"/>
    </row>
    <row r="866" spans="1:20">
      <c r="A866" s="610"/>
      <c r="B866" s="610"/>
      <c r="C866" s="610"/>
      <c r="D866" s="612"/>
      <c r="E866" s="610"/>
      <c r="F866" s="610"/>
      <c r="G866" s="610"/>
      <c r="H866" s="610"/>
      <c r="I866" s="610"/>
      <c r="J866" s="612"/>
      <c r="K866" s="615"/>
      <c r="L866" s="613"/>
      <c r="M866" s="614"/>
      <c r="N866" s="614"/>
      <c r="O866" s="614"/>
      <c r="P866" s="614"/>
      <c r="Q866" s="614"/>
      <c r="R866" s="614"/>
      <c r="S866" s="614"/>
      <c r="T866" s="614"/>
    </row>
    <row r="867" spans="1:20">
      <c r="A867" s="610"/>
      <c r="B867" s="610"/>
      <c r="C867" s="610"/>
      <c r="D867" s="612"/>
      <c r="E867" s="610"/>
      <c r="F867" s="610"/>
      <c r="G867" s="610"/>
      <c r="H867" s="610"/>
      <c r="I867" s="610"/>
      <c r="J867" s="612"/>
      <c r="K867" s="615"/>
      <c r="L867" s="613"/>
      <c r="M867" s="614"/>
      <c r="N867" s="614"/>
      <c r="O867" s="614"/>
      <c r="P867" s="614"/>
      <c r="Q867" s="614"/>
      <c r="R867" s="614"/>
      <c r="S867" s="614"/>
      <c r="T867" s="614"/>
    </row>
    <row r="868" spans="1:20">
      <c r="A868" s="610"/>
      <c r="B868" s="610"/>
      <c r="C868" s="610"/>
      <c r="D868" s="612"/>
      <c r="E868" s="610"/>
      <c r="F868" s="610"/>
      <c r="G868" s="610"/>
      <c r="H868" s="610"/>
      <c r="I868" s="610"/>
      <c r="J868" s="612"/>
      <c r="K868" s="615"/>
      <c r="L868" s="613"/>
      <c r="M868" s="614"/>
      <c r="N868" s="614"/>
      <c r="O868" s="614"/>
      <c r="P868" s="614"/>
      <c r="Q868" s="614"/>
      <c r="R868" s="614"/>
      <c r="S868" s="614"/>
      <c r="T868" s="614"/>
    </row>
    <row r="869" spans="1:20">
      <c r="A869" s="610"/>
      <c r="B869" s="610"/>
      <c r="C869" s="610"/>
      <c r="D869" s="612"/>
      <c r="E869" s="610"/>
      <c r="F869" s="610"/>
      <c r="G869" s="610"/>
      <c r="H869" s="610"/>
      <c r="I869" s="610"/>
      <c r="J869" s="612"/>
      <c r="K869" s="615"/>
      <c r="L869" s="613"/>
      <c r="M869" s="614"/>
      <c r="N869" s="614"/>
      <c r="O869" s="614"/>
      <c r="P869" s="614"/>
      <c r="Q869" s="614"/>
      <c r="R869" s="614"/>
      <c r="S869" s="614"/>
      <c r="T869" s="614"/>
    </row>
    <row r="870" spans="1:20">
      <c r="A870" s="610"/>
      <c r="B870" s="610"/>
      <c r="C870" s="610"/>
      <c r="D870" s="612"/>
      <c r="E870" s="610"/>
      <c r="F870" s="610"/>
      <c r="G870" s="610"/>
      <c r="H870" s="610"/>
      <c r="I870" s="610"/>
      <c r="J870" s="612"/>
      <c r="K870" s="615"/>
      <c r="L870" s="613"/>
      <c r="M870" s="614"/>
      <c r="N870" s="614"/>
      <c r="O870" s="614"/>
      <c r="P870" s="614"/>
      <c r="Q870" s="614"/>
      <c r="R870" s="614"/>
      <c r="S870" s="614"/>
      <c r="T870" s="614"/>
    </row>
    <row r="871" spans="1:20">
      <c r="A871" s="610"/>
      <c r="B871" s="610"/>
      <c r="C871" s="610"/>
      <c r="D871" s="612"/>
      <c r="E871" s="610"/>
      <c r="F871" s="610"/>
      <c r="G871" s="610"/>
      <c r="H871" s="610"/>
      <c r="I871" s="610"/>
      <c r="J871" s="612"/>
      <c r="K871" s="615"/>
      <c r="L871" s="613"/>
      <c r="M871" s="614"/>
      <c r="N871" s="614"/>
      <c r="O871" s="614"/>
      <c r="P871" s="614"/>
      <c r="Q871" s="614"/>
      <c r="R871" s="614"/>
      <c r="S871" s="614"/>
      <c r="T871" s="614"/>
    </row>
    <row r="872" spans="1:20">
      <c r="A872" s="610"/>
      <c r="B872" s="610"/>
      <c r="C872" s="610"/>
      <c r="D872" s="612"/>
      <c r="E872" s="610"/>
      <c r="F872" s="610"/>
      <c r="G872" s="610"/>
      <c r="H872" s="610"/>
      <c r="I872" s="610"/>
      <c r="J872" s="612"/>
      <c r="K872" s="615"/>
      <c r="L872" s="613"/>
      <c r="M872" s="614"/>
      <c r="N872" s="614"/>
      <c r="O872" s="614"/>
      <c r="P872" s="614"/>
      <c r="Q872" s="614"/>
      <c r="R872" s="614"/>
      <c r="S872" s="614"/>
      <c r="T872" s="614"/>
    </row>
    <row r="873" spans="1:20">
      <c r="A873" s="610"/>
      <c r="B873" s="610"/>
      <c r="C873" s="610"/>
      <c r="D873" s="612"/>
      <c r="E873" s="610"/>
      <c r="F873" s="610"/>
      <c r="G873" s="610"/>
      <c r="H873" s="610"/>
      <c r="I873" s="610"/>
      <c r="J873" s="612"/>
      <c r="K873" s="615"/>
      <c r="L873" s="613"/>
      <c r="M873" s="614"/>
      <c r="N873" s="614"/>
      <c r="O873" s="614"/>
      <c r="P873" s="614"/>
      <c r="Q873" s="614"/>
      <c r="R873" s="614"/>
      <c r="S873" s="614"/>
      <c r="T873" s="614"/>
    </row>
    <row r="874" spans="1:20">
      <c r="A874" s="610"/>
      <c r="B874" s="610"/>
      <c r="C874" s="610"/>
      <c r="D874" s="612"/>
      <c r="E874" s="610"/>
      <c r="F874" s="610"/>
      <c r="G874" s="610"/>
      <c r="H874" s="610"/>
      <c r="I874" s="610"/>
      <c r="J874" s="612"/>
      <c r="K874" s="615"/>
      <c r="L874" s="613"/>
      <c r="M874" s="614"/>
      <c r="N874" s="614"/>
      <c r="O874" s="614"/>
      <c r="P874" s="614"/>
      <c r="Q874" s="614"/>
      <c r="R874" s="614"/>
      <c r="S874" s="614"/>
      <c r="T874" s="614"/>
    </row>
    <row r="875" spans="1:20">
      <c r="A875" s="610"/>
      <c r="B875" s="610"/>
      <c r="C875" s="610"/>
      <c r="D875" s="612"/>
      <c r="E875" s="610"/>
      <c r="F875" s="610"/>
      <c r="G875" s="610"/>
      <c r="H875" s="610"/>
      <c r="I875" s="610"/>
      <c r="J875" s="612"/>
      <c r="K875" s="615"/>
      <c r="L875" s="613"/>
      <c r="M875" s="614"/>
      <c r="N875" s="614"/>
      <c r="O875" s="614"/>
      <c r="P875" s="614"/>
      <c r="Q875" s="614"/>
      <c r="R875" s="614"/>
      <c r="S875" s="614"/>
      <c r="T875" s="614"/>
    </row>
    <row r="876" spans="1:20">
      <c r="A876" s="610"/>
      <c r="B876" s="610"/>
      <c r="C876" s="610"/>
      <c r="D876" s="612"/>
      <c r="E876" s="610"/>
      <c r="F876" s="610"/>
      <c r="G876" s="610"/>
      <c r="H876" s="610"/>
      <c r="I876" s="610"/>
      <c r="J876" s="612"/>
      <c r="K876" s="615"/>
      <c r="L876" s="613"/>
      <c r="M876" s="614"/>
      <c r="N876" s="614"/>
      <c r="O876" s="614"/>
      <c r="P876" s="614"/>
      <c r="Q876" s="614"/>
      <c r="R876" s="614"/>
      <c r="S876" s="614"/>
      <c r="T876" s="614"/>
    </row>
    <row r="877" spans="1:20">
      <c r="A877" s="610"/>
      <c r="B877" s="610"/>
      <c r="C877" s="610"/>
      <c r="D877" s="612"/>
      <c r="E877" s="610"/>
      <c r="F877" s="610"/>
      <c r="G877" s="610"/>
      <c r="H877" s="610"/>
      <c r="I877" s="610"/>
      <c r="J877" s="612"/>
      <c r="K877" s="615"/>
      <c r="L877" s="613"/>
      <c r="M877" s="614"/>
      <c r="N877" s="614"/>
      <c r="O877" s="614"/>
      <c r="P877" s="614"/>
      <c r="Q877" s="614"/>
      <c r="R877" s="614"/>
      <c r="S877" s="614"/>
      <c r="T877" s="614"/>
    </row>
    <row r="878" spans="1:20">
      <c r="A878" s="610"/>
      <c r="B878" s="610"/>
      <c r="C878" s="610"/>
      <c r="D878" s="612"/>
      <c r="E878" s="610"/>
      <c r="F878" s="610"/>
      <c r="G878" s="610"/>
      <c r="H878" s="610"/>
      <c r="I878" s="610"/>
      <c r="J878" s="612"/>
      <c r="K878" s="615"/>
      <c r="L878" s="613"/>
      <c r="M878" s="614"/>
      <c r="N878" s="614"/>
      <c r="O878" s="614"/>
      <c r="P878" s="614"/>
      <c r="Q878" s="614"/>
      <c r="R878" s="614"/>
      <c r="S878" s="614"/>
      <c r="T878" s="614"/>
    </row>
    <row r="879" spans="1:20">
      <c r="A879" s="610"/>
      <c r="B879" s="610"/>
      <c r="C879" s="610"/>
      <c r="D879" s="612"/>
      <c r="E879" s="610"/>
      <c r="F879" s="610"/>
      <c r="G879" s="610"/>
      <c r="H879" s="610"/>
      <c r="I879" s="610"/>
      <c r="J879" s="612"/>
      <c r="K879" s="615"/>
      <c r="L879" s="613"/>
      <c r="M879" s="614"/>
      <c r="N879" s="614"/>
      <c r="O879" s="614"/>
      <c r="P879" s="614"/>
      <c r="Q879" s="614"/>
      <c r="R879" s="614"/>
      <c r="S879" s="614"/>
      <c r="T879" s="614"/>
    </row>
    <row r="880" spans="1:20">
      <c r="A880" s="610"/>
      <c r="B880" s="610"/>
      <c r="C880" s="610"/>
      <c r="D880" s="612"/>
      <c r="E880" s="610"/>
      <c r="F880" s="610"/>
      <c r="G880" s="610"/>
      <c r="H880" s="610"/>
      <c r="I880" s="610"/>
      <c r="J880" s="612"/>
      <c r="K880" s="615"/>
      <c r="L880" s="613"/>
      <c r="M880" s="614"/>
      <c r="N880" s="614"/>
      <c r="O880" s="614"/>
      <c r="P880" s="614"/>
      <c r="Q880" s="614"/>
      <c r="R880" s="614"/>
      <c r="S880" s="614"/>
      <c r="T880" s="614"/>
    </row>
    <row r="881" spans="1:20">
      <c r="A881" s="610"/>
      <c r="B881" s="610"/>
      <c r="C881" s="610"/>
      <c r="D881" s="612"/>
      <c r="E881" s="610"/>
      <c r="F881" s="610"/>
      <c r="G881" s="610"/>
      <c r="H881" s="610"/>
      <c r="I881" s="610"/>
      <c r="J881" s="612"/>
      <c r="K881" s="615"/>
      <c r="L881" s="613"/>
      <c r="M881" s="614"/>
      <c r="N881" s="614"/>
      <c r="O881" s="614"/>
      <c r="P881" s="614"/>
      <c r="Q881" s="614"/>
      <c r="R881" s="614"/>
      <c r="S881" s="614"/>
      <c r="T881" s="614"/>
    </row>
    <row r="882" spans="1:20">
      <c r="A882" s="610"/>
      <c r="B882" s="610"/>
      <c r="C882" s="610"/>
      <c r="D882" s="612"/>
      <c r="E882" s="610"/>
      <c r="F882" s="610"/>
      <c r="G882" s="610"/>
      <c r="H882" s="610"/>
      <c r="I882" s="610"/>
      <c r="J882" s="612"/>
      <c r="K882" s="615"/>
      <c r="L882" s="613"/>
      <c r="M882" s="614"/>
      <c r="N882" s="614"/>
      <c r="O882" s="614"/>
      <c r="P882" s="614"/>
      <c r="Q882" s="614"/>
      <c r="R882" s="614"/>
      <c r="S882" s="614"/>
      <c r="T882" s="614"/>
    </row>
    <row r="883" spans="1:20">
      <c r="A883" s="610"/>
      <c r="B883" s="610"/>
      <c r="C883" s="610"/>
      <c r="D883" s="612"/>
      <c r="E883" s="610"/>
      <c r="F883" s="610"/>
      <c r="G883" s="610"/>
      <c r="H883" s="610"/>
      <c r="I883" s="610"/>
      <c r="J883" s="612"/>
      <c r="K883" s="615"/>
      <c r="L883" s="613"/>
      <c r="M883" s="614"/>
      <c r="N883" s="614"/>
      <c r="O883" s="614"/>
      <c r="P883" s="614"/>
      <c r="Q883" s="614"/>
      <c r="R883" s="614"/>
      <c r="S883" s="614"/>
      <c r="T883" s="614"/>
    </row>
    <row r="884" spans="1:20">
      <c r="A884" s="610"/>
      <c r="B884" s="610"/>
      <c r="C884" s="610"/>
      <c r="D884" s="612"/>
      <c r="E884" s="610"/>
      <c r="F884" s="610"/>
      <c r="G884" s="610"/>
      <c r="H884" s="610"/>
      <c r="I884" s="610"/>
      <c r="J884" s="612"/>
      <c r="K884" s="615"/>
      <c r="L884" s="613"/>
      <c r="M884" s="614"/>
      <c r="N884" s="614"/>
      <c r="O884" s="614"/>
      <c r="P884" s="614"/>
      <c r="Q884" s="614"/>
      <c r="R884" s="614"/>
      <c r="S884" s="614"/>
      <c r="T884" s="614"/>
    </row>
    <row r="885" spans="1:20">
      <c r="A885" s="610"/>
      <c r="B885" s="610"/>
      <c r="C885" s="610"/>
      <c r="D885" s="612"/>
      <c r="E885" s="610"/>
      <c r="F885" s="610"/>
      <c r="G885" s="610"/>
      <c r="H885" s="610"/>
      <c r="I885" s="610"/>
      <c r="J885" s="612"/>
      <c r="K885" s="615"/>
      <c r="L885" s="613"/>
      <c r="M885" s="614"/>
      <c r="N885" s="614"/>
      <c r="O885" s="614"/>
      <c r="P885" s="614"/>
      <c r="Q885" s="614"/>
      <c r="R885" s="614"/>
      <c r="S885" s="614"/>
      <c r="T885" s="614"/>
    </row>
    <row r="886" spans="1:20">
      <c r="A886" s="610"/>
      <c r="B886" s="610"/>
      <c r="C886" s="610"/>
      <c r="D886" s="612"/>
      <c r="E886" s="610"/>
      <c r="F886" s="610"/>
      <c r="G886" s="610"/>
      <c r="H886" s="610"/>
      <c r="I886" s="610"/>
      <c r="J886" s="612"/>
      <c r="K886" s="615"/>
      <c r="L886" s="613"/>
      <c r="M886" s="614"/>
      <c r="N886" s="614"/>
      <c r="O886" s="614"/>
      <c r="P886" s="614"/>
      <c r="Q886" s="614"/>
      <c r="R886" s="614"/>
      <c r="S886" s="614"/>
      <c r="T886" s="614"/>
    </row>
    <row r="887" spans="1:20">
      <c r="A887" s="610"/>
      <c r="B887" s="610"/>
      <c r="C887" s="610"/>
      <c r="D887" s="612"/>
      <c r="E887" s="610"/>
      <c r="F887" s="610"/>
      <c r="G887" s="610"/>
      <c r="H887" s="610"/>
      <c r="I887" s="610"/>
      <c r="J887" s="612"/>
      <c r="K887" s="615"/>
      <c r="L887" s="613"/>
      <c r="M887" s="614"/>
      <c r="N887" s="614"/>
      <c r="O887" s="614"/>
      <c r="P887" s="614"/>
      <c r="Q887" s="614"/>
      <c r="R887" s="614"/>
      <c r="S887" s="614"/>
      <c r="T887" s="614"/>
    </row>
    <row r="888" spans="1:20">
      <c r="A888" s="610"/>
      <c r="B888" s="610"/>
      <c r="C888" s="610"/>
      <c r="D888" s="612"/>
      <c r="E888" s="610"/>
      <c r="F888" s="610"/>
      <c r="G888" s="610"/>
      <c r="H888" s="610"/>
      <c r="I888" s="610"/>
      <c r="J888" s="612"/>
      <c r="K888" s="615"/>
      <c r="L888" s="613"/>
      <c r="M888" s="614"/>
      <c r="N888" s="614"/>
      <c r="O888" s="614"/>
      <c r="P888" s="614"/>
      <c r="Q888" s="614"/>
      <c r="R888" s="614"/>
      <c r="S888" s="614"/>
      <c r="T888" s="614"/>
    </row>
    <row r="889" spans="1:20">
      <c r="A889" s="610"/>
      <c r="B889" s="610"/>
      <c r="C889" s="610"/>
      <c r="D889" s="612"/>
      <c r="E889" s="610"/>
      <c r="F889" s="610"/>
      <c r="G889" s="610"/>
      <c r="H889" s="610"/>
      <c r="I889" s="610"/>
      <c r="J889" s="612"/>
      <c r="K889" s="615"/>
      <c r="L889" s="613"/>
      <c r="M889" s="614"/>
      <c r="N889" s="614"/>
      <c r="O889" s="614"/>
      <c r="P889" s="614"/>
      <c r="Q889" s="614"/>
      <c r="R889" s="614"/>
      <c r="S889" s="614"/>
      <c r="T889" s="614"/>
    </row>
    <row r="890" spans="1:20">
      <c r="A890" s="610"/>
      <c r="B890" s="610"/>
      <c r="C890" s="610"/>
      <c r="D890" s="612"/>
      <c r="E890" s="610"/>
      <c r="F890" s="610"/>
      <c r="G890" s="610"/>
      <c r="H890" s="610"/>
      <c r="I890" s="610"/>
      <c r="J890" s="612"/>
      <c r="K890" s="615"/>
      <c r="L890" s="613"/>
      <c r="M890" s="614"/>
      <c r="N890" s="614"/>
      <c r="O890" s="614"/>
      <c r="P890" s="614"/>
      <c r="Q890" s="614"/>
      <c r="R890" s="614"/>
      <c r="S890" s="614"/>
      <c r="T890" s="614"/>
    </row>
    <row r="891" spans="1:20">
      <c r="A891" s="610"/>
      <c r="B891" s="610"/>
      <c r="C891" s="610"/>
      <c r="D891" s="612"/>
      <c r="E891" s="610"/>
      <c r="F891" s="610"/>
      <c r="G891" s="610"/>
      <c r="H891" s="610"/>
      <c r="I891" s="610"/>
      <c r="J891" s="612"/>
      <c r="K891" s="615"/>
      <c r="L891" s="613"/>
      <c r="M891" s="614"/>
      <c r="N891" s="614"/>
      <c r="O891" s="614"/>
      <c r="P891" s="614"/>
      <c r="Q891" s="614"/>
      <c r="R891" s="614"/>
      <c r="S891" s="614"/>
      <c r="T891" s="614"/>
    </row>
    <row r="892" spans="1:20">
      <c r="A892" s="610"/>
      <c r="B892" s="610"/>
      <c r="C892" s="610"/>
      <c r="D892" s="612"/>
      <c r="E892" s="610"/>
      <c r="F892" s="610"/>
      <c r="G892" s="610"/>
      <c r="H892" s="610"/>
      <c r="I892" s="610"/>
      <c r="J892" s="612"/>
      <c r="K892" s="615"/>
      <c r="L892" s="613"/>
      <c r="M892" s="614"/>
      <c r="N892" s="614"/>
      <c r="O892" s="614"/>
      <c r="P892" s="614"/>
      <c r="Q892" s="614"/>
      <c r="R892" s="614"/>
      <c r="S892" s="614"/>
      <c r="T892" s="614"/>
    </row>
    <row r="893" spans="1:20">
      <c r="A893" s="610"/>
      <c r="B893" s="610"/>
      <c r="C893" s="610"/>
      <c r="D893" s="612"/>
      <c r="E893" s="610"/>
      <c r="F893" s="610"/>
      <c r="G893" s="610"/>
      <c r="H893" s="610"/>
      <c r="I893" s="610"/>
      <c r="J893" s="612"/>
      <c r="K893" s="615"/>
      <c r="L893" s="613"/>
      <c r="M893" s="614"/>
      <c r="N893" s="614"/>
      <c r="O893" s="614"/>
      <c r="P893" s="614"/>
      <c r="Q893" s="614"/>
      <c r="R893" s="614"/>
      <c r="S893" s="614"/>
      <c r="T893" s="614"/>
    </row>
    <row r="894" spans="1:20">
      <c r="A894" s="610"/>
      <c r="B894" s="610"/>
      <c r="C894" s="610"/>
      <c r="D894" s="612"/>
      <c r="E894" s="610"/>
      <c r="F894" s="610"/>
      <c r="G894" s="610"/>
      <c r="H894" s="610"/>
      <c r="I894" s="610"/>
      <c r="J894" s="612"/>
      <c r="K894" s="615"/>
      <c r="L894" s="613"/>
      <c r="M894" s="614"/>
      <c r="N894" s="614"/>
      <c r="O894" s="614"/>
      <c r="P894" s="614"/>
      <c r="Q894" s="614"/>
      <c r="R894" s="614"/>
      <c r="S894" s="614"/>
      <c r="T894" s="614"/>
    </row>
    <row r="895" spans="1:20">
      <c r="A895" s="610"/>
      <c r="B895" s="610"/>
      <c r="C895" s="610"/>
      <c r="D895" s="612"/>
      <c r="E895" s="610"/>
      <c r="F895" s="610"/>
      <c r="G895" s="610"/>
      <c r="H895" s="610"/>
      <c r="I895" s="610"/>
      <c r="J895" s="612"/>
      <c r="K895" s="615"/>
      <c r="L895" s="613"/>
      <c r="M895" s="614"/>
      <c r="N895" s="614"/>
      <c r="O895" s="614"/>
      <c r="P895" s="614"/>
      <c r="Q895" s="614"/>
      <c r="R895" s="614"/>
      <c r="S895" s="614"/>
      <c r="T895" s="614"/>
    </row>
    <row r="896" spans="1:20">
      <c r="A896" s="610"/>
      <c r="B896" s="610"/>
      <c r="C896" s="610"/>
      <c r="D896" s="612"/>
      <c r="E896" s="610"/>
      <c r="F896" s="610"/>
      <c r="G896" s="610"/>
      <c r="H896" s="610"/>
      <c r="I896" s="610"/>
      <c r="J896" s="612"/>
      <c r="K896" s="615"/>
      <c r="L896" s="613"/>
      <c r="M896" s="614"/>
      <c r="N896" s="614"/>
      <c r="O896" s="614"/>
      <c r="P896" s="614"/>
      <c r="Q896" s="614"/>
      <c r="R896" s="614"/>
      <c r="S896" s="614"/>
      <c r="T896" s="614"/>
    </row>
    <row r="897" spans="1:20">
      <c r="A897" s="610"/>
      <c r="B897" s="610"/>
      <c r="C897" s="610"/>
      <c r="D897" s="612"/>
      <c r="E897" s="610"/>
      <c r="F897" s="610"/>
      <c r="G897" s="610"/>
      <c r="H897" s="610"/>
      <c r="I897" s="610"/>
      <c r="J897" s="612"/>
      <c r="K897" s="615"/>
      <c r="L897" s="613"/>
      <c r="M897" s="614"/>
      <c r="N897" s="614"/>
      <c r="O897" s="614"/>
      <c r="P897" s="614"/>
      <c r="Q897" s="614"/>
      <c r="R897" s="614"/>
      <c r="S897" s="614"/>
      <c r="T897" s="614"/>
    </row>
    <row r="898" spans="1:20">
      <c r="A898" s="610"/>
      <c r="B898" s="610"/>
      <c r="C898" s="610"/>
      <c r="D898" s="612"/>
      <c r="E898" s="610"/>
      <c r="F898" s="610"/>
      <c r="G898" s="610"/>
      <c r="H898" s="610"/>
      <c r="I898" s="610"/>
      <c r="J898" s="612"/>
      <c r="K898" s="615"/>
      <c r="L898" s="613"/>
      <c r="M898" s="614"/>
      <c r="N898" s="614"/>
      <c r="O898" s="614"/>
      <c r="P898" s="614"/>
      <c r="Q898" s="614"/>
      <c r="R898" s="614"/>
      <c r="S898" s="614"/>
      <c r="T898" s="614"/>
    </row>
    <row r="899" spans="1:20">
      <c r="A899" s="610"/>
      <c r="B899" s="610"/>
      <c r="C899" s="610"/>
      <c r="D899" s="612"/>
      <c r="E899" s="610"/>
      <c r="F899" s="610"/>
      <c r="G899" s="610"/>
      <c r="H899" s="610"/>
      <c r="I899" s="610"/>
      <c r="J899" s="612"/>
      <c r="K899" s="615"/>
      <c r="L899" s="613"/>
      <c r="M899" s="614"/>
      <c r="N899" s="614"/>
      <c r="O899" s="614"/>
      <c r="P899" s="614"/>
      <c r="Q899" s="614"/>
      <c r="R899" s="614"/>
      <c r="S899" s="614"/>
      <c r="T899" s="614"/>
    </row>
    <row r="900" spans="1:20">
      <c r="A900" s="610"/>
      <c r="B900" s="610"/>
      <c r="C900" s="610"/>
      <c r="D900" s="612"/>
      <c r="E900" s="610"/>
      <c r="F900" s="610"/>
      <c r="G900" s="610"/>
      <c r="H900" s="610"/>
      <c r="I900" s="610"/>
      <c r="J900" s="612"/>
      <c r="K900" s="615"/>
      <c r="L900" s="613"/>
      <c r="M900" s="614"/>
      <c r="N900" s="614"/>
      <c r="O900" s="614"/>
      <c r="P900" s="614"/>
      <c r="Q900" s="614"/>
      <c r="R900" s="614"/>
      <c r="S900" s="614"/>
      <c r="T900" s="614"/>
    </row>
    <row r="901" spans="1:20">
      <c r="A901" s="610"/>
      <c r="B901" s="610"/>
      <c r="C901" s="610"/>
      <c r="D901" s="612"/>
      <c r="E901" s="610"/>
      <c r="F901" s="610"/>
      <c r="G901" s="610"/>
      <c r="H901" s="610"/>
      <c r="I901" s="610"/>
      <c r="J901" s="612"/>
      <c r="K901" s="615"/>
      <c r="L901" s="613"/>
      <c r="M901" s="614"/>
      <c r="N901" s="614"/>
      <c r="O901" s="614"/>
      <c r="P901" s="614"/>
      <c r="Q901" s="614"/>
      <c r="R901" s="614"/>
      <c r="S901" s="614"/>
      <c r="T901" s="614"/>
    </row>
    <row r="902" spans="1:20">
      <c r="A902" s="610"/>
      <c r="B902" s="610"/>
      <c r="C902" s="610"/>
      <c r="D902" s="612"/>
      <c r="E902" s="610"/>
      <c r="F902" s="610"/>
      <c r="G902" s="610"/>
      <c r="H902" s="610"/>
      <c r="I902" s="610"/>
      <c r="J902" s="612"/>
      <c r="K902" s="615"/>
      <c r="L902" s="613"/>
      <c r="M902" s="614"/>
      <c r="N902" s="614"/>
      <c r="O902" s="614"/>
      <c r="P902" s="614"/>
      <c r="Q902" s="614"/>
      <c r="R902" s="614"/>
      <c r="S902" s="614"/>
      <c r="T902" s="614"/>
    </row>
    <row r="903" spans="1:20">
      <c r="A903" s="610"/>
      <c r="B903" s="610"/>
      <c r="C903" s="610"/>
      <c r="D903" s="612"/>
      <c r="E903" s="610"/>
      <c r="F903" s="610"/>
      <c r="G903" s="610"/>
      <c r="H903" s="610"/>
      <c r="I903" s="610"/>
      <c r="J903" s="612"/>
      <c r="K903" s="615"/>
      <c r="L903" s="613"/>
      <c r="M903" s="614"/>
      <c r="N903" s="614"/>
      <c r="O903" s="614"/>
      <c r="P903" s="614"/>
      <c r="Q903" s="614"/>
      <c r="R903" s="614"/>
      <c r="S903" s="614"/>
      <c r="T903" s="614"/>
    </row>
    <row r="904" spans="1:20">
      <c r="A904" s="610"/>
      <c r="B904" s="610"/>
      <c r="C904" s="610"/>
      <c r="D904" s="612"/>
      <c r="E904" s="610"/>
      <c r="F904" s="610"/>
      <c r="G904" s="610"/>
      <c r="H904" s="610"/>
      <c r="I904" s="610"/>
      <c r="J904" s="612"/>
      <c r="K904" s="615"/>
      <c r="L904" s="613"/>
      <c r="M904" s="614"/>
      <c r="N904" s="614"/>
      <c r="O904" s="614"/>
      <c r="P904" s="614"/>
      <c r="Q904" s="614"/>
      <c r="R904" s="614"/>
      <c r="S904" s="614"/>
      <c r="T904" s="614"/>
    </row>
    <row r="905" spans="1:20">
      <c r="A905" s="610"/>
      <c r="B905" s="610"/>
      <c r="C905" s="610"/>
      <c r="D905" s="612"/>
      <c r="E905" s="610"/>
      <c r="F905" s="610"/>
      <c r="G905" s="610"/>
      <c r="H905" s="610"/>
      <c r="I905" s="610"/>
      <c r="J905" s="612"/>
      <c r="K905" s="615"/>
      <c r="L905" s="613"/>
      <c r="M905" s="614"/>
      <c r="N905" s="614"/>
      <c r="O905" s="614"/>
      <c r="P905" s="614"/>
      <c r="Q905" s="614"/>
      <c r="R905" s="614"/>
      <c r="S905" s="614"/>
      <c r="T905" s="614"/>
    </row>
    <row r="906" spans="1:20">
      <c r="A906" s="610"/>
      <c r="B906" s="610"/>
      <c r="C906" s="610"/>
      <c r="D906" s="612"/>
      <c r="E906" s="610"/>
      <c r="F906" s="610"/>
      <c r="G906" s="610"/>
      <c r="H906" s="610"/>
      <c r="I906" s="610"/>
      <c r="J906" s="612"/>
      <c r="K906" s="615"/>
      <c r="L906" s="613"/>
      <c r="M906" s="614"/>
      <c r="N906" s="614"/>
      <c r="O906" s="614"/>
      <c r="P906" s="614"/>
      <c r="Q906" s="614"/>
      <c r="R906" s="614"/>
      <c r="S906" s="614"/>
      <c r="T906" s="614"/>
    </row>
    <row r="907" spans="1:20">
      <c r="A907" s="610"/>
      <c r="B907" s="610"/>
      <c r="C907" s="610"/>
      <c r="D907" s="612"/>
      <c r="E907" s="610"/>
      <c r="F907" s="610"/>
      <c r="G907" s="610"/>
      <c r="H907" s="610"/>
      <c r="I907" s="610"/>
      <c r="J907" s="612"/>
      <c r="K907" s="615"/>
      <c r="L907" s="613"/>
      <c r="M907" s="614"/>
      <c r="N907" s="614"/>
      <c r="O907" s="614"/>
      <c r="P907" s="614"/>
      <c r="Q907" s="614"/>
      <c r="R907" s="614"/>
      <c r="S907" s="614"/>
      <c r="T907" s="614"/>
    </row>
    <row r="908" spans="1:20">
      <c r="A908" s="610"/>
      <c r="B908" s="610"/>
      <c r="C908" s="610"/>
      <c r="D908" s="612"/>
      <c r="E908" s="610"/>
      <c r="F908" s="610"/>
      <c r="G908" s="610"/>
      <c r="H908" s="610"/>
      <c r="I908" s="610"/>
      <c r="J908" s="612"/>
      <c r="K908" s="615"/>
      <c r="L908" s="613"/>
      <c r="M908" s="614"/>
      <c r="N908" s="614"/>
      <c r="O908" s="614"/>
      <c r="P908" s="614"/>
      <c r="Q908" s="614"/>
      <c r="R908" s="614"/>
      <c r="S908" s="614"/>
      <c r="T908" s="614"/>
    </row>
    <row r="909" spans="1:20">
      <c r="A909" s="610"/>
      <c r="B909" s="610"/>
      <c r="C909" s="610"/>
      <c r="D909" s="612"/>
      <c r="E909" s="610"/>
      <c r="F909" s="610"/>
      <c r="G909" s="610"/>
      <c r="H909" s="610"/>
      <c r="I909" s="610"/>
      <c r="J909" s="612"/>
      <c r="K909" s="615"/>
      <c r="L909" s="613"/>
      <c r="M909" s="614"/>
      <c r="N909" s="614"/>
      <c r="O909" s="614"/>
      <c r="P909" s="614"/>
      <c r="Q909" s="614"/>
      <c r="R909" s="614"/>
      <c r="S909" s="614"/>
      <c r="T909" s="614"/>
    </row>
    <row r="910" spans="1:20">
      <c r="A910" s="610"/>
      <c r="B910" s="610"/>
      <c r="C910" s="610"/>
      <c r="D910" s="612"/>
      <c r="E910" s="610"/>
      <c r="F910" s="610"/>
      <c r="G910" s="610"/>
      <c r="H910" s="610"/>
      <c r="I910" s="610"/>
      <c r="J910" s="612"/>
      <c r="K910" s="615"/>
      <c r="L910" s="613"/>
      <c r="M910" s="614"/>
      <c r="N910" s="614"/>
      <c r="O910" s="614"/>
      <c r="P910" s="614"/>
      <c r="Q910" s="614"/>
      <c r="R910" s="614"/>
      <c r="S910" s="614"/>
      <c r="T910" s="614"/>
    </row>
    <row r="911" spans="1:20">
      <c r="A911" s="610"/>
      <c r="B911" s="610"/>
      <c r="C911" s="610"/>
      <c r="D911" s="612"/>
      <c r="E911" s="610"/>
      <c r="F911" s="610"/>
      <c r="G911" s="610"/>
      <c r="H911" s="610"/>
      <c r="I911" s="610"/>
      <c r="J911" s="612"/>
      <c r="K911" s="615"/>
      <c r="L911" s="613"/>
      <c r="M911" s="614"/>
      <c r="N911" s="614"/>
      <c r="O911" s="614"/>
      <c r="P911" s="614"/>
      <c r="Q911" s="614"/>
      <c r="R911" s="614"/>
      <c r="S911" s="614"/>
      <c r="T911" s="614"/>
    </row>
    <row r="912" spans="1:20">
      <c r="A912" s="610"/>
      <c r="B912" s="610"/>
      <c r="C912" s="610"/>
      <c r="D912" s="612"/>
      <c r="E912" s="610"/>
      <c r="F912" s="610"/>
      <c r="G912" s="610"/>
      <c r="H912" s="610"/>
      <c r="I912" s="610"/>
      <c r="J912" s="612"/>
      <c r="K912" s="615"/>
      <c r="L912" s="613"/>
      <c r="M912" s="614"/>
      <c r="N912" s="614"/>
      <c r="O912" s="614"/>
      <c r="P912" s="614"/>
      <c r="Q912" s="614"/>
      <c r="R912" s="614"/>
      <c r="S912" s="614"/>
      <c r="T912" s="614"/>
    </row>
    <row r="913" spans="1:20">
      <c r="A913" s="610"/>
      <c r="B913" s="610"/>
      <c r="C913" s="610"/>
      <c r="D913" s="612"/>
      <c r="E913" s="610"/>
      <c r="F913" s="610"/>
      <c r="G913" s="610"/>
      <c r="H913" s="610"/>
      <c r="I913" s="610"/>
      <c r="J913" s="612"/>
      <c r="K913" s="615"/>
      <c r="L913" s="613"/>
      <c r="M913" s="614"/>
      <c r="N913" s="614"/>
      <c r="O913" s="614"/>
      <c r="P913" s="614"/>
      <c r="Q913" s="614"/>
      <c r="R913" s="614"/>
      <c r="S913" s="614"/>
      <c r="T913" s="614"/>
    </row>
    <row r="914" spans="1:20">
      <c r="A914" s="610"/>
      <c r="B914" s="610"/>
      <c r="C914" s="610"/>
      <c r="D914" s="612"/>
      <c r="E914" s="610"/>
      <c r="F914" s="610"/>
      <c r="G914" s="610"/>
      <c r="H914" s="610"/>
      <c r="I914" s="610"/>
      <c r="J914" s="612"/>
      <c r="K914" s="615"/>
      <c r="L914" s="613"/>
      <c r="M914" s="614"/>
      <c r="N914" s="614"/>
      <c r="O914" s="614"/>
      <c r="P914" s="614"/>
      <c r="Q914" s="614"/>
      <c r="R914" s="614"/>
      <c r="S914" s="614"/>
      <c r="T914" s="614"/>
    </row>
    <row r="915" spans="1:20">
      <c r="A915" s="610"/>
      <c r="B915" s="610"/>
      <c r="C915" s="610"/>
      <c r="D915" s="612"/>
      <c r="E915" s="610"/>
      <c r="F915" s="610"/>
      <c r="G915" s="610"/>
      <c r="H915" s="610"/>
      <c r="I915" s="610"/>
      <c r="J915" s="612"/>
      <c r="K915" s="615"/>
      <c r="L915" s="613"/>
      <c r="M915" s="614"/>
      <c r="N915" s="614"/>
      <c r="O915" s="614"/>
      <c r="P915" s="614"/>
      <c r="Q915" s="614"/>
      <c r="R915" s="614"/>
      <c r="S915" s="614"/>
      <c r="T915" s="614"/>
    </row>
    <row r="916" spans="1:20">
      <c r="A916" s="610"/>
      <c r="B916" s="610"/>
      <c r="C916" s="610"/>
      <c r="D916" s="612"/>
      <c r="E916" s="610"/>
      <c r="F916" s="610"/>
      <c r="G916" s="610"/>
      <c r="H916" s="610"/>
      <c r="I916" s="610"/>
      <c r="J916" s="612"/>
      <c r="K916" s="615"/>
      <c r="L916" s="613"/>
      <c r="M916" s="614"/>
      <c r="N916" s="614"/>
      <c r="O916" s="614"/>
      <c r="P916" s="614"/>
      <c r="Q916" s="614"/>
      <c r="R916" s="614"/>
      <c r="S916" s="614"/>
      <c r="T916" s="614"/>
    </row>
  </sheetData>
  <dataConsolidate/>
  <phoneticPr fontId="3" type="noConversion"/>
  <pageMargins left="0.7" right="0.7" top="0.75" bottom="0.75" header="0.3" footer="0.3"/>
  <pageSetup paperSize="9" orientation="portrait" horizontalDpi="360" verticalDpi="36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8" r:id="rId4" name="Button 414">
              <controlPr defaultSize="0" print="0" autoFill="0" autoPict="0" macro="[0]!Feuil1.colorTableauRecette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711200</xdr:colOff>
                    <xdr:row>0</xdr:row>
                    <xdr:rowOff>254000</xdr:rowOff>
                  </to>
                </anchor>
              </controlPr>
            </control>
          </mc:Choice>
        </mc:AlternateContent>
      </controls>
    </mc:Choice>
  </mc:AlternateContent>
  <tableParts count="1">
    <tablePart r:id="rId5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A7170C1-0BE6-504F-8A36-3235E67880F2}">
          <x14:formula1>
            <xm:f>Ingredients!$A$2:$A$1048576</xm:f>
          </x14:formula1>
          <xm:sqref>C2:C106 C360:C375 C320:C358 C296:C318 C272:C294 C269:C270 C221:C267 C144:C219 C139:C142 C131:C137 C108:C129 C377:C1048576</xm:sqref>
        </x14:dataValidation>
        <x14:dataValidation type="list" allowBlank="1" showInputMessage="1" showErrorMessage="1" xr:uid="{921D9833-5729-124C-A490-EFA151D25297}">
          <x14:formula1>
            <xm:f>Conditionnement!$A$2:$A$32</xm:f>
          </x14:formula1>
          <xm:sqref>E2:E1048576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8463B-6795-D446-BA53-227B9E915230}">
  <sheetPr codeName="Feuil6"/>
  <dimension ref="A1:J220"/>
  <sheetViews>
    <sheetView workbookViewId="0">
      <pane ySplit="1" topLeftCell="A58" activePane="bottomLeft" state="frozen"/>
      <selection pane="bottomLeft" activeCell="K1" sqref="K1:L1048576"/>
    </sheetView>
  </sheetViews>
  <sheetFormatPr baseColWidth="10" defaultColWidth="11" defaultRowHeight="16"/>
  <cols>
    <col min="1" max="1" width="31.6640625" customWidth="1"/>
    <col min="2" max="10" width="13.1640625" customWidth="1"/>
  </cols>
  <sheetData>
    <row r="1" spans="1:10" ht="57">
      <c r="A1" s="4" t="s">
        <v>417</v>
      </c>
      <c r="B1" s="4" t="s">
        <v>738</v>
      </c>
      <c r="C1" s="4" t="s">
        <v>739</v>
      </c>
      <c r="D1" s="4" t="s">
        <v>740</v>
      </c>
      <c r="E1" s="4" t="s">
        <v>741</v>
      </c>
      <c r="F1" s="4" t="s">
        <v>719</v>
      </c>
      <c r="G1" s="4" t="s">
        <v>742</v>
      </c>
      <c r="H1" s="4" t="s">
        <v>743</v>
      </c>
      <c r="I1" s="4" t="s">
        <v>744</v>
      </c>
      <c r="J1" s="4" t="s">
        <v>745</v>
      </c>
    </row>
    <row r="2" spans="1:10">
      <c r="A2" s="346" t="s">
        <v>263</v>
      </c>
      <c r="B2" s="440">
        <v>203.77578485199138</v>
      </c>
      <c r="C2" s="347">
        <v>203.77578485199138</v>
      </c>
      <c r="D2" s="347">
        <v>0</v>
      </c>
      <c r="E2" s="347">
        <v>0</v>
      </c>
      <c r="F2" s="347">
        <v>0</v>
      </c>
      <c r="G2" s="347">
        <v>0</v>
      </c>
      <c r="H2" s="347">
        <v>0</v>
      </c>
      <c r="I2" s="347">
        <v>0</v>
      </c>
      <c r="J2" s="347">
        <v>0</v>
      </c>
    </row>
    <row r="3" spans="1:10">
      <c r="A3" s="650" t="s">
        <v>270</v>
      </c>
      <c r="B3" s="651">
        <v>201.4208222410447</v>
      </c>
      <c r="C3" s="652">
        <v>201.4208222410447</v>
      </c>
      <c r="D3" s="652"/>
      <c r="E3" s="652"/>
      <c r="F3" s="652"/>
      <c r="G3" s="652"/>
      <c r="H3" s="652"/>
      <c r="I3" s="652"/>
      <c r="J3" s="652"/>
    </row>
    <row r="4" spans="1:10">
      <c r="A4" s="132" t="s">
        <v>151</v>
      </c>
      <c r="B4" s="379">
        <v>37.608342751609712</v>
      </c>
      <c r="C4" s="257">
        <v>37.608342751609712</v>
      </c>
      <c r="D4" s="257">
        <v>0</v>
      </c>
      <c r="E4" s="257">
        <v>0</v>
      </c>
      <c r="F4" s="257">
        <v>0</v>
      </c>
      <c r="G4" s="257">
        <v>0</v>
      </c>
      <c r="H4" s="257">
        <v>0</v>
      </c>
      <c r="I4" s="257">
        <v>0</v>
      </c>
      <c r="J4" s="257">
        <v>0</v>
      </c>
    </row>
    <row r="5" spans="1:10">
      <c r="A5" s="340" t="s">
        <v>252</v>
      </c>
      <c r="B5" s="434">
        <v>34.276215097351411</v>
      </c>
      <c r="C5" s="341">
        <v>34.276215097351411</v>
      </c>
      <c r="D5" s="341">
        <v>0</v>
      </c>
      <c r="E5" s="341">
        <v>0</v>
      </c>
      <c r="F5" s="341">
        <v>0</v>
      </c>
      <c r="G5" s="341">
        <v>0</v>
      </c>
      <c r="H5" s="341">
        <v>0</v>
      </c>
      <c r="I5" s="341">
        <v>0</v>
      </c>
      <c r="J5" s="341">
        <v>0</v>
      </c>
    </row>
    <row r="6" spans="1:10">
      <c r="A6" s="131" t="s">
        <v>168</v>
      </c>
      <c r="B6" s="378">
        <v>23.513690569087561</v>
      </c>
      <c r="C6" s="256">
        <v>23.513690569087561</v>
      </c>
      <c r="D6" s="256">
        <v>0</v>
      </c>
      <c r="E6" s="256">
        <v>0</v>
      </c>
      <c r="F6" s="256">
        <v>0</v>
      </c>
      <c r="G6" s="256">
        <v>0</v>
      </c>
      <c r="H6" s="256">
        <v>0</v>
      </c>
      <c r="I6" s="256">
        <v>0</v>
      </c>
      <c r="J6" s="256">
        <v>0</v>
      </c>
    </row>
    <row r="7" spans="1:10">
      <c r="A7" s="308" t="s">
        <v>157</v>
      </c>
      <c r="B7" s="371">
        <v>23.420100860477401</v>
      </c>
      <c r="C7" s="309">
        <v>23.420100860477401</v>
      </c>
      <c r="D7" s="309">
        <v>0</v>
      </c>
      <c r="E7" s="309">
        <v>0</v>
      </c>
      <c r="F7" s="309">
        <v>0</v>
      </c>
      <c r="G7" s="309">
        <v>0</v>
      </c>
      <c r="H7" s="309">
        <v>0</v>
      </c>
      <c r="I7" s="309">
        <v>0</v>
      </c>
      <c r="J7" s="309">
        <v>0</v>
      </c>
    </row>
    <row r="8" spans="1:10">
      <c r="A8" s="127" t="s">
        <v>155</v>
      </c>
      <c r="B8" s="370">
        <v>14.984437322334317</v>
      </c>
      <c r="C8" s="252">
        <v>14.984437322334317</v>
      </c>
      <c r="D8" s="252">
        <v>0</v>
      </c>
      <c r="E8" s="252">
        <v>0</v>
      </c>
      <c r="F8" s="252">
        <v>0</v>
      </c>
      <c r="G8" s="252">
        <v>0</v>
      </c>
      <c r="H8" s="252">
        <v>0</v>
      </c>
      <c r="I8" s="252">
        <v>0</v>
      </c>
      <c r="J8" s="252">
        <v>0</v>
      </c>
    </row>
    <row r="9" spans="1:10">
      <c r="A9" s="160" t="s">
        <v>231</v>
      </c>
      <c r="B9" s="416">
        <v>12.76595744680851</v>
      </c>
      <c r="C9" s="287">
        <v>12.76595744680851</v>
      </c>
      <c r="D9" s="287">
        <v>0</v>
      </c>
      <c r="E9" s="287">
        <v>0</v>
      </c>
      <c r="F9" s="287">
        <v>0</v>
      </c>
      <c r="G9" s="287">
        <v>0</v>
      </c>
      <c r="H9" s="287">
        <v>0</v>
      </c>
      <c r="I9" s="287">
        <v>0</v>
      </c>
      <c r="J9" s="287">
        <v>0</v>
      </c>
    </row>
    <row r="10" spans="1:10">
      <c r="A10" s="138" t="s">
        <v>176</v>
      </c>
      <c r="B10" s="385">
        <v>12.287287579799171</v>
      </c>
      <c r="C10" s="263">
        <v>12.287287579799171</v>
      </c>
      <c r="D10" s="263">
        <v>0</v>
      </c>
      <c r="E10" s="263">
        <v>0</v>
      </c>
      <c r="F10" s="263">
        <v>0</v>
      </c>
      <c r="G10" s="263">
        <v>0</v>
      </c>
      <c r="H10" s="263">
        <v>0</v>
      </c>
      <c r="I10" s="263">
        <v>0</v>
      </c>
      <c r="J10" s="263">
        <v>0</v>
      </c>
    </row>
    <row r="11" spans="1:10">
      <c r="A11" s="126" t="s">
        <v>149</v>
      </c>
      <c r="B11" s="369">
        <v>11.892766854045584</v>
      </c>
      <c r="C11" s="251">
        <v>11.892766854045584</v>
      </c>
      <c r="D11" s="251">
        <v>0</v>
      </c>
      <c r="E11" s="251">
        <v>0</v>
      </c>
      <c r="F11" s="251">
        <v>0</v>
      </c>
      <c r="G11" s="251">
        <v>0</v>
      </c>
      <c r="H11" s="251">
        <v>0</v>
      </c>
      <c r="I11" s="251">
        <v>0</v>
      </c>
      <c r="J11" s="251">
        <v>0</v>
      </c>
    </row>
    <row r="12" spans="1:10">
      <c r="A12" s="468" t="s">
        <v>221</v>
      </c>
      <c r="B12" s="414">
        <v>9.2134696970210221</v>
      </c>
      <c r="C12" s="285">
        <v>9.2134696970210221</v>
      </c>
      <c r="D12" s="285">
        <v>0</v>
      </c>
      <c r="E12" s="285">
        <v>0</v>
      </c>
      <c r="F12" s="285">
        <v>0</v>
      </c>
      <c r="G12" s="285">
        <v>0</v>
      </c>
      <c r="H12" s="285">
        <v>0</v>
      </c>
      <c r="I12" s="285">
        <v>0</v>
      </c>
      <c r="J12" s="285">
        <v>0</v>
      </c>
    </row>
    <row r="13" spans="1:10">
      <c r="A13" s="157" t="s">
        <v>226</v>
      </c>
      <c r="B13" s="412">
        <v>6.7164179104477615</v>
      </c>
      <c r="C13" s="283">
        <v>6.7164179104477615</v>
      </c>
      <c r="D13" s="283">
        <v>0</v>
      </c>
      <c r="E13" s="283">
        <v>0</v>
      </c>
      <c r="F13" s="283">
        <v>0</v>
      </c>
      <c r="G13" s="283">
        <v>0</v>
      </c>
      <c r="H13" s="283">
        <v>0</v>
      </c>
      <c r="I13" s="283">
        <v>0</v>
      </c>
      <c r="J13" s="283">
        <v>0</v>
      </c>
    </row>
    <row r="14" spans="1:10">
      <c r="A14" s="163" t="s">
        <v>204</v>
      </c>
      <c r="B14" s="420">
        <v>6.3380281690140841</v>
      </c>
      <c r="C14" s="290">
        <v>6.3380281690140841</v>
      </c>
      <c r="D14" s="290">
        <v>0</v>
      </c>
      <c r="E14" s="290">
        <v>0</v>
      </c>
      <c r="F14" s="290">
        <v>0</v>
      </c>
      <c r="G14" s="290">
        <v>0</v>
      </c>
      <c r="H14" s="290">
        <v>0</v>
      </c>
      <c r="I14" s="290">
        <v>0</v>
      </c>
      <c r="J14" s="290">
        <v>0</v>
      </c>
    </row>
    <row r="15" spans="1:10">
      <c r="A15" s="135" t="s">
        <v>136</v>
      </c>
      <c r="B15" s="382">
        <v>5.669999999999999</v>
      </c>
      <c r="C15" s="260">
        <v>5.669999999999999</v>
      </c>
      <c r="D15" s="260">
        <v>0</v>
      </c>
      <c r="E15" s="260">
        <v>0</v>
      </c>
      <c r="F15" s="260">
        <v>0</v>
      </c>
      <c r="G15" s="260">
        <v>0</v>
      </c>
      <c r="H15" s="260">
        <v>0</v>
      </c>
      <c r="I15" s="260">
        <v>0</v>
      </c>
      <c r="J15" s="260">
        <v>0</v>
      </c>
    </row>
    <row r="16" spans="1:10">
      <c r="A16" s="653" t="s">
        <v>273</v>
      </c>
      <c r="B16" s="654">
        <v>5.542359461599367</v>
      </c>
      <c r="C16" s="655">
        <v>5.542359461599367</v>
      </c>
      <c r="D16" s="655"/>
      <c r="E16" s="655"/>
      <c r="F16" s="655"/>
      <c r="G16" s="655"/>
      <c r="H16" s="655"/>
      <c r="I16" s="655"/>
      <c r="J16" s="655"/>
    </row>
    <row r="17" spans="1:10">
      <c r="A17" s="153" t="s">
        <v>218</v>
      </c>
      <c r="B17" s="407">
        <v>3.0984484231524427</v>
      </c>
      <c r="C17" s="279">
        <v>3.0984484231524427</v>
      </c>
      <c r="D17" s="279">
        <v>0</v>
      </c>
      <c r="E17" s="279">
        <v>0</v>
      </c>
      <c r="F17" s="279">
        <v>0</v>
      </c>
      <c r="G17" s="279">
        <v>0</v>
      </c>
      <c r="H17" s="279">
        <v>0</v>
      </c>
      <c r="I17" s="279">
        <v>0</v>
      </c>
      <c r="J17" s="279">
        <v>0</v>
      </c>
    </row>
    <row r="18" spans="1:10">
      <c r="A18" s="174" t="s">
        <v>261</v>
      </c>
      <c r="B18" s="437">
        <v>2.4364640883977899</v>
      </c>
      <c r="C18" s="301">
        <v>2.4364640883977899</v>
      </c>
      <c r="D18" s="301">
        <v>0</v>
      </c>
      <c r="E18" s="301">
        <v>0</v>
      </c>
      <c r="F18" s="301">
        <v>0</v>
      </c>
      <c r="G18" s="301">
        <v>0</v>
      </c>
      <c r="H18" s="301">
        <v>0</v>
      </c>
      <c r="I18" s="301">
        <v>0</v>
      </c>
      <c r="J18" s="301">
        <v>0</v>
      </c>
    </row>
    <row r="19" spans="1:10">
      <c r="A19" s="173" t="s">
        <v>259</v>
      </c>
      <c r="B19" s="436">
        <v>1.8</v>
      </c>
      <c r="C19" s="300">
        <v>1.8</v>
      </c>
      <c r="D19" s="300">
        <v>0</v>
      </c>
      <c r="E19" s="300">
        <v>0</v>
      </c>
      <c r="F19" s="300">
        <v>0</v>
      </c>
      <c r="G19" s="300">
        <v>0</v>
      </c>
      <c r="H19" s="300">
        <v>0</v>
      </c>
      <c r="I19" s="300">
        <v>0</v>
      </c>
      <c r="J19" s="300">
        <v>0</v>
      </c>
    </row>
    <row r="20" spans="1:10">
      <c r="A20" s="117" t="s">
        <v>128</v>
      </c>
      <c r="B20" s="357">
        <v>1.6595744680851063</v>
      </c>
      <c r="C20" s="241">
        <v>1.6595744680851063</v>
      </c>
      <c r="D20" s="241">
        <v>0</v>
      </c>
      <c r="E20" s="241">
        <v>0</v>
      </c>
      <c r="F20" s="241">
        <v>0</v>
      </c>
      <c r="G20" s="241">
        <v>0</v>
      </c>
      <c r="H20" s="241">
        <v>0</v>
      </c>
      <c r="I20" s="241">
        <v>0</v>
      </c>
      <c r="J20" s="241">
        <v>0</v>
      </c>
    </row>
    <row r="21" spans="1:10">
      <c r="A21" s="647" t="s">
        <v>267</v>
      </c>
      <c r="B21" s="648">
        <v>1.330166270783848</v>
      </c>
      <c r="C21" s="649">
        <v>1.330166270783848</v>
      </c>
      <c r="D21" s="649"/>
      <c r="E21" s="649"/>
      <c r="F21" s="649"/>
      <c r="G21" s="649"/>
      <c r="H21" s="649"/>
      <c r="I21" s="649"/>
      <c r="J21" s="649"/>
    </row>
    <row r="22" spans="1:10">
      <c r="A22" s="159" t="s">
        <v>229</v>
      </c>
      <c r="B22" s="415">
        <v>1.1408450704225352</v>
      </c>
      <c r="C22" s="286">
        <v>1.1408450704225352</v>
      </c>
      <c r="D22" s="286">
        <v>0</v>
      </c>
      <c r="E22" s="286">
        <v>0</v>
      </c>
      <c r="F22" s="286">
        <v>0</v>
      </c>
      <c r="G22" s="286">
        <v>0</v>
      </c>
      <c r="H22" s="286">
        <v>0</v>
      </c>
      <c r="I22" s="286">
        <v>0</v>
      </c>
      <c r="J22" s="286">
        <v>0</v>
      </c>
    </row>
    <row r="23" spans="1:10">
      <c r="A23" s="154" t="s">
        <v>219</v>
      </c>
      <c r="B23" s="408">
        <v>0.95408839779005528</v>
      </c>
      <c r="C23" s="280">
        <v>0.95408839779005528</v>
      </c>
      <c r="D23" s="280">
        <v>0</v>
      </c>
      <c r="E23" s="280">
        <v>0</v>
      </c>
      <c r="F23" s="280">
        <v>0</v>
      </c>
      <c r="G23" s="280">
        <v>0</v>
      </c>
      <c r="H23" s="280">
        <v>0</v>
      </c>
      <c r="I23" s="280">
        <v>0</v>
      </c>
      <c r="J23" s="280">
        <v>0</v>
      </c>
    </row>
    <row r="24" spans="1:10">
      <c r="A24" s="111" t="s">
        <v>119</v>
      </c>
      <c r="B24" s="350">
        <v>0.85932310279587976</v>
      </c>
      <c r="C24" s="234">
        <v>0.85932310279587976</v>
      </c>
      <c r="D24" s="234">
        <v>0</v>
      </c>
      <c r="E24" s="234">
        <v>0</v>
      </c>
      <c r="F24" s="234">
        <v>0</v>
      </c>
      <c r="G24" s="234">
        <v>0</v>
      </c>
      <c r="H24" s="234">
        <v>0</v>
      </c>
      <c r="I24" s="234">
        <v>0</v>
      </c>
      <c r="J24" s="234">
        <v>0</v>
      </c>
    </row>
    <row r="25" spans="1:10">
      <c r="A25" s="129" t="s">
        <v>165</v>
      </c>
      <c r="B25" s="376">
        <v>0.76056338028169024</v>
      </c>
      <c r="C25" s="254">
        <v>0.76056338028169024</v>
      </c>
      <c r="D25" s="254">
        <v>0</v>
      </c>
      <c r="E25" s="254">
        <v>0</v>
      </c>
      <c r="F25" s="254">
        <v>0</v>
      </c>
      <c r="G25" s="254">
        <v>0</v>
      </c>
      <c r="H25" s="254">
        <v>0</v>
      </c>
      <c r="I25" s="254">
        <v>0</v>
      </c>
      <c r="J25" s="254">
        <v>0</v>
      </c>
    </row>
    <row r="26" spans="1:10">
      <c r="A26" s="168" t="s">
        <v>242</v>
      </c>
      <c r="B26" s="427">
        <v>0.41762011593556658</v>
      </c>
      <c r="C26" s="295">
        <v>0.41762011593556658</v>
      </c>
      <c r="D26" s="295">
        <v>0</v>
      </c>
      <c r="E26" s="295">
        <v>0</v>
      </c>
      <c r="F26" s="295">
        <v>0</v>
      </c>
      <c r="G26" s="295">
        <v>0</v>
      </c>
      <c r="H26" s="295">
        <v>0</v>
      </c>
      <c r="I26" s="295">
        <v>0</v>
      </c>
      <c r="J26" s="295">
        <v>0</v>
      </c>
    </row>
    <row r="27" spans="1:10">
      <c r="A27" s="161" t="s">
        <v>233</v>
      </c>
      <c r="B27" s="417">
        <v>0.3214285714285714</v>
      </c>
      <c r="C27" s="288">
        <v>0.3214285714285714</v>
      </c>
      <c r="D27" s="288">
        <v>0</v>
      </c>
      <c r="E27" s="288">
        <v>0</v>
      </c>
      <c r="F27" s="288">
        <v>0</v>
      </c>
      <c r="G27" s="288">
        <v>0</v>
      </c>
      <c r="H27" s="288">
        <v>0</v>
      </c>
      <c r="I27" s="288">
        <v>0</v>
      </c>
      <c r="J27" s="288">
        <v>0</v>
      </c>
    </row>
    <row r="28" spans="1:10">
      <c r="A28" s="128" t="s">
        <v>163</v>
      </c>
      <c r="B28" s="375">
        <v>0.29104651443836826</v>
      </c>
      <c r="C28" s="253">
        <v>0.29104651443836826</v>
      </c>
      <c r="D28" s="253">
        <v>0</v>
      </c>
      <c r="E28" s="253">
        <v>0</v>
      </c>
      <c r="F28" s="253">
        <v>0</v>
      </c>
      <c r="G28" s="253">
        <v>0</v>
      </c>
      <c r="H28" s="253">
        <v>0</v>
      </c>
      <c r="I28" s="253">
        <v>0</v>
      </c>
      <c r="J28" s="253">
        <v>0</v>
      </c>
    </row>
    <row r="29" spans="1:10">
      <c r="A29" s="137" t="s">
        <v>158</v>
      </c>
      <c r="B29" s="384">
        <v>0.28928571428571426</v>
      </c>
      <c r="C29" s="262">
        <v>0.28928571428571426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</row>
    <row r="30" spans="1:10">
      <c r="A30" s="330" t="s">
        <v>234</v>
      </c>
      <c r="B30" s="418">
        <v>0.12676056338028169</v>
      </c>
      <c r="C30" s="331">
        <v>0.12676056338028169</v>
      </c>
      <c r="D30" s="331">
        <v>0</v>
      </c>
      <c r="E30" s="331">
        <v>0</v>
      </c>
      <c r="F30" s="331">
        <v>0</v>
      </c>
      <c r="G30" s="331">
        <v>0</v>
      </c>
      <c r="H30" s="331">
        <v>0</v>
      </c>
      <c r="I30" s="331">
        <v>0</v>
      </c>
      <c r="J30" s="331">
        <v>0</v>
      </c>
    </row>
    <row r="31" spans="1:10">
      <c r="A31" s="165" t="s">
        <v>239</v>
      </c>
      <c r="B31" s="424">
        <v>0.11321704126132169</v>
      </c>
      <c r="C31" s="292">
        <v>0.11321704126132169</v>
      </c>
      <c r="D31" s="292">
        <v>0</v>
      </c>
      <c r="E31" s="292">
        <v>0</v>
      </c>
      <c r="F31" s="292">
        <v>0</v>
      </c>
      <c r="G31" s="292">
        <v>0</v>
      </c>
      <c r="H31" s="292">
        <v>0</v>
      </c>
      <c r="I31" s="292">
        <v>0</v>
      </c>
      <c r="J31" s="292">
        <v>0</v>
      </c>
    </row>
    <row r="32" spans="1:10">
      <c r="A32" s="344" t="s">
        <v>262</v>
      </c>
      <c r="B32" s="438">
        <v>0.11321704126132169</v>
      </c>
      <c r="C32" s="345">
        <v>0.11321704126132169</v>
      </c>
      <c r="D32" s="345">
        <v>0</v>
      </c>
      <c r="E32" s="345">
        <v>0</v>
      </c>
      <c r="F32" s="345">
        <v>0</v>
      </c>
      <c r="G32" s="345">
        <v>0</v>
      </c>
      <c r="H32" s="345">
        <v>0</v>
      </c>
      <c r="I32" s="345">
        <v>0</v>
      </c>
      <c r="J32" s="345">
        <v>0</v>
      </c>
    </row>
    <row r="33" spans="1:10">
      <c r="A33" s="177" t="s">
        <v>124</v>
      </c>
      <c r="B33" s="353">
        <v>4.5286816504528683E-2</v>
      </c>
      <c r="C33" s="237">
        <v>4.5286816504528683E-2</v>
      </c>
      <c r="D33" s="237">
        <v>0</v>
      </c>
      <c r="E33" s="237">
        <v>0</v>
      </c>
      <c r="F33" s="237">
        <v>0</v>
      </c>
      <c r="G33" s="237">
        <v>0</v>
      </c>
      <c r="H33" s="237">
        <v>0</v>
      </c>
      <c r="I33" s="237">
        <v>0</v>
      </c>
      <c r="J33" s="237">
        <v>0</v>
      </c>
    </row>
    <row r="34" spans="1:10">
      <c r="A34" s="119" t="s">
        <v>129</v>
      </c>
      <c r="B34" s="359">
        <v>3.8626609442060096E-2</v>
      </c>
      <c r="C34" s="243">
        <v>3.8626609442060096E-2</v>
      </c>
      <c r="D34" s="243">
        <v>0</v>
      </c>
      <c r="E34" s="243">
        <v>0</v>
      </c>
      <c r="F34" s="243">
        <v>0</v>
      </c>
      <c r="G34" s="243">
        <v>0</v>
      </c>
      <c r="H34" s="243">
        <v>0</v>
      </c>
      <c r="I34" s="243">
        <v>0</v>
      </c>
      <c r="J34" s="243">
        <v>0</v>
      </c>
    </row>
    <row r="35" spans="1:10">
      <c r="A35" s="134" t="s">
        <v>170</v>
      </c>
      <c r="B35" s="381">
        <v>3.0901287553648075E-2</v>
      </c>
      <c r="C35" s="259">
        <v>3.0901287553648075E-2</v>
      </c>
      <c r="D35" s="259">
        <v>0</v>
      </c>
      <c r="E35" s="259">
        <v>0</v>
      </c>
      <c r="F35" s="259">
        <v>0</v>
      </c>
      <c r="G35" s="259">
        <v>0</v>
      </c>
      <c r="H35" s="259">
        <v>0</v>
      </c>
      <c r="I35" s="259">
        <v>0</v>
      </c>
      <c r="J35" s="259">
        <v>0</v>
      </c>
    </row>
    <row r="36" spans="1:10">
      <c r="A36" s="124" t="s">
        <v>145</v>
      </c>
      <c r="B36" s="367">
        <v>1.9313304721030048E-2</v>
      </c>
      <c r="C36" s="249">
        <v>1.9313304721030048E-2</v>
      </c>
      <c r="D36" s="249">
        <v>0</v>
      </c>
      <c r="E36" s="249">
        <v>0</v>
      </c>
      <c r="F36" s="249">
        <v>0</v>
      </c>
      <c r="G36" s="249">
        <v>0</v>
      </c>
      <c r="H36" s="249">
        <v>0</v>
      </c>
      <c r="I36" s="249">
        <v>0</v>
      </c>
      <c r="J36" s="249">
        <v>0</v>
      </c>
    </row>
    <row r="37" spans="1:10">
      <c r="A37" s="175" t="s">
        <v>147</v>
      </c>
      <c r="B37" s="439">
        <v>0</v>
      </c>
      <c r="C37" s="302">
        <v>0</v>
      </c>
      <c r="D37" s="302">
        <v>0</v>
      </c>
      <c r="E37" s="302">
        <v>0</v>
      </c>
      <c r="F37" s="302">
        <v>0</v>
      </c>
      <c r="G37" s="302">
        <v>0</v>
      </c>
      <c r="H37" s="302">
        <v>0</v>
      </c>
      <c r="I37" s="302">
        <v>0</v>
      </c>
      <c r="J37" s="302">
        <v>0</v>
      </c>
    </row>
    <row r="38" spans="1:10">
      <c r="A38" s="166" t="s">
        <v>240</v>
      </c>
      <c r="B38" s="425">
        <v>0</v>
      </c>
      <c r="C38" s="293">
        <v>0</v>
      </c>
      <c r="D38" s="293">
        <v>0</v>
      </c>
      <c r="E38" s="293">
        <v>0</v>
      </c>
      <c r="F38" s="293">
        <v>0</v>
      </c>
      <c r="G38" s="293">
        <v>0</v>
      </c>
      <c r="H38" s="293">
        <v>0</v>
      </c>
      <c r="I38" s="293">
        <v>0</v>
      </c>
      <c r="J38" s="293">
        <v>0</v>
      </c>
    </row>
    <row r="39" spans="1:10">
      <c r="A39" s="167" t="s">
        <v>241</v>
      </c>
      <c r="B39" s="426">
        <v>0</v>
      </c>
      <c r="C39" s="294">
        <v>0</v>
      </c>
      <c r="D39" s="294">
        <v>0</v>
      </c>
      <c r="E39" s="294">
        <v>0</v>
      </c>
      <c r="F39" s="294">
        <v>0</v>
      </c>
      <c r="G39" s="294">
        <v>0</v>
      </c>
      <c r="H39" s="294">
        <v>0</v>
      </c>
      <c r="I39" s="294">
        <v>0</v>
      </c>
      <c r="J39" s="294">
        <v>0</v>
      </c>
    </row>
    <row r="40" spans="1:10">
      <c r="A40" s="112" t="s">
        <v>120</v>
      </c>
      <c r="B40" s="351">
        <v>0</v>
      </c>
      <c r="C40" s="235">
        <v>0</v>
      </c>
      <c r="D40" s="235">
        <v>0</v>
      </c>
      <c r="E40" s="235">
        <v>0</v>
      </c>
      <c r="F40" s="235">
        <v>0</v>
      </c>
      <c r="G40" s="235">
        <v>0</v>
      </c>
      <c r="H40" s="235">
        <v>0</v>
      </c>
      <c r="I40" s="235">
        <v>0</v>
      </c>
      <c r="J40" s="235">
        <v>0</v>
      </c>
    </row>
    <row r="41" spans="1:10">
      <c r="A41" s="113" t="s">
        <v>122</v>
      </c>
      <c r="B41" s="352">
        <v>0</v>
      </c>
      <c r="C41" s="236">
        <v>0</v>
      </c>
      <c r="D41" s="236">
        <v>0</v>
      </c>
      <c r="E41" s="236">
        <v>0</v>
      </c>
      <c r="F41" s="236">
        <v>0</v>
      </c>
      <c r="G41" s="236">
        <v>0</v>
      </c>
      <c r="H41" s="236">
        <v>0</v>
      </c>
      <c r="I41" s="236">
        <v>0</v>
      </c>
      <c r="J41" s="236">
        <v>0</v>
      </c>
    </row>
    <row r="42" spans="1:10">
      <c r="A42" s="114" t="s">
        <v>701</v>
      </c>
      <c r="B42" s="354">
        <v>0</v>
      </c>
      <c r="C42" s="238">
        <v>0</v>
      </c>
      <c r="D42" s="238">
        <v>0</v>
      </c>
      <c r="E42" s="238">
        <v>0</v>
      </c>
      <c r="F42" s="238">
        <v>0</v>
      </c>
      <c r="G42" s="238">
        <v>0</v>
      </c>
      <c r="H42" s="238">
        <v>0</v>
      </c>
      <c r="I42" s="238">
        <v>0</v>
      </c>
      <c r="J42" s="238">
        <v>0</v>
      </c>
    </row>
    <row r="43" spans="1:10">
      <c r="A43" s="115" t="s">
        <v>126</v>
      </c>
      <c r="B43" s="355">
        <v>0</v>
      </c>
      <c r="C43" s="239">
        <v>0</v>
      </c>
      <c r="D43" s="239">
        <v>0</v>
      </c>
      <c r="E43" s="239">
        <v>0</v>
      </c>
      <c r="F43" s="239">
        <v>0</v>
      </c>
      <c r="G43" s="239">
        <v>0</v>
      </c>
      <c r="H43" s="239">
        <v>0</v>
      </c>
      <c r="I43" s="239">
        <v>0</v>
      </c>
      <c r="J43" s="239">
        <v>0</v>
      </c>
    </row>
    <row r="44" spans="1:10">
      <c r="A44" s="116" t="s">
        <v>127</v>
      </c>
      <c r="B44" s="356">
        <v>0</v>
      </c>
      <c r="C44" s="240">
        <v>0</v>
      </c>
      <c r="D44" s="240">
        <v>0</v>
      </c>
      <c r="E44" s="240">
        <v>0</v>
      </c>
      <c r="F44" s="240">
        <v>0</v>
      </c>
      <c r="G44" s="240">
        <v>0</v>
      </c>
      <c r="H44" s="240">
        <v>0</v>
      </c>
      <c r="I44" s="240">
        <v>0</v>
      </c>
      <c r="J44" s="240">
        <v>0</v>
      </c>
    </row>
    <row r="45" spans="1:10">
      <c r="A45" s="118" t="s">
        <v>703</v>
      </c>
      <c r="B45" s="358">
        <v>0</v>
      </c>
      <c r="C45" s="242">
        <v>0</v>
      </c>
      <c r="D45" s="242">
        <v>0</v>
      </c>
      <c r="E45" s="242">
        <v>0</v>
      </c>
      <c r="F45" s="242">
        <v>0</v>
      </c>
      <c r="G45" s="242">
        <v>0</v>
      </c>
      <c r="H45" s="242">
        <v>0</v>
      </c>
      <c r="I45" s="242">
        <v>0</v>
      </c>
      <c r="J45" s="242">
        <v>0</v>
      </c>
    </row>
    <row r="46" spans="1:10">
      <c r="A46" s="120" t="s">
        <v>138</v>
      </c>
      <c r="B46" s="360">
        <v>0</v>
      </c>
      <c r="C46" s="244">
        <v>0</v>
      </c>
      <c r="D46" s="244">
        <v>0</v>
      </c>
      <c r="E46" s="244">
        <v>0</v>
      </c>
      <c r="F46" s="244">
        <v>0</v>
      </c>
      <c r="G46" s="244">
        <v>0</v>
      </c>
      <c r="H46" s="244">
        <v>0</v>
      </c>
      <c r="I46" s="244">
        <v>0</v>
      </c>
      <c r="J46" s="244">
        <v>0</v>
      </c>
    </row>
    <row r="47" spans="1:10">
      <c r="A47" s="304" t="s">
        <v>139</v>
      </c>
      <c r="B47" s="361">
        <v>0</v>
      </c>
      <c r="C47" s="305">
        <v>0</v>
      </c>
      <c r="D47" s="305">
        <v>0</v>
      </c>
      <c r="E47" s="305">
        <v>0</v>
      </c>
      <c r="F47" s="305">
        <v>0</v>
      </c>
      <c r="G47" s="305">
        <v>0</v>
      </c>
      <c r="H47" s="305">
        <v>0</v>
      </c>
      <c r="I47" s="305">
        <v>0</v>
      </c>
      <c r="J47" s="305">
        <v>0</v>
      </c>
    </row>
    <row r="48" spans="1:10">
      <c r="A48" s="176" t="s">
        <v>704</v>
      </c>
      <c r="B48" s="362">
        <v>0</v>
      </c>
      <c r="C48" s="245">
        <v>0</v>
      </c>
      <c r="D48" s="245">
        <v>0</v>
      </c>
      <c r="E48" s="245">
        <v>0</v>
      </c>
      <c r="F48" s="245">
        <v>0</v>
      </c>
      <c r="G48" s="245">
        <v>0</v>
      </c>
      <c r="H48" s="245">
        <v>0</v>
      </c>
      <c r="I48" s="245">
        <v>0</v>
      </c>
      <c r="J48" s="245">
        <v>0</v>
      </c>
    </row>
    <row r="49" spans="1:10">
      <c r="A49" s="306" t="s">
        <v>705</v>
      </c>
      <c r="B49" s="363">
        <v>0</v>
      </c>
      <c r="C49" s="307">
        <v>0</v>
      </c>
      <c r="D49" s="307">
        <v>0</v>
      </c>
      <c r="E49" s="307">
        <v>0</v>
      </c>
      <c r="F49" s="307">
        <v>0</v>
      </c>
      <c r="G49" s="307">
        <v>0</v>
      </c>
      <c r="H49" s="307">
        <v>0</v>
      </c>
      <c r="I49" s="307">
        <v>0</v>
      </c>
      <c r="J49" s="307">
        <v>0</v>
      </c>
    </row>
    <row r="50" spans="1:10">
      <c r="A50" s="121" t="s">
        <v>706</v>
      </c>
      <c r="B50" s="364">
        <v>0</v>
      </c>
      <c r="C50" s="246">
        <v>0</v>
      </c>
      <c r="D50" s="246">
        <v>0</v>
      </c>
      <c r="E50" s="246">
        <v>0</v>
      </c>
      <c r="F50" s="246">
        <v>0</v>
      </c>
      <c r="G50" s="246">
        <v>0</v>
      </c>
      <c r="H50" s="246">
        <v>0</v>
      </c>
      <c r="I50" s="246">
        <v>0</v>
      </c>
      <c r="J50" s="246">
        <v>0</v>
      </c>
    </row>
    <row r="51" spans="1:10">
      <c r="A51" s="122" t="s">
        <v>141</v>
      </c>
      <c r="B51" s="365">
        <v>0</v>
      </c>
      <c r="C51" s="247">
        <v>0</v>
      </c>
      <c r="D51" s="247">
        <v>0</v>
      </c>
      <c r="E51" s="247">
        <v>0</v>
      </c>
      <c r="F51" s="247">
        <v>0</v>
      </c>
      <c r="G51" s="247">
        <v>0</v>
      </c>
      <c r="H51" s="247">
        <v>0</v>
      </c>
      <c r="I51" s="247">
        <v>0</v>
      </c>
      <c r="J51" s="247">
        <v>0</v>
      </c>
    </row>
    <row r="52" spans="1:10">
      <c r="A52" s="123" t="s">
        <v>143</v>
      </c>
      <c r="B52" s="366">
        <v>0</v>
      </c>
      <c r="C52" s="248">
        <v>0</v>
      </c>
      <c r="D52" s="248">
        <v>0</v>
      </c>
      <c r="E52" s="248">
        <v>0</v>
      </c>
      <c r="F52" s="248">
        <v>0</v>
      </c>
      <c r="G52" s="248">
        <v>0</v>
      </c>
      <c r="H52" s="248">
        <v>0</v>
      </c>
      <c r="I52" s="248">
        <v>0</v>
      </c>
      <c r="J52" s="248">
        <v>0</v>
      </c>
    </row>
    <row r="53" spans="1:10">
      <c r="A53" s="125" t="s">
        <v>148</v>
      </c>
      <c r="B53" s="368">
        <v>0</v>
      </c>
      <c r="C53" s="250">
        <v>0</v>
      </c>
      <c r="D53" s="250">
        <v>0</v>
      </c>
      <c r="E53" s="250">
        <v>0</v>
      </c>
      <c r="F53" s="250">
        <v>0</v>
      </c>
      <c r="G53" s="250">
        <v>0</v>
      </c>
      <c r="H53" s="250">
        <v>0</v>
      </c>
      <c r="I53" s="250">
        <v>0</v>
      </c>
      <c r="J53" s="250">
        <v>0</v>
      </c>
    </row>
    <row r="54" spans="1:10">
      <c r="A54" s="310" t="s">
        <v>707</v>
      </c>
      <c r="B54" s="372">
        <v>0</v>
      </c>
      <c r="C54" s="311">
        <v>0</v>
      </c>
      <c r="D54" s="311">
        <v>0</v>
      </c>
      <c r="E54" s="311">
        <v>0</v>
      </c>
      <c r="F54" s="311">
        <v>0</v>
      </c>
      <c r="G54" s="311">
        <v>0</v>
      </c>
      <c r="H54" s="311">
        <v>0</v>
      </c>
      <c r="I54" s="311">
        <v>0</v>
      </c>
      <c r="J54" s="311">
        <v>0</v>
      </c>
    </row>
    <row r="55" spans="1:10">
      <c r="A55" s="312" t="s">
        <v>161</v>
      </c>
      <c r="B55" s="373">
        <v>0</v>
      </c>
      <c r="C55" s="313">
        <v>0</v>
      </c>
      <c r="D55" s="313">
        <v>0</v>
      </c>
      <c r="E55" s="313">
        <v>0</v>
      </c>
      <c r="F55" s="313">
        <v>0</v>
      </c>
      <c r="G55" s="313">
        <v>0</v>
      </c>
      <c r="H55" s="313">
        <v>0</v>
      </c>
      <c r="I55" s="313">
        <v>0</v>
      </c>
      <c r="J55" s="313">
        <v>0</v>
      </c>
    </row>
    <row r="56" spans="1:10">
      <c r="A56" s="314" t="s">
        <v>162</v>
      </c>
      <c r="B56" s="374">
        <v>0</v>
      </c>
      <c r="C56" s="315">
        <v>0</v>
      </c>
      <c r="D56" s="315">
        <v>0</v>
      </c>
      <c r="E56" s="315">
        <v>0</v>
      </c>
      <c r="F56" s="315">
        <v>0</v>
      </c>
      <c r="G56" s="315">
        <v>0</v>
      </c>
      <c r="H56" s="315">
        <v>0</v>
      </c>
      <c r="I56" s="315">
        <v>0</v>
      </c>
      <c r="J56" s="315">
        <v>0</v>
      </c>
    </row>
    <row r="57" spans="1:10">
      <c r="A57" s="130" t="s">
        <v>167</v>
      </c>
      <c r="B57" s="377">
        <v>0</v>
      </c>
      <c r="C57" s="255">
        <v>0</v>
      </c>
      <c r="D57" s="255">
        <v>0</v>
      </c>
      <c r="E57" s="255">
        <v>0</v>
      </c>
      <c r="F57" s="255">
        <v>0</v>
      </c>
      <c r="G57" s="255">
        <v>0</v>
      </c>
      <c r="H57" s="255">
        <v>0</v>
      </c>
      <c r="I57" s="255">
        <v>0</v>
      </c>
      <c r="J57" s="255">
        <v>0</v>
      </c>
    </row>
    <row r="58" spans="1:10">
      <c r="A58" s="133" t="s">
        <v>153</v>
      </c>
      <c r="B58" s="380">
        <v>0</v>
      </c>
      <c r="C58" s="258">
        <v>0</v>
      </c>
      <c r="D58" s="258">
        <v>0</v>
      </c>
      <c r="E58" s="258">
        <v>0</v>
      </c>
      <c r="F58" s="258">
        <v>0</v>
      </c>
      <c r="G58" s="258">
        <v>0</v>
      </c>
      <c r="H58" s="258">
        <v>0</v>
      </c>
      <c r="I58" s="258">
        <v>0</v>
      </c>
      <c r="J58" s="258">
        <v>0</v>
      </c>
    </row>
    <row r="59" spans="1:10">
      <c r="A59" s="136" t="s">
        <v>173</v>
      </c>
      <c r="B59" s="383">
        <v>0</v>
      </c>
      <c r="C59" s="261">
        <v>0</v>
      </c>
      <c r="D59" s="261">
        <v>0</v>
      </c>
      <c r="E59" s="261">
        <v>0</v>
      </c>
      <c r="F59" s="261">
        <v>0</v>
      </c>
      <c r="G59" s="261">
        <v>0</v>
      </c>
      <c r="H59" s="261">
        <v>0</v>
      </c>
      <c r="I59" s="261">
        <v>0</v>
      </c>
      <c r="J59" s="261">
        <v>0</v>
      </c>
    </row>
    <row r="60" spans="1:10">
      <c r="A60" s="139" t="s">
        <v>178</v>
      </c>
      <c r="B60" s="386">
        <v>0</v>
      </c>
      <c r="C60" s="264">
        <v>0</v>
      </c>
      <c r="D60" s="264">
        <v>0</v>
      </c>
      <c r="E60" s="264">
        <v>0</v>
      </c>
      <c r="F60" s="264">
        <v>0</v>
      </c>
      <c r="G60" s="264">
        <v>0</v>
      </c>
      <c r="H60" s="264">
        <v>0</v>
      </c>
      <c r="I60" s="264">
        <v>0</v>
      </c>
      <c r="J60" s="264">
        <v>0</v>
      </c>
    </row>
    <row r="61" spans="1:10">
      <c r="A61" s="140" t="s">
        <v>180</v>
      </c>
      <c r="B61" s="387">
        <v>0</v>
      </c>
      <c r="C61" s="265">
        <v>0</v>
      </c>
      <c r="D61" s="265">
        <v>0</v>
      </c>
      <c r="E61" s="265">
        <v>0</v>
      </c>
      <c r="F61" s="265">
        <v>0</v>
      </c>
      <c r="G61" s="265">
        <v>0</v>
      </c>
      <c r="H61" s="265">
        <v>0</v>
      </c>
      <c r="I61" s="265">
        <v>0</v>
      </c>
      <c r="J61" s="265">
        <v>0</v>
      </c>
    </row>
    <row r="62" spans="1:10">
      <c r="A62" s="141" t="s">
        <v>708</v>
      </c>
      <c r="B62" s="388">
        <v>0</v>
      </c>
      <c r="C62" s="266">
        <v>0</v>
      </c>
      <c r="D62" s="266">
        <v>0</v>
      </c>
      <c r="E62" s="266">
        <v>0</v>
      </c>
      <c r="F62" s="266">
        <v>0</v>
      </c>
      <c r="G62" s="266">
        <v>0</v>
      </c>
      <c r="H62" s="266">
        <v>0</v>
      </c>
      <c r="I62" s="266">
        <v>0</v>
      </c>
      <c r="J62" s="266">
        <v>0</v>
      </c>
    </row>
    <row r="63" spans="1:10">
      <c r="A63" s="316" t="s">
        <v>182</v>
      </c>
      <c r="B63" s="389">
        <v>0</v>
      </c>
      <c r="C63" s="317">
        <v>0</v>
      </c>
      <c r="D63" s="317">
        <v>0</v>
      </c>
      <c r="E63" s="317">
        <v>0</v>
      </c>
      <c r="F63" s="317">
        <v>0</v>
      </c>
      <c r="G63" s="317">
        <v>0</v>
      </c>
      <c r="H63" s="317">
        <v>0</v>
      </c>
      <c r="I63" s="317">
        <v>0</v>
      </c>
      <c r="J63" s="317">
        <v>0</v>
      </c>
    </row>
    <row r="64" spans="1:10">
      <c r="A64" s="318" t="s">
        <v>717</v>
      </c>
      <c r="B64" s="390">
        <v>0</v>
      </c>
      <c r="C64" s="319">
        <v>0</v>
      </c>
      <c r="D64" s="319">
        <v>0</v>
      </c>
      <c r="E64" s="319">
        <v>0</v>
      </c>
      <c r="F64" s="319">
        <v>0</v>
      </c>
      <c r="G64" s="319">
        <v>0</v>
      </c>
      <c r="H64" s="319">
        <v>0</v>
      </c>
      <c r="I64" s="319">
        <v>0</v>
      </c>
      <c r="J64" s="319">
        <v>0</v>
      </c>
    </row>
    <row r="65" spans="1:10">
      <c r="A65" s="142" t="s">
        <v>183</v>
      </c>
      <c r="B65" s="391">
        <v>0</v>
      </c>
      <c r="C65" s="267">
        <v>0</v>
      </c>
      <c r="D65" s="267">
        <v>0</v>
      </c>
      <c r="E65" s="267">
        <v>0</v>
      </c>
      <c r="F65" s="267">
        <v>0</v>
      </c>
      <c r="G65" s="267">
        <v>0</v>
      </c>
      <c r="H65" s="267">
        <v>0</v>
      </c>
      <c r="I65" s="267">
        <v>0</v>
      </c>
      <c r="J65" s="267">
        <v>0</v>
      </c>
    </row>
    <row r="66" spans="1:10">
      <c r="A66" s="143" t="s">
        <v>188</v>
      </c>
      <c r="B66" s="392">
        <v>0</v>
      </c>
      <c r="C66" s="268">
        <v>0</v>
      </c>
      <c r="D66" s="268">
        <v>0</v>
      </c>
      <c r="E66" s="268">
        <v>0</v>
      </c>
      <c r="F66" s="268">
        <v>0</v>
      </c>
      <c r="G66" s="268">
        <v>0</v>
      </c>
      <c r="H66" s="268">
        <v>0</v>
      </c>
      <c r="I66" s="268">
        <v>0</v>
      </c>
      <c r="J66" s="268">
        <v>0</v>
      </c>
    </row>
    <row r="67" spans="1:10">
      <c r="A67" s="144" t="s">
        <v>709</v>
      </c>
      <c r="B67" s="393">
        <v>0</v>
      </c>
      <c r="C67" s="269">
        <v>0</v>
      </c>
      <c r="D67" s="269">
        <v>0</v>
      </c>
      <c r="E67" s="269">
        <v>0</v>
      </c>
      <c r="F67" s="269">
        <v>0</v>
      </c>
      <c r="G67" s="269">
        <v>0</v>
      </c>
      <c r="H67" s="269">
        <v>0</v>
      </c>
      <c r="I67" s="269">
        <v>0</v>
      </c>
      <c r="J67" s="269">
        <v>0</v>
      </c>
    </row>
    <row r="68" spans="1:10">
      <c r="A68" s="320" t="s">
        <v>192</v>
      </c>
      <c r="B68" s="394">
        <v>0</v>
      </c>
      <c r="C68" s="321">
        <v>0</v>
      </c>
      <c r="D68" s="321">
        <v>0</v>
      </c>
      <c r="E68" s="321">
        <v>0</v>
      </c>
      <c r="F68" s="321">
        <v>0</v>
      </c>
      <c r="G68" s="321">
        <v>0</v>
      </c>
      <c r="H68" s="321">
        <v>0</v>
      </c>
      <c r="I68" s="321">
        <v>0</v>
      </c>
      <c r="J68" s="321">
        <v>0</v>
      </c>
    </row>
    <row r="69" spans="1:10">
      <c r="A69" s="145" t="s">
        <v>711</v>
      </c>
      <c r="B69" s="395">
        <v>0</v>
      </c>
      <c r="C69" s="270">
        <v>0</v>
      </c>
      <c r="D69" s="270">
        <v>0</v>
      </c>
      <c r="E69" s="270">
        <v>0</v>
      </c>
      <c r="F69" s="270">
        <v>0</v>
      </c>
      <c r="G69" s="270">
        <v>0</v>
      </c>
      <c r="H69" s="270">
        <v>0</v>
      </c>
      <c r="I69" s="270">
        <v>0</v>
      </c>
      <c r="J69" s="270">
        <v>0</v>
      </c>
    </row>
    <row r="70" spans="1:10">
      <c r="A70" s="322" t="s">
        <v>194</v>
      </c>
      <c r="B70" s="396">
        <v>0</v>
      </c>
      <c r="C70" s="323">
        <v>0</v>
      </c>
      <c r="D70" s="323">
        <v>0</v>
      </c>
      <c r="E70" s="323">
        <v>0</v>
      </c>
      <c r="F70" s="323">
        <v>0</v>
      </c>
      <c r="G70" s="323">
        <v>0</v>
      </c>
      <c r="H70" s="323">
        <v>0</v>
      </c>
      <c r="I70" s="323">
        <v>0</v>
      </c>
      <c r="J70" s="323">
        <v>0</v>
      </c>
    </row>
    <row r="71" spans="1:10">
      <c r="A71" s="146" t="s">
        <v>195</v>
      </c>
      <c r="B71" s="397">
        <v>0</v>
      </c>
      <c r="C71" s="271">
        <v>0</v>
      </c>
      <c r="D71" s="271">
        <v>0</v>
      </c>
      <c r="E71" s="271">
        <v>0</v>
      </c>
      <c r="F71" s="271">
        <v>0</v>
      </c>
      <c r="G71" s="271">
        <v>0</v>
      </c>
      <c r="H71" s="271">
        <v>0</v>
      </c>
      <c r="I71" s="271">
        <v>0</v>
      </c>
      <c r="J71" s="271">
        <v>0</v>
      </c>
    </row>
    <row r="72" spans="1:10">
      <c r="A72" s="147" t="s">
        <v>196</v>
      </c>
      <c r="B72" s="398">
        <v>0</v>
      </c>
      <c r="C72" s="272">
        <v>0</v>
      </c>
      <c r="D72" s="272">
        <v>0</v>
      </c>
      <c r="E72" s="272">
        <v>0</v>
      </c>
      <c r="F72" s="272">
        <v>0</v>
      </c>
      <c r="G72" s="272">
        <v>0</v>
      </c>
      <c r="H72" s="272">
        <v>0</v>
      </c>
      <c r="I72" s="272">
        <v>0</v>
      </c>
      <c r="J72" s="272">
        <v>0</v>
      </c>
    </row>
    <row r="73" spans="1:10">
      <c r="A73" s="148" t="s">
        <v>199</v>
      </c>
      <c r="B73" s="399">
        <v>0</v>
      </c>
      <c r="C73" s="273">
        <v>0</v>
      </c>
      <c r="D73" s="273">
        <v>0</v>
      </c>
      <c r="E73" s="273">
        <v>0</v>
      </c>
      <c r="F73" s="273">
        <v>0</v>
      </c>
      <c r="G73" s="273">
        <v>0</v>
      </c>
      <c r="H73" s="273">
        <v>0</v>
      </c>
      <c r="I73" s="273">
        <v>0</v>
      </c>
      <c r="J73" s="273">
        <v>0</v>
      </c>
    </row>
    <row r="74" spans="1:10">
      <c r="A74" s="149" t="s">
        <v>202</v>
      </c>
      <c r="B74" s="400">
        <v>0</v>
      </c>
      <c r="C74" s="274">
        <v>0</v>
      </c>
      <c r="D74" s="274">
        <v>0</v>
      </c>
      <c r="E74" s="274">
        <v>0</v>
      </c>
      <c r="F74" s="274">
        <v>0</v>
      </c>
      <c r="G74" s="274">
        <v>0</v>
      </c>
      <c r="H74" s="274">
        <v>0</v>
      </c>
      <c r="I74" s="274">
        <v>0</v>
      </c>
      <c r="J74" s="274">
        <v>0</v>
      </c>
    </row>
    <row r="75" spans="1:10">
      <c r="A75" s="178" t="s">
        <v>203</v>
      </c>
      <c r="B75" s="401">
        <v>0</v>
      </c>
      <c r="C75" s="275">
        <v>0</v>
      </c>
      <c r="D75" s="275">
        <v>0</v>
      </c>
      <c r="E75" s="275">
        <v>0</v>
      </c>
      <c r="F75" s="275">
        <v>0</v>
      </c>
      <c r="G75" s="275">
        <v>0</v>
      </c>
      <c r="H75" s="275">
        <v>0</v>
      </c>
      <c r="I75" s="275">
        <v>0</v>
      </c>
      <c r="J75" s="275">
        <v>0</v>
      </c>
    </row>
    <row r="76" spans="1:10">
      <c r="A76" s="150" t="s">
        <v>207</v>
      </c>
      <c r="B76" s="402">
        <v>0</v>
      </c>
      <c r="C76" s="276">
        <v>0</v>
      </c>
      <c r="D76" s="276">
        <v>0</v>
      </c>
      <c r="E76" s="276">
        <v>0</v>
      </c>
      <c r="F76" s="276">
        <v>0</v>
      </c>
      <c r="G76" s="276">
        <v>0</v>
      </c>
      <c r="H76" s="276">
        <v>0</v>
      </c>
      <c r="I76" s="276">
        <v>0</v>
      </c>
      <c r="J76" s="276">
        <v>0</v>
      </c>
    </row>
    <row r="77" spans="1:10">
      <c r="A77" s="324" t="s">
        <v>208</v>
      </c>
      <c r="B77" s="403">
        <v>0</v>
      </c>
      <c r="C77" s="325">
        <v>0</v>
      </c>
      <c r="D77" s="325">
        <v>0</v>
      </c>
      <c r="E77" s="325">
        <v>0</v>
      </c>
      <c r="F77" s="325">
        <v>0</v>
      </c>
      <c r="G77" s="325">
        <v>0</v>
      </c>
      <c r="H77" s="325">
        <v>0</v>
      </c>
      <c r="I77" s="325">
        <v>0</v>
      </c>
      <c r="J77" s="325">
        <v>0</v>
      </c>
    </row>
    <row r="78" spans="1:10">
      <c r="A78" s="151" t="s">
        <v>211</v>
      </c>
      <c r="B78" s="404">
        <v>0</v>
      </c>
      <c r="C78" s="277">
        <v>0</v>
      </c>
      <c r="D78" s="277">
        <v>0</v>
      </c>
      <c r="E78" s="277">
        <v>0</v>
      </c>
      <c r="F78" s="277">
        <v>0</v>
      </c>
      <c r="G78" s="277">
        <v>0</v>
      </c>
      <c r="H78" s="277">
        <v>0</v>
      </c>
      <c r="I78" s="277">
        <v>0</v>
      </c>
      <c r="J78" s="277">
        <v>0</v>
      </c>
    </row>
    <row r="79" spans="1:10">
      <c r="A79" s="152" t="s">
        <v>213</v>
      </c>
      <c r="B79" s="405">
        <v>0</v>
      </c>
      <c r="C79" s="278">
        <v>0</v>
      </c>
      <c r="D79" s="278">
        <v>0</v>
      </c>
      <c r="E79" s="278">
        <v>0</v>
      </c>
      <c r="F79" s="278">
        <v>0</v>
      </c>
      <c r="G79" s="278">
        <v>0</v>
      </c>
      <c r="H79" s="278">
        <v>0</v>
      </c>
      <c r="I79" s="278">
        <v>0</v>
      </c>
      <c r="J79" s="278">
        <v>0</v>
      </c>
    </row>
    <row r="80" spans="1:10">
      <c r="A80" s="326" t="s">
        <v>215</v>
      </c>
      <c r="B80" s="406">
        <v>0</v>
      </c>
      <c r="C80" s="327">
        <v>0</v>
      </c>
      <c r="D80" s="327">
        <v>0</v>
      </c>
      <c r="E80" s="327">
        <v>0</v>
      </c>
      <c r="F80" s="327">
        <v>0</v>
      </c>
      <c r="G80" s="327">
        <v>0</v>
      </c>
      <c r="H80" s="327">
        <v>0</v>
      </c>
      <c r="I80" s="327">
        <v>0</v>
      </c>
      <c r="J80" s="327">
        <v>0</v>
      </c>
    </row>
    <row r="81" spans="1:10">
      <c r="A81" s="155" t="s">
        <v>222</v>
      </c>
      <c r="B81" s="409">
        <v>0</v>
      </c>
      <c r="C81" s="281">
        <v>0</v>
      </c>
      <c r="D81" s="281">
        <v>0</v>
      </c>
      <c r="E81" s="281">
        <v>0</v>
      </c>
      <c r="F81" s="281">
        <v>0</v>
      </c>
      <c r="G81" s="281">
        <v>0</v>
      </c>
      <c r="H81" s="281">
        <v>0</v>
      </c>
      <c r="I81" s="281">
        <v>0</v>
      </c>
      <c r="J81" s="281">
        <v>0</v>
      </c>
    </row>
    <row r="82" spans="1:10">
      <c r="A82" s="156" t="s">
        <v>715</v>
      </c>
      <c r="B82" s="410">
        <v>0</v>
      </c>
      <c r="C82" s="282">
        <v>0</v>
      </c>
      <c r="D82" s="282">
        <v>0</v>
      </c>
      <c r="E82" s="282">
        <v>0</v>
      </c>
      <c r="F82" s="282">
        <v>0</v>
      </c>
      <c r="G82" s="282">
        <v>0</v>
      </c>
      <c r="H82" s="282">
        <v>0</v>
      </c>
      <c r="I82" s="282">
        <v>0</v>
      </c>
      <c r="J82" s="282">
        <v>0</v>
      </c>
    </row>
    <row r="83" spans="1:10">
      <c r="A83" s="328" t="s">
        <v>224</v>
      </c>
      <c r="B83" s="411">
        <v>0</v>
      </c>
      <c r="C83" s="329">
        <v>0</v>
      </c>
      <c r="D83" s="329">
        <v>0</v>
      </c>
      <c r="E83" s="329">
        <v>0</v>
      </c>
      <c r="F83" s="329">
        <v>0</v>
      </c>
      <c r="G83" s="329">
        <v>0</v>
      </c>
      <c r="H83" s="329">
        <v>0</v>
      </c>
      <c r="I83" s="329">
        <v>0</v>
      </c>
      <c r="J83" s="329">
        <v>0</v>
      </c>
    </row>
    <row r="84" spans="1:10">
      <c r="A84" s="158" t="s">
        <v>227</v>
      </c>
      <c r="B84" s="413">
        <v>0</v>
      </c>
      <c r="C84" s="284">
        <v>0</v>
      </c>
      <c r="D84" s="284">
        <v>0</v>
      </c>
      <c r="E84" s="284">
        <v>0</v>
      </c>
      <c r="F84" s="284">
        <v>0</v>
      </c>
      <c r="G84" s="284">
        <v>0</v>
      </c>
      <c r="H84" s="284">
        <v>0</v>
      </c>
      <c r="I84" s="284">
        <v>0</v>
      </c>
      <c r="J84" s="284">
        <v>0</v>
      </c>
    </row>
    <row r="85" spans="1:10">
      <c r="A85" s="162" t="s">
        <v>235</v>
      </c>
      <c r="B85" s="419">
        <v>0</v>
      </c>
      <c r="C85" s="289">
        <v>0</v>
      </c>
      <c r="D85" s="289">
        <v>0</v>
      </c>
      <c r="E85" s="289">
        <v>0</v>
      </c>
      <c r="F85" s="289">
        <v>0</v>
      </c>
      <c r="G85" s="289">
        <v>0</v>
      </c>
      <c r="H85" s="289">
        <v>0</v>
      </c>
      <c r="I85" s="289">
        <v>0</v>
      </c>
      <c r="J85" s="289">
        <v>0</v>
      </c>
    </row>
    <row r="86" spans="1:10">
      <c r="A86" s="164" t="s">
        <v>236</v>
      </c>
      <c r="B86" s="421">
        <v>0</v>
      </c>
      <c r="C86" s="291">
        <v>0</v>
      </c>
      <c r="D86" s="291">
        <v>0</v>
      </c>
      <c r="E86" s="291">
        <v>0</v>
      </c>
      <c r="F86" s="291">
        <v>0</v>
      </c>
      <c r="G86" s="291">
        <v>0</v>
      </c>
      <c r="H86" s="291">
        <v>0</v>
      </c>
      <c r="I86" s="291">
        <v>0</v>
      </c>
      <c r="J86" s="291">
        <v>0</v>
      </c>
    </row>
    <row r="87" spans="1:10">
      <c r="A87" s="332" t="s">
        <v>237</v>
      </c>
      <c r="B87" s="422">
        <v>0</v>
      </c>
      <c r="C87" s="333">
        <v>0</v>
      </c>
      <c r="D87" s="333">
        <v>0</v>
      </c>
      <c r="E87" s="333">
        <v>0</v>
      </c>
      <c r="F87" s="333">
        <v>0</v>
      </c>
      <c r="G87" s="333">
        <v>0</v>
      </c>
      <c r="H87" s="333">
        <v>0</v>
      </c>
      <c r="I87" s="333">
        <v>0</v>
      </c>
      <c r="J87" s="333">
        <v>0</v>
      </c>
    </row>
    <row r="88" spans="1:10">
      <c r="A88" s="334" t="s">
        <v>238</v>
      </c>
      <c r="B88" s="423">
        <v>0</v>
      </c>
      <c r="C88" s="335">
        <v>0</v>
      </c>
      <c r="D88" s="335">
        <v>0</v>
      </c>
      <c r="E88" s="335">
        <v>0</v>
      </c>
      <c r="F88" s="335">
        <v>0</v>
      </c>
      <c r="G88" s="335">
        <v>0</v>
      </c>
      <c r="H88" s="335">
        <v>0</v>
      </c>
      <c r="I88" s="335">
        <v>0</v>
      </c>
      <c r="J88" s="335">
        <v>0</v>
      </c>
    </row>
    <row r="89" spans="1:10">
      <c r="A89" s="336" t="s">
        <v>716</v>
      </c>
      <c r="B89" s="428">
        <v>0</v>
      </c>
      <c r="C89" s="337">
        <v>0</v>
      </c>
      <c r="D89" s="337">
        <v>0</v>
      </c>
      <c r="E89" s="337">
        <v>0</v>
      </c>
      <c r="F89" s="337">
        <v>0</v>
      </c>
      <c r="G89" s="337">
        <v>0</v>
      </c>
      <c r="H89" s="337">
        <v>0</v>
      </c>
      <c r="I89" s="337">
        <v>0</v>
      </c>
      <c r="J89" s="337">
        <v>0</v>
      </c>
    </row>
    <row r="90" spans="1:10">
      <c r="A90" s="169" t="s">
        <v>244</v>
      </c>
      <c r="B90" s="429">
        <v>0</v>
      </c>
      <c r="C90" s="296">
        <v>0</v>
      </c>
      <c r="D90" s="296">
        <v>0</v>
      </c>
      <c r="E90" s="296">
        <v>0</v>
      </c>
      <c r="F90" s="296">
        <v>0</v>
      </c>
      <c r="G90" s="296">
        <v>0</v>
      </c>
      <c r="H90" s="296">
        <v>0</v>
      </c>
      <c r="I90" s="296">
        <v>0</v>
      </c>
      <c r="J90" s="296">
        <v>0</v>
      </c>
    </row>
    <row r="91" spans="1:10">
      <c r="A91" s="338" t="s">
        <v>246</v>
      </c>
      <c r="B91" s="430">
        <v>0</v>
      </c>
      <c r="C91" s="339">
        <v>0</v>
      </c>
      <c r="D91" s="339">
        <v>0</v>
      </c>
      <c r="E91" s="339">
        <v>0</v>
      </c>
      <c r="F91" s="339">
        <v>0</v>
      </c>
      <c r="G91" s="339">
        <v>0</v>
      </c>
      <c r="H91" s="339">
        <v>0</v>
      </c>
      <c r="I91" s="339">
        <v>0</v>
      </c>
      <c r="J91" s="339">
        <v>0</v>
      </c>
    </row>
    <row r="92" spans="1:10">
      <c r="A92" s="170" t="s">
        <v>247</v>
      </c>
      <c r="B92" s="431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</row>
    <row r="93" spans="1:10">
      <c r="A93" s="171" t="s">
        <v>248</v>
      </c>
      <c r="B93" s="432">
        <v>0</v>
      </c>
      <c r="C93" s="298">
        <v>0</v>
      </c>
      <c r="D93" s="298">
        <v>0</v>
      </c>
      <c r="E93" s="298">
        <v>0</v>
      </c>
      <c r="F93" s="298">
        <v>0</v>
      </c>
      <c r="G93" s="298">
        <v>0</v>
      </c>
      <c r="H93" s="298">
        <v>0</v>
      </c>
      <c r="I93" s="298">
        <v>0</v>
      </c>
      <c r="J93" s="298">
        <v>0</v>
      </c>
    </row>
    <row r="94" spans="1:10">
      <c r="A94" s="172" t="s">
        <v>250</v>
      </c>
      <c r="B94" s="433">
        <v>0</v>
      </c>
      <c r="C94" s="299">
        <v>0</v>
      </c>
      <c r="D94" s="299">
        <v>0</v>
      </c>
      <c r="E94" s="299">
        <v>0</v>
      </c>
      <c r="F94" s="299">
        <v>0</v>
      </c>
      <c r="G94" s="299">
        <v>0</v>
      </c>
      <c r="H94" s="299">
        <v>0</v>
      </c>
      <c r="I94" s="299">
        <v>0</v>
      </c>
      <c r="J94" s="299">
        <v>0</v>
      </c>
    </row>
    <row r="95" spans="1:10">
      <c r="A95" s="342" t="s">
        <v>257</v>
      </c>
      <c r="B95" s="435">
        <v>0</v>
      </c>
      <c r="C95" s="343">
        <v>0</v>
      </c>
      <c r="D95" s="343">
        <v>0</v>
      </c>
      <c r="E95" s="343">
        <v>0</v>
      </c>
      <c r="F95" s="343">
        <v>0</v>
      </c>
      <c r="G95" s="343">
        <v>0</v>
      </c>
      <c r="H95" s="343">
        <v>0</v>
      </c>
      <c r="I95" s="343">
        <v>0</v>
      </c>
      <c r="J95" s="343">
        <v>0</v>
      </c>
    </row>
    <row r="96" spans="1:10">
      <c r="A96" s="348" t="s">
        <v>718</v>
      </c>
      <c r="B96" s="441">
        <v>0</v>
      </c>
      <c r="C96" s="349">
        <v>0</v>
      </c>
      <c r="D96" s="349">
        <v>0</v>
      </c>
      <c r="E96" s="349">
        <v>0</v>
      </c>
      <c r="F96" s="349">
        <v>0</v>
      </c>
      <c r="G96" s="349">
        <v>0</v>
      </c>
      <c r="H96" s="349">
        <v>0</v>
      </c>
      <c r="I96" s="349">
        <v>0</v>
      </c>
      <c r="J96" s="349">
        <v>0</v>
      </c>
    </row>
    <row r="97" spans="1:10">
      <c r="A97" s="469" t="s">
        <v>210</v>
      </c>
      <c r="B97" s="470">
        <v>0</v>
      </c>
      <c r="C97" s="471">
        <v>0</v>
      </c>
      <c r="D97" s="471">
        <v>0</v>
      </c>
      <c r="E97" s="471">
        <v>0</v>
      </c>
      <c r="F97" s="471">
        <v>0</v>
      </c>
      <c r="G97" s="471">
        <v>0</v>
      </c>
      <c r="H97" s="471">
        <v>0</v>
      </c>
      <c r="I97" s="471">
        <v>0</v>
      </c>
      <c r="J97" s="471">
        <v>0</v>
      </c>
    </row>
    <row r="98" spans="1:10">
      <c r="A98" s="472" t="s">
        <v>205</v>
      </c>
      <c r="B98" s="473">
        <v>0</v>
      </c>
      <c r="C98" s="474">
        <v>0</v>
      </c>
      <c r="D98" s="474"/>
      <c r="E98" s="474"/>
      <c r="F98" s="474"/>
      <c r="G98" s="474"/>
      <c r="H98" s="474"/>
      <c r="I98" s="474"/>
      <c r="J98" s="474"/>
    </row>
    <row r="99" spans="1:10">
      <c r="A99" s="475" t="s">
        <v>260</v>
      </c>
      <c r="B99" s="476">
        <v>0</v>
      </c>
      <c r="C99" s="477">
        <v>0</v>
      </c>
      <c r="D99" s="477"/>
      <c r="E99" s="477"/>
      <c r="F99" s="477"/>
      <c r="G99" s="477"/>
      <c r="H99" s="477"/>
      <c r="I99" s="477"/>
      <c r="J99" s="477"/>
    </row>
    <row r="100" spans="1:10">
      <c r="A100" s="478" t="s">
        <v>134</v>
      </c>
      <c r="B100" s="479">
        <v>0</v>
      </c>
      <c r="C100" s="480">
        <v>0</v>
      </c>
      <c r="D100" s="480"/>
      <c r="E100" s="480"/>
      <c r="F100" s="480"/>
      <c r="G100" s="480"/>
      <c r="H100" s="480"/>
      <c r="I100" s="480"/>
      <c r="J100" s="480"/>
    </row>
    <row r="101" spans="1:10">
      <c r="A101" s="481" t="s">
        <v>130</v>
      </c>
      <c r="B101" s="482">
        <v>0</v>
      </c>
      <c r="C101" s="483">
        <v>0</v>
      </c>
      <c r="D101" s="483"/>
      <c r="E101" s="483"/>
      <c r="F101" s="483"/>
      <c r="G101" s="483"/>
      <c r="H101" s="483"/>
      <c r="I101" s="483"/>
      <c r="J101" s="483"/>
    </row>
    <row r="102" spans="1:10">
      <c r="A102" s="484" t="s">
        <v>712</v>
      </c>
      <c r="B102" s="485">
        <v>0</v>
      </c>
      <c r="C102" s="486">
        <v>0</v>
      </c>
      <c r="D102" s="486"/>
      <c r="E102" s="486"/>
      <c r="F102" s="486"/>
      <c r="G102" s="486"/>
      <c r="H102" s="486"/>
      <c r="I102" s="486"/>
      <c r="J102" s="486"/>
    </row>
    <row r="103" spans="1:10">
      <c r="A103" s="487" t="s">
        <v>166</v>
      </c>
      <c r="B103" s="488">
        <v>0</v>
      </c>
      <c r="C103" s="489">
        <v>0</v>
      </c>
      <c r="D103" s="489"/>
      <c r="E103" s="489"/>
      <c r="F103" s="489"/>
      <c r="G103" s="489"/>
      <c r="H103" s="489"/>
      <c r="I103" s="489"/>
      <c r="J103" s="489"/>
    </row>
    <row r="104" spans="1:10">
      <c r="A104" s="490" t="s">
        <v>710</v>
      </c>
      <c r="B104" s="491">
        <v>0</v>
      </c>
      <c r="C104" s="492">
        <v>0</v>
      </c>
      <c r="D104" s="492"/>
      <c r="E104" s="492"/>
      <c r="F104" s="492"/>
      <c r="G104" s="492"/>
      <c r="H104" s="492"/>
      <c r="I104" s="492"/>
      <c r="J104" s="492"/>
    </row>
    <row r="105" spans="1:10">
      <c r="A105" s="493" t="s">
        <v>255</v>
      </c>
      <c r="B105" s="494">
        <v>0</v>
      </c>
      <c r="C105" s="495">
        <v>0</v>
      </c>
      <c r="D105" s="495"/>
      <c r="E105" s="495"/>
      <c r="F105" s="495"/>
      <c r="G105" s="495"/>
      <c r="H105" s="495"/>
      <c r="I105" s="495"/>
      <c r="J105" s="495"/>
    </row>
    <row r="106" spans="1:10">
      <c r="A106" s="496" t="s">
        <v>245</v>
      </c>
      <c r="B106" s="497">
        <v>0</v>
      </c>
      <c r="C106" s="498">
        <v>0</v>
      </c>
      <c r="D106" s="498"/>
      <c r="E106" s="498"/>
      <c r="F106" s="498"/>
      <c r="G106" s="498"/>
      <c r="H106" s="498"/>
      <c r="I106" s="498"/>
      <c r="J106" s="498"/>
    </row>
    <row r="107" spans="1:10">
      <c r="A107" s="499" t="s">
        <v>714</v>
      </c>
      <c r="B107" s="500">
        <v>0</v>
      </c>
      <c r="C107" s="501">
        <v>0</v>
      </c>
      <c r="D107" s="501"/>
      <c r="E107" s="501"/>
      <c r="F107" s="501"/>
      <c r="G107" s="501"/>
      <c r="H107" s="501"/>
      <c r="I107" s="501"/>
      <c r="J107" s="501"/>
    </row>
    <row r="108" spans="1:10">
      <c r="A108" s="502" t="s">
        <v>217</v>
      </c>
      <c r="B108" s="503">
        <v>0</v>
      </c>
      <c r="C108" s="504">
        <v>0</v>
      </c>
      <c r="D108" s="504"/>
      <c r="E108" s="504"/>
      <c r="F108" s="504"/>
      <c r="G108" s="504"/>
      <c r="H108" s="504"/>
      <c r="I108" s="504"/>
      <c r="J108" s="504"/>
    </row>
    <row r="109" spans="1:10">
      <c r="A109" s="505" t="s">
        <v>191</v>
      </c>
      <c r="B109" s="506">
        <v>0</v>
      </c>
      <c r="C109" s="507">
        <v>0</v>
      </c>
      <c r="D109" s="507"/>
      <c r="E109" s="507"/>
      <c r="F109" s="507"/>
      <c r="G109" s="507"/>
      <c r="H109" s="507"/>
      <c r="I109" s="507"/>
      <c r="J109" s="507"/>
    </row>
    <row r="110" spans="1:10">
      <c r="A110" s="508" t="s">
        <v>198</v>
      </c>
      <c r="B110" s="509">
        <v>0</v>
      </c>
      <c r="C110" s="510">
        <v>0</v>
      </c>
      <c r="D110" s="510"/>
      <c r="E110" s="510"/>
      <c r="F110" s="510"/>
      <c r="G110" s="510"/>
      <c r="H110" s="510"/>
      <c r="I110" s="510"/>
      <c r="J110" s="510"/>
    </row>
    <row r="111" spans="1:10">
      <c r="A111" s="644" t="s">
        <v>201</v>
      </c>
      <c r="B111" s="645">
        <v>0</v>
      </c>
      <c r="C111" s="646">
        <v>0</v>
      </c>
      <c r="D111" s="646"/>
      <c r="E111" s="646"/>
      <c r="F111" s="646"/>
      <c r="G111" s="646"/>
      <c r="H111" s="646"/>
      <c r="I111" s="646"/>
      <c r="J111" s="646"/>
    </row>
    <row r="112" spans="1:10">
      <c r="A112" s="138" t="s">
        <v>773</v>
      </c>
      <c r="B112" s="385"/>
      <c r="C112" s="263"/>
      <c r="D112" s="263"/>
      <c r="E112" s="263"/>
      <c r="F112" s="263"/>
      <c r="G112" s="263"/>
      <c r="H112" s="263"/>
      <c r="I112" s="263"/>
      <c r="J112" s="263"/>
    </row>
    <row r="113" spans="1:10">
      <c r="A113" s="653"/>
      <c r="B113" s="653"/>
      <c r="C113" s="653"/>
      <c r="D113" s="653"/>
      <c r="E113" s="653"/>
      <c r="F113" s="653"/>
      <c r="G113" s="653"/>
      <c r="H113" s="653"/>
      <c r="I113" s="653"/>
      <c r="J113" s="653"/>
    </row>
    <row r="114" spans="1:10">
      <c r="A114" s="653"/>
      <c r="B114" s="653"/>
      <c r="C114" s="653"/>
      <c r="D114" s="653"/>
      <c r="E114" s="653"/>
      <c r="F114" s="653"/>
      <c r="G114" s="653"/>
      <c r="H114" s="653"/>
      <c r="I114" s="653"/>
      <c r="J114" s="653"/>
    </row>
    <row r="115" spans="1:10">
      <c r="A115" s="653"/>
      <c r="B115" s="653"/>
      <c r="C115" s="653"/>
      <c r="D115" s="653"/>
      <c r="E115" s="653"/>
      <c r="F115" s="653"/>
      <c r="G115" s="653"/>
      <c r="H115" s="653"/>
      <c r="I115" s="653"/>
      <c r="J115" s="653"/>
    </row>
    <row r="116" spans="1:10">
      <c r="A116" s="653"/>
      <c r="B116" s="653"/>
      <c r="C116" s="653"/>
      <c r="D116" s="653"/>
      <c r="E116" s="653"/>
      <c r="F116" s="653"/>
      <c r="G116" s="653"/>
      <c r="H116" s="653"/>
      <c r="I116" s="653"/>
      <c r="J116" s="653"/>
    </row>
    <row r="117" spans="1:10">
      <c r="A117" s="653"/>
      <c r="B117" s="653"/>
      <c r="C117" s="653"/>
      <c r="D117" s="653"/>
      <c r="E117" s="653"/>
      <c r="F117" s="653"/>
      <c r="G117" s="653"/>
      <c r="H117" s="653"/>
      <c r="I117" s="653"/>
      <c r="J117" s="653"/>
    </row>
    <row r="118" spans="1:10">
      <c r="A118" s="653"/>
      <c r="B118" s="653"/>
      <c r="C118" s="653"/>
      <c r="D118" s="653"/>
      <c r="E118" s="653"/>
      <c r="F118" s="653"/>
      <c r="G118" s="653"/>
      <c r="H118" s="653"/>
      <c r="I118" s="653"/>
      <c r="J118" s="653"/>
    </row>
    <row r="119" spans="1:10">
      <c r="A119" s="653"/>
      <c r="B119" s="653"/>
      <c r="C119" s="653"/>
      <c r="D119" s="653"/>
      <c r="E119" s="653"/>
      <c r="F119" s="653"/>
      <c r="G119" s="653"/>
      <c r="H119" s="653"/>
      <c r="I119" s="653"/>
      <c r="J119" s="653"/>
    </row>
    <row r="120" spans="1:10">
      <c r="A120" s="653"/>
      <c r="B120" s="653"/>
      <c r="C120" s="653"/>
      <c r="D120" s="653"/>
      <c r="E120" s="653"/>
      <c r="F120" s="653"/>
      <c r="G120" s="653"/>
      <c r="H120" s="653"/>
      <c r="I120" s="653"/>
      <c r="J120" s="653"/>
    </row>
    <row r="121" spans="1:10">
      <c r="A121" s="653"/>
      <c r="B121" s="653"/>
      <c r="C121" s="653"/>
      <c r="D121" s="653"/>
      <c r="E121" s="653"/>
      <c r="F121" s="653"/>
      <c r="G121" s="653"/>
      <c r="H121" s="653"/>
      <c r="I121" s="653"/>
      <c r="J121" s="653"/>
    </row>
    <row r="122" spans="1:10">
      <c r="A122" s="653"/>
      <c r="B122" s="653"/>
      <c r="C122" s="653"/>
      <c r="D122" s="653"/>
      <c r="E122" s="653"/>
      <c r="F122" s="653"/>
      <c r="G122" s="653"/>
      <c r="H122" s="653"/>
      <c r="I122" s="653"/>
      <c r="J122" s="653"/>
    </row>
    <row r="123" spans="1:10">
      <c r="A123" s="653"/>
      <c r="B123" s="653"/>
      <c r="C123" s="653"/>
      <c r="D123" s="653"/>
      <c r="E123" s="653"/>
      <c r="F123" s="653"/>
      <c r="G123" s="653"/>
      <c r="H123" s="653"/>
      <c r="I123" s="653"/>
      <c r="J123" s="653"/>
    </row>
    <row r="124" spans="1:10">
      <c r="A124" s="653"/>
      <c r="B124" s="653"/>
      <c r="C124" s="653"/>
      <c r="D124" s="653"/>
      <c r="E124" s="653"/>
      <c r="F124" s="653"/>
      <c r="G124" s="653"/>
      <c r="H124" s="653"/>
      <c r="I124" s="653"/>
      <c r="J124" s="653"/>
    </row>
    <row r="125" spans="1:10">
      <c r="A125" s="653"/>
      <c r="B125" s="653"/>
      <c r="C125" s="653"/>
      <c r="D125" s="653"/>
      <c r="E125" s="653"/>
      <c r="F125" s="653"/>
      <c r="G125" s="653"/>
      <c r="H125" s="653"/>
      <c r="I125" s="653"/>
      <c r="J125" s="653"/>
    </row>
    <row r="126" spans="1:10">
      <c r="A126" s="653"/>
      <c r="B126" s="653"/>
      <c r="C126" s="653"/>
      <c r="D126" s="653"/>
      <c r="E126" s="653"/>
      <c r="F126" s="653"/>
      <c r="G126" s="653"/>
      <c r="H126" s="653"/>
      <c r="I126" s="653"/>
      <c r="J126" s="653"/>
    </row>
    <row r="127" spans="1:10">
      <c r="A127" s="653"/>
      <c r="B127" s="653"/>
      <c r="C127" s="653"/>
      <c r="D127" s="653"/>
      <c r="E127" s="653"/>
      <c r="F127" s="653"/>
      <c r="G127" s="653"/>
      <c r="H127" s="653"/>
      <c r="I127" s="653"/>
      <c r="J127" s="653"/>
    </row>
    <row r="128" spans="1:10">
      <c r="A128" s="653"/>
      <c r="B128" s="653"/>
      <c r="C128" s="653"/>
      <c r="D128" s="653"/>
      <c r="E128" s="653"/>
      <c r="F128" s="653"/>
      <c r="G128" s="653"/>
      <c r="H128" s="653"/>
      <c r="I128" s="653"/>
      <c r="J128" s="653"/>
    </row>
    <row r="129" spans="1:10">
      <c r="A129" s="653"/>
      <c r="B129" s="653"/>
      <c r="C129" s="653"/>
      <c r="D129" s="653"/>
      <c r="E129" s="653"/>
      <c r="F129" s="653"/>
      <c r="G129" s="653"/>
      <c r="H129" s="653"/>
      <c r="I129" s="653"/>
      <c r="J129" s="653"/>
    </row>
    <row r="130" spans="1:10">
      <c r="A130" s="653"/>
      <c r="B130" s="653"/>
      <c r="C130" s="653"/>
      <c r="D130" s="653"/>
      <c r="E130" s="653"/>
      <c r="F130" s="653"/>
      <c r="G130" s="653"/>
      <c r="H130" s="653"/>
      <c r="I130" s="653"/>
      <c r="J130" s="653"/>
    </row>
    <row r="131" spans="1:10">
      <c r="A131" s="653"/>
      <c r="B131" s="653"/>
      <c r="C131" s="653"/>
      <c r="D131" s="653"/>
      <c r="E131" s="653"/>
      <c r="F131" s="653"/>
      <c r="G131" s="653"/>
      <c r="H131" s="653"/>
      <c r="I131" s="653"/>
      <c r="J131" s="653"/>
    </row>
    <row r="132" spans="1:10">
      <c r="A132" s="653"/>
      <c r="B132" s="653"/>
      <c r="C132" s="653"/>
      <c r="D132" s="653"/>
      <c r="E132" s="653"/>
      <c r="F132" s="653"/>
      <c r="G132" s="653"/>
      <c r="H132" s="653"/>
      <c r="I132" s="653"/>
      <c r="J132" s="653"/>
    </row>
    <row r="133" spans="1:10">
      <c r="A133" s="653"/>
      <c r="B133" s="653"/>
      <c r="C133" s="653"/>
      <c r="D133" s="653"/>
      <c r="E133" s="653"/>
      <c r="F133" s="653"/>
      <c r="G133" s="653"/>
      <c r="H133" s="653"/>
      <c r="I133" s="653"/>
      <c r="J133" s="653"/>
    </row>
    <row r="134" spans="1:10">
      <c r="A134" s="653"/>
      <c r="B134" s="653"/>
      <c r="C134" s="653"/>
      <c r="D134" s="653"/>
      <c r="E134" s="653"/>
      <c r="F134" s="653"/>
      <c r="G134" s="653"/>
      <c r="H134" s="653"/>
      <c r="I134" s="653"/>
      <c r="J134" s="653"/>
    </row>
    <row r="135" spans="1:10">
      <c r="A135" s="653"/>
      <c r="B135" s="653"/>
      <c r="C135" s="653"/>
      <c r="D135" s="653"/>
      <c r="E135" s="653"/>
      <c r="F135" s="653"/>
      <c r="G135" s="653"/>
      <c r="H135" s="653"/>
      <c r="I135" s="653"/>
      <c r="J135" s="653"/>
    </row>
    <row r="136" spans="1:10">
      <c r="A136" s="653"/>
      <c r="B136" s="653"/>
      <c r="C136" s="653"/>
      <c r="D136" s="653"/>
      <c r="E136" s="653"/>
      <c r="F136" s="653"/>
      <c r="G136" s="653"/>
      <c r="H136" s="653"/>
      <c r="I136" s="653"/>
      <c r="J136" s="653"/>
    </row>
    <row r="137" spans="1:10">
      <c r="A137" s="653"/>
      <c r="B137" s="653"/>
      <c r="C137" s="653"/>
      <c r="D137" s="653"/>
      <c r="E137" s="653"/>
      <c r="F137" s="653"/>
      <c r="G137" s="653"/>
      <c r="H137" s="653"/>
      <c r="I137" s="653"/>
      <c r="J137" s="653"/>
    </row>
    <row r="138" spans="1:10">
      <c r="A138" s="653"/>
      <c r="B138" s="653"/>
      <c r="C138" s="653"/>
      <c r="D138" s="653"/>
      <c r="E138" s="653"/>
      <c r="F138" s="653"/>
      <c r="G138" s="653"/>
      <c r="H138" s="653"/>
      <c r="I138" s="653"/>
      <c r="J138" s="653"/>
    </row>
    <row r="139" spans="1:10">
      <c r="A139" s="653"/>
      <c r="B139" s="653"/>
      <c r="C139" s="653"/>
      <c r="D139" s="653"/>
      <c r="E139" s="653"/>
      <c r="F139" s="653"/>
      <c r="G139" s="653"/>
      <c r="H139" s="653"/>
      <c r="I139" s="653"/>
      <c r="J139" s="653"/>
    </row>
    <row r="140" spans="1:10">
      <c r="A140" s="653"/>
      <c r="B140" s="653"/>
      <c r="C140" s="653"/>
      <c r="D140" s="653"/>
      <c r="E140" s="653"/>
      <c r="F140" s="653"/>
      <c r="G140" s="653"/>
      <c r="H140" s="653"/>
      <c r="I140" s="653"/>
      <c r="J140" s="653"/>
    </row>
    <row r="141" spans="1:10">
      <c r="A141" s="653"/>
      <c r="B141" s="653"/>
      <c r="C141" s="653"/>
      <c r="D141" s="653"/>
      <c r="E141" s="653"/>
      <c r="F141" s="653"/>
      <c r="G141" s="653"/>
      <c r="H141" s="653"/>
      <c r="I141" s="653"/>
      <c r="J141" s="653"/>
    </row>
    <row r="142" spans="1:10">
      <c r="A142" s="653"/>
      <c r="B142" s="653"/>
      <c r="C142" s="653"/>
      <c r="D142" s="653"/>
      <c r="E142" s="653"/>
      <c r="F142" s="653"/>
      <c r="G142" s="653"/>
      <c r="H142" s="653"/>
      <c r="I142" s="653"/>
      <c r="J142" s="653"/>
    </row>
    <row r="143" spans="1:10">
      <c r="A143" s="653"/>
      <c r="B143" s="653"/>
      <c r="C143" s="653"/>
      <c r="D143" s="653"/>
      <c r="E143" s="653"/>
      <c r="F143" s="653"/>
      <c r="G143" s="653"/>
      <c r="H143" s="653"/>
      <c r="I143" s="653"/>
      <c r="J143" s="653"/>
    </row>
    <row r="144" spans="1:10">
      <c r="A144" s="653"/>
      <c r="B144" s="653"/>
      <c r="C144" s="653"/>
      <c r="D144" s="653"/>
      <c r="E144" s="653"/>
      <c r="F144" s="653"/>
      <c r="G144" s="653"/>
      <c r="H144" s="653"/>
      <c r="I144" s="653"/>
      <c r="J144" s="653"/>
    </row>
    <row r="145" spans="1:10">
      <c r="A145" s="653"/>
      <c r="B145" s="653"/>
      <c r="C145" s="653"/>
      <c r="D145" s="653"/>
      <c r="E145" s="653"/>
      <c r="F145" s="653"/>
      <c r="G145" s="653"/>
      <c r="H145" s="653"/>
      <c r="I145" s="653"/>
      <c r="J145" s="653"/>
    </row>
    <row r="146" spans="1:10">
      <c r="A146" s="653"/>
      <c r="B146" s="653"/>
      <c r="C146" s="653"/>
      <c r="D146" s="653"/>
      <c r="E146" s="653"/>
      <c r="F146" s="653"/>
      <c r="G146" s="653"/>
      <c r="H146" s="653"/>
      <c r="I146" s="653"/>
      <c r="J146" s="653"/>
    </row>
    <row r="147" spans="1:10">
      <c r="A147" s="653"/>
      <c r="B147" s="653"/>
      <c r="C147" s="653"/>
      <c r="D147" s="653"/>
      <c r="E147" s="653"/>
      <c r="F147" s="653"/>
      <c r="G147" s="653"/>
      <c r="H147" s="653"/>
      <c r="I147" s="653"/>
      <c r="J147" s="653"/>
    </row>
    <row r="148" spans="1:10">
      <c r="A148" s="653"/>
      <c r="B148" s="653"/>
      <c r="C148" s="653"/>
      <c r="D148" s="653"/>
      <c r="E148" s="653"/>
      <c r="F148" s="653"/>
      <c r="G148" s="653"/>
      <c r="H148" s="653"/>
      <c r="I148" s="653"/>
      <c r="J148" s="653"/>
    </row>
    <row r="149" spans="1:10">
      <c r="A149" s="653"/>
      <c r="B149" s="653"/>
      <c r="C149" s="653"/>
      <c r="D149" s="653"/>
      <c r="E149" s="653"/>
      <c r="F149" s="653"/>
      <c r="G149" s="653"/>
      <c r="H149" s="653"/>
      <c r="I149" s="653"/>
      <c r="J149" s="653"/>
    </row>
    <row r="150" spans="1:10">
      <c r="A150" s="653"/>
      <c r="B150" s="653"/>
      <c r="C150" s="653"/>
      <c r="D150" s="653"/>
      <c r="E150" s="653"/>
      <c r="F150" s="653"/>
      <c r="G150" s="653"/>
      <c r="H150" s="653"/>
      <c r="I150" s="653"/>
      <c r="J150" s="653"/>
    </row>
    <row r="151" spans="1:10">
      <c r="A151" s="653"/>
      <c r="B151" s="653"/>
      <c r="C151" s="653"/>
      <c r="D151" s="653"/>
      <c r="E151" s="653"/>
      <c r="F151" s="653"/>
      <c r="G151" s="653"/>
      <c r="H151" s="653"/>
      <c r="I151" s="653"/>
      <c r="J151" s="653"/>
    </row>
    <row r="152" spans="1:10">
      <c r="A152" s="653"/>
      <c r="B152" s="653"/>
      <c r="C152" s="653"/>
      <c r="D152" s="653"/>
      <c r="E152" s="653"/>
      <c r="F152" s="653"/>
      <c r="G152" s="653"/>
      <c r="H152" s="653"/>
      <c r="I152" s="653"/>
      <c r="J152" s="653"/>
    </row>
    <row r="153" spans="1:10">
      <c r="A153" s="653"/>
      <c r="B153" s="653"/>
      <c r="C153" s="653"/>
      <c r="D153" s="653"/>
      <c r="E153" s="653"/>
      <c r="F153" s="653"/>
      <c r="G153" s="653"/>
      <c r="H153" s="653"/>
      <c r="I153" s="653"/>
      <c r="J153" s="653"/>
    </row>
    <row r="154" spans="1:10">
      <c r="A154" s="653"/>
      <c r="B154" s="653"/>
      <c r="C154" s="653"/>
      <c r="D154" s="653"/>
      <c r="E154" s="653"/>
      <c r="F154" s="653"/>
      <c r="G154" s="653"/>
      <c r="H154" s="653"/>
      <c r="I154" s="653"/>
      <c r="J154" s="653"/>
    </row>
    <row r="155" spans="1:10">
      <c r="A155" s="653"/>
      <c r="B155" s="653"/>
      <c r="C155" s="653"/>
      <c r="D155" s="653"/>
      <c r="E155" s="653"/>
      <c r="F155" s="653"/>
      <c r="G155" s="653"/>
      <c r="H155" s="653"/>
      <c r="I155" s="653"/>
      <c r="J155" s="653"/>
    </row>
    <row r="156" spans="1:10">
      <c r="A156" s="653"/>
      <c r="B156" s="653"/>
      <c r="C156" s="653"/>
      <c r="D156" s="653"/>
      <c r="E156" s="653"/>
      <c r="F156" s="653"/>
      <c r="G156" s="653"/>
      <c r="H156" s="653"/>
      <c r="I156" s="653"/>
      <c r="J156" s="653"/>
    </row>
    <row r="157" spans="1:10">
      <c r="A157" s="653"/>
      <c r="B157" s="653"/>
      <c r="C157" s="653"/>
      <c r="D157" s="653"/>
      <c r="E157" s="653"/>
      <c r="F157" s="653"/>
      <c r="G157" s="653"/>
      <c r="H157" s="653"/>
      <c r="I157" s="653"/>
      <c r="J157" s="653"/>
    </row>
    <row r="158" spans="1:10">
      <c r="A158" s="653"/>
      <c r="B158" s="653"/>
      <c r="C158" s="653"/>
      <c r="D158" s="653"/>
      <c r="E158" s="653"/>
      <c r="F158" s="653"/>
      <c r="G158" s="653"/>
      <c r="H158" s="653"/>
      <c r="I158" s="653"/>
      <c r="J158" s="653"/>
    </row>
    <row r="159" spans="1:10">
      <c r="A159" s="653"/>
      <c r="B159" s="653"/>
      <c r="C159" s="653"/>
      <c r="D159" s="653"/>
      <c r="E159" s="653"/>
      <c r="F159" s="653"/>
      <c r="G159" s="653"/>
      <c r="H159" s="653"/>
      <c r="I159" s="653"/>
      <c r="J159" s="653"/>
    </row>
    <row r="160" spans="1:10">
      <c r="A160" s="653"/>
      <c r="B160" s="653"/>
      <c r="C160" s="653"/>
      <c r="D160" s="653"/>
      <c r="E160" s="653"/>
      <c r="F160" s="653"/>
      <c r="G160" s="653"/>
      <c r="H160" s="653"/>
      <c r="I160" s="653"/>
      <c r="J160" s="653"/>
    </row>
    <row r="161" spans="1:10">
      <c r="A161" s="653"/>
      <c r="B161" s="653"/>
      <c r="C161" s="653"/>
      <c r="D161" s="653"/>
      <c r="E161" s="653"/>
      <c r="F161" s="653"/>
      <c r="G161" s="653"/>
      <c r="H161" s="653"/>
      <c r="I161" s="653"/>
      <c r="J161" s="653"/>
    </row>
    <row r="162" spans="1:10">
      <c r="A162" s="653"/>
      <c r="B162" s="653"/>
      <c r="C162" s="653"/>
      <c r="D162" s="653"/>
      <c r="E162" s="653"/>
      <c r="F162" s="653"/>
      <c r="G162" s="653"/>
      <c r="H162" s="653"/>
      <c r="I162" s="653"/>
      <c r="J162" s="653"/>
    </row>
    <row r="163" spans="1:10">
      <c r="A163" s="653"/>
      <c r="B163" s="653"/>
      <c r="C163" s="653"/>
      <c r="D163" s="653"/>
      <c r="E163" s="653"/>
      <c r="F163" s="653"/>
      <c r="G163" s="653"/>
      <c r="H163" s="653"/>
      <c r="I163" s="653"/>
      <c r="J163" s="653"/>
    </row>
    <row r="164" spans="1:10">
      <c r="A164" s="653"/>
      <c r="B164" s="653"/>
      <c r="C164" s="653"/>
      <c r="D164" s="653"/>
      <c r="E164" s="653"/>
      <c r="F164" s="653"/>
      <c r="G164" s="653"/>
      <c r="H164" s="653"/>
      <c r="I164" s="653"/>
      <c r="J164" s="653"/>
    </row>
    <row r="165" spans="1:10">
      <c r="A165" s="653"/>
      <c r="B165" s="653"/>
      <c r="C165" s="653"/>
      <c r="D165" s="653"/>
      <c r="E165" s="653"/>
      <c r="F165" s="653"/>
      <c r="G165" s="653"/>
      <c r="H165" s="653"/>
      <c r="I165" s="653"/>
      <c r="J165" s="653"/>
    </row>
    <row r="166" spans="1:10">
      <c r="A166" s="653"/>
      <c r="B166" s="653"/>
      <c r="C166" s="653"/>
      <c r="D166" s="653"/>
      <c r="E166" s="653"/>
      <c r="F166" s="653"/>
      <c r="G166" s="653"/>
      <c r="H166" s="653"/>
      <c r="I166" s="653"/>
      <c r="J166" s="653"/>
    </row>
    <row r="167" spans="1:10">
      <c r="A167" s="653"/>
      <c r="B167" s="653"/>
      <c r="C167" s="653"/>
      <c r="D167" s="653"/>
      <c r="E167" s="653"/>
      <c r="F167" s="653"/>
      <c r="G167" s="653"/>
      <c r="H167" s="653"/>
      <c r="I167" s="653"/>
      <c r="J167" s="653"/>
    </row>
    <row r="168" spans="1:10">
      <c r="A168" s="653"/>
      <c r="B168" s="653"/>
      <c r="C168" s="653"/>
      <c r="D168" s="653"/>
      <c r="E168" s="653"/>
      <c r="F168" s="653"/>
      <c r="G168" s="653"/>
      <c r="H168" s="653"/>
      <c r="I168" s="653"/>
      <c r="J168" s="653"/>
    </row>
    <row r="169" spans="1:10">
      <c r="A169" s="653"/>
      <c r="B169" s="653"/>
      <c r="C169" s="653"/>
      <c r="D169" s="653"/>
      <c r="E169" s="653"/>
      <c r="F169" s="653"/>
      <c r="G169" s="653"/>
      <c r="H169" s="653"/>
      <c r="I169" s="653"/>
      <c r="J169" s="653"/>
    </row>
    <row r="170" spans="1:10">
      <c r="A170" s="653"/>
      <c r="B170" s="653"/>
      <c r="C170" s="653"/>
      <c r="D170" s="653"/>
      <c r="E170" s="653"/>
      <c r="F170" s="653"/>
      <c r="G170" s="653"/>
      <c r="H170" s="653"/>
      <c r="I170" s="653"/>
      <c r="J170" s="653"/>
    </row>
    <row r="171" spans="1:10">
      <c r="A171" s="653"/>
      <c r="B171" s="653"/>
      <c r="C171" s="653"/>
      <c r="D171" s="653"/>
      <c r="E171" s="653"/>
      <c r="F171" s="653"/>
      <c r="G171" s="653"/>
      <c r="H171" s="653"/>
      <c r="I171" s="653"/>
      <c r="J171" s="653"/>
    </row>
    <row r="172" spans="1:10">
      <c r="A172" s="653"/>
      <c r="B172" s="653"/>
      <c r="C172" s="653"/>
      <c r="D172" s="653"/>
      <c r="E172" s="653"/>
      <c r="F172" s="653"/>
      <c r="G172" s="653"/>
      <c r="H172" s="653"/>
      <c r="I172" s="653"/>
      <c r="J172" s="653"/>
    </row>
    <row r="173" spans="1:10">
      <c r="A173" s="653"/>
      <c r="B173" s="653"/>
      <c r="C173" s="653"/>
      <c r="D173" s="653"/>
      <c r="E173" s="653"/>
      <c r="F173" s="653"/>
      <c r="G173" s="653"/>
      <c r="H173" s="653"/>
      <c r="I173" s="653"/>
      <c r="J173" s="653"/>
    </row>
    <row r="174" spans="1:10">
      <c r="A174" s="653"/>
      <c r="B174" s="653"/>
      <c r="C174" s="653"/>
      <c r="D174" s="653"/>
      <c r="E174" s="653"/>
      <c r="F174" s="653"/>
      <c r="G174" s="653"/>
      <c r="H174" s="653"/>
      <c r="I174" s="653"/>
      <c r="J174" s="653"/>
    </row>
    <row r="175" spans="1:10">
      <c r="A175" s="653"/>
      <c r="B175" s="653"/>
      <c r="C175" s="653"/>
      <c r="D175" s="653"/>
      <c r="E175" s="653"/>
      <c r="F175" s="653"/>
      <c r="G175" s="653"/>
      <c r="H175" s="653"/>
      <c r="I175" s="653"/>
      <c r="J175" s="653"/>
    </row>
    <row r="176" spans="1:10">
      <c r="A176" s="653"/>
      <c r="B176" s="653"/>
      <c r="C176" s="653"/>
      <c r="D176" s="653"/>
      <c r="E176" s="653"/>
      <c r="F176" s="653"/>
      <c r="G176" s="653"/>
      <c r="H176" s="653"/>
      <c r="I176" s="653"/>
      <c r="J176" s="653"/>
    </row>
    <row r="177" spans="1:10">
      <c r="A177" s="653"/>
      <c r="B177" s="653"/>
      <c r="C177" s="653"/>
      <c r="D177" s="653"/>
      <c r="E177" s="653"/>
      <c r="F177" s="653"/>
      <c r="G177" s="653"/>
      <c r="H177" s="653"/>
      <c r="I177" s="653"/>
      <c r="J177" s="653"/>
    </row>
    <row r="178" spans="1:10">
      <c r="A178" s="653"/>
      <c r="B178" s="653"/>
      <c r="C178" s="653"/>
      <c r="D178" s="653"/>
      <c r="E178" s="653"/>
      <c r="F178" s="653"/>
      <c r="G178" s="653"/>
      <c r="H178" s="653"/>
      <c r="I178" s="653"/>
      <c r="J178" s="653"/>
    </row>
    <row r="179" spans="1:10">
      <c r="A179" s="653"/>
      <c r="B179" s="653"/>
      <c r="C179" s="653"/>
      <c r="D179" s="653"/>
      <c r="E179" s="653"/>
      <c r="F179" s="653"/>
      <c r="G179" s="653"/>
      <c r="H179" s="653"/>
      <c r="I179" s="653"/>
      <c r="J179" s="653"/>
    </row>
    <row r="180" spans="1:10">
      <c r="A180" s="653"/>
      <c r="B180" s="653"/>
      <c r="C180" s="653"/>
      <c r="D180" s="653"/>
      <c r="E180" s="653"/>
      <c r="F180" s="653"/>
      <c r="G180" s="653"/>
      <c r="H180" s="653"/>
      <c r="I180" s="653"/>
      <c r="J180" s="653"/>
    </row>
    <row r="181" spans="1:10">
      <c r="A181" s="653"/>
      <c r="B181" s="653"/>
      <c r="C181" s="653"/>
      <c r="D181" s="653"/>
      <c r="E181" s="653"/>
      <c r="F181" s="653"/>
      <c r="G181" s="653"/>
      <c r="H181" s="653"/>
      <c r="I181" s="653"/>
      <c r="J181" s="653"/>
    </row>
    <row r="182" spans="1:10">
      <c r="A182" s="653"/>
      <c r="B182" s="653"/>
      <c r="C182" s="653"/>
      <c r="D182" s="653"/>
      <c r="E182" s="653"/>
      <c r="F182" s="653"/>
      <c r="G182" s="653"/>
      <c r="H182" s="653"/>
      <c r="I182" s="653"/>
      <c r="J182" s="653"/>
    </row>
    <row r="183" spans="1:10">
      <c r="A183" s="653"/>
      <c r="B183" s="653"/>
      <c r="C183" s="653"/>
      <c r="D183" s="653"/>
      <c r="E183" s="653"/>
      <c r="F183" s="653"/>
      <c r="G183" s="653"/>
      <c r="H183" s="653"/>
      <c r="I183" s="653"/>
      <c r="J183" s="653"/>
    </row>
    <row r="184" spans="1:10">
      <c r="A184" s="653"/>
      <c r="B184" s="653"/>
      <c r="C184" s="653"/>
      <c r="D184" s="653"/>
      <c r="E184" s="653"/>
      <c r="F184" s="653"/>
      <c r="G184" s="653"/>
      <c r="H184" s="653"/>
      <c r="I184" s="653"/>
      <c r="J184" s="653"/>
    </row>
    <row r="185" spans="1:10">
      <c r="A185" s="653"/>
      <c r="B185" s="653"/>
      <c r="C185" s="653"/>
      <c r="D185" s="653"/>
      <c r="E185" s="653"/>
      <c r="F185" s="653"/>
      <c r="G185" s="653"/>
      <c r="H185" s="653"/>
      <c r="I185" s="653"/>
      <c r="J185" s="653"/>
    </row>
    <row r="186" spans="1:10">
      <c r="A186" s="653"/>
      <c r="B186" s="653"/>
      <c r="C186" s="653"/>
      <c r="D186" s="653"/>
      <c r="E186" s="653"/>
      <c r="F186" s="653"/>
      <c r="G186" s="653"/>
      <c r="H186" s="653"/>
      <c r="I186" s="653"/>
      <c r="J186" s="653"/>
    </row>
    <row r="187" spans="1:10">
      <c r="A187" s="653"/>
      <c r="B187" s="653"/>
      <c r="C187" s="653"/>
      <c r="D187" s="653"/>
      <c r="E187" s="653"/>
      <c r="F187" s="653"/>
      <c r="G187" s="653"/>
      <c r="H187" s="653"/>
      <c r="I187" s="653"/>
      <c r="J187" s="653"/>
    </row>
    <row r="188" spans="1:10">
      <c r="A188" s="653"/>
      <c r="B188" s="653"/>
      <c r="C188" s="653"/>
      <c r="D188" s="653"/>
      <c r="E188" s="653"/>
      <c r="F188" s="653"/>
      <c r="G188" s="653"/>
      <c r="H188" s="653"/>
      <c r="I188" s="653"/>
      <c r="J188" s="653"/>
    </row>
    <row r="189" spans="1:10">
      <c r="A189" s="653"/>
      <c r="B189" s="653"/>
      <c r="C189" s="653"/>
      <c r="D189" s="653"/>
      <c r="E189" s="653"/>
      <c r="F189" s="653"/>
      <c r="G189" s="653"/>
      <c r="H189" s="653"/>
      <c r="I189" s="653"/>
      <c r="J189" s="653"/>
    </row>
    <row r="190" spans="1:10">
      <c r="A190" s="653"/>
      <c r="B190" s="653"/>
      <c r="C190" s="653"/>
      <c r="D190" s="653"/>
      <c r="E190" s="653"/>
      <c r="F190" s="653"/>
      <c r="G190" s="653"/>
      <c r="H190" s="653"/>
      <c r="I190" s="653"/>
      <c r="J190" s="653"/>
    </row>
    <row r="191" spans="1:10">
      <c r="A191" s="653"/>
      <c r="B191" s="653"/>
      <c r="C191" s="653"/>
      <c r="D191" s="653"/>
      <c r="E191" s="653"/>
      <c r="F191" s="653"/>
      <c r="G191" s="653"/>
      <c r="H191" s="653"/>
      <c r="I191" s="653"/>
      <c r="J191" s="653"/>
    </row>
    <row r="192" spans="1:10">
      <c r="A192" s="653"/>
      <c r="B192" s="653"/>
      <c r="C192" s="653"/>
      <c r="D192" s="653"/>
      <c r="E192" s="653"/>
      <c r="F192" s="653"/>
      <c r="G192" s="653"/>
      <c r="H192" s="653"/>
      <c r="I192" s="653"/>
      <c r="J192" s="653"/>
    </row>
    <row r="193" spans="1:10">
      <c r="A193" s="653"/>
      <c r="B193" s="653"/>
      <c r="C193" s="653"/>
      <c r="D193" s="653"/>
      <c r="E193" s="653"/>
      <c r="F193" s="653"/>
      <c r="G193" s="653"/>
      <c r="H193" s="653"/>
      <c r="I193" s="653"/>
      <c r="J193" s="653"/>
    </row>
    <row r="194" spans="1:10">
      <c r="A194" s="653"/>
      <c r="B194" s="653"/>
      <c r="C194" s="653"/>
      <c r="D194" s="653"/>
      <c r="E194" s="653"/>
      <c r="F194" s="653"/>
      <c r="G194" s="653"/>
      <c r="H194" s="653"/>
      <c r="I194" s="653"/>
      <c r="J194" s="653"/>
    </row>
    <row r="195" spans="1:10">
      <c r="A195" s="653"/>
      <c r="B195" s="653"/>
      <c r="C195" s="653"/>
      <c r="D195" s="653"/>
      <c r="E195" s="653"/>
      <c r="F195" s="653"/>
      <c r="G195" s="653"/>
      <c r="H195" s="653"/>
      <c r="I195" s="653"/>
      <c r="J195" s="653"/>
    </row>
    <row r="196" spans="1:10">
      <c r="A196" s="653"/>
      <c r="B196" s="653"/>
      <c r="C196" s="653"/>
      <c r="D196" s="653"/>
      <c r="E196" s="653"/>
      <c r="F196" s="653"/>
      <c r="G196" s="653"/>
      <c r="H196" s="653"/>
      <c r="I196" s="653"/>
      <c r="J196" s="653"/>
    </row>
    <row r="197" spans="1:10">
      <c r="A197" s="653"/>
      <c r="B197" s="653"/>
      <c r="C197" s="653"/>
      <c r="D197" s="653"/>
      <c r="E197" s="653"/>
      <c r="F197" s="653"/>
      <c r="G197" s="653"/>
      <c r="H197" s="653"/>
      <c r="I197" s="653"/>
      <c r="J197" s="653"/>
    </row>
    <row r="198" spans="1:10">
      <c r="A198" s="653"/>
      <c r="B198" s="653"/>
      <c r="C198" s="653"/>
      <c r="D198" s="653"/>
      <c r="E198" s="653"/>
      <c r="F198" s="653"/>
      <c r="G198" s="653"/>
      <c r="H198" s="653"/>
      <c r="I198" s="653"/>
      <c r="J198" s="653"/>
    </row>
    <row r="199" spans="1:10">
      <c r="A199" s="653"/>
      <c r="B199" s="653"/>
      <c r="C199" s="653"/>
      <c r="D199" s="653"/>
      <c r="E199" s="653"/>
      <c r="F199" s="653"/>
      <c r="G199" s="653"/>
      <c r="H199" s="653"/>
      <c r="I199" s="653"/>
      <c r="J199" s="653"/>
    </row>
    <row r="200" spans="1:10">
      <c r="A200" s="653"/>
      <c r="B200" s="653"/>
      <c r="C200" s="653"/>
      <c r="D200" s="653"/>
      <c r="E200" s="653"/>
      <c r="F200" s="653"/>
      <c r="G200" s="653"/>
      <c r="H200" s="653"/>
      <c r="I200" s="653"/>
      <c r="J200" s="653"/>
    </row>
    <row r="201" spans="1:10">
      <c r="A201" s="653"/>
      <c r="B201" s="653"/>
      <c r="C201" s="653"/>
      <c r="D201" s="653"/>
      <c r="E201" s="653"/>
      <c r="F201" s="653"/>
      <c r="G201" s="653"/>
      <c r="H201" s="653"/>
      <c r="I201" s="653"/>
      <c r="J201" s="653"/>
    </row>
    <row r="202" spans="1:10">
      <c r="A202" s="653"/>
      <c r="B202" s="653"/>
      <c r="C202" s="653"/>
      <c r="D202" s="653"/>
      <c r="E202" s="653"/>
      <c r="F202" s="653"/>
      <c r="G202" s="653"/>
      <c r="H202" s="653"/>
      <c r="I202" s="653"/>
      <c r="J202" s="653"/>
    </row>
    <row r="203" spans="1:10">
      <c r="A203" s="653"/>
      <c r="B203" s="653"/>
      <c r="C203" s="653"/>
      <c r="D203" s="653"/>
      <c r="E203" s="653"/>
      <c r="F203" s="653"/>
      <c r="G203" s="653"/>
      <c r="H203" s="653"/>
      <c r="I203" s="653"/>
      <c r="J203" s="653"/>
    </row>
    <row r="204" spans="1:10">
      <c r="A204" s="653"/>
      <c r="B204" s="653"/>
      <c r="C204" s="653"/>
      <c r="D204" s="653"/>
      <c r="E204" s="653"/>
      <c r="F204" s="653"/>
      <c r="G204" s="653"/>
      <c r="H204" s="653"/>
      <c r="I204" s="653"/>
      <c r="J204" s="653"/>
    </row>
    <row r="205" spans="1:10">
      <c r="A205" s="653"/>
      <c r="B205" s="653"/>
      <c r="C205" s="653"/>
      <c r="D205" s="653"/>
      <c r="E205" s="653"/>
      <c r="F205" s="653"/>
      <c r="G205" s="653"/>
      <c r="H205" s="653"/>
      <c r="I205" s="653"/>
      <c r="J205" s="653"/>
    </row>
    <row r="206" spans="1:10">
      <c r="A206" s="653"/>
      <c r="B206" s="653"/>
      <c r="C206" s="653"/>
      <c r="D206" s="653"/>
      <c r="E206" s="653"/>
      <c r="F206" s="653"/>
      <c r="G206" s="653"/>
      <c r="H206" s="653"/>
      <c r="I206" s="653"/>
      <c r="J206" s="653"/>
    </row>
    <row r="207" spans="1:10">
      <c r="A207" s="653"/>
      <c r="B207" s="653"/>
      <c r="C207" s="653"/>
      <c r="D207" s="653"/>
      <c r="E207" s="653"/>
      <c r="F207" s="653"/>
      <c r="G207" s="653"/>
      <c r="H207" s="653"/>
      <c r="I207" s="653"/>
      <c r="J207" s="653"/>
    </row>
    <row r="208" spans="1:10">
      <c r="A208" s="653"/>
      <c r="B208" s="653"/>
      <c r="C208" s="653"/>
      <c r="D208" s="653"/>
      <c r="E208" s="653"/>
      <c r="F208" s="653"/>
      <c r="G208" s="653"/>
      <c r="H208" s="653"/>
      <c r="I208" s="653"/>
      <c r="J208" s="653"/>
    </row>
    <row r="209" spans="1:10">
      <c r="A209" s="653"/>
      <c r="B209" s="653"/>
      <c r="C209" s="653"/>
      <c r="D209" s="653"/>
      <c r="E209" s="653"/>
      <c r="F209" s="653"/>
      <c r="G209" s="653"/>
      <c r="H209" s="653"/>
      <c r="I209" s="653"/>
      <c r="J209" s="653"/>
    </row>
    <row r="210" spans="1:10">
      <c r="A210" s="653"/>
      <c r="B210" s="653"/>
      <c r="C210" s="653"/>
      <c r="D210" s="653"/>
      <c r="E210" s="653"/>
      <c r="F210" s="653"/>
      <c r="G210" s="653"/>
      <c r="H210" s="653"/>
      <c r="I210" s="653"/>
      <c r="J210" s="653"/>
    </row>
    <row r="211" spans="1:10">
      <c r="A211" s="653"/>
      <c r="B211" s="653"/>
      <c r="C211" s="653"/>
      <c r="D211" s="653"/>
      <c r="E211" s="653"/>
      <c r="F211" s="653"/>
      <c r="G211" s="653"/>
      <c r="H211" s="653"/>
      <c r="I211" s="653"/>
      <c r="J211" s="653"/>
    </row>
    <row r="212" spans="1:10">
      <c r="A212" s="653"/>
      <c r="B212" s="653"/>
      <c r="C212" s="653"/>
      <c r="D212" s="653"/>
      <c r="E212" s="653"/>
      <c r="F212" s="653"/>
      <c r="G212" s="653"/>
      <c r="H212" s="653"/>
      <c r="I212" s="653"/>
      <c r="J212" s="653"/>
    </row>
    <row r="213" spans="1:10">
      <c r="A213" s="653"/>
      <c r="B213" s="653"/>
      <c r="C213" s="653"/>
      <c r="D213" s="653"/>
      <c r="E213" s="653"/>
      <c r="F213" s="653"/>
      <c r="G213" s="653"/>
      <c r="H213" s="653"/>
      <c r="I213" s="653"/>
      <c r="J213" s="653"/>
    </row>
    <row r="214" spans="1:10">
      <c r="A214" s="653"/>
      <c r="B214" s="653"/>
      <c r="C214" s="653"/>
      <c r="D214" s="653"/>
      <c r="E214" s="653"/>
      <c r="F214" s="653"/>
      <c r="G214" s="653"/>
      <c r="H214" s="653"/>
      <c r="I214" s="653"/>
      <c r="J214" s="653"/>
    </row>
    <row r="215" spans="1:10">
      <c r="A215" s="653"/>
      <c r="B215" s="653"/>
      <c r="C215" s="653"/>
      <c r="D215" s="653"/>
      <c r="E215" s="653"/>
      <c r="F215" s="653"/>
      <c r="G215" s="653"/>
      <c r="H215" s="653"/>
      <c r="I215" s="653"/>
      <c r="J215" s="653"/>
    </row>
    <row r="216" spans="1:10">
      <c r="A216" s="653"/>
      <c r="B216" s="653"/>
      <c r="C216" s="653"/>
      <c r="D216" s="653"/>
      <c r="E216" s="653"/>
      <c r="F216" s="653"/>
      <c r="G216" s="653"/>
      <c r="H216" s="653"/>
      <c r="I216" s="653"/>
      <c r="J216" s="653"/>
    </row>
    <row r="217" spans="1:10">
      <c r="A217" s="653"/>
      <c r="B217" s="653"/>
      <c r="C217" s="653"/>
      <c r="D217" s="653"/>
      <c r="E217" s="653"/>
      <c r="F217" s="653"/>
      <c r="G217" s="653"/>
      <c r="H217" s="653"/>
      <c r="I217" s="653"/>
      <c r="J217" s="653"/>
    </row>
    <row r="218" spans="1:10">
      <c r="A218" s="653"/>
      <c r="B218" s="653"/>
      <c r="C218" s="653"/>
      <c r="D218" s="653"/>
      <c r="E218" s="653"/>
      <c r="F218" s="653"/>
      <c r="G218" s="653"/>
      <c r="H218" s="653"/>
      <c r="I218" s="653"/>
      <c r="J218" s="653"/>
    </row>
    <row r="219" spans="1:10">
      <c r="A219" s="653"/>
      <c r="B219" s="653"/>
      <c r="C219" s="653"/>
      <c r="D219" s="653"/>
      <c r="E219" s="653"/>
      <c r="F219" s="653"/>
      <c r="G219" s="653"/>
      <c r="H219" s="653"/>
      <c r="I219" s="653"/>
      <c r="J219" s="653"/>
    </row>
    <row r="220" spans="1:10">
      <c r="A220" s="653"/>
      <c r="B220" s="653"/>
      <c r="C220" s="653"/>
      <c r="D220" s="653"/>
      <c r="E220" s="653"/>
      <c r="F220" s="653"/>
      <c r="G220" s="653"/>
      <c r="H220" s="653"/>
      <c r="I220" s="653"/>
      <c r="J220" s="653"/>
    </row>
  </sheetData>
  <phoneticPr fontId="3" type="noConversion"/>
  <conditionalFormatting sqref="A1:A1048576">
    <cfRule type="duplicateValues" dxfId="4" priority="1"/>
  </conditionalFormatting>
  <dataValidations count="1">
    <dataValidation type="list" allowBlank="1" showInputMessage="1" showErrorMessage="1" sqref="A51:A56 A92:A93 A87 A90 A2:A47 A84:A85 A75:A82 A73 A62:A70 A58:A60" xr:uid="{2690E08A-C0C8-114F-A57E-DAAF9767338F}">
      <formula1>$A$2:$A$1048576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Button 1">
              <controlPr defaultSize="0" print="0" autoFill="0" autoPict="0" macro="[0]!CouleurProduction">
                <anchor moveWithCells="1" sizeWithCells="1">
                  <from>
                    <xdr:col>0</xdr:col>
                    <xdr:colOff>50800</xdr:colOff>
                    <xdr:row>0</xdr:row>
                    <xdr:rowOff>50800</xdr:rowOff>
                  </from>
                  <to>
                    <xdr:col>0</xdr:col>
                    <xdr:colOff>939800</xdr:colOff>
                    <xdr:row>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4" name="Button 2">
              <controlPr defaultSize="0" print="0" autoFill="0" autoPict="0" macro="[0]!productionSum">
                <anchor moveWithCells="1" sizeWithCells="1">
                  <from>
                    <xdr:col>0</xdr:col>
                    <xdr:colOff>1003300</xdr:colOff>
                    <xdr:row>0</xdr:row>
                    <xdr:rowOff>50800</xdr:rowOff>
                  </from>
                  <to>
                    <xdr:col>0</xdr:col>
                    <xdr:colOff>1714500</xdr:colOff>
                    <xdr:row>0</xdr:row>
                    <xdr:rowOff>279400</xdr:rowOff>
                  </to>
                </anchor>
              </controlPr>
            </control>
          </mc:Choice>
        </mc:AlternateContent>
      </controls>
    </mc:Choice>
  </mc:AlternateContent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24761-87B9-8845-BCF2-72CBB142919B}">
  <sheetPr codeName="Feuil4"/>
  <dimension ref="A1:G21"/>
  <sheetViews>
    <sheetView workbookViewId="0">
      <pane ySplit="1" topLeftCell="A2" activePane="bottomLeft" state="frozen"/>
      <selection pane="bottomLeft" activeCell="A2" sqref="A2:G21"/>
    </sheetView>
  </sheetViews>
  <sheetFormatPr baseColWidth="10" defaultColWidth="11" defaultRowHeight="16"/>
  <cols>
    <col min="1" max="1" width="19.1640625" customWidth="1"/>
    <col min="2" max="2" width="8.5" customWidth="1"/>
    <col min="3" max="3" width="7.5" customWidth="1"/>
    <col min="4" max="4" width="7.83203125" style="554" customWidth="1"/>
    <col min="5" max="5" width="10" customWidth="1"/>
    <col min="6" max="6" width="14.1640625" customWidth="1"/>
    <col min="7" max="7" width="11.33203125" customWidth="1"/>
  </cols>
  <sheetData>
    <row r="1" spans="1:7">
      <c r="A1" t="s">
        <v>418</v>
      </c>
      <c r="B1" t="s">
        <v>419</v>
      </c>
      <c r="C1" t="s">
        <v>420</v>
      </c>
      <c r="D1" s="554" t="s">
        <v>421</v>
      </c>
      <c r="E1" t="s">
        <v>422</v>
      </c>
      <c r="F1" t="s">
        <v>423</v>
      </c>
      <c r="G1" t="s">
        <v>424</v>
      </c>
    </row>
    <row r="2" spans="1:7">
      <c r="A2" t="s">
        <v>55</v>
      </c>
      <c r="B2">
        <v>0.44</v>
      </c>
      <c r="C2">
        <v>0.2</v>
      </c>
      <c r="D2" s="554">
        <f>C2+B2</f>
        <v>0.64</v>
      </c>
      <c r="E2" t="s">
        <v>425</v>
      </c>
      <c r="F2" s="2" t="s">
        <v>426</v>
      </c>
      <c r="G2" s="2" t="s">
        <v>427</v>
      </c>
    </row>
    <row r="3" spans="1:7">
      <c r="A3" t="s">
        <v>47</v>
      </c>
      <c r="B3">
        <v>0.44</v>
      </c>
      <c r="C3">
        <v>0.22</v>
      </c>
      <c r="D3" s="554">
        <f>C3+B3</f>
        <v>0.66</v>
      </c>
      <c r="E3" t="s">
        <v>428</v>
      </c>
      <c r="F3" s="2"/>
      <c r="G3" s="2"/>
    </row>
    <row r="4" spans="1:7">
      <c r="A4" t="s">
        <v>429</v>
      </c>
      <c r="D4" s="554">
        <v>1.56</v>
      </c>
      <c r="E4" t="s">
        <v>430</v>
      </c>
    </row>
    <row r="5" spans="1:7">
      <c r="A5" t="s">
        <v>431</v>
      </c>
      <c r="B5">
        <v>1.7</v>
      </c>
      <c r="C5">
        <v>0.2</v>
      </c>
      <c r="D5" s="554">
        <f>C5+B5</f>
        <v>1.9</v>
      </c>
      <c r="E5" t="s">
        <v>425</v>
      </c>
      <c r="F5" s="2" t="s">
        <v>432</v>
      </c>
      <c r="G5" s="2" t="s">
        <v>427</v>
      </c>
    </row>
    <row r="6" spans="1:7">
      <c r="A6" t="s">
        <v>360</v>
      </c>
      <c r="D6" s="554">
        <v>2.1</v>
      </c>
      <c r="E6" t="s">
        <v>433</v>
      </c>
      <c r="F6" s="2" t="s">
        <v>434</v>
      </c>
    </row>
    <row r="7" spans="1:7">
      <c r="A7" t="s">
        <v>49</v>
      </c>
      <c r="D7" s="554">
        <v>0.79</v>
      </c>
      <c r="E7" t="s">
        <v>435</v>
      </c>
      <c r="F7" s="2" t="s">
        <v>436</v>
      </c>
    </row>
    <row r="8" spans="1:7">
      <c r="A8" t="s">
        <v>59</v>
      </c>
      <c r="D8" s="554">
        <v>0.74</v>
      </c>
      <c r="E8" t="s">
        <v>437</v>
      </c>
      <c r="F8" s="2" t="s">
        <v>436</v>
      </c>
    </row>
    <row r="9" spans="1:7">
      <c r="A9" t="s">
        <v>352</v>
      </c>
      <c r="B9">
        <v>1.69</v>
      </c>
      <c r="D9" s="554">
        <f>C9+B9</f>
        <v>1.69</v>
      </c>
      <c r="E9" t="s">
        <v>425</v>
      </c>
      <c r="F9" s="2" t="s">
        <v>438</v>
      </c>
      <c r="G9" s="2"/>
    </row>
    <row r="10" spans="1:7">
      <c r="A10" t="s">
        <v>85</v>
      </c>
      <c r="B10">
        <v>1.68</v>
      </c>
      <c r="C10">
        <v>0</v>
      </c>
      <c r="D10" s="554">
        <f>C10+B10</f>
        <v>1.68</v>
      </c>
      <c r="E10" t="s">
        <v>439</v>
      </c>
      <c r="F10" s="2" t="s">
        <v>440</v>
      </c>
    </row>
    <row r="11" spans="1:7">
      <c r="A11" t="s">
        <v>441</v>
      </c>
      <c r="D11" s="554">
        <v>0.18</v>
      </c>
      <c r="E11" t="s">
        <v>425</v>
      </c>
      <c r="F11" t="s">
        <v>442</v>
      </c>
    </row>
    <row r="12" spans="1:7">
      <c r="A12" t="s">
        <v>443</v>
      </c>
      <c r="D12" s="554">
        <v>0.18</v>
      </c>
      <c r="E12" t="s">
        <v>439</v>
      </c>
      <c r="F12" t="s">
        <v>442</v>
      </c>
    </row>
    <row r="13" spans="1:7">
      <c r="A13" t="s">
        <v>444</v>
      </c>
      <c r="D13" s="554">
        <v>0.2</v>
      </c>
      <c r="E13" t="s">
        <v>445</v>
      </c>
      <c r="F13" t="s">
        <v>442</v>
      </c>
    </row>
    <row r="14" spans="1:7">
      <c r="A14" t="s">
        <v>446</v>
      </c>
      <c r="D14" s="554">
        <v>0.97</v>
      </c>
      <c r="E14" t="s">
        <v>447</v>
      </c>
      <c r="F14" s="2" t="s">
        <v>448</v>
      </c>
    </row>
    <row r="15" spans="1:7">
      <c r="A15" t="s">
        <v>61</v>
      </c>
      <c r="D15" s="554">
        <v>1.46</v>
      </c>
      <c r="E15" t="s">
        <v>445</v>
      </c>
      <c r="F15" t="s">
        <v>449</v>
      </c>
    </row>
    <row r="16" spans="1:7">
      <c r="A16" t="s">
        <v>450</v>
      </c>
      <c r="D16" s="554">
        <v>0.79</v>
      </c>
      <c r="E16" t="s">
        <v>451</v>
      </c>
      <c r="F16" s="2" t="s">
        <v>452</v>
      </c>
    </row>
    <row r="17" spans="1:6">
      <c r="A17" t="s">
        <v>453</v>
      </c>
      <c r="D17" s="554">
        <v>2.2999999999999998</v>
      </c>
      <c r="F17" s="2" t="s">
        <v>454</v>
      </c>
    </row>
    <row r="18" spans="1:6">
      <c r="A18" t="s">
        <v>73</v>
      </c>
      <c r="B18">
        <f>TableauConditionnement[[#This Row],[Total]]-TableauConditionnement[[#This Row],[Verre]]</f>
        <v>0.61999999999999988</v>
      </c>
      <c r="C18">
        <v>1.06</v>
      </c>
      <c r="D18" s="554">
        <v>1.68</v>
      </c>
      <c r="E18" t="s">
        <v>439</v>
      </c>
      <c r="F18" s="2" t="s">
        <v>455</v>
      </c>
    </row>
    <row r="19" spans="1:6">
      <c r="A19" t="s">
        <v>51</v>
      </c>
      <c r="D19" s="554">
        <v>1.1200000000000001</v>
      </c>
      <c r="E19" t="s">
        <v>456</v>
      </c>
      <c r="F19" s="2" t="s">
        <v>457</v>
      </c>
    </row>
    <row r="20" spans="1:6">
      <c r="A20" t="s">
        <v>53</v>
      </c>
      <c r="D20" s="554">
        <v>1.69</v>
      </c>
      <c r="E20" s="554" t="s">
        <v>458</v>
      </c>
      <c r="F20" t="s">
        <v>459</v>
      </c>
    </row>
    <row r="21" spans="1:6">
      <c r="A21" t="s">
        <v>776</v>
      </c>
      <c r="D21" s="554">
        <f>1447.5/1500</f>
        <v>0.96499999999999997</v>
      </c>
      <c r="E21" t="s">
        <v>582</v>
      </c>
      <c r="F21" t="s">
        <v>775</v>
      </c>
    </row>
  </sheetData>
  <hyperlinks>
    <hyperlink ref="F2" r:id="rId1" display="https://www.bouteilles-et-bocaux.com/bouchon-pour-pot-a-epices-distributeur-plastique-pp-rouge-pour-col-gpi-38-400-100000230?referralCode=344f636f14874df59416c60d47218b06&amp;utm_medium=sea&amp;utm_source=google&amp;gad_source=1&amp;gclid=CjwKCAiAopuvBhBCEiwAm8jaMRvkyaCkj4LfwgUmeOXFwEVybp5GM9cMjo6i2XXHdi_SmUDOQN4bRRoCVVAQAvD_BwE" xr:uid="{6E584B3B-433B-C041-8919-90454F344942}"/>
    <hyperlink ref="G2" r:id="rId2" xr:uid="{407161A9-F215-2A44-96CE-CC583AD72EFB}"/>
    <hyperlink ref="G5" r:id="rId3" xr:uid="{13559592-8F54-B34E-A962-C649C6368246}"/>
    <hyperlink ref="F5" r:id="rId4" xr:uid="{E834301B-B99C-E447-9839-FDC4B06AEF30}"/>
    <hyperlink ref="F10" r:id="rId5" display="https://www.bouteilles-et-bocaux.com/bouteille-de-vinaigre-d-huile-250-ml-oleum-verre-vert-antique-col-dop-100034870?referralCode=344f636f14874df59416c60d47218b06&amp;utm_medium=sea&amp;utm_source=google&amp;gad_source=1&amp;gclid=CjwKCAiAopuvBhBCEiwAm8jaMeaR3q1S8hCLAwRtq5MXdAumMc4tNe8kzahJPqJxkQvjUHB9PdyHrRoCIKIQAvD_BwE" xr:uid="{A37224BF-310D-7948-A563-5FEBFA33043B}"/>
    <hyperlink ref="F9" r:id="rId6" display="https://www.bouteilles-et-bocaux.com/bouteille-en-verre-100-ml-tulipano-col-liege-100018170?referralCode=344f636f14874df59416c60d47218b06&amp;utm_medium=sea&amp;utm_source=google&amp;gad_source=1&amp;gclid=CjwKCAiAopuvBhBCEiwAm8jaMTskXVOIzZ5rIxKF0pqFc9jqHsHuFuUd6kJ7IRF1_elI1heMCZJ8WxoCAGwQAvD_BwE" xr:uid="{86CA2403-F82F-2146-9913-06B7C0C6A699}"/>
    <hyperlink ref="F6" r:id="rId7" display="https://www.bouteilles-et-bocaux.com/pot-en-gres-270-ml-ceramique-blanc-col-couvercle-cloche-100035660?referralCode=344f636f14874df59416c60d47218b06&amp;utm_medium=sea&amp;utm_source=google&amp;gad_source=1&amp;gclid=CjwKCAiAopuvBhBCEiwAm8jaMYLe7_a0mGr35npPhJKfVuzxK0lpcyfagab4K3pMzvBsxnSqC3GYDhoCgu0QAvD_BwE" xr:uid="{0E7A730B-5CE5-724E-86B2-9C9C8C3DBC16}"/>
    <hyperlink ref="F16" r:id="rId8" xr:uid="{57BFA3E9-95E4-5E4F-BAEF-D2927FF0E6AC}"/>
    <hyperlink ref="F18" r:id="rId9" xr:uid="{C2D84F1A-C89C-324C-88BE-267E0E793A53}"/>
    <hyperlink ref="F14" r:id="rId10" display="https://www.bouteilles-et-bocaux.com/seau-2-5-l-plastique-pp-blanc-100015070?referralCode=344f636f14874df59416c60d47218b06&amp;configurator=%255B%257B%2522productId%2522%253A%25220nolid%2522%252C%2522groupId%2522%253A%25220%2522%257D%252C%257B%2522productId%2522%253A%25221nolid%2522%252C%2522groupId%2522%253A%25221%2522%257D%255D&amp;utm_medium=sea&amp;utm_source=google&amp;galt=Cj0KCQjwlZixBhCoARIsAIC745BA22oQIFzXcivfuWmhgVWGHKmhHv_wy2W8_eDHTHF86yHAjltRI4MaAmbVEALw_wcB&amp;gad_source=1&amp;gclid=Cj0KCQjwlZixBhCoARIsAIC745BA22oQIFzXcivfuWmhgVWGHKmhHv_wy2W8_eDHTHF86yHAjltRI4MaAmbVEALw_wcB" xr:uid="{ECDF92B5-5E60-724D-A04D-EBA8D2EAAFCE}"/>
    <hyperlink ref="F8" r:id="rId11" xr:uid="{F0B302B9-EE4C-DD42-826B-2D3FC4CDBA82}"/>
    <hyperlink ref="F19" r:id="rId12" xr:uid="{8101B92D-A313-FA4D-B0EE-3B86C21196BC}"/>
    <hyperlink ref="F7" r:id="rId13" xr:uid="{53D76ABD-4EFF-184C-BBAE-9F6DB0ED602B}"/>
    <hyperlink ref="F17" r:id="rId14" display="https://de.aliexpress.com/item/1005005532498174.html1007.40000.327270.0&amp;scm-url=1007.40000.327270.0&amp;pvid=d7f30d2d-9c81-4a76-abd9-d1b5dab0f6ac&amp;_t=gps-id:pcDetailTopMoreOtherSeller,scm-url:1007.40000.327270.0,pvid:d7f30d2d-9c81-4a76-abd9-d1b5dab0f6ac,tpp_buckets:668%232846%238115%232000&amp;pdp_npi=4%40dis%21EUR%215.38%211.88%21%21%2141.12%2114.39%21%402103890117096883118564836e954f%2112000033437633735%21rec%21FR%212461724979%21&amp;utparam-url=scene%3ApcDetailTopMoreOtherSeller%7Cquery_from%3A" xr:uid="{4977329F-33CB-614C-A475-64DBF4CBAC4B}"/>
  </hyperlinks>
  <pageMargins left="0.7" right="0.7" top="0.75" bottom="0.75" header="0.3" footer="0.3"/>
  <pageSetup paperSize="9" orientation="portrait" horizontalDpi="0" verticalDpi="0"/>
  <tableParts count="1">
    <tablePart r:id="rId1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44768-2109-8240-9FCC-3137166A22C2}">
  <sheetPr codeName="Feuil7"/>
  <dimension ref="A1:G168"/>
  <sheetViews>
    <sheetView tabSelected="1" workbookViewId="0">
      <selection activeCell="A3" sqref="A3"/>
    </sheetView>
  </sheetViews>
  <sheetFormatPr baseColWidth="10" defaultColWidth="11" defaultRowHeight="16"/>
  <cols>
    <col min="1" max="1" width="22.1640625" customWidth="1"/>
    <col min="2" max="2" width="16.83203125" customWidth="1"/>
    <col min="3" max="3" width="39.33203125" customWidth="1"/>
    <col min="4" max="4" width="24.1640625" customWidth="1"/>
    <col min="5" max="5" width="13.6640625" customWidth="1"/>
  </cols>
  <sheetData>
    <row r="1" spans="1:7">
      <c r="A1" t="s">
        <v>460</v>
      </c>
      <c r="B1" t="s">
        <v>461</v>
      </c>
      <c r="C1" t="s">
        <v>462</v>
      </c>
      <c r="D1" t="s">
        <v>463</v>
      </c>
      <c r="E1" t="s">
        <v>464</v>
      </c>
      <c r="F1" t="s">
        <v>465</v>
      </c>
      <c r="G1" t="s">
        <v>466</v>
      </c>
    </row>
    <row r="2" spans="1:7">
      <c r="A2" t="s">
        <v>108</v>
      </c>
      <c r="B2" t="s">
        <v>467</v>
      </c>
      <c r="C2" t="s">
        <v>746</v>
      </c>
      <c r="D2" t="s">
        <v>468</v>
      </c>
      <c r="E2" t="s">
        <v>469</v>
      </c>
      <c r="F2">
        <v>5</v>
      </c>
      <c r="G2">
        <v>100</v>
      </c>
    </row>
    <row r="3" spans="1:7">
      <c r="A3" t="s">
        <v>108</v>
      </c>
      <c r="B3" t="s">
        <v>470</v>
      </c>
      <c r="C3" t="s">
        <v>471</v>
      </c>
      <c r="D3" t="s">
        <v>472</v>
      </c>
      <c r="E3" t="s">
        <v>473</v>
      </c>
      <c r="F3">
        <v>6.99</v>
      </c>
      <c r="G3">
        <v>69.900000000000006</v>
      </c>
    </row>
    <row r="4" spans="1:7">
      <c r="A4" t="s">
        <v>108</v>
      </c>
      <c r="B4" t="s">
        <v>474</v>
      </c>
      <c r="C4" t="s">
        <v>475</v>
      </c>
      <c r="D4" t="s">
        <v>476</v>
      </c>
      <c r="E4" t="s">
        <v>473</v>
      </c>
      <c r="F4">
        <v>7.5</v>
      </c>
      <c r="G4">
        <v>75</v>
      </c>
    </row>
    <row r="5" spans="1:7">
      <c r="A5" t="s">
        <v>108</v>
      </c>
      <c r="B5" t="s">
        <v>477</v>
      </c>
      <c r="C5" t="s">
        <v>747</v>
      </c>
      <c r="D5" t="s">
        <v>477</v>
      </c>
      <c r="E5" t="s">
        <v>469</v>
      </c>
      <c r="F5">
        <v>5.85</v>
      </c>
      <c r="G5">
        <f>TableauConcurence[[#This Row],[PRIX]]/_xlfn.NUMBERVALUE(TableauConcurence[[#This Row],[GRAMMAGE]],"g")*1000</f>
        <v>117</v>
      </c>
    </row>
    <row r="6" spans="1:7">
      <c r="A6" t="s">
        <v>64</v>
      </c>
      <c r="B6" t="s">
        <v>467</v>
      </c>
      <c r="C6" t="s">
        <v>478</v>
      </c>
      <c r="D6" t="s">
        <v>479</v>
      </c>
      <c r="E6" t="s">
        <v>469</v>
      </c>
      <c r="F6">
        <v>4.9000000000000004</v>
      </c>
      <c r="G6">
        <v>98</v>
      </c>
    </row>
    <row r="7" spans="1:7">
      <c r="A7" t="s">
        <v>64</v>
      </c>
      <c r="B7" t="s">
        <v>470</v>
      </c>
      <c r="C7" t="s">
        <v>64</v>
      </c>
      <c r="D7" t="s">
        <v>480</v>
      </c>
      <c r="E7" t="s">
        <v>481</v>
      </c>
      <c r="F7">
        <v>1.59</v>
      </c>
      <c r="G7">
        <v>41.84</v>
      </c>
    </row>
    <row r="8" spans="1:7">
      <c r="A8" t="s">
        <v>64</v>
      </c>
      <c r="B8" t="s">
        <v>474</v>
      </c>
      <c r="C8" t="s">
        <v>482</v>
      </c>
      <c r="D8" t="s">
        <v>483</v>
      </c>
      <c r="E8" t="s">
        <v>484</v>
      </c>
      <c r="F8">
        <v>14.5</v>
      </c>
      <c r="G8">
        <v>120.83</v>
      </c>
    </row>
    <row r="9" spans="1:7">
      <c r="A9" t="s">
        <v>105</v>
      </c>
      <c r="B9" t="s">
        <v>467</v>
      </c>
      <c r="C9" t="s">
        <v>748</v>
      </c>
      <c r="D9" t="s">
        <v>468</v>
      </c>
      <c r="E9" t="s">
        <v>469</v>
      </c>
      <c r="F9">
        <v>5.5</v>
      </c>
      <c r="G9">
        <v>110</v>
      </c>
    </row>
    <row r="10" spans="1:7">
      <c r="A10" t="s">
        <v>105</v>
      </c>
      <c r="B10" t="s">
        <v>470</v>
      </c>
      <c r="C10" t="s">
        <v>485</v>
      </c>
      <c r="D10" t="s">
        <v>472</v>
      </c>
      <c r="E10" t="s">
        <v>473</v>
      </c>
      <c r="F10">
        <v>6.99</v>
      </c>
      <c r="G10">
        <v>69.900000000000006</v>
      </c>
    </row>
    <row r="11" spans="1:7">
      <c r="A11" t="s">
        <v>105</v>
      </c>
      <c r="B11" t="s">
        <v>474</v>
      </c>
      <c r="C11" t="s">
        <v>486</v>
      </c>
      <c r="D11" t="s">
        <v>476</v>
      </c>
      <c r="E11" t="s">
        <v>473</v>
      </c>
      <c r="F11">
        <v>7.5</v>
      </c>
      <c r="G11">
        <v>75</v>
      </c>
    </row>
    <row r="12" spans="1:7">
      <c r="A12" t="s">
        <v>107</v>
      </c>
      <c r="B12" t="s">
        <v>467</v>
      </c>
      <c r="C12" t="s">
        <v>748</v>
      </c>
      <c r="D12" t="s">
        <v>468</v>
      </c>
      <c r="E12" t="s">
        <v>469</v>
      </c>
      <c r="F12">
        <v>5.5</v>
      </c>
      <c r="G12">
        <v>110</v>
      </c>
    </row>
    <row r="13" spans="1:7">
      <c r="A13" t="s">
        <v>107</v>
      </c>
      <c r="B13" t="s">
        <v>470</v>
      </c>
      <c r="C13" t="s">
        <v>487</v>
      </c>
      <c r="D13" t="s">
        <v>472</v>
      </c>
      <c r="E13" t="s">
        <v>473</v>
      </c>
      <c r="F13">
        <v>6.99</v>
      </c>
      <c r="G13">
        <v>69.900000000000006</v>
      </c>
    </row>
    <row r="14" spans="1:7">
      <c r="A14" t="s">
        <v>107</v>
      </c>
      <c r="B14" t="s">
        <v>474</v>
      </c>
      <c r="C14" t="s">
        <v>488</v>
      </c>
      <c r="D14" t="s">
        <v>476</v>
      </c>
      <c r="E14" t="s">
        <v>473</v>
      </c>
      <c r="F14">
        <v>7.5</v>
      </c>
      <c r="G14">
        <v>75</v>
      </c>
    </row>
    <row r="15" spans="1:7">
      <c r="A15" t="s">
        <v>65</v>
      </c>
      <c r="B15" t="s">
        <v>467</v>
      </c>
      <c r="C15" t="s">
        <v>489</v>
      </c>
      <c r="D15" t="s">
        <v>490</v>
      </c>
      <c r="E15" t="s">
        <v>473</v>
      </c>
      <c r="F15">
        <v>2.95</v>
      </c>
      <c r="G15">
        <v>29.5</v>
      </c>
    </row>
    <row r="16" spans="1:7">
      <c r="A16" t="s">
        <v>65</v>
      </c>
      <c r="B16" t="s">
        <v>470</v>
      </c>
      <c r="C16" t="s">
        <v>491</v>
      </c>
      <c r="D16" t="s">
        <v>480</v>
      </c>
      <c r="E16" t="s">
        <v>492</v>
      </c>
      <c r="F16">
        <v>1.49</v>
      </c>
      <c r="G16">
        <v>53.21</v>
      </c>
    </row>
    <row r="17" spans="1:7">
      <c r="A17" t="s">
        <v>65</v>
      </c>
      <c r="B17" t="s">
        <v>474</v>
      </c>
      <c r="C17" t="s">
        <v>493</v>
      </c>
      <c r="D17" t="s">
        <v>479</v>
      </c>
      <c r="E17" t="s">
        <v>469</v>
      </c>
      <c r="F17">
        <v>3.2</v>
      </c>
      <c r="G17">
        <v>64</v>
      </c>
    </row>
    <row r="18" spans="1:7">
      <c r="A18" t="s">
        <v>494</v>
      </c>
      <c r="B18" t="s">
        <v>467</v>
      </c>
      <c r="C18" t="s">
        <v>495</v>
      </c>
      <c r="D18" t="s">
        <v>496</v>
      </c>
      <c r="E18" t="s">
        <v>473</v>
      </c>
      <c r="F18">
        <v>2.7</v>
      </c>
      <c r="G18">
        <v>27</v>
      </c>
    </row>
    <row r="19" spans="1:7">
      <c r="A19" t="s">
        <v>494</v>
      </c>
      <c r="B19" t="s">
        <v>470</v>
      </c>
      <c r="C19" t="s">
        <v>497</v>
      </c>
      <c r="D19" t="s">
        <v>498</v>
      </c>
      <c r="E19" t="s">
        <v>499</v>
      </c>
      <c r="F19">
        <v>9.39</v>
      </c>
      <c r="G19">
        <v>20.69</v>
      </c>
    </row>
    <row r="20" spans="1:7">
      <c r="A20" t="s">
        <v>494</v>
      </c>
      <c r="B20" t="s">
        <v>474</v>
      </c>
      <c r="C20" t="s">
        <v>495</v>
      </c>
      <c r="D20" t="s">
        <v>500</v>
      </c>
      <c r="E20" t="s">
        <v>501</v>
      </c>
      <c r="F20">
        <v>2.69</v>
      </c>
      <c r="G20">
        <v>44.8</v>
      </c>
    </row>
    <row r="21" spans="1:7">
      <c r="A21" t="s">
        <v>54</v>
      </c>
      <c r="B21" t="s">
        <v>467</v>
      </c>
      <c r="C21" t="s">
        <v>502</v>
      </c>
      <c r="D21" t="s">
        <v>468</v>
      </c>
      <c r="E21" t="s">
        <v>503</v>
      </c>
      <c r="F21">
        <v>9.99</v>
      </c>
      <c r="G21">
        <v>19.98</v>
      </c>
    </row>
    <row r="22" spans="1:7">
      <c r="A22" t="s">
        <v>54</v>
      </c>
      <c r="B22" t="s">
        <v>470</v>
      </c>
      <c r="C22" t="s">
        <v>502</v>
      </c>
      <c r="D22" t="s">
        <v>480</v>
      </c>
      <c r="E22" t="s">
        <v>469</v>
      </c>
      <c r="F22">
        <v>2.2999999999999998</v>
      </c>
      <c r="G22">
        <v>46</v>
      </c>
    </row>
    <row r="23" spans="1:7">
      <c r="A23" t="s">
        <v>54</v>
      </c>
      <c r="B23" t="s">
        <v>474</v>
      </c>
      <c r="C23" t="s">
        <v>749</v>
      </c>
      <c r="D23" t="s">
        <v>504</v>
      </c>
      <c r="E23" t="s">
        <v>505</v>
      </c>
      <c r="F23">
        <v>2.6</v>
      </c>
      <c r="G23">
        <v>65</v>
      </c>
    </row>
    <row r="24" spans="1:7">
      <c r="A24" t="s">
        <v>56</v>
      </c>
      <c r="B24" t="s">
        <v>467</v>
      </c>
      <c r="C24" t="s">
        <v>56</v>
      </c>
      <c r="D24" t="s">
        <v>468</v>
      </c>
      <c r="E24" t="s">
        <v>473</v>
      </c>
      <c r="F24">
        <v>3.9</v>
      </c>
      <c r="G24">
        <v>39</v>
      </c>
    </row>
    <row r="25" spans="1:7">
      <c r="A25" t="s">
        <v>56</v>
      </c>
      <c r="B25" t="s">
        <v>470</v>
      </c>
      <c r="C25" t="s">
        <v>56</v>
      </c>
      <c r="D25" t="s">
        <v>480</v>
      </c>
      <c r="E25" t="s">
        <v>506</v>
      </c>
      <c r="F25">
        <v>1.89</v>
      </c>
      <c r="G25">
        <v>54</v>
      </c>
    </row>
    <row r="26" spans="1:7">
      <c r="A26" t="s">
        <v>56</v>
      </c>
      <c r="B26" t="s">
        <v>474</v>
      </c>
      <c r="C26" t="s">
        <v>56</v>
      </c>
      <c r="D26" t="s">
        <v>504</v>
      </c>
      <c r="E26" t="s">
        <v>505</v>
      </c>
      <c r="F26">
        <v>2.2000000000000002</v>
      </c>
      <c r="G26">
        <v>55</v>
      </c>
    </row>
    <row r="27" spans="1:7">
      <c r="A27" t="s">
        <v>66</v>
      </c>
      <c r="B27" t="s">
        <v>467</v>
      </c>
      <c r="C27" t="s">
        <v>507</v>
      </c>
      <c r="D27" t="s">
        <v>468</v>
      </c>
      <c r="E27" t="s">
        <v>508</v>
      </c>
      <c r="F27">
        <v>3.5</v>
      </c>
      <c r="G27">
        <v>43.75</v>
      </c>
    </row>
    <row r="28" spans="1:7">
      <c r="A28" t="s">
        <v>66</v>
      </c>
      <c r="B28" t="s">
        <v>470</v>
      </c>
      <c r="C28" t="s">
        <v>507</v>
      </c>
      <c r="D28" t="s">
        <v>480</v>
      </c>
      <c r="E28" t="s">
        <v>505</v>
      </c>
      <c r="F28">
        <v>2.0499999999999998</v>
      </c>
      <c r="G28">
        <v>51.25</v>
      </c>
    </row>
    <row r="29" spans="1:7">
      <c r="A29" t="s">
        <v>66</v>
      </c>
      <c r="B29" t="s">
        <v>474</v>
      </c>
      <c r="C29" t="s">
        <v>509</v>
      </c>
      <c r="D29" t="s">
        <v>510</v>
      </c>
      <c r="E29" t="s">
        <v>469</v>
      </c>
      <c r="F29">
        <v>4</v>
      </c>
      <c r="G29">
        <v>80</v>
      </c>
    </row>
    <row r="30" spans="1:7">
      <c r="A30" t="s">
        <v>63</v>
      </c>
      <c r="B30" t="s">
        <v>467</v>
      </c>
      <c r="C30" t="s">
        <v>511</v>
      </c>
      <c r="D30" t="s">
        <v>468</v>
      </c>
      <c r="E30" t="s">
        <v>473</v>
      </c>
      <c r="F30">
        <v>4.5</v>
      </c>
      <c r="G30">
        <v>45</v>
      </c>
    </row>
    <row r="31" spans="1:7">
      <c r="A31" t="s">
        <v>63</v>
      </c>
      <c r="B31" t="s">
        <v>470</v>
      </c>
      <c r="C31" t="s">
        <v>511</v>
      </c>
      <c r="D31" t="s">
        <v>480</v>
      </c>
      <c r="E31" t="s">
        <v>512</v>
      </c>
      <c r="F31">
        <v>2.1</v>
      </c>
      <c r="G31">
        <v>46.67</v>
      </c>
    </row>
    <row r="32" spans="1:7">
      <c r="A32" t="s">
        <v>63</v>
      </c>
      <c r="B32" t="s">
        <v>474</v>
      </c>
      <c r="C32" t="s">
        <v>511</v>
      </c>
      <c r="D32" t="s">
        <v>504</v>
      </c>
      <c r="E32" t="s">
        <v>469</v>
      </c>
      <c r="F32">
        <v>3</v>
      </c>
      <c r="G32">
        <v>60</v>
      </c>
    </row>
    <row r="33" spans="1:7">
      <c r="A33" t="s">
        <v>513</v>
      </c>
      <c r="B33" t="s">
        <v>467</v>
      </c>
      <c r="C33" t="s">
        <v>514</v>
      </c>
      <c r="D33" t="s">
        <v>468</v>
      </c>
      <c r="E33" t="s">
        <v>469</v>
      </c>
      <c r="F33">
        <v>2.8</v>
      </c>
      <c r="G33">
        <v>56</v>
      </c>
    </row>
    <row r="34" spans="1:7">
      <c r="A34" t="s">
        <v>513</v>
      </c>
      <c r="B34" t="s">
        <v>470</v>
      </c>
      <c r="C34" t="s">
        <v>513</v>
      </c>
      <c r="D34" t="s">
        <v>480</v>
      </c>
      <c r="E34" t="s">
        <v>481</v>
      </c>
      <c r="F34">
        <v>1.95</v>
      </c>
      <c r="G34">
        <v>51.32</v>
      </c>
    </row>
    <row r="35" spans="1:7">
      <c r="A35" t="s">
        <v>513</v>
      </c>
      <c r="B35" t="s">
        <v>474</v>
      </c>
      <c r="C35" t="s">
        <v>515</v>
      </c>
      <c r="D35" t="s">
        <v>476</v>
      </c>
      <c r="E35" t="s">
        <v>469</v>
      </c>
      <c r="F35">
        <v>4.5</v>
      </c>
      <c r="G35">
        <v>90</v>
      </c>
    </row>
    <row r="36" spans="1:7">
      <c r="A36" t="s">
        <v>750</v>
      </c>
      <c r="B36" t="s">
        <v>467</v>
      </c>
      <c r="C36" t="s">
        <v>750</v>
      </c>
      <c r="D36" t="s">
        <v>468</v>
      </c>
      <c r="E36" t="s">
        <v>469</v>
      </c>
      <c r="F36">
        <v>3.5</v>
      </c>
      <c r="G36">
        <v>70</v>
      </c>
    </row>
    <row r="37" spans="1:7">
      <c r="A37" t="s">
        <v>750</v>
      </c>
      <c r="B37" t="s">
        <v>470</v>
      </c>
      <c r="C37" t="s">
        <v>516</v>
      </c>
      <c r="D37" t="s">
        <v>480</v>
      </c>
      <c r="E37" t="s">
        <v>517</v>
      </c>
      <c r="F37">
        <v>2.2000000000000002</v>
      </c>
      <c r="G37">
        <v>56.41</v>
      </c>
    </row>
    <row r="38" spans="1:7">
      <c r="A38" t="s">
        <v>750</v>
      </c>
      <c r="B38" t="s">
        <v>474</v>
      </c>
      <c r="C38" t="s">
        <v>518</v>
      </c>
      <c r="D38" t="s">
        <v>476</v>
      </c>
      <c r="E38" t="s">
        <v>505</v>
      </c>
      <c r="F38">
        <v>4</v>
      </c>
      <c r="G38">
        <v>100</v>
      </c>
    </row>
    <row r="39" spans="1:7">
      <c r="A39" t="s">
        <v>519</v>
      </c>
      <c r="B39" t="s">
        <v>467</v>
      </c>
      <c r="C39" t="s">
        <v>751</v>
      </c>
      <c r="D39" t="s">
        <v>468</v>
      </c>
      <c r="E39" t="s">
        <v>506</v>
      </c>
      <c r="F39">
        <v>2.8</v>
      </c>
      <c r="G39">
        <v>80</v>
      </c>
    </row>
    <row r="40" spans="1:7">
      <c r="A40" t="s">
        <v>519</v>
      </c>
      <c r="B40" t="s">
        <v>470</v>
      </c>
      <c r="C40" t="s">
        <v>752</v>
      </c>
      <c r="D40" t="s">
        <v>480</v>
      </c>
      <c r="E40" t="s">
        <v>517</v>
      </c>
      <c r="F40">
        <v>2.15</v>
      </c>
      <c r="G40">
        <v>55.13</v>
      </c>
    </row>
    <row r="41" spans="1:7">
      <c r="A41" t="s">
        <v>519</v>
      </c>
      <c r="B41" t="s">
        <v>474</v>
      </c>
      <c r="C41" t="s">
        <v>753</v>
      </c>
      <c r="D41" t="s">
        <v>504</v>
      </c>
      <c r="E41" t="s">
        <v>506</v>
      </c>
      <c r="F41">
        <v>3</v>
      </c>
      <c r="G41">
        <v>85.71</v>
      </c>
    </row>
    <row r="42" spans="1:7">
      <c r="A42" t="s">
        <v>520</v>
      </c>
      <c r="B42" t="s">
        <v>467</v>
      </c>
      <c r="C42" t="s">
        <v>521</v>
      </c>
      <c r="D42" t="s">
        <v>468</v>
      </c>
      <c r="E42" t="s">
        <v>473</v>
      </c>
      <c r="F42">
        <v>3.9</v>
      </c>
      <c r="G42">
        <v>39</v>
      </c>
    </row>
    <row r="43" spans="1:7">
      <c r="A43" t="s">
        <v>520</v>
      </c>
      <c r="B43" t="s">
        <v>470</v>
      </c>
      <c r="C43" t="s">
        <v>522</v>
      </c>
      <c r="D43" t="s">
        <v>480</v>
      </c>
      <c r="E43" t="s">
        <v>492</v>
      </c>
      <c r="F43">
        <v>2.15</v>
      </c>
      <c r="G43">
        <v>76.790000000000006</v>
      </c>
    </row>
    <row r="44" spans="1:7">
      <c r="A44" t="s">
        <v>520</v>
      </c>
      <c r="B44" t="s">
        <v>474</v>
      </c>
      <c r="C44" t="s">
        <v>522</v>
      </c>
      <c r="D44" t="s">
        <v>504</v>
      </c>
      <c r="E44" t="s">
        <v>505</v>
      </c>
      <c r="F44">
        <v>2.6</v>
      </c>
      <c r="G44">
        <v>65</v>
      </c>
    </row>
    <row r="45" spans="1:7">
      <c r="A45" t="s">
        <v>46</v>
      </c>
      <c r="B45" t="s">
        <v>467</v>
      </c>
      <c r="C45" t="s">
        <v>523</v>
      </c>
      <c r="D45" t="s">
        <v>468</v>
      </c>
      <c r="E45" t="s">
        <v>524</v>
      </c>
      <c r="F45">
        <v>2.79</v>
      </c>
      <c r="G45">
        <v>139.5</v>
      </c>
    </row>
    <row r="46" spans="1:7">
      <c r="A46" t="s">
        <v>46</v>
      </c>
      <c r="B46" t="s">
        <v>470</v>
      </c>
      <c r="C46" t="s">
        <v>523</v>
      </c>
      <c r="D46" t="s">
        <v>480</v>
      </c>
      <c r="E46" t="s">
        <v>525</v>
      </c>
      <c r="F46">
        <v>1.89</v>
      </c>
      <c r="G46">
        <v>75.599999999999994</v>
      </c>
    </row>
    <row r="47" spans="1:7">
      <c r="A47" t="s">
        <v>46</v>
      </c>
      <c r="B47" t="s">
        <v>474</v>
      </c>
      <c r="C47" t="s">
        <v>523</v>
      </c>
      <c r="D47" t="s">
        <v>526</v>
      </c>
      <c r="E47" t="s">
        <v>525</v>
      </c>
      <c r="F47">
        <v>4.2</v>
      </c>
      <c r="G47">
        <v>168</v>
      </c>
    </row>
    <row r="48" spans="1:7">
      <c r="A48" t="s">
        <v>84</v>
      </c>
      <c r="B48" t="s">
        <v>467</v>
      </c>
      <c r="C48" t="s">
        <v>527</v>
      </c>
      <c r="D48" t="s">
        <v>528</v>
      </c>
      <c r="E48" t="s">
        <v>529</v>
      </c>
      <c r="F48">
        <v>4.5</v>
      </c>
      <c r="G48">
        <v>16.07</v>
      </c>
    </row>
    <row r="49" spans="1:7">
      <c r="A49" t="s">
        <v>84</v>
      </c>
      <c r="B49" t="s">
        <v>467</v>
      </c>
      <c r="C49" t="s">
        <v>754</v>
      </c>
      <c r="D49" t="s">
        <v>530</v>
      </c>
      <c r="E49" t="s">
        <v>531</v>
      </c>
      <c r="F49">
        <v>3.8</v>
      </c>
      <c r="G49">
        <v>10.56</v>
      </c>
    </row>
    <row r="50" spans="1:7">
      <c r="A50" t="s">
        <v>84</v>
      </c>
      <c r="B50" t="s">
        <v>467</v>
      </c>
      <c r="C50" t="s">
        <v>532</v>
      </c>
      <c r="D50" t="s">
        <v>533</v>
      </c>
      <c r="E50" t="s">
        <v>534</v>
      </c>
      <c r="F50">
        <v>3.2</v>
      </c>
      <c r="G50">
        <v>9.41</v>
      </c>
    </row>
    <row r="51" spans="1:7">
      <c r="A51" t="s">
        <v>84</v>
      </c>
      <c r="B51" t="s">
        <v>470</v>
      </c>
      <c r="C51" t="s">
        <v>84</v>
      </c>
      <c r="D51" t="s">
        <v>535</v>
      </c>
      <c r="E51" t="s">
        <v>503</v>
      </c>
      <c r="F51">
        <v>2.5</v>
      </c>
      <c r="G51">
        <v>5</v>
      </c>
    </row>
    <row r="52" spans="1:7">
      <c r="A52" t="s">
        <v>84</v>
      </c>
      <c r="B52" t="s">
        <v>474</v>
      </c>
      <c r="C52" t="s">
        <v>536</v>
      </c>
      <c r="D52" t="s">
        <v>755</v>
      </c>
      <c r="E52" t="s">
        <v>537</v>
      </c>
      <c r="F52">
        <v>4</v>
      </c>
      <c r="G52">
        <v>16</v>
      </c>
    </row>
    <row r="53" spans="1:7">
      <c r="A53" t="s">
        <v>48</v>
      </c>
      <c r="B53" t="s">
        <v>467</v>
      </c>
      <c r="C53" t="s">
        <v>538</v>
      </c>
      <c r="D53" t="s">
        <v>539</v>
      </c>
      <c r="E53" t="s">
        <v>540</v>
      </c>
      <c r="F53">
        <v>3.65</v>
      </c>
      <c r="G53">
        <v>18.25</v>
      </c>
    </row>
    <row r="54" spans="1:7">
      <c r="A54" t="s">
        <v>48</v>
      </c>
      <c r="B54" t="s">
        <v>470</v>
      </c>
      <c r="C54" t="s">
        <v>48</v>
      </c>
      <c r="D54" t="s">
        <v>541</v>
      </c>
      <c r="E54" t="s">
        <v>542</v>
      </c>
      <c r="F54">
        <v>2.15</v>
      </c>
      <c r="G54">
        <v>5.81</v>
      </c>
    </row>
    <row r="55" spans="1:7">
      <c r="A55" t="s">
        <v>48</v>
      </c>
      <c r="B55" t="s">
        <v>474</v>
      </c>
      <c r="C55" t="s">
        <v>48</v>
      </c>
      <c r="D55" t="s">
        <v>539</v>
      </c>
      <c r="E55" t="s">
        <v>540</v>
      </c>
      <c r="F55">
        <v>5.9</v>
      </c>
      <c r="G55">
        <f>TableauConcurence[[#This Row],[PRIX]]/_xlfn.NUMBERVALUE(TableauConcurence[[#This Row],[GRAMMAGE]],"g")*1000</f>
        <v>29.500000000000004</v>
      </c>
    </row>
    <row r="56" spans="1:7">
      <c r="A56" t="s">
        <v>58</v>
      </c>
      <c r="B56" t="s">
        <v>467</v>
      </c>
      <c r="C56" t="s">
        <v>58</v>
      </c>
      <c r="D56" t="s">
        <v>543</v>
      </c>
      <c r="E56" t="s">
        <v>540</v>
      </c>
      <c r="F56">
        <v>3.65</v>
      </c>
      <c r="G56">
        <v>18.25</v>
      </c>
    </row>
    <row r="57" spans="1:7">
      <c r="A57" t="s">
        <v>58</v>
      </c>
      <c r="B57" t="s">
        <v>470</v>
      </c>
      <c r="C57" t="s">
        <v>58</v>
      </c>
      <c r="D57" t="s">
        <v>541</v>
      </c>
      <c r="E57" t="s">
        <v>544</v>
      </c>
      <c r="F57">
        <v>1.89</v>
      </c>
      <c r="G57">
        <v>7.27</v>
      </c>
    </row>
    <row r="58" spans="1:7">
      <c r="A58" t="s">
        <v>58</v>
      </c>
      <c r="B58" t="s">
        <v>474</v>
      </c>
      <c r="C58" t="s">
        <v>58</v>
      </c>
      <c r="D58" t="s">
        <v>526</v>
      </c>
      <c r="E58" t="s">
        <v>540</v>
      </c>
      <c r="F58">
        <v>4.2</v>
      </c>
      <c r="G58">
        <v>21</v>
      </c>
    </row>
    <row r="59" spans="1:7">
      <c r="A59" t="s">
        <v>67</v>
      </c>
      <c r="B59" t="s">
        <v>467</v>
      </c>
      <c r="C59" t="s">
        <v>545</v>
      </c>
      <c r="D59" t="s">
        <v>504</v>
      </c>
      <c r="E59" t="s">
        <v>469</v>
      </c>
      <c r="F59">
        <v>2.99</v>
      </c>
      <c r="G59">
        <v>59.8</v>
      </c>
    </row>
    <row r="60" spans="1:7">
      <c r="A60" t="s">
        <v>67</v>
      </c>
      <c r="B60" t="s">
        <v>470</v>
      </c>
      <c r="C60" t="s">
        <v>546</v>
      </c>
      <c r="D60" t="s">
        <v>480</v>
      </c>
      <c r="E60" t="s">
        <v>505</v>
      </c>
      <c r="F60">
        <v>2.1</v>
      </c>
      <c r="G60">
        <v>52.5</v>
      </c>
    </row>
    <row r="61" spans="1:7">
      <c r="A61" t="s">
        <v>67</v>
      </c>
      <c r="B61" t="s">
        <v>474</v>
      </c>
      <c r="C61" t="s">
        <v>692</v>
      </c>
      <c r="D61" t="s">
        <v>547</v>
      </c>
      <c r="E61" t="s">
        <v>505</v>
      </c>
      <c r="F61">
        <v>8.27</v>
      </c>
      <c r="G61">
        <f>TableauConcurence[[#This Row],[PRIX]]/40*1000</f>
        <v>206.75</v>
      </c>
    </row>
    <row r="62" spans="1:7">
      <c r="A62" t="s">
        <v>692</v>
      </c>
      <c r="B62" t="s">
        <v>467</v>
      </c>
      <c r="C62" t="s">
        <v>692</v>
      </c>
      <c r="D62" t="s">
        <v>548</v>
      </c>
      <c r="E62" t="s">
        <v>501</v>
      </c>
      <c r="F62">
        <v>4.2</v>
      </c>
      <c r="G62">
        <v>70</v>
      </c>
    </row>
    <row r="63" spans="1:7">
      <c r="A63" t="s">
        <v>692</v>
      </c>
      <c r="B63" t="s">
        <v>470</v>
      </c>
      <c r="C63" t="s">
        <v>692</v>
      </c>
      <c r="D63" t="s">
        <v>480</v>
      </c>
      <c r="E63" t="s">
        <v>505</v>
      </c>
      <c r="F63">
        <v>2.2999999999999998</v>
      </c>
      <c r="G63">
        <v>57.5</v>
      </c>
    </row>
    <row r="64" spans="1:7">
      <c r="A64" t="s">
        <v>692</v>
      </c>
      <c r="B64" t="s">
        <v>474</v>
      </c>
      <c r="C64" t="s">
        <v>692</v>
      </c>
      <c r="D64" t="s">
        <v>510</v>
      </c>
      <c r="E64" t="s">
        <v>505</v>
      </c>
      <c r="F64">
        <v>3.5</v>
      </c>
      <c r="G64">
        <v>87.5</v>
      </c>
    </row>
    <row r="65" spans="1:7">
      <c r="A65" t="s">
        <v>549</v>
      </c>
      <c r="B65" t="s">
        <v>467</v>
      </c>
      <c r="C65" t="s">
        <v>550</v>
      </c>
      <c r="D65" t="s">
        <v>551</v>
      </c>
      <c r="E65" t="s">
        <v>552</v>
      </c>
      <c r="F65">
        <v>5.9</v>
      </c>
      <c r="G65">
        <v>11.8</v>
      </c>
    </row>
    <row r="66" spans="1:7">
      <c r="A66" t="s">
        <v>549</v>
      </c>
      <c r="B66" t="s">
        <v>470</v>
      </c>
      <c r="C66" t="s">
        <v>553</v>
      </c>
      <c r="D66" t="s">
        <v>554</v>
      </c>
      <c r="E66" t="s">
        <v>552</v>
      </c>
      <c r="F66">
        <v>2.95</v>
      </c>
      <c r="G66">
        <v>5.9</v>
      </c>
    </row>
    <row r="67" spans="1:7">
      <c r="A67" t="s">
        <v>549</v>
      </c>
      <c r="B67" t="s">
        <v>474</v>
      </c>
      <c r="C67" t="s">
        <v>555</v>
      </c>
      <c r="D67" t="s">
        <v>551</v>
      </c>
      <c r="E67" t="s">
        <v>552</v>
      </c>
      <c r="F67">
        <v>6.5</v>
      </c>
      <c r="G67">
        <v>13</v>
      </c>
    </row>
    <row r="68" spans="1:7">
      <c r="A68" t="s">
        <v>69</v>
      </c>
      <c r="B68" t="s">
        <v>467</v>
      </c>
      <c r="C68" t="s">
        <v>556</v>
      </c>
      <c r="D68" t="s">
        <v>557</v>
      </c>
      <c r="E68" t="s">
        <v>558</v>
      </c>
      <c r="F68">
        <v>4.5</v>
      </c>
      <c r="G68">
        <v>6</v>
      </c>
    </row>
    <row r="69" spans="1:7">
      <c r="A69" t="s">
        <v>69</v>
      </c>
      <c r="B69" t="s">
        <v>470</v>
      </c>
      <c r="C69" t="s">
        <v>69</v>
      </c>
      <c r="D69" t="s">
        <v>559</v>
      </c>
      <c r="E69" t="s">
        <v>552</v>
      </c>
      <c r="F69">
        <v>5.95</v>
      </c>
      <c r="G69">
        <v>11.9</v>
      </c>
    </row>
    <row r="70" spans="1:7">
      <c r="A70" t="s">
        <v>69</v>
      </c>
      <c r="B70" t="s">
        <v>474</v>
      </c>
      <c r="C70" t="s">
        <v>560</v>
      </c>
      <c r="D70" t="s">
        <v>561</v>
      </c>
      <c r="E70" t="s">
        <v>552</v>
      </c>
      <c r="F70">
        <v>6</v>
      </c>
      <c r="G70">
        <v>12</v>
      </c>
    </row>
    <row r="71" spans="1:7">
      <c r="A71" t="s">
        <v>60</v>
      </c>
      <c r="B71" t="s">
        <v>467</v>
      </c>
      <c r="C71" t="s">
        <v>562</v>
      </c>
      <c r="D71" t="s">
        <v>551</v>
      </c>
      <c r="E71" t="s">
        <v>563</v>
      </c>
      <c r="F71">
        <v>6.5</v>
      </c>
      <c r="G71">
        <v>6.5</v>
      </c>
    </row>
    <row r="72" spans="1:7">
      <c r="A72" t="s">
        <v>60</v>
      </c>
      <c r="B72" t="s">
        <v>470</v>
      </c>
      <c r="C72" t="s">
        <v>60</v>
      </c>
      <c r="D72" t="s">
        <v>554</v>
      </c>
      <c r="E72" t="s">
        <v>564</v>
      </c>
      <c r="F72">
        <v>2.4500000000000002</v>
      </c>
      <c r="G72">
        <v>3.5</v>
      </c>
    </row>
    <row r="73" spans="1:7">
      <c r="A73" t="s">
        <v>60</v>
      </c>
      <c r="B73" t="s">
        <v>474</v>
      </c>
      <c r="C73" t="s">
        <v>60</v>
      </c>
      <c r="D73" t="s">
        <v>561</v>
      </c>
      <c r="E73" t="s">
        <v>552</v>
      </c>
      <c r="F73">
        <v>4</v>
      </c>
      <c r="G73">
        <v>8</v>
      </c>
    </row>
    <row r="74" spans="1:7">
      <c r="A74" t="s">
        <v>70</v>
      </c>
      <c r="B74" t="s">
        <v>467</v>
      </c>
      <c r="C74" t="s">
        <v>70</v>
      </c>
      <c r="D74" t="s">
        <v>565</v>
      </c>
      <c r="E74" t="s">
        <v>552</v>
      </c>
      <c r="F74">
        <v>5.9</v>
      </c>
      <c r="G74">
        <v>11.8</v>
      </c>
    </row>
    <row r="75" spans="1:7">
      <c r="A75" t="s">
        <v>70</v>
      </c>
      <c r="B75" t="s">
        <v>470</v>
      </c>
      <c r="C75" t="s">
        <v>70</v>
      </c>
      <c r="D75" t="s">
        <v>554</v>
      </c>
      <c r="E75" t="s">
        <v>564</v>
      </c>
      <c r="F75">
        <v>3.5</v>
      </c>
      <c r="G75">
        <v>5</v>
      </c>
    </row>
    <row r="76" spans="1:7">
      <c r="A76" t="s">
        <v>70</v>
      </c>
      <c r="B76" t="s">
        <v>474</v>
      </c>
      <c r="C76" t="s">
        <v>566</v>
      </c>
      <c r="D76" t="s">
        <v>561</v>
      </c>
      <c r="E76" t="s">
        <v>552</v>
      </c>
      <c r="F76">
        <v>6</v>
      </c>
      <c r="G76">
        <v>12</v>
      </c>
    </row>
    <row r="77" spans="1:7">
      <c r="A77" t="s">
        <v>71</v>
      </c>
      <c r="B77" t="s">
        <v>467</v>
      </c>
      <c r="C77" t="s">
        <v>567</v>
      </c>
      <c r="D77" t="s">
        <v>551</v>
      </c>
      <c r="E77" t="s">
        <v>552</v>
      </c>
      <c r="F77">
        <v>7.2</v>
      </c>
      <c r="G77">
        <v>14.4</v>
      </c>
    </row>
    <row r="78" spans="1:7">
      <c r="A78" t="s">
        <v>71</v>
      </c>
      <c r="B78" t="s">
        <v>470</v>
      </c>
      <c r="C78" t="s">
        <v>568</v>
      </c>
      <c r="D78" t="s">
        <v>756</v>
      </c>
      <c r="E78" t="s">
        <v>439</v>
      </c>
      <c r="F78">
        <v>6.95</v>
      </c>
      <c r="G78">
        <v>27.8</v>
      </c>
    </row>
    <row r="79" spans="1:7">
      <c r="A79" t="s">
        <v>71</v>
      </c>
      <c r="B79" t="s">
        <v>474</v>
      </c>
      <c r="C79" t="s">
        <v>569</v>
      </c>
      <c r="D79" t="s">
        <v>570</v>
      </c>
      <c r="E79" t="s">
        <v>503</v>
      </c>
      <c r="F79">
        <v>19.45</v>
      </c>
      <c r="G79">
        <v>38.9</v>
      </c>
    </row>
    <row r="80" spans="1:7">
      <c r="A80" t="s">
        <v>571</v>
      </c>
      <c r="B80" t="s">
        <v>467</v>
      </c>
      <c r="C80" t="s">
        <v>572</v>
      </c>
      <c r="D80" t="s">
        <v>573</v>
      </c>
      <c r="E80" t="s">
        <v>574</v>
      </c>
      <c r="F80">
        <v>10.5</v>
      </c>
      <c r="G80">
        <v>10.5</v>
      </c>
    </row>
    <row r="81" spans="1:7">
      <c r="A81" t="s">
        <v>571</v>
      </c>
      <c r="B81" t="s">
        <v>470</v>
      </c>
      <c r="C81" t="s">
        <v>575</v>
      </c>
      <c r="D81" t="s">
        <v>576</v>
      </c>
      <c r="E81" t="s">
        <v>537</v>
      </c>
      <c r="F81">
        <v>4.99</v>
      </c>
      <c r="G81">
        <v>19.96</v>
      </c>
    </row>
    <row r="82" spans="1:7">
      <c r="A82" t="s">
        <v>571</v>
      </c>
      <c r="B82" t="s">
        <v>474</v>
      </c>
      <c r="C82" t="s">
        <v>571</v>
      </c>
      <c r="D82" t="s">
        <v>476</v>
      </c>
      <c r="E82" t="s">
        <v>577</v>
      </c>
      <c r="F82">
        <v>6</v>
      </c>
      <c r="G82">
        <v>40</v>
      </c>
    </row>
    <row r="83" spans="1:7">
      <c r="A83" t="s">
        <v>78</v>
      </c>
      <c r="B83" t="s">
        <v>467</v>
      </c>
      <c r="C83" t="s">
        <v>757</v>
      </c>
      <c r="D83" t="s">
        <v>570</v>
      </c>
      <c r="E83" t="s">
        <v>578</v>
      </c>
      <c r="F83">
        <v>5</v>
      </c>
      <c r="G83">
        <v>83.33</v>
      </c>
    </row>
    <row r="84" spans="1:7">
      <c r="A84" t="s">
        <v>78</v>
      </c>
      <c r="B84" t="s">
        <v>470</v>
      </c>
      <c r="C84" t="s">
        <v>579</v>
      </c>
      <c r="D84" t="s">
        <v>580</v>
      </c>
      <c r="E84" t="s">
        <v>578</v>
      </c>
      <c r="F84">
        <v>2.4900000000000002</v>
      </c>
      <c r="G84">
        <v>41.5</v>
      </c>
    </row>
    <row r="85" spans="1:7">
      <c r="A85" t="s">
        <v>78</v>
      </c>
      <c r="B85" t="s">
        <v>474</v>
      </c>
      <c r="C85" t="s">
        <v>758</v>
      </c>
      <c r="D85" t="s">
        <v>581</v>
      </c>
      <c r="E85" t="s">
        <v>582</v>
      </c>
      <c r="F85">
        <v>6</v>
      </c>
      <c r="G85">
        <v>120</v>
      </c>
    </row>
    <row r="86" spans="1:7">
      <c r="A86" t="s">
        <v>77</v>
      </c>
      <c r="B86" t="s">
        <v>467</v>
      </c>
      <c r="C86" t="s">
        <v>583</v>
      </c>
      <c r="D86" t="s">
        <v>570</v>
      </c>
      <c r="E86" t="s">
        <v>578</v>
      </c>
      <c r="F86">
        <v>4.5</v>
      </c>
      <c r="G86">
        <v>75</v>
      </c>
    </row>
    <row r="87" spans="1:7">
      <c r="A87" t="s">
        <v>77</v>
      </c>
      <c r="B87" t="s">
        <v>470</v>
      </c>
      <c r="C87" t="s">
        <v>584</v>
      </c>
      <c r="D87" t="s">
        <v>580</v>
      </c>
      <c r="E87" t="s">
        <v>578</v>
      </c>
      <c r="F87">
        <v>4.29</v>
      </c>
      <c r="G87">
        <v>71.5</v>
      </c>
    </row>
    <row r="88" spans="1:7">
      <c r="A88" t="s">
        <v>77</v>
      </c>
      <c r="B88" t="s">
        <v>474</v>
      </c>
      <c r="C88" t="s">
        <v>585</v>
      </c>
      <c r="D88" t="s">
        <v>581</v>
      </c>
      <c r="E88" t="s">
        <v>582</v>
      </c>
      <c r="F88">
        <v>5.5</v>
      </c>
      <c r="G88">
        <v>110</v>
      </c>
    </row>
    <row r="89" spans="1:7">
      <c r="A89" t="s">
        <v>76</v>
      </c>
      <c r="B89" t="s">
        <v>467</v>
      </c>
      <c r="C89" t="s">
        <v>759</v>
      </c>
      <c r="D89" t="s">
        <v>570</v>
      </c>
      <c r="E89" t="s">
        <v>578</v>
      </c>
      <c r="F89">
        <v>4</v>
      </c>
      <c r="G89">
        <v>66.67</v>
      </c>
    </row>
    <row r="90" spans="1:7">
      <c r="A90" t="s">
        <v>76</v>
      </c>
      <c r="B90" t="s">
        <v>470</v>
      </c>
      <c r="C90" t="s">
        <v>586</v>
      </c>
      <c r="D90" t="s">
        <v>580</v>
      </c>
      <c r="E90" t="s">
        <v>578</v>
      </c>
      <c r="F90">
        <v>4.29</v>
      </c>
      <c r="G90">
        <v>71.5</v>
      </c>
    </row>
    <row r="91" spans="1:7">
      <c r="A91" t="s">
        <v>76</v>
      </c>
      <c r="B91" t="s">
        <v>474</v>
      </c>
      <c r="C91" t="s">
        <v>760</v>
      </c>
      <c r="D91" t="s">
        <v>581</v>
      </c>
      <c r="E91" t="s">
        <v>582</v>
      </c>
      <c r="F91">
        <v>5</v>
      </c>
      <c r="G91">
        <v>100</v>
      </c>
    </row>
    <row r="92" spans="1:7">
      <c r="A92" t="s">
        <v>80</v>
      </c>
      <c r="B92" t="s">
        <v>467</v>
      </c>
      <c r="C92" t="s">
        <v>761</v>
      </c>
      <c r="D92" t="s">
        <v>570</v>
      </c>
      <c r="E92" t="s">
        <v>578</v>
      </c>
      <c r="F92">
        <v>4</v>
      </c>
      <c r="G92">
        <v>66.67</v>
      </c>
    </row>
    <row r="93" spans="1:7">
      <c r="A93" t="s">
        <v>80</v>
      </c>
      <c r="B93" t="s">
        <v>470</v>
      </c>
      <c r="C93" t="s">
        <v>586</v>
      </c>
      <c r="D93" t="s">
        <v>580</v>
      </c>
      <c r="E93" t="s">
        <v>578</v>
      </c>
      <c r="F93">
        <v>4.29</v>
      </c>
      <c r="G93">
        <v>71.5</v>
      </c>
    </row>
    <row r="94" spans="1:7">
      <c r="A94" t="s">
        <v>80</v>
      </c>
      <c r="B94" t="s">
        <v>474</v>
      </c>
      <c r="C94" t="s">
        <v>762</v>
      </c>
      <c r="D94" t="s">
        <v>587</v>
      </c>
      <c r="E94" t="s">
        <v>582</v>
      </c>
      <c r="F94">
        <v>5</v>
      </c>
      <c r="G94">
        <v>100</v>
      </c>
    </row>
    <row r="95" spans="1:7">
      <c r="A95" t="s">
        <v>72</v>
      </c>
      <c r="B95" t="s">
        <v>467</v>
      </c>
      <c r="C95" t="s">
        <v>588</v>
      </c>
      <c r="D95" t="s">
        <v>589</v>
      </c>
      <c r="E95" t="s">
        <v>558</v>
      </c>
      <c r="F95">
        <v>4.3</v>
      </c>
      <c r="G95">
        <v>5.73</v>
      </c>
    </row>
    <row r="96" spans="1:7">
      <c r="A96" t="s">
        <v>72</v>
      </c>
      <c r="B96" t="s">
        <v>470</v>
      </c>
      <c r="C96" t="s">
        <v>590</v>
      </c>
      <c r="D96" t="s">
        <v>591</v>
      </c>
      <c r="E96" t="s">
        <v>558</v>
      </c>
      <c r="F96">
        <v>2.5</v>
      </c>
      <c r="G96">
        <v>3.33</v>
      </c>
    </row>
    <row r="97" spans="1:7">
      <c r="A97" t="s">
        <v>72</v>
      </c>
      <c r="B97" t="s">
        <v>474</v>
      </c>
      <c r="C97" t="s">
        <v>592</v>
      </c>
      <c r="D97" t="s">
        <v>593</v>
      </c>
      <c r="E97" t="s">
        <v>552</v>
      </c>
      <c r="F97">
        <v>5.9</v>
      </c>
      <c r="G97">
        <v>11.8</v>
      </c>
    </row>
    <row r="98" spans="1:7">
      <c r="A98" t="s">
        <v>74</v>
      </c>
      <c r="B98" t="s">
        <v>467</v>
      </c>
      <c r="C98" t="s">
        <v>594</v>
      </c>
      <c r="D98" t="s">
        <v>595</v>
      </c>
      <c r="E98" t="s">
        <v>596</v>
      </c>
      <c r="F98">
        <v>13.5</v>
      </c>
      <c r="G98">
        <v>54</v>
      </c>
    </row>
    <row r="99" spans="1:7">
      <c r="A99" t="s">
        <v>74</v>
      </c>
      <c r="B99" t="s">
        <v>470</v>
      </c>
      <c r="C99" t="s">
        <v>597</v>
      </c>
      <c r="D99" t="s">
        <v>763</v>
      </c>
      <c r="E99" t="s">
        <v>596</v>
      </c>
      <c r="F99">
        <v>7.05</v>
      </c>
      <c r="G99">
        <v>28.2</v>
      </c>
    </row>
    <row r="100" spans="1:7">
      <c r="A100" t="s">
        <v>74</v>
      </c>
      <c r="B100" t="s">
        <v>474</v>
      </c>
      <c r="C100" t="s">
        <v>598</v>
      </c>
      <c r="D100" t="s">
        <v>599</v>
      </c>
      <c r="E100" t="s">
        <v>552</v>
      </c>
      <c r="F100">
        <v>9.9</v>
      </c>
      <c r="G100">
        <v>19.8</v>
      </c>
    </row>
    <row r="101" spans="1:7">
      <c r="A101" t="s">
        <v>75</v>
      </c>
      <c r="B101" t="s">
        <v>467</v>
      </c>
      <c r="C101" t="s">
        <v>764</v>
      </c>
      <c r="D101" t="s">
        <v>468</v>
      </c>
      <c r="E101" t="s">
        <v>600</v>
      </c>
      <c r="F101">
        <v>2.95</v>
      </c>
      <c r="G101">
        <v>109.26</v>
      </c>
    </row>
    <row r="102" spans="1:7">
      <c r="A102" t="s">
        <v>75</v>
      </c>
      <c r="B102" t="s">
        <v>470</v>
      </c>
      <c r="C102" t="s">
        <v>765</v>
      </c>
      <c r="D102" t="s">
        <v>480</v>
      </c>
      <c r="E102" t="s">
        <v>481</v>
      </c>
      <c r="F102">
        <v>3.25</v>
      </c>
      <c r="G102">
        <v>85.53</v>
      </c>
    </row>
    <row r="103" spans="1:7">
      <c r="A103" t="s">
        <v>75</v>
      </c>
      <c r="B103" t="s">
        <v>474</v>
      </c>
      <c r="C103" t="s">
        <v>601</v>
      </c>
      <c r="D103" t="s">
        <v>476</v>
      </c>
      <c r="E103" t="s">
        <v>473</v>
      </c>
      <c r="F103">
        <v>7.5</v>
      </c>
      <c r="G103">
        <v>75</v>
      </c>
    </row>
    <row r="104" spans="1:7">
      <c r="A104" t="s">
        <v>46</v>
      </c>
      <c r="B104" t="s">
        <v>602</v>
      </c>
      <c r="C104" t="s">
        <v>603</v>
      </c>
      <c r="D104" t="s">
        <v>604</v>
      </c>
      <c r="E104" t="s">
        <v>537</v>
      </c>
      <c r="F104">
        <v>15.85</v>
      </c>
      <c r="G104" s="605">
        <v>63.4</v>
      </c>
    </row>
    <row r="105" spans="1:7">
      <c r="A105" t="s">
        <v>48</v>
      </c>
      <c r="B105" t="s">
        <v>602</v>
      </c>
      <c r="D105" t="s">
        <v>604</v>
      </c>
    </row>
    <row r="106" spans="1:7">
      <c r="A106" t="s">
        <v>54</v>
      </c>
      <c r="B106" t="s">
        <v>602</v>
      </c>
      <c r="D106" t="s">
        <v>604</v>
      </c>
      <c r="E106" t="s">
        <v>501</v>
      </c>
      <c r="F106">
        <v>4.2</v>
      </c>
      <c r="G106">
        <v>38.200000000000003</v>
      </c>
    </row>
    <row r="107" spans="1:7">
      <c r="A107" t="s">
        <v>56</v>
      </c>
      <c r="B107" t="s">
        <v>602</v>
      </c>
      <c r="D107" t="s">
        <v>604</v>
      </c>
    </row>
    <row r="108" spans="1:7">
      <c r="A108" t="s">
        <v>63</v>
      </c>
      <c r="B108" t="s">
        <v>602</v>
      </c>
      <c r="D108" t="s">
        <v>604</v>
      </c>
    </row>
    <row r="109" spans="1:7">
      <c r="A109" t="s">
        <v>691</v>
      </c>
      <c r="B109" t="s">
        <v>602</v>
      </c>
      <c r="D109" t="s">
        <v>604</v>
      </c>
    </row>
    <row r="110" spans="1:7">
      <c r="A110" t="s">
        <v>57</v>
      </c>
      <c r="B110" t="s">
        <v>602</v>
      </c>
      <c r="D110" t="s">
        <v>604</v>
      </c>
    </row>
    <row r="111" spans="1:7">
      <c r="A111" t="s">
        <v>58</v>
      </c>
      <c r="B111" t="s">
        <v>602</v>
      </c>
      <c r="D111" t="s">
        <v>604</v>
      </c>
    </row>
    <row r="112" spans="1:7">
      <c r="A112" t="s">
        <v>692</v>
      </c>
      <c r="B112" t="s">
        <v>602</v>
      </c>
      <c r="D112" t="s">
        <v>604</v>
      </c>
    </row>
    <row r="113" spans="1:4">
      <c r="A113" t="s">
        <v>60</v>
      </c>
      <c r="B113" t="s">
        <v>602</v>
      </c>
      <c r="D113" t="s">
        <v>604</v>
      </c>
    </row>
    <row r="114" spans="1:4">
      <c r="A114" t="s">
        <v>62</v>
      </c>
      <c r="B114" t="s">
        <v>602</v>
      </c>
      <c r="D114" t="s">
        <v>604</v>
      </c>
    </row>
    <row r="115" spans="1:4">
      <c r="A115" t="s">
        <v>64</v>
      </c>
      <c r="B115" t="s">
        <v>602</v>
      </c>
      <c r="D115" t="s">
        <v>604</v>
      </c>
    </row>
    <row r="116" spans="1:4">
      <c r="A116" t="s">
        <v>65</v>
      </c>
      <c r="B116" t="s">
        <v>602</v>
      </c>
      <c r="D116" t="s">
        <v>604</v>
      </c>
    </row>
    <row r="117" spans="1:4">
      <c r="A117" t="s">
        <v>66</v>
      </c>
      <c r="B117" t="s">
        <v>602</v>
      </c>
      <c r="D117" t="s">
        <v>604</v>
      </c>
    </row>
    <row r="118" spans="1:4">
      <c r="A118" t="s">
        <v>79</v>
      </c>
      <c r="B118" t="s">
        <v>602</v>
      </c>
      <c r="D118" t="s">
        <v>604</v>
      </c>
    </row>
    <row r="119" spans="1:4">
      <c r="A119" t="s">
        <v>693</v>
      </c>
      <c r="B119" t="s">
        <v>602</v>
      </c>
      <c r="D119" t="s">
        <v>604</v>
      </c>
    </row>
    <row r="120" spans="1:4">
      <c r="A120" t="s">
        <v>67</v>
      </c>
      <c r="B120" t="s">
        <v>602</v>
      </c>
      <c r="D120" t="s">
        <v>604</v>
      </c>
    </row>
    <row r="121" spans="1:4">
      <c r="A121" t="s">
        <v>68</v>
      </c>
      <c r="B121" t="s">
        <v>602</v>
      </c>
      <c r="D121" t="s">
        <v>604</v>
      </c>
    </row>
    <row r="122" spans="1:4">
      <c r="A122" t="s">
        <v>69</v>
      </c>
      <c r="B122" t="s">
        <v>602</v>
      </c>
      <c r="D122" t="s">
        <v>604</v>
      </c>
    </row>
    <row r="123" spans="1:4">
      <c r="A123" t="s">
        <v>70</v>
      </c>
      <c r="B123" t="s">
        <v>602</v>
      </c>
      <c r="D123" t="s">
        <v>604</v>
      </c>
    </row>
    <row r="124" spans="1:4">
      <c r="A124" t="s">
        <v>71</v>
      </c>
      <c r="B124" t="s">
        <v>602</v>
      </c>
      <c r="D124" t="s">
        <v>604</v>
      </c>
    </row>
    <row r="125" spans="1:4">
      <c r="A125" t="s">
        <v>78</v>
      </c>
      <c r="B125" t="s">
        <v>602</v>
      </c>
      <c r="D125" t="s">
        <v>604</v>
      </c>
    </row>
    <row r="126" spans="1:4">
      <c r="A126" t="s">
        <v>77</v>
      </c>
      <c r="B126" t="s">
        <v>602</v>
      </c>
      <c r="D126" t="s">
        <v>604</v>
      </c>
    </row>
    <row r="127" spans="1:4">
      <c r="A127" t="s">
        <v>76</v>
      </c>
      <c r="B127" t="s">
        <v>602</v>
      </c>
      <c r="D127" t="s">
        <v>604</v>
      </c>
    </row>
    <row r="128" spans="1:4">
      <c r="A128" t="s">
        <v>72</v>
      </c>
      <c r="B128" t="s">
        <v>602</v>
      </c>
      <c r="D128" t="s">
        <v>604</v>
      </c>
    </row>
    <row r="129" spans="1:4">
      <c r="A129" t="s">
        <v>74</v>
      </c>
      <c r="B129" t="s">
        <v>602</v>
      </c>
      <c r="D129" t="s">
        <v>604</v>
      </c>
    </row>
    <row r="130" spans="1:4">
      <c r="A130" t="s">
        <v>75</v>
      </c>
      <c r="B130" t="s">
        <v>602</v>
      </c>
      <c r="D130" t="s">
        <v>604</v>
      </c>
    </row>
    <row r="131" spans="1:4">
      <c r="A131" t="s">
        <v>80</v>
      </c>
      <c r="B131" t="s">
        <v>602</v>
      </c>
      <c r="D131" t="s">
        <v>604</v>
      </c>
    </row>
    <row r="132" spans="1:4">
      <c r="A132" t="s">
        <v>84</v>
      </c>
      <c r="B132" t="s">
        <v>602</v>
      </c>
      <c r="D132" t="s">
        <v>604</v>
      </c>
    </row>
    <row r="133" spans="1:4">
      <c r="A133" t="s">
        <v>108</v>
      </c>
      <c r="B133" t="s">
        <v>602</v>
      </c>
      <c r="D133" t="s">
        <v>604</v>
      </c>
    </row>
    <row r="134" spans="1:4">
      <c r="A134" t="s">
        <v>105</v>
      </c>
      <c r="B134" t="s">
        <v>602</v>
      </c>
      <c r="D134" t="s">
        <v>604</v>
      </c>
    </row>
    <row r="135" spans="1:4">
      <c r="A135" t="s">
        <v>107</v>
      </c>
      <c r="B135" t="s">
        <v>602</v>
      </c>
      <c r="D135" t="s">
        <v>604</v>
      </c>
    </row>
    <row r="136" spans="1:4">
      <c r="A136" t="s">
        <v>104</v>
      </c>
      <c r="B136" t="s">
        <v>602</v>
      </c>
      <c r="D136" t="s">
        <v>604</v>
      </c>
    </row>
    <row r="137" spans="1:4">
      <c r="A137" t="s">
        <v>102</v>
      </c>
      <c r="B137" t="s">
        <v>602</v>
      </c>
      <c r="D137" t="s">
        <v>604</v>
      </c>
    </row>
    <row r="138" spans="1:4">
      <c r="A138" t="s">
        <v>93</v>
      </c>
      <c r="B138" t="s">
        <v>602</v>
      </c>
      <c r="D138" t="s">
        <v>604</v>
      </c>
    </row>
    <row r="139" spans="1:4">
      <c r="A139" t="s">
        <v>101</v>
      </c>
      <c r="B139" t="s">
        <v>602</v>
      </c>
      <c r="D139" t="s">
        <v>604</v>
      </c>
    </row>
    <row r="140" spans="1:4">
      <c r="A140" t="s">
        <v>90</v>
      </c>
      <c r="B140" t="s">
        <v>602</v>
      </c>
      <c r="D140" t="s">
        <v>604</v>
      </c>
    </row>
    <row r="141" spans="1:4">
      <c r="A141" t="s">
        <v>100</v>
      </c>
      <c r="B141" t="s">
        <v>602</v>
      </c>
      <c r="D141" t="s">
        <v>604</v>
      </c>
    </row>
    <row r="142" spans="1:4">
      <c r="A142" t="s">
        <v>694</v>
      </c>
      <c r="B142" t="s">
        <v>602</v>
      </c>
      <c r="D142" t="s">
        <v>604</v>
      </c>
    </row>
    <row r="143" spans="1:4">
      <c r="A143" t="s">
        <v>699</v>
      </c>
      <c r="B143" t="s">
        <v>602</v>
      </c>
      <c r="D143" t="s">
        <v>604</v>
      </c>
    </row>
    <row r="144" spans="1:4">
      <c r="A144" t="s">
        <v>696</v>
      </c>
      <c r="B144" t="s">
        <v>602</v>
      </c>
      <c r="D144" t="s">
        <v>604</v>
      </c>
    </row>
    <row r="145" spans="1:4">
      <c r="A145" t="s">
        <v>695</v>
      </c>
      <c r="B145" t="s">
        <v>602</v>
      </c>
      <c r="D145" t="s">
        <v>604</v>
      </c>
    </row>
    <row r="146" spans="1:4">
      <c r="A146" t="s">
        <v>110</v>
      </c>
      <c r="B146" t="s">
        <v>602</v>
      </c>
      <c r="D146" t="s">
        <v>604</v>
      </c>
    </row>
    <row r="147" spans="1:4">
      <c r="A147" t="s">
        <v>111</v>
      </c>
      <c r="B147" t="s">
        <v>602</v>
      </c>
      <c r="D147" t="s">
        <v>604</v>
      </c>
    </row>
    <row r="148" spans="1:4">
      <c r="A148" t="s">
        <v>109</v>
      </c>
      <c r="B148" t="s">
        <v>602</v>
      </c>
      <c r="D148" t="s">
        <v>604</v>
      </c>
    </row>
    <row r="149" spans="1:4">
      <c r="A149" t="s">
        <v>86</v>
      </c>
      <c r="B149" t="s">
        <v>602</v>
      </c>
      <c r="D149" t="s">
        <v>604</v>
      </c>
    </row>
    <row r="150" spans="1:4">
      <c r="A150" t="s">
        <v>88</v>
      </c>
      <c r="B150" t="s">
        <v>602</v>
      </c>
      <c r="D150" t="s">
        <v>604</v>
      </c>
    </row>
    <row r="151" spans="1:4">
      <c r="A151" t="s">
        <v>103</v>
      </c>
      <c r="B151" t="s">
        <v>602</v>
      </c>
      <c r="D151" t="s">
        <v>604</v>
      </c>
    </row>
    <row r="152" spans="1:4">
      <c r="A152" t="s">
        <v>96</v>
      </c>
      <c r="B152" t="s">
        <v>602</v>
      </c>
      <c r="D152" t="s">
        <v>604</v>
      </c>
    </row>
    <row r="153" spans="1:4">
      <c r="A153" t="s">
        <v>99</v>
      </c>
      <c r="B153" t="s">
        <v>602</v>
      </c>
      <c r="D153" t="s">
        <v>604</v>
      </c>
    </row>
    <row r="154" spans="1:4">
      <c r="A154" t="s">
        <v>95</v>
      </c>
      <c r="B154" t="s">
        <v>602</v>
      </c>
      <c r="D154" t="s">
        <v>604</v>
      </c>
    </row>
    <row r="155" spans="1:4">
      <c r="A155" t="s">
        <v>81</v>
      </c>
      <c r="B155" t="s">
        <v>602</v>
      </c>
      <c r="D155" t="s">
        <v>604</v>
      </c>
    </row>
    <row r="156" spans="1:4">
      <c r="A156" t="s">
        <v>106</v>
      </c>
      <c r="B156" t="s">
        <v>602</v>
      </c>
      <c r="D156" t="s">
        <v>604</v>
      </c>
    </row>
    <row r="157" spans="1:4">
      <c r="A157" t="s">
        <v>700</v>
      </c>
      <c r="B157" t="s">
        <v>602</v>
      </c>
      <c r="D157" t="s">
        <v>604</v>
      </c>
    </row>
    <row r="158" spans="1:4">
      <c r="A158" t="s">
        <v>98</v>
      </c>
      <c r="B158" t="s">
        <v>602</v>
      </c>
      <c r="D158" t="s">
        <v>604</v>
      </c>
    </row>
    <row r="159" spans="1:4">
      <c r="A159" t="s">
        <v>82</v>
      </c>
      <c r="B159" t="s">
        <v>602</v>
      </c>
      <c r="D159" t="s">
        <v>604</v>
      </c>
    </row>
    <row r="160" spans="1:4">
      <c r="A160" t="s">
        <v>83</v>
      </c>
      <c r="B160" t="s">
        <v>602</v>
      </c>
      <c r="D160" t="s">
        <v>604</v>
      </c>
    </row>
    <row r="161" spans="1:4">
      <c r="A161" t="s">
        <v>97</v>
      </c>
      <c r="B161" t="s">
        <v>602</v>
      </c>
      <c r="D161" t="s">
        <v>604</v>
      </c>
    </row>
    <row r="162" spans="1:4">
      <c r="A162" t="s">
        <v>698</v>
      </c>
      <c r="B162" t="s">
        <v>602</v>
      </c>
      <c r="D162" t="s">
        <v>604</v>
      </c>
    </row>
    <row r="163" spans="1:4">
      <c r="A163" t="s">
        <v>697</v>
      </c>
      <c r="B163" t="s">
        <v>602</v>
      </c>
      <c r="D163" t="s">
        <v>604</v>
      </c>
    </row>
    <row r="164" spans="1:4">
      <c r="A164" t="s">
        <v>91</v>
      </c>
      <c r="B164" t="s">
        <v>602</v>
      </c>
      <c r="D164" t="s">
        <v>604</v>
      </c>
    </row>
    <row r="165" spans="1:4">
      <c r="A165" t="s">
        <v>89</v>
      </c>
      <c r="B165" t="s">
        <v>602</v>
      </c>
      <c r="D165" t="s">
        <v>604</v>
      </c>
    </row>
    <row r="166" spans="1:4">
      <c r="A166" t="s">
        <v>87</v>
      </c>
      <c r="B166" t="s">
        <v>602</v>
      </c>
      <c r="D166" t="s">
        <v>604</v>
      </c>
    </row>
    <row r="167" spans="1:4">
      <c r="A167" t="s">
        <v>94</v>
      </c>
      <c r="B167" t="s">
        <v>602</v>
      </c>
      <c r="D167" t="s">
        <v>604</v>
      </c>
    </row>
    <row r="168" spans="1:4">
      <c r="A168" t="s">
        <v>92</v>
      </c>
      <c r="B168" t="s">
        <v>602</v>
      </c>
      <c r="D168" t="s">
        <v>604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2DAC7-AA6D-DD46-A476-912DA5F69CB9}">
  <sheetPr codeName="Feuil8"/>
  <dimension ref="A1:BF58"/>
  <sheetViews>
    <sheetView workbookViewId="0">
      <selection activeCell="I47" sqref="I47"/>
    </sheetView>
  </sheetViews>
  <sheetFormatPr baseColWidth="10" defaultColWidth="11" defaultRowHeight="16"/>
  <cols>
    <col min="1" max="1" width="25.1640625" customWidth="1"/>
    <col min="2" max="7" width="8.1640625" customWidth="1"/>
    <col min="8" max="8" width="12.1640625" customWidth="1"/>
    <col min="9" max="9" width="16.1640625" customWidth="1"/>
    <col min="10" max="10" width="12.6640625" customWidth="1"/>
    <col min="11" max="11" width="15" customWidth="1"/>
    <col min="12" max="12" width="17.5" customWidth="1"/>
    <col min="13" max="14" width="11.33203125" customWidth="1"/>
  </cols>
  <sheetData>
    <row r="1" spans="1:58" ht="74">
      <c r="A1" s="24" t="s">
        <v>0</v>
      </c>
      <c r="B1" s="24" t="s">
        <v>766</v>
      </c>
      <c r="C1" s="24" t="s">
        <v>767</v>
      </c>
      <c r="D1" s="24" t="s">
        <v>605</v>
      </c>
      <c r="E1" s="24" t="s">
        <v>5</v>
      </c>
      <c r="F1" s="25" t="s">
        <v>6</v>
      </c>
      <c r="G1" s="24" t="s">
        <v>606</v>
      </c>
      <c r="H1" s="24" t="s">
        <v>607</v>
      </c>
      <c r="I1" s="24" t="s">
        <v>608</v>
      </c>
      <c r="J1" s="24" t="s">
        <v>609</v>
      </c>
      <c r="K1" s="24" t="s">
        <v>8</v>
      </c>
      <c r="L1" s="24" t="s">
        <v>9</v>
      </c>
      <c r="M1" s="24" t="s">
        <v>610</v>
      </c>
      <c r="N1" s="24" t="s">
        <v>611</v>
      </c>
      <c r="O1" s="24" t="s">
        <v>612</v>
      </c>
    </row>
    <row r="2" spans="1:58">
      <c r="A2" s="19" t="s">
        <v>64</v>
      </c>
      <c r="B2" s="20">
        <v>25</v>
      </c>
      <c r="C2" s="20">
        <v>45</v>
      </c>
      <c r="D2" s="20">
        <v>1.125</v>
      </c>
      <c r="E2" s="20">
        <v>4.5</v>
      </c>
      <c r="F2" s="21">
        <v>100</v>
      </c>
      <c r="G2" s="20">
        <v>96.5</v>
      </c>
      <c r="H2" s="20" t="s">
        <v>55</v>
      </c>
      <c r="I2" s="20">
        <v>0.64</v>
      </c>
      <c r="J2" s="20" t="e">
        <v>#N/A</v>
      </c>
      <c r="K2" s="20">
        <v>65.33</v>
      </c>
      <c r="L2" s="20"/>
      <c r="M2" s="20"/>
      <c r="N2" s="22"/>
    </row>
    <row r="3" spans="1:58">
      <c r="A3" s="19" t="s">
        <v>105</v>
      </c>
      <c r="B3" s="20">
        <v>25</v>
      </c>
      <c r="C3" s="20">
        <v>45</v>
      </c>
      <c r="D3" s="20">
        <v>1.125</v>
      </c>
      <c r="E3" s="20">
        <v>7.3125</v>
      </c>
      <c r="F3" s="21">
        <v>162.5</v>
      </c>
      <c r="G3" s="20">
        <v>166.8125</v>
      </c>
      <c r="H3" s="20" t="s">
        <v>55</v>
      </c>
      <c r="I3" s="20">
        <v>0.64</v>
      </c>
      <c r="J3" s="20" t="e">
        <v>#N/A</v>
      </c>
      <c r="K3" s="20"/>
      <c r="L3" s="20">
        <v>162.5</v>
      </c>
      <c r="M3" s="20"/>
      <c r="N3" s="22"/>
      <c r="P3" s="303" cm="1">
        <f t="array" aca="1" ref="P3:BF58" ca="1">TableauProduit[Total (kg) N1]:TableauProduit[Total (kg) N2]:TableauProduit[Total (kg) N3]:TableauProduit[Total (kg) N4]:TableauProduit[Total (kg) N5]:TableauProduit[Total (kg) N6]:TableauProduit[Total (kg) N7]:TableauProduit[Total (kg) N8]</f>
        <v>230</v>
      </c>
      <c r="Q3">
        <f ca="1"/>
        <v>1680</v>
      </c>
      <c r="R3">
        <f ca="1"/>
        <v>6.4984595635430047</v>
      </c>
      <c r="S3">
        <f ca="1"/>
        <v>6500</v>
      </c>
      <c r="T3">
        <f ca="1"/>
        <v>4813.5015404364567</v>
      </c>
      <c r="U3">
        <f ca="1"/>
        <v>1000</v>
      </c>
      <c r="V3">
        <f ca="1"/>
        <v>230</v>
      </c>
      <c r="W3">
        <f ca="1"/>
        <v>1680</v>
      </c>
      <c r="X3">
        <f ca="1"/>
        <v>6.4984595635430047</v>
      </c>
      <c r="Y3">
        <f ca="1"/>
        <v>6500</v>
      </c>
      <c r="Z3">
        <f ca="1"/>
        <v>4813.5015404364567</v>
      </c>
      <c r="AA3">
        <f ca="1"/>
        <v>1000</v>
      </c>
      <c r="AB3">
        <f ca="1"/>
        <v>230</v>
      </c>
      <c r="AC3">
        <f ca="1"/>
        <v>1680</v>
      </c>
      <c r="AD3">
        <f ca="1"/>
        <v>6.4984595635430047</v>
      </c>
      <c r="AE3">
        <f ca="1"/>
        <v>6500</v>
      </c>
      <c r="AF3">
        <f ca="1"/>
        <v>4813.5015404364567</v>
      </c>
      <c r="AG3">
        <f ca="1"/>
        <v>1000</v>
      </c>
      <c r="AH3">
        <f ca="1"/>
        <v>230</v>
      </c>
      <c r="AI3">
        <f ca="1"/>
        <v>1680</v>
      </c>
      <c r="AJ3">
        <f ca="1"/>
        <v>6.4984595635430047</v>
      </c>
      <c r="AK3">
        <f ca="1"/>
        <v>6500</v>
      </c>
      <c r="AL3">
        <f ca="1"/>
        <v>4813.5015404364567</v>
      </c>
      <c r="AM3">
        <f ca="1"/>
        <v>1000</v>
      </c>
      <c r="AN3">
        <f ca="1"/>
        <v>230</v>
      </c>
      <c r="AO3">
        <f ca="1"/>
        <v>1680</v>
      </c>
      <c r="AP3">
        <f ca="1"/>
        <v>6.4984595635430047</v>
      </c>
      <c r="AQ3">
        <f ca="1"/>
        <v>6500</v>
      </c>
      <c r="AR3">
        <f ca="1"/>
        <v>4813.5015404364567</v>
      </c>
      <c r="AS3">
        <f ca="1"/>
        <v>1000</v>
      </c>
      <c r="AT3">
        <f ca="1"/>
        <v>230</v>
      </c>
      <c r="AU3">
        <f ca="1"/>
        <v>1680</v>
      </c>
      <c r="AV3">
        <f ca="1"/>
        <v>6.4984595635430047</v>
      </c>
      <c r="AW3">
        <f ca="1"/>
        <v>6500</v>
      </c>
      <c r="AX3">
        <f ca="1"/>
        <v>4813.5015404364567</v>
      </c>
      <c r="AY3">
        <f ca="1"/>
        <v>1000</v>
      </c>
      <c r="AZ3">
        <f ca="1"/>
        <v>230</v>
      </c>
      <c r="BA3">
        <f ca="1"/>
        <v>1680</v>
      </c>
      <c r="BB3">
        <f ca="1"/>
        <v>6.4984595635430047</v>
      </c>
      <c r="BC3">
        <f ca="1"/>
        <v>6500</v>
      </c>
      <c r="BD3">
        <f ca="1"/>
        <v>4813.5015404364567</v>
      </c>
      <c r="BE3">
        <f ca="1"/>
        <v>1000</v>
      </c>
      <c r="BF3">
        <f ca="1"/>
        <v>230</v>
      </c>
    </row>
    <row r="4" spans="1:58">
      <c r="A4" s="19" t="s">
        <v>107</v>
      </c>
      <c r="B4" s="20">
        <v>25</v>
      </c>
      <c r="C4" s="20">
        <v>65</v>
      </c>
      <c r="D4" s="20">
        <v>1.625</v>
      </c>
      <c r="E4" s="20">
        <v>7.8000000000000007</v>
      </c>
      <c r="F4" s="21">
        <v>120</v>
      </c>
      <c r="G4" s="20">
        <v>179.00000000000003</v>
      </c>
      <c r="H4" s="20" t="s">
        <v>55</v>
      </c>
      <c r="I4" s="20">
        <v>0.64</v>
      </c>
      <c r="J4" s="20" t="e">
        <v>#N/A</v>
      </c>
      <c r="K4" s="20"/>
      <c r="L4" s="20">
        <v>96</v>
      </c>
      <c r="M4" s="20"/>
      <c r="N4" s="22"/>
      <c r="P4">
        <f ca="1"/>
        <v>125</v>
      </c>
      <c r="Q4">
        <f ca="1"/>
        <v>1600</v>
      </c>
      <c r="R4">
        <f ca="1"/>
        <v>90.592592592592581</v>
      </c>
      <c r="S4">
        <f ca="1"/>
        <v>17500</v>
      </c>
      <c r="T4">
        <f ca="1"/>
        <v>15809.407407407409</v>
      </c>
      <c r="U4">
        <f ca="1"/>
        <v>2500</v>
      </c>
      <c r="V4">
        <f ca="1"/>
        <v>125</v>
      </c>
      <c r="W4">
        <f ca="1"/>
        <v>1600</v>
      </c>
      <c r="X4">
        <f ca="1"/>
        <v>90.592592592592581</v>
      </c>
      <c r="Y4">
        <f ca="1"/>
        <v>17500</v>
      </c>
      <c r="Z4">
        <f ca="1"/>
        <v>15809.407407407409</v>
      </c>
      <c r="AA4">
        <f ca="1"/>
        <v>2500</v>
      </c>
      <c r="AB4">
        <f ca="1"/>
        <v>125</v>
      </c>
      <c r="AC4">
        <f ca="1"/>
        <v>1600</v>
      </c>
      <c r="AD4">
        <f ca="1"/>
        <v>90.592592592592581</v>
      </c>
      <c r="AE4">
        <f ca="1"/>
        <v>17500</v>
      </c>
      <c r="AF4">
        <f ca="1"/>
        <v>15809.407407407409</v>
      </c>
      <c r="AG4">
        <f ca="1"/>
        <v>2500</v>
      </c>
      <c r="AH4">
        <f ca="1"/>
        <v>125</v>
      </c>
      <c r="AI4">
        <f ca="1"/>
        <v>1600</v>
      </c>
      <c r="AJ4">
        <f ca="1"/>
        <v>90.592592592592581</v>
      </c>
      <c r="AK4">
        <f ca="1"/>
        <v>17500</v>
      </c>
      <c r="AL4">
        <f ca="1"/>
        <v>15809.407407407409</v>
      </c>
      <c r="AM4">
        <f ca="1"/>
        <v>2500</v>
      </c>
      <c r="AN4">
        <f ca="1"/>
        <v>125</v>
      </c>
      <c r="AO4">
        <f ca="1"/>
        <v>1600</v>
      </c>
      <c r="AP4">
        <f ca="1"/>
        <v>90.592592592592581</v>
      </c>
      <c r="AQ4">
        <f ca="1"/>
        <v>17500</v>
      </c>
      <c r="AR4">
        <f ca="1"/>
        <v>15809.407407407409</v>
      </c>
      <c r="AS4">
        <f ca="1"/>
        <v>2500</v>
      </c>
      <c r="AT4">
        <f ca="1"/>
        <v>125</v>
      </c>
      <c r="AU4">
        <f ca="1"/>
        <v>1600</v>
      </c>
      <c r="AV4">
        <f ca="1"/>
        <v>90.592592592592581</v>
      </c>
      <c r="AW4">
        <f ca="1"/>
        <v>17500</v>
      </c>
      <c r="AX4">
        <f ca="1"/>
        <v>15809.407407407409</v>
      </c>
      <c r="AY4">
        <f ca="1"/>
        <v>2500</v>
      </c>
      <c r="AZ4">
        <f ca="1"/>
        <v>125</v>
      </c>
      <c r="BA4">
        <f ca="1"/>
        <v>1600</v>
      </c>
      <c r="BB4">
        <f ca="1"/>
        <v>90.592592592592581</v>
      </c>
      <c r="BC4">
        <f ca="1"/>
        <v>17500</v>
      </c>
      <c r="BD4">
        <f ca="1"/>
        <v>15809.407407407409</v>
      </c>
      <c r="BE4">
        <f ca="1"/>
        <v>2500</v>
      </c>
      <c r="BF4">
        <f ca="1"/>
        <v>125</v>
      </c>
    </row>
    <row r="5" spans="1:58">
      <c r="A5" s="19" t="s">
        <v>65</v>
      </c>
      <c r="B5" s="20">
        <v>25</v>
      </c>
      <c r="C5" s="20">
        <v>45</v>
      </c>
      <c r="D5" s="20">
        <v>1.125</v>
      </c>
      <c r="E5" s="20">
        <v>2.6999999999999997</v>
      </c>
      <c r="F5" s="21">
        <v>60</v>
      </c>
      <c r="G5" s="20">
        <v>51.499999999999993</v>
      </c>
      <c r="H5" s="20" t="s">
        <v>55</v>
      </c>
      <c r="I5" s="20">
        <v>0.64</v>
      </c>
      <c r="J5" s="20" t="e">
        <v>#N/A</v>
      </c>
      <c r="K5" s="20">
        <v>51.33</v>
      </c>
      <c r="L5" s="20"/>
      <c r="M5" s="20"/>
      <c r="N5" s="22"/>
      <c r="P5">
        <f ca="1"/>
        <v>25</v>
      </c>
      <c r="Q5">
        <f ca="1"/>
        <v>320</v>
      </c>
      <c r="R5">
        <f ca="1"/>
        <v>0</v>
      </c>
      <c r="S5">
        <f ca="1"/>
        <v>2500</v>
      </c>
      <c r="T5">
        <f ca="1"/>
        <v>2180</v>
      </c>
      <c r="U5">
        <f ca="1"/>
        <v>1000</v>
      </c>
      <c r="V5">
        <f ca="1"/>
        <v>25</v>
      </c>
      <c r="W5">
        <f ca="1"/>
        <v>320</v>
      </c>
      <c r="X5">
        <f ca="1"/>
        <v>0</v>
      </c>
      <c r="Y5">
        <f ca="1"/>
        <v>2500</v>
      </c>
      <c r="Z5">
        <f ca="1"/>
        <v>2180</v>
      </c>
      <c r="AA5">
        <f ca="1"/>
        <v>1000</v>
      </c>
      <c r="AB5">
        <f ca="1"/>
        <v>25</v>
      </c>
      <c r="AC5">
        <f ca="1"/>
        <v>320</v>
      </c>
      <c r="AD5">
        <f ca="1"/>
        <v>0</v>
      </c>
      <c r="AE5">
        <f ca="1"/>
        <v>2500</v>
      </c>
      <c r="AF5">
        <f ca="1"/>
        <v>2180</v>
      </c>
      <c r="AG5">
        <f ca="1"/>
        <v>1000</v>
      </c>
      <c r="AH5">
        <f ca="1"/>
        <v>25</v>
      </c>
      <c r="AI5">
        <f ca="1"/>
        <v>320</v>
      </c>
      <c r="AJ5">
        <f ca="1"/>
        <v>0</v>
      </c>
      <c r="AK5">
        <f ca="1"/>
        <v>2500</v>
      </c>
      <c r="AL5">
        <f ca="1"/>
        <v>2180</v>
      </c>
      <c r="AM5">
        <f ca="1"/>
        <v>1000</v>
      </c>
      <c r="AN5">
        <f ca="1"/>
        <v>25</v>
      </c>
      <c r="AO5">
        <f ca="1"/>
        <v>320</v>
      </c>
      <c r="AP5">
        <f ca="1"/>
        <v>0</v>
      </c>
      <c r="AQ5">
        <f ca="1"/>
        <v>2500</v>
      </c>
      <c r="AR5">
        <f ca="1"/>
        <v>2180</v>
      </c>
      <c r="AS5">
        <f ca="1"/>
        <v>1000</v>
      </c>
      <c r="AT5">
        <f ca="1"/>
        <v>25</v>
      </c>
      <c r="AU5">
        <f ca="1"/>
        <v>320</v>
      </c>
      <c r="AV5">
        <f ca="1"/>
        <v>0</v>
      </c>
      <c r="AW5">
        <f ca="1"/>
        <v>2500</v>
      </c>
      <c r="AX5">
        <f ca="1"/>
        <v>2180</v>
      </c>
      <c r="AY5">
        <f ca="1"/>
        <v>1000</v>
      </c>
      <c r="AZ5">
        <f ca="1"/>
        <v>25</v>
      </c>
      <c r="BA5">
        <f ca="1"/>
        <v>320</v>
      </c>
      <c r="BB5">
        <f ca="1"/>
        <v>0</v>
      </c>
      <c r="BC5">
        <f ca="1"/>
        <v>2500</v>
      </c>
      <c r="BD5">
        <f ca="1"/>
        <v>2180</v>
      </c>
      <c r="BE5">
        <f ca="1"/>
        <v>1000</v>
      </c>
      <c r="BF5">
        <f ca="1"/>
        <v>25</v>
      </c>
    </row>
    <row r="6" spans="1:58">
      <c r="A6" s="19" t="s">
        <v>104</v>
      </c>
      <c r="B6" s="20">
        <v>25</v>
      </c>
      <c r="C6" s="20">
        <v>65</v>
      </c>
      <c r="D6" s="20">
        <v>1.625</v>
      </c>
      <c r="E6" s="20">
        <v>4.2250000000000005</v>
      </c>
      <c r="F6" s="21">
        <v>65</v>
      </c>
      <c r="G6" s="20">
        <v>89.625000000000014</v>
      </c>
      <c r="H6" s="20" t="s">
        <v>55</v>
      </c>
      <c r="I6" s="20">
        <v>0.64</v>
      </c>
      <c r="J6" s="20" t="e">
        <v>#N/A</v>
      </c>
      <c r="K6" s="20">
        <v>43</v>
      </c>
      <c r="L6" s="20"/>
      <c r="M6" s="20"/>
      <c r="N6" s="22"/>
      <c r="P6">
        <f ca="1"/>
        <v>25</v>
      </c>
      <c r="Q6">
        <f ca="1"/>
        <v>320</v>
      </c>
      <c r="R6">
        <f ca="1"/>
        <v>0</v>
      </c>
      <c r="S6">
        <f ca="1"/>
        <v>2500</v>
      </c>
      <c r="T6">
        <f ca="1"/>
        <v>2180</v>
      </c>
      <c r="U6">
        <f ca="1"/>
        <v>250</v>
      </c>
      <c r="V6">
        <f ca="1"/>
        <v>25</v>
      </c>
      <c r="W6">
        <f ca="1"/>
        <v>320</v>
      </c>
      <c r="X6">
        <f ca="1"/>
        <v>0</v>
      </c>
      <c r="Y6">
        <f ca="1"/>
        <v>2500</v>
      </c>
      <c r="Z6">
        <f ca="1"/>
        <v>2180</v>
      </c>
      <c r="AA6">
        <f ca="1"/>
        <v>250</v>
      </c>
      <c r="AB6">
        <f ca="1"/>
        <v>25</v>
      </c>
      <c r="AC6">
        <f ca="1"/>
        <v>320</v>
      </c>
      <c r="AD6">
        <f ca="1"/>
        <v>0</v>
      </c>
      <c r="AE6">
        <f ca="1"/>
        <v>2500</v>
      </c>
      <c r="AF6">
        <f ca="1"/>
        <v>2180</v>
      </c>
      <c r="AG6">
        <f ca="1"/>
        <v>250</v>
      </c>
      <c r="AH6">
        <f ca="1"/>
        <v>25</v>
      </c>
      <c r="AI6">
        <f ca="1"/>
        <v>320</v>
      </c>
      <c r="AJ6">
        <f ca="1"/>
        <v>0</v>
      </c>
      <c r="AK6">
        <f ca="1"/>
        <v>2500</v>
      </c>
      <c r="AL6">
        <f ca="1"/>
        <v>2180</v>
      </c>
      <c r="AM6">
        <f ca="1"/>
        <v>250</v>
      </c>
      <c r="AN6">
        <f ca="1"/>
        <v>25</v>
      </c>
      <c r="AO6">
        <f ca="1"/>
        <v>320</v>
      </c>
      <c r="AP6">
        <f ca="1"/>
        <v>0</v>
      </c>
      <c r="AQ6">
        <f ca="1"/>
        <v>2500</v>
      </c>
      <c r="AR6">
        <f ca="1"/>
        <v>2180</v>
      </c>
      <c r="AS6">
        <f ca="1"/>
        <v>250</v>
      </c>
      <c r="AT6">
        <f ca="1"/>
        <v>25</v>
      </c>
      <c r="AU6">
        <f ca="1"/>
        <v>320</v>
      </c>
      <c r="AV6">
        <f ca="1"/>
        <v>0</v>
      </c>
      <c r="AW6">
        <f ca="1"/>
        <v>2500</v>
      </c>
      <c r="AX6">
        <f ca="1"/>
        <v>2180</v>
      </c>
      <c r="AY6">
        <f ca="1"/>
        <v>250</v>
      </c>
      <c r="AZ6">
        <f ca="1"/>
        <v>25</v>
      </c>
      <c r="BA6">
        <f ca="1"/>
        <v>320</v>
      </c>
      <c r="BB6">
        <f ca="1"/>
        <v>0</v>
      </c>
      <c r="BC6">
        <f ca="1"/>
        <v>2500</v>
      </c>
      <c r="BD6">
        <f ca="1"/>
        <v>2180</v>
      </c>
      <c r="BE6">
        <f ca="1"/>
        <v>250</v>
      </c>
      <c r="BF6">
        <f ca="1"/>
        <v>25</v>
      </c>
    </row>
    <row r="7" spans="1:58">
      <c r="A7" s="19" t="s">
        <v>56</v>
      </c>
      <c r="B7" s="20">
        <v>25</v>
      </c>
      <c r="C7" s="20">
        <v>65</v>
      </c>
      <c r="D7" s="20">
        <v>1.625</v>
      </c>
      <c r="E7" s="20">
        <v>4.03</v>
      </c>
      <c r="F7" s="21">
        <v>62</v>
      </c>
      <c r="G7" s="20">
        <v>84.75</v>
      </c>
      <c r="H7" s="20" t="s">
        <v>55</v>
      </c>
      <c r="I7" s="20">
        <v>0.64</v>
      </c>
      <c r="J7" s="20" t="s">
        <v>251</v>
      </c>
      <c r="K7" s="20">
        <v>66</v>
      </c>
      <c r="L7" s="20">
        <v>108</v>
      </c>
      <c r="M7" s="20"/>
      <c r="N7" s="22"/>
      <c r="P7">
        <f ca="1"/>
        <v>25</v>
      </c>
      <c r="Q7">
        <f ca="1"/>
        <v>320</v>
      </c>
      <c r="R7">
        <f ca="1"/>
        <v>0</v>
      </c>
      <c r="S7">
        <f ca="1"/>
        <v>2500</v>
      </c>
      <c r="T7">
        <f ca="1"/>
        <v>2180</v>
      </c>
      <c r="U7">
        <f ca="1"/>
        <v>1000</v>
      </c>
      <c r="V7">
        <f ca="1"/>
        <v>25</v>
      </c>
      <c r="W7">
        <f ca="1"/>
        <v>320</v>
      </c>
      <c r="X7">
        <f ca="1"/>
        <v>0</v>
      </c>
      <c r="Y7">
        <f ca="1"/>
        <v>2500</v>
      </c>
      <c r="Z7">
        <f ca="1"/>
        <v>2180</v>
      </c>
      <c r="AA7">
        <f ca="1"/>
        <v>1000</v>
      </c>
      <c r="AB7">
        <f ca="1"/>
        <v>25</v>
      </c>
      <c r="AC7">
        <f ca="1"/>
        <v>320</v>
      </c>
      <c r="AD7">
        <f ca="1"/>
        <v>0</v>
      </c>
      <c r="AE7">
        <f ca="1"/>
        <v>2500</v>
      </c>
      <c r="AF7">
        <f ca="1"/>
        <v>2180</v>
      </c>
      <c r="AG7">
        <f ca="1"/>
        <v>1000</v>
      </c>
      <c r="AH7">
        <f ca="1"/>
        <v>25</v>
      </c>
      <c r="AI7">
        <f ca="1"/>
        <v>320</v>
      </c>
      <c r="AJ7">
        <f ca="1"/>
        <v>0</v>
      </c>
      <c r="AK7">
        <f ca="1"/>
        <v>2500</v>
      </c>
      <c r="AL7">
        <f ca="1"/>
        <v>2180</v>
      </c>
      <c r="AM7">
        <f ca="1"/>
        <v>1000</v>
      </c>
      <c r="AN7">
        <f ca="1"/>
        <v>25</v>
      </c>
      <c r="AO7">
        <f ca="1"/>
        <v>320</v>
      </c>
      <c r="AP7">
        <f ca="1"/>
        <v>0</v>
      </c>
      <c r="AQ7">
        <f ca="1"/>
        <v>2500</v>
      </c>
      <c r="AR7">
        <f ca="1"/>
        <v>2180</v>
      </c>
      <c r="AS7">
        <f ca="1"/>
        <v>1000</v>
      </c>
      <c r="AT7">
        <f ca="1"/>
        <v>25</v>
      </c>
      <c r="AU7">
        <f ca="1"/>
        <v>320</v>
      </c>
      <c r="AV7">
        <f ca="1"/>
        <v>0</v>
      </c>
      <c r="AW7">
        <f ca="1"/>
        <v>2500</v>
      </c>
      <c r="AX7">
        <f ca="1"/>
        <v>2180</v>
      </c>
      <c r="AY7">
        <f ca="1"/>
        <v>1000</v>
      </c>
      <c r="AZ7">
        <f ca="1"/>
        <v>25</v>
      </c>
      <c r="BA7">
        <f ca="1"/>
        <v>320</v>
      </c>
      <c r="BB7">
        <f ca="1"/>
        <v>0</v>
      </c>
      <c r="BC7">
        <f ca="1"/>
        <v>2500</v>
      </c>
      <c r="BD7">
        <f ca="1"/>
        <v>2180</v>
      </c>
      <c r="BE7">
        <f ca="1"/>
        <v>1000</v>
      </c>
      <c r="BF7">
        <f ca="1"/>
        <v>25</v>
      </c>
    </row>
    <row r="8" spans="1:58">
      <c r="A8" s="19" t="s">
        <v>57</v>
      </c>
      <c r="B8" s="20">
        <v>25</v>
      </c>
      <c r="C8" s="20">
        <v>50</v>
      </c>
      <c r="D8" s="20">
        <v>1.25</v>
      </c>
      <c r="E8" s="20">
        <v>5</v>
      </c>
      <c r="F8" s="21">
        <v>100</v>
      </c>
      <c r="G8" s="20">
        <v>109.00000000000001</v>
      </c>
      <c r="H8" s="20" t="s">
        <v>55</v>
      </c>
      <c r="I8" s="20">
        <v>0.64</v>
      </c>
      <c r="J8" s="20">
        <v>100</v>
      </c>
      <c r="K8" s="20">
        <v>88.76</v>
      </c>
      <c r="L8" s="20"/>
      <c r="M8" s="20"/>
      <c r="N8" s="22"/>
      <c r="P8">
        <f ca="1"/>
        <v>25</v>
      </c>
      <c r="Q8">
        <f ca="1"/>
        <v>320</v>
      </c>
      <c r="R8">
        <f ca="1"/>
        <v>0</v>
      </c>
      <c r="S8">
        <f ca="1"/>
        <v>2500</v>
      </c>
      <c r="T8">
        <f ca="1"/>
        <v>2180</v>
      </c>
      <c r="U8">
        <f ca="1"/>
        <v>1500</v>
      </c>
      <c r="V8">
        <f ca="1"/>
        <v>25</v>
      </c>
      <c r="W8">
        <f ca="1"/>
        <v>320</v>
      </c>
      <c r="X8">
        <f ca="1"/>
        <v>0</v>
      </c>
      <c r="Y8">
        <f ca="1"/>
        <v>2500</v>
      </c>
      <c r="Z8">
        <f ca="1"/>
        <v>2180</v>
      </c>
      <c r="AA8">
        <f ca="1"/>
        <v>1500</v>
      </c>
      <c r="AB8">
        <f ca="1"/>
        <v>25</v>
      </c>
      <c r="AC8">
        <f ca="1"/>
        <v>320</v>
      </c>
      <c r="AD8">
        <f ca="1"/>
        <v>0</v>
      </c>
      <c r="AE8">
        <f ca="1"/>
        <v>2500</v>
      </c>
      <c r="AF8">
        <f ca="1"/>
        <v>2180</v>
      </c>
      <c r="AG8">
        <f ca="1"/>
        <v>1500</v>
      </c>
      <c r="AH8">
        <f ca="1"/>
        <v>25</v>
      </c>
      <c r="AI8">
        <f ca="1"/>
        <v>320</v>
      </c>
      <c r="AJ8">
        <f ca="1"/>
        <v>0</v>
      </c>
      <c r="AK8">
        <f ca="1"/>
        <v>2500</v>
      </c>
      <c r="AL8">
        <f ca="1"/>
        <v>2180</v>
      </c>
      <c r="AM8">
        <f ca="1"/>
        <v>1500</v>
      </c>
      <c r="AN8">
        <f ca="1"/>
        <v>25</v>
      </c>
      <c r="AO8">
        <f ca="1"/>
        <v>320</v>
      </c>
      <c r="AP8">
        <f ca="1"/>
        <v>0</v>
      </c>
      <c r="AQ8">
        <f ca="1"/>
        <v>2500</v>
      </c>
      <c r="AR8">
        <f ca="1"/>
        <v>2180</v>
      </c>
      <c r="AS8">
        <f ca="1"/>
        <v>1500</v>
      </c>
      <c r="AT8">
        <f ca="1"/>
        <v>25</v>
      </c>
      <c r="AU8">
        <f ca="1"/>
        <v>320</v>
      </c>
      <c r="AV8">
        <f ca="1"/>
        <v>0</v>
      </c>
      <c r="AW8">
        <f ca="1"/>
        <v>2500</v>
      </c>
      <c r="AX8">
        <f ca="1"/>
        <v>2180</v>
      </c>
      <c r="AY8">
        <f ca="1"/>
        <v>1500</v>
      </c>
      <c r="AZ8">
        <f ca="1"/>
        <v>25</v>
      </c>
      <c r="BA8">
        <f ca="1"/>
        <v>320</v>
      </c>
      <c r="BB8">
        <f ca="1"/>
        <v>0</v>
      </c>
      <c r="BC8">
        <f ca="1"/>
        <v>2500</v>
      </c>
      <c r="BD8">
        <f ca="1"/>
        <v>2180</v>
      </c>
      <c r="BE8">
        <f ca="1"/>
        <v>1500</v>
      </c>
      <c r="BF8">
        <f ca="1"/>
        <v>25</v>
      </c>
    </row>
    <row r="9" spans="1:58">
      <c r="A9" s="19" t="s">
        <v>84</v>
      </c>
      <c r="B9" s="20">
        <v>25</v>
      </c>
      <c r="C9" s="20">
        <v>280</v>
      </c>
      <c r="D9" s="20">
        <v>7</v>
      </c>
      <c r="E9" s="20">
        <v>8</v>
      </c>
      <c r="F9" s="21">
        <v>28.571428571428569</v>
      </c>
      <c r="G9" s="20">
        <v>170</v>
      </c>
      <c r="H9" s="20" t="s">
        <v>85</v>
      </c>
      <c r="I9" s="20">
        <v>1.2</v>
      </c>
      <c r="J9" s="20"/>
      <c r="K9" s="20"/>
      <c r="L9" s="20"/>
      <c r="M9" s="20"/>
      <c r="N9" s="22">
        <v>24.285714285714285</v>
      </c>
      <c r="P9">
        <f ca="1"/>
        <v>32.5</v>
      </c>
      <c r="Q9">
        <f ca="1"/>
        <v>320</v>
      </c>
      <c r="R9">
        <f ca="1"/>
        <v>0</v>
      </c>
      <c r="S9">
        <f ca="1"/>
        <v>2112.5</v>
      </c>
      <c r="T9">
        <f ca="1"/>
        <v>1792.5</v>
      </c>
      <c r="U9">
        <f ca="1"/>
        <v>500</v>
      </c>
      <c r="V9">
        <f ca="1"/>
        <v>32.5</v>
      </c>
      <c r="W9">
        <f ca="1"/>
        <v>320</v>
      </c>
      <c r="X9">
        <f ca="1"/>
        <v>0</v>
      </c>
      <c r="Y9">
        <f ca="1"/>
        <v>2112.5</v>
      </c>
      <c r="Z9">
        <f ca="1"/>
        <v>1792.5</v>
      </c>
      <c r="AA9">
        <f ca="1"/>
        <v>500</v>
      </c>
      <c r="AB9">
        <f ca="1"/>
        <v>32.5</v>
      </c>
      <c r="AC9">
        <f ca="1"/>
        <v>320</v>
      </c>
      <c r="AD9">
        <f ca="1"/>
        <v>0</v>
      </c>
      <c r="AE9">
        <f ca="1"/>
        <v>2112.5</v>
      </c>
      <c r="AF9">
        <f ca="1"/>
        <v>1792.5</v>
      </c>
      <c r="AG9">
        <f ca="1"/>
        <v>500</v>
      </c>
      <c r="AH9">
        <f ca="1"/>
        <v>32.5</v>
      </c>
      <c r="AI9">
        <f ca="1"/>
        <v>320</v>
      </c>
      <c r="AJ9">
        <f ca="1"/>
        <v>0</v>
      </c>
      <c r="AK9">
        <f ca="1"/>
        <v>2112.5</v>
      </c>
      <c r="AL9">
        <f ca="1"/>
        <v>1792.5</v>
      </c>
      <c r="AM9">
        <f ca="1"/>
        <v>500</v>
      </c>
      <c r="AN9">
        <f ca="1"/>
        <v>32.5</v>
      </c>
      <c r="AO9">
        <f ca="1"/>
        <v>320</v>
      </c>
      <c r="AP9">
        <f ca="1"/>
        <v>0</v>
      </c>
      <c r="AQ9">
        <f ca="1"/>
        <v>2112.5</v>
      </c>
      <c r="AR9">
        <f ca="1"/>
        <v>1792.5</v>
      </c>
      <c r="AS9">
        <f ca="1"/>
        <v>500</v>
      </c>
      <c r="AT9">
        <f ca="1"/>
        <v>32.5</v>
      </c>
      <c r="AU9">
        <f ca="1"/>
        <v>320</v>
      </c>
      <c r="AV9">
        <f ca="1"/>
        <v>0</v>
      </c>
      <c r="AW9">
        <f ca="1"/>
        <v>2112.5</v>
      </c>
      <c r="AX9">
        <f ca="1"/>
        <v>1792.5</v>
      </c>
      <c r="AY9">
        <f ca="1"/>
        <v>500</v>
      </c>
      <c r="AZ9">
        <f ca="1"/>
        <v>32.5</v>
      </c>
      <c r="BA9">
        <f ca="1"/>
        <v>320</v>
      </c>
      <c r="BB9">
        <f ca="1"/>
        <v>0</v>
      </c>
      <c r="BC9">
        <f ca="1"/>
        <v>2112.5</v>
      </c>
      <c r="BD9">
        <f ca="1"/>
        <v>1792.5</v>
      </c>
      <c r="BE9">
        <f ca="1"/>
        <v>500</v>
      </c>
      <c r="BF9">
        <f ca="1"/>
        <v>32.5</v>
      </c>
    </row>
    <row r="10" spans="1:58">
      <c r="A10" s="19" t="s">
        <v>78</v>
      </c>
      <c r="B10" s="20">
        <v>25</v>
      </c>
      <c r="C10" s="20">
        <v>100</v>
      </c>
      <c r="D10" s="20">
        <v>2.5</v>
      </c>
      <c r="E10" s="20">
        <v>12.5</v>
      </c>
      <c r="F10" s="21">
        <v>125</v>
      </c>
      <c r="G10" s="20">
        <v>270.5</v>
      </c>
      <c r="H10" s="20" t="s">
        <v>85</v>
      </c>
      <c r="I10" s="20">
        <v>1.68</v>
      </c>
      <c r="J10" s="20"/>
      <c r="K10" s="20"/>
      <c r="L10" s="20"/>
      <c r="M10" s="20"/>
      <c r="N10" s="22"/>
      <c r="P10">
        <f ca="1"/>
        <v>32.5</v>
      </c>
      <c r="Q10">
        <f ca="1"/>
        <v>320</v>
      </c>
      <c r="R10">
        <f ca="1"/>
        <v>0</v>
      </c>
      <c r="S10">
        <f ca="1"/>
        <v>2015</v>
      </c>
      <c r="T10">
        <f ca="1"/>
        <v>1695</v>
      </c>
      <c r="U10">
        <f ca="1"/>
        <v>500</v>
      </c>
      <c r="V10">
        <f ca="1"/>
        <v>32.5</v>
      </c>
      <c r="W10">
        <f ca="1"/>
        <v>320</v>
      </c>
      <c r="X10">
        <f ca="1"/>
        <v>0</v>
      </c>
      <c r="Y10">
        <f ca="1"/>
        <v>2015</v>
      </c>
      <c r="Z10">
        <f ca="1"/>
        <v>1695</v>
      </c>
      <c r="AA10">
        <f ca="1"/>
        <v>500</v>
      </c>
      <c r="AB10">
        <f ca="1"/>
        <v>32.5</v>
      </c>
      <c r="AC10">
        <f ca="1"/>
        <v>320</v>
      </c>
      <c r="AD10">
        <f ca="1"/>
        <v>0</v>
      </c>
      <c r="AE10">
        <f ca="1"/>
        <v>2015</v>
      </c>
      <c r="AF10">
        <f ca="1"/>
        <v>1695</v>
      </c>
      <c r="AG10">
        <f ca="1"/>
        <v>500</v>
      </c>
      <c r="AH10">
        <f ca="1"/>
        <v>32.5</v>
      </c>
      <c r="AI10">
        <f ca="1"/>
        <v>320</v>
      </c>
      <c r="AJ10">
        <f ca="1"/>
        <v>0</v>
      </c>
      <c r="AK10">
        <f ca="1"/>
        <v>2015</v>
      </c>
      <c r="AL10">
        <f ca="1"/>
        <v>1695</v>
      </c>
      <c r="AM10">
        <f ca="1"/>
        <v>500</v>
      </c>
      <c r="AN10">
        <f ca="1"/>
        <v>32.5</v>
      </c>
      <c r="AO10">
        <f ca="1"/>
        <v>320</v>
      </c>
      <c r="AP10">
        <f ca="1"/>
        <v>0</v>
      </c>
      <c r="AQ10">
        <f ca="1"/>
        <v>2015</v>
      </c>
      <c r="AR10">
        <f ca="1"/>
        <v>1695</v>
      </c>
      <c r="AS10">
        <f ca="1"/>
        <v>500</v>
      </c>
      <c r="AT10">
        <f ca="1"/>
        <v>32.5</v>
      </c>
      <c r="AU10">
        <f ca="1"/>
        <v>320</v>
      </c>
      <c r="AV10">
        <f ca="1"/>
        <v>0</v>
      </c>
      <c r="AW10">
        <f ca="1"/>
        <v>2015</v>
      </c>
      <c r="AX10">
        <f ca="1"/>
        <v>1695</v>
      </c>
      <c r="AY10">
        <f ca="1"/>
        <v>500</v>
      </c>
      <c r="AZ10">
        <f ca="1"/>
        <v>32.5</v>
      </c>
      <c r="BA10">
        <f ca="1"/>
        <v>320</v>
      </c>
      <c r="BB10">
        <f ca="1"/>
        <v>0</v>
      </c>
      <c r="BC10">
        <f ca="1"/>
        <v>2015</v>
      </c>
      <c r="BD10">
        <f ca="1"/>
        <v>1695</v>
      </c>
      <c r="BE10">
        <f ca="1"/>
        <v>500</v>
      </c>
      <c r="BF10">
        <f ca="1"/>
        <v>32.5</v>
      </c>
    </row>
    <row r="11" spans="1:58">
      <c r="A11" s="19" t="s">
        <v>697</v>
      </c>
      <c r="B11" s="20">
        <v>25</v>
      </c>
      <c r="C11" s="20">
        <v>40</v>
      </c>
      <c r="D11" s="20">
        <v>1</v>
      </c>
      <c r="E11" s="20">
        <v>4</v>
      </c>
      <c r="F11" s="21">
        <v>100</v>
      </c>
      <c r="G11" s="20">
        <v>84</v>
      </c>
      <c r="H11" s="20" t="s">
        <v>55</v>
      </c>
      <c r="I11" s="20">
        <v>0.64</v>
      </c>
      <c r="J11" s="20"/>
      <c r="K11" s="20"/>
      <c r="L11" s="20"/>
      <c r="M11" s="20"/>
      <c r="N11" s="22"/>
      <c r="P11">
        <f ca="1"/>
        <v>32.5</v>
      </c>
      <c r="Q11">
        <f ca="1"/>
        <v>320</v>
      </c>
      <c r="R11">
        <f ca="1"/>
        <v>0</v>
      </c>
      <c r="S11">
        <f ca="1"/>
        <v>2015</v>
      </c>
      <c r="T11">
        <f ca="1"/>
        <v>1695</v>
      </c>
      <c r="U11">
        <f ca="1"/>
        <v>250</v>
      </c>
      <c r="V11">
        <f ca="1"/>
        <v>32.5</v>
      </c>
      <c r="W11">
        <f ca="1"/>
        <v>320</v>
      </c>
      <c r="X11">
        <f ca="1"/>
        <v>0</v>
      </c>
      <c r="Y11">
        <f ca="1"/>
        <v>2015</v>
      </c>
      <c r="Z11">
        <f ca="1"/>
        <v>1695</v>
      </c>
      <c r="AA11">
        <f ca="1"/>
        <v>250</v>
      </c>
      <c r="AB11">
        <f ca="1"/>
        <v>32.5</v>
      </c>
      <c r="AC11">
        <f ca="1"/>
        <v>320</v>
      </c>
      <c r="AD11">
        <f ca="1"/>
        <v>0</v>
      </c>
      <c r="AE11">
        <f ca="1"/>
        <v>2015</v>
      </c>
      <c r="AF11">
        <f ca="1"/>
        <v>1695</v>
      </c>
      <c r="AG11">
        <f ca="1"/>
        <v>250</v>
      </c>
      <c r="AH11">
        <f ca="1"/>
        <v>32.5</v>
      </c>
      <c r="AI11">
        <f ca="1"/>
        <v>320</v>
      </c>
      <c r="AJ11">
        <f ca="1"/>
        <v>0</v>
      </c>
      <c r="AK11">
        <f ca="1"/>
        <v>2015</v>
      </c>
      <c r="AL11">
        <f ca="1"/>
        <v>1695</v>
      </c>
      <c r="AM11">
        <f ca="1"/>
        <v>250</v>
      </c>
      <c r="AN11">
        <f ca="1"/>
        <v>32.5</v>
      </c>
      <c r="AO11">
        <f ca="1"/>
        <v>320</v>
      </c>
      <c r="AP11">
        <f ca="1"/>
        <v>0</v>
      </c>
      <c r="AQ11">
        <f ca="1"/>
        <v>2015</v>
      </c>
      <c r="AR11">
        <f ca="1"/>
        <v>1695</v>
      </c>
      <c r="AS11">
        <f ca="1"/>
        <v>250</v>
      </c>
      <c r="AT11">
        <f ca="1"/>
        <v>32.5</v>
      </c>
      <c r="AU11">
        <f ca="1"/>
        <v>320</v>
      </c>
      <c r="AV11">
        <f ca="1"/>
        <v>0</v>
      </c>
      <c r="AW11">
        <f ca="1"/>
        <v>2015</v>
      </c>
      <c r="AX11">
        <f ca="1"/>
        <v>1695</v>
      </c>
      <c r="AY11">
        <f ca="1"/>
        <v>250</v>
      </c>
      <c r="AZ11">
        <f ca="1"/>
        <v>32.5</v>
      </c>
      <c r="BA11">
        <f ca="1"/>
        <v>320</v>
      </c>
      <c r="BB11">
        <f ca="1"/>
        <v>0</v>
      </c>
      <c r="BC11">
        <f ca="1"/>
        <v>2015</v>
      </c>
      <c r="BD11">
        <f ca="1"/>
        <v>1695</v>
      </c>
      <c r="BE11">
        <f ca="1"/>
        <v>250</v>
      </c>
      <c r="BF11">
        <f ca="1"/>
        <v>32.5</v>
      </c>
    </row>
    <row r="12" spans="1:58">
      <c r="A12" s="19" t="s">
        <v>613</v>
      </c>
      <c r="B12" s="20">
        <v>50</v>
      </c>
      <c r="C12" s="20">
        <v>210</v>
      </c>
      <c r="D12" s="20">
        <v>10.5</v>
      </c>
      <c r="E12" s="20">
        <v>5</v>
      </c>
      <c r="F12" s="21">
        <v>23.809523809523807</v>
      </c>
      <c r="G12" s="20">
        <v>210</v>
      </c>
      <c r="H12" s="20" t="s">
        <v>450</v>
      </c>
      <c r="I12" s="20">
        <v>0.8</v>
      </c>
      <c r="J12" s="20"/>
      <c r="K12" s="20"/>
      <c r="L12" s="20"/>
      <c r="M12" s="20"/>
      <c r="N12" s="22"/>
      <c r="P12">
        <f ca="1"/>
        <v>32.5</v>
      </c>
      <c r="Q12">
        <f ca="1"/>
        <v>320</v>
      </c>
      <c r="R12">
        <f ca="1"/>
        <v>42.896306818181813</v>
      </c>
      <c r="S12">
        <f ca="1"/>
        <v>2015</v>
      </c>
      <c r="T12">
        <f ca="1"/>
        <v>1652.1036931818182</v>
      </c>
      <c r="U12">
        <f ca="1"/>
        <v>1000</v>
      </c>
      <c r="V12">
        <f ca="1"/>
        <v>32.5</v>
      </c>
      <c r="W12">
        <f ca="1"/>
        <v>320</v>
      </c>
      <c r="X12">
        <f ca="1"/>
        <v>42.896306818181813</v>
      </c>
      <c r="Y12">
        <f ca="1"/>
        <v>2015</v>
      </c>
      <c r="Z12">
        <f ca="1"/>
        <v>1652.1036931818182</v>
      </c>
      <c r="AA12">
        <f ca="1"/>
        <v>1000</v>
      </c>
      <c r="AB12">
        <f ca="1"/>
        <v>32.5</v>
      </c>
      <c r="AC12">
        <f ca="1"/>
        <v>320</v>
      </c>
      <c r="AD12">
        <f ca="1"/>
        <v>42.896306818181813</v>
      </c>
      <c r="AE12">
        <f ca="1"/>
        <v>2015</v>
      </c>
      <c r="AF12">
        <f ca="1"/>
        <v>1652.1036931818182</v>
      </c>
      <c r="AG12">
        <f ca="1"/>
        <v>1000</v>
      </c>
      <c r="AH12">
        <f ca="1"/>
        <v>32.5</v>
      </c>
      <c r="AI12">
        <f ca="1"/>
        <v>320</v>
      </c>
      <c r="AJ12">
        <f ca="1"/>
        <v>42.896306818181813</v>
      </c>
      <c r="AK12">
        <f ca="1"/>
        <v>2015</v>
      </c>
      <c r="AL12">
        <f ca="1"/>
        <v>1652.1036931818182</v>
      </c>
      <c r="AM12">
        <f ca="1"/>
        <v>1000</v>
      </c>
      <c r="AN12">
        <f ca="1"/>
        <v>32.5</v>
      </c>
      <c r="AO12">
        <f ca="1"/>
        <v>320</v>
      </c>
      <c r="AP12">
        <f ca="1"/>
        <v>42.896306818181813</v>
      </c>
      <c r="AQ12">
        <f ca="1"/>
        <v>2015</v>
      </c>
      <c r="AR12">
        <f ca="1"/>
        <v>1652.1036931818182</v>
      </c>
      <c r="AS12">
        <f ca="1"/>
        <v>1000</v>
      </c>
      <c r="AT12">
        <f ca="1"/>
        <v>32.5</v>
      </c>
      <c r="AU12">
        <f ca="1"/>
        <v>320</v>
      </c>
      <c r="AV12">
        <f ca="1"/>
        <v>42.896306818181813</v>
      </c>
      <c r="AW12">
        <f ca="1"/>
        <v>2015</v>
      </c>
      <c r="AX12">
        <f ca="1"/>
        <v>1652.1036931818182</v>
      </c>
      <c r="AY12">
        <f ca="1"/>
        <v>1000</v>
      </c>
      <c r="AZ12">
        <f ca="1"/>
        <v>32.5</v>
      </c>
      <c r="BA12">
        <f ca="1"/>
        <v>320</v>
      </c>
      <c r="BB12">
        <f ca="1"/>
        <v>42.896306818181813</v>
      </c>
      <c r="BC12">
        <f ca="1"/>
        <v>2015</v>
      </c>
      <c r="BD12">
        <f ca="1"/>
        <v>1652.1036931818182</v>
      </c>
      <c r="BE12">
        <f ca="1"/>
        <v>1000</v>
      </c>
      <c r="BF12">
        <f ca="1"/>
        <v>32.5</v>
      </c>
    </row>
    <row r="13" spans="1:58">
      <c r="A13" s="19" t="s">
        <v>48</v>
      </c>
      <c r="B13" s="20">
        <v>50</v>
      </c>
      <c r="C13" s="20">
        <v>250</v>
      </c>
      <c r="D13" s="20">
        <v>12.5</v>
      </c>
      <c r="E13" s="20">
        <v>8</v>
      </c>
      <c r="F13" s="21">
        <v>32</v>
      </c>
      <c r="G13" s="20">
        <v>300</v>
      </c>
      <c r="H13" s="20" t="s">
        <v>360</v>
      </c>
      <c r="I13" s="20">
        <v>2</v>
      </c>
      <c r="J13" s="20"/>
      <c r="K13" s="20"/>
      <c r="L13" s="20"/>
      <c r="M13" s="20"/>
      <c r="N13" s="22">
        <v>27.2</v>
      </c>
      <c r="P13">
        <f ca="1"/>
        <v>20</v>
      </c>
      <c r="Q13">
        <f ca="1"/>
        <v>320</v>
      </c>
      <c r="R13">
        <f ca="1"/>
        <v>82.964285714285708</v>
      </c>
      <c r="S13">
        <f ca="1"/>
        <v>2000</v>
      </c>
      <c r="T13">
        <f ca="1"/>
        <v>1597.0357142857142</v>
      </c>
      <c r="U13">
        <f ca="1"/>
        <v>750</v>
      </c>
      <c r="V13">
        <f ca="1"/>
        <v>20</v>
      </c>
      <c r="W13">
        <f ca="1"/>
        <v>320</v>
      </c>
      <c r="X13">
        <f ca="1"/>
        <v>82.964285714285708</v>
      </c>
      <c r="Y13">
        <f ca="1"/>
        <v>2000</v>
      </c>
      <c r="Z13">
        <f ca="1"/>
        <v>1597.0357142857142</v>
      </c>
      <c r="AA13">
        <f ca="1"/>
        <v>750</v>
      </c>
      <c r="AB13">
        <f ca="1"/>
        <v>20</v>
      </c>
      <c r="AC13">
        <f ca="1"/>
        <v>320</v>
      </c>
      <c r="AD13">
        <f ca="1"/>
        <v>82.964285714285708</v>
      </c>
      <c r="AE13">
        <f ca="1"/>
        <v>2000</v>
      </c>
      <c r="AF13">
        <f ca="1"/>
        <v>1597.0357142857142</v>
      </c>
      <c r="AG13">
        <f ca="1"/>
        <v>750</v>
      </c>
      <c r="AH13">
        <f ca="1"/>
        <v>20</v>
      </c>
      <c r="AI13">
        <f ca="1"/>
        <v>320</v>
      </c>
      <c r="AJ13">
        <f ca="1"/>
        <v>82.964285714285708</v>
      </c>
      <c r="AK13">
        <f ca="1"/>
        <v>2000</v>
      </c>
      <c r="AL13">
        <f ca="1"/>
        <v>1597.0357142857142</v>
      </c>
      <c r="AM13">
        <f ca="1"/>
        <v>750</v>
      </c>
      <c r="AN13">
        <f ca="1"/>
        <v>20</v>
      </c>
      <c r="AO13">
        <f ca="1"/>
        <v>320</v>
      </c>
      <c r="AP13">
        <f ca="1"/>
        <v>82.964285714285708</v>
      </c>
      <c r="AQ13">
        <f ca="1"/>
        <v>2000</v>
      </c>
      <c r="AR13">
        <f ca="1"/>
        <v>1597.0357142857142</v>
      </c>
      <c r="AS13">
        <f ca="1"/>
        <v>750</v>
      </c>
      <c r="AT13">
        <f ca="1"/>
        <v>20</v>
      </c>
      <c r="AU13">
        <f ca="1"/>
        <v>320</v>
      </c>
      <c r="AV13">
        <f ca="1"/>
        <v>82.964285714285708</v>
      </c>
      <c r="AW13">
        <f ca="1"/>
        <v>2000</v>
      </c>
      <c r="AX13">
        <f ca="1"/>
        <v>1597.0357142857142</v>
      </c>
      <c r="AY13">
        <f ca="1"/>
        <v>750</v>
      </c>
      <c r="AZ13">
        <f ca="1"/>
        <v>20</v>
      </c>
      <c r="BA13">
        <f ca="1"/>
        <v>320</v>
      </c>
      <c r="BB13">
        <f ca="1"/>
        <v>82.964285714285708</v>
      </c>
      <c r="BC13">
        <f ca="1"/>
        <v>2000</v>
      </c>
      <c r="BD13">
        <f ca="1"/>
        <v>1597.0357142857142</v>
      </c>
      <c r="BE13">
        <f ca="1"/>
        <v>750</v>
      </c>
      <c r="BF13">
        <f ca="1"/>
        <v>20</v>
      </c>
    </row>
    <row r="14" spans="1:58">
      <c r="A14" s="19" t="s">
        <v>67</v>
      </c>
      <c r="B14" s="20">
        <v>50</v>
      </c>
      <c r="C14" s="20">
        <v>40</v>
      </c>
      <c r="D14" s="20">
        <v>2</v>
      </c>
      <c r="E14" s="20">
        <v>5</v>
      </c>
      <c r="F14" s="21">
        <v>125</v>
      </c>
      <c r="G14" s="20">
        <v>218.00000000000003</v>
      </c>
      <c r="H14" s="20" t="s">
        <v>55</v>
      </c>
      <c r="I14" s="20">
        <v>0.64</v>
      </c>
      <c r="J14" s="20">
        <v>112.5</v>
      </c>
      <c r="K14" s="20">
        <v>84.25</v>
      </c>
      <c r="L14" s="20"/>
      <c r="M14" s="20"/>
      <c r="N14" s="22">
        <v>106.25</v>
      </c>
      <c r="P14">
        <f ca="1"/>
        <v>25</v>
      </c>
      <c r="Q14">
        <f ca="1"/>
        <v>160</v>
      </c>
      <c r="R14">
        <f ca="1"/>
        <v>6.5695035460992912</v>
      </c>
      <c r="S14">
        <f ca="1"/>
        <v>1750</v>
      </c>
      <c r="T14">
        <f ca="1"/>
        <v>1583.4304964539008</v>
      </c>
      <c r="U14">
        <f ca="1"/>
        <v>250</v>
      </c>
      <c r="V14">
        <f ca="1"/>
        <v>25</v>
      </c>
      <c r="W14">
        <f ca="1"/>
        <v>160</v>
      </c>
      <c r="X14">
        <f ca="1"/>
        <v>6.5695035460992912</v>
      </c>
      <c r="Y14">
        <f ca="1"/>
        <v>1750</v>
      </c>
      <c r="Z14">
        <f ca="1"/>
        <v>1583.4304964539008</v>
      </c>
      <c r="AA14">
        <f ca="1"/>
        <v>250</v>
      </c>
      <c r="AB14">
        <f ca="1"/>
        <v>25</v>
      </c>
      <c r="AC14">
        <f ca="1"/>
        <v>160</v>
      </c>
      <c r="AD14">
        <f ca="1"/>
        <v>6.5695035460992912</v>
      </c>
      <c r="AE14">
        <f ca="1"/>
        <v>1750</v>
      </c>
      <c r="AF14">
        <f ca="1"/>
        <v>1583.4304964539008</v>
      </c>
      <c r="AG14">
        <f ca="1"/>
        <v>250</v>
      </c>
      <c r="AH14">
        <f ca="1"/>
        <v>25</v>
      </c>
      <c r="AI14">
        <f ca="1"/>
        <v>160</v>
      </c>
      <c r="AJ14">
        <f ca="1"/>
        <v>6.5695035460992912</v>
      </c>
      <c r="AK14">
        <f ca="1"/>
        <v>1750</v>
      </c>
      <c r="AL14">
        <f ca="1"/>
        <v>1583.4304964539008</v>
      </c>
      <c r="AM14">
        <f ca="1"/>
        <v>250</v>
      </c>
      <c r="AN14">
        <f ca="1"/>
        <v>25</v>
      </c>
      <c r="AO14">
        <f ca="1"/>
        <v>160</v>
      </c>
      <c r="AP14">
        <f ca="1"/>
        <v>6.5695035460992912</v>
      </c>
      <c r="AQ14">
        <f ca="1"/>
        <v>1750</v>
      </c>
      <c r="AR14">
        <f ca="1"/>
        <v>1583.4304964539008</v>
      </c>
      <c r="AS14">
        <f ca="1"/>
        <v>250</v>
      </c>
      <c r="AT14">
        <f ca="1"/>
        <v>25</v>
      </c>
      <c r="AU14">
        <f ca="1"/>
        <v>160</v>
      </c>
      <c r="AV14">
        <f ca="1"/>
        <v>6.5695035460992912</v>
      </c>
      <c r="AW14">
        <f ca="1"/>
        <v>1750</v>
      </c>
      <c r="AX14">
        <f ca="1"/>
        <v>1583.4304964539008</v>
      </c>
      <c r="AY14">
        <f ca="1"/>
        <v>250</v>
      </c>
      <c r="AZ14">
        <f ca="1"/>
        <v>25</v>
      </c>
      <c r="BA14">
        <f ca="1"/>
        <v>160</v>
      </c>
      <c r="BB14">
        <f ca="1"/>
        <v>6.5695035460992912</v>
      </c>
      <c r="BC14">
        <f ca="1"/>
        <v>1750</v>
      </c>
      <c r="BD14">
        <f ca="1"/>
        <v>1583.4304964539008</v>
      </c>
      <c r="BE14">
        <f ca="1"/>
        <v>250</v>
      </c>
      <c r="BF14">
        <f ca="1"/>
        <v>25</v>
      </c>
    </row>
    <row r="15" spans="1:58">
      <c r="A15" s="19" t="s">
        <v>692</v>
      </c>
      <c r="B15" s="20">
        <v>50</v>
      </c>
      <c r="C15" s="20">
        <v>33</v>
      </c>
      <c r="D15" s="20">
        <v>1.65</v>
      </c>
      <c r="E15" s="20">
        <v>4.95</v>
      </c>
      <c r="F15" s="21">
        <v>150</v>
      </c>
      <c r="G15" s="20">
        <v>215.50000000000003</v>
      </c>
      <c r="H15" s="20" t="s">
        <v>55</v>
      </c>
      <c r="I15" s="20">
        <v>0.64</v>
      </c>
      <c r="J15" s="20">
        <v>105</v>
      </c>
      <c r="K15" s="20">
        <v>84.25</v>
      </c>
      <c r="L15" s="20"/>
      <c r="M15" s="20"/>
      <c r="N15" s="22">
        <v>127.5</v>
      </c>
      <c r="P15">
        <f ca="1"/>
        <v>12.5</v>
      </c>
      <c r="Q15">
        <f ca="1"/>
        <v>160</v>
      </c>
      <c r="R15">
        <f ca="1"/>
        <v>3.4563432835820889</v>
      </c>
      <c r="S15">
        <f ca="1"/>
        <v>1250</v>
      </c>
      <c r="T15">
        <f ca="1"/>
        <v>1086.5436567164179</v>
      </c>
      <c r="U15">
        <f ca="1"/>
        <v>250</v>
      </c>
      <c r="V15">
        <f ca="1"/>
        <v>12.5</v>
      </c>
      <c r="W15">
        <f ca="1"/>
        <v>160</v>
      </c>
      <c r="X15">
        <f ca="1"/>
        <v>3.4563432835820889</v>
      </c>
      <c r="Y15">
        <f ca="1"/>
        <v>1250</v>
      </c>
      <c r="Z15">
        <f ca="1"/>
        <v>1086.5436567164179</v>
      </c>
      <c r="AA15">
        <f ca="1"/>
        <v>250</v>
      </c>
      <c r="AB15">
        <f ca="1"/>
        <v>12.5</v>
      </c>
      <c r="AC15">
        <f ca="1"/>
        <v>160</v>
      </c>
      <c r="AD15">
        <f ca="1"/>
        <v>3.4563432835820889</v>
      </c>
      <c r="AE15">
        <f ca="1"/>
        <v>1250</v>
      </c>
      <c r="AF15">
        <f ca="1"/>
        <v>1086.5436567164179</v>
      </c>
      <c r="AG15">
        <f ca="1"/>
        <v>250</v>
      </c>
      <c r="AH15">
        <f ca="1"/>
        <v>12.5</v>
      </c>
      <c r="AI15">
        <f ca="1"/>
        <v>160</v>
      </c>
      <c r="AJ15">
        <f ca="1"/>
        <v>3.4563432835820889</v>
      </c>
      <c r="AK15">
        <f ca="1"/>
        <v>1250</v>
      </c>
      <c r="AL15">
        <f ca="1"/>
        <v>1086.5436567164179</v>
      </c>
      <c r="AM15">
        <f ca="1"/>
        <v>250</v>
      </c>
      <c r="AN15">
        <f ca="1"/>
        <v>12.5</v>
      </c>
      <c r="AO15">
        <f ca="1"/>
        <v>160</v>
      </c>
      <c r="AP15">
        <f ca="1"/>
        <v>3.4563432835820889</v>
      </c>
      <c r="AQ15">
        <f ca="1"/>
        <v>1250</v>
      </c>
      <c r="AR15">
        <f ca="1"/>
        <v>1086.5436567164179</v>
      </c>
      <c r="AS15">
        <f ca="1"/>
        <v>250</v>
      </c>
      <c r="AT15">
        <f ca="1"/>
        <v>12.5</v>
      </c>
      <c r="AU15">
        <f ca="1"/>
        <v>160</v>
      </c>
      <c r="AV15">
        <f ca="1"/>
        <v>3.4563432835820889</v>
      </c>
      <c r="AW15">
        <f ca="1"/>
        <v>1250</v>
      </c>
      <c r="AX15">
        <f ca="1"/>
        <v>1086.5436567164179</v>
      </c>
      <c r="AY15">
        <f ca="1"/>
        <v>250</v>
      </c>
      <c r="AZ15">
        <f ca="1"/>
        <v>12.5</v>
      </c>
      <c r="BA15">
        <f ca="1"/>
        <v>160</v>
      </c>
      <c r="BB15">
        <f ca="1"/>
        <v>3.4563432835820889</v>
      </c>
      <c r="BC15">
        <f ca="1"/>
        <v>1250</v>
      </c>
      <c r="BD15">
        <f ca="1"/>
        <v>1086.5436567164179</v>
      </c>
      <c r="BE15">
        <f ca="1"/>
        <v>250</v>
      </c>
      <c r="BF15">
        <f ca="1"/>
        <v>12.5</v>
      </c>
    </row>
    <row r="16" spans="1:58">
      <c r="A16" s="19" t="s">
        <v>97</v>
      </c>
      <c r="B16" s="20">
        <v>50</v>
      </c>
      <c r="C16" s="20">
        <v>280</v>
      </c>
      <c r="D16" s="20">
        <v>14</v>
      </c>
      <c r="E16" s="20">
        <v>8</v>
      </c>
      <c r="F16" s="21">
        <v>28.571428571428569</v>
      </c>
      <c r="G16" s="20">
        <v>340</v>
      </c>
      <c r="H16" s="20" t="s">
        <v>85</v>
      </c>
      <c r="I16" s="20">
        <v>1.2</v>
      </c>
      <c r="J16" s="20"/>
      <c r="K16" s="20"/>
      <c r="L16" s="20"/>
      <c r="M16" s="20"/>
      <c r="N16" s="22"/>
      <c r="P16">
        <f ca="1"/>
        <v>12.5</v>
      </c>
      <c r="Q16">
        <f ca="1"/>
        <v>160</v>
      </c>
      <c r="R16">
        <f ca="1"/>
        <v>45.463090128755375</v>
      </c>
      <c r="S16">
        <f ca="1"/>
        <v>1250</v>
      </c>
      <c r="T16">
        <f ca="1"/>
        <v>1044.5369098712447</v>
      </c>
      <c r="U16">
        <f ca="1"/>
        <v>250</v>
      </c>
      <c r="V16">
        <f ca="1"/>
        <v>12.5</v>
      </c>
      <c r="W16">
        <f ca="1"/>
        <v>160</v>
      </c>
      <c r="X16">
        <f ca="1"/>
        <v>45.463090128755375</v>
      </c>
      <c r="Y16">
        <f ca="1"/>
        <v>1250</v>
      </c>
      <c r="Z16">
        <f ca="1"/>
        <v>1044.5369098712447</v>
      </c>
      <c r="AA16">
        <f ca="1"/>
        <v>250</v>
      </c>
      <c r="AB16">
        <f ca="1"/>
        <v>12.5</v>
      </c>
      <c r="AC16">
        <f ca="1"/>
        <v>160</v>
      </c>
      <c r="AD16">
        <f ca="1"/>
        <v>45.463090128755375</v>
      </c>
      <c r="AE16">
        <f ca="1"/>
        <v>1250</v>
      </c>
      <c r="AF16">
        <f ca="1"/>
        <v>1044.5369098712447</v>
      </c>
      <c r="AG16">
        <f ca="1"/>
        <v>250</v>
      </c>
      <c r="AH16">
        <f ca="1"/>
        <v>12.5</v>
      </c>
      <c r="AI16">
        <f ca="1"/>
        <v>160</v>
      </c>
      <c r="AJ16">
        <f ca="1"/>
        <v>45.463090128755375</v>
      </c>
      <c r="AK16">
        <f ca="1"/>
        <v>1250</v>
      </c>
      <c r="AL16">
        <f ca="1"/>
        <v>1044.5369098712447</v>
      </c>
      <c r="AM16">
        <f ca="1"/>
        <v>250</v>
      </c>
      <c r="AN16">
        <f ca="1"/>
        <v>12.5</v>
      </c>
      <c r="AO16">
        <f ca="1"/>
        <v>160</v>
      </c>
      <c r="AP16">
        <f ca="1"/>
        <v>45.463090128755375</v>
      </c>
      <c r="AQ16">
        <f ca="1"/>
        <v>1250</v>
      </c>
      <c r="AR16">
        <f ca="1"/>
        <v>1044.5369098712447</v>
      </c>
      <c r="AS16">
        <f ca="1"/>
        <v>250</v>
      </c>
      <c r="AT16">
        <f ca="1"/>
        <v>12.5</v>
      </c>
      <c r="AU16">
        <f ca="1"/>
        <v>160</v>
      </c>
      <c r="AV16">
        <f ca="1"/>
        <v>45.463090128755375</v>
      </c>
      <c r="AW16">
        <f ca="1"/>
        <v>1250</v>
      </c>
      <c r="AX16">
        <f ca="1"/>
        <v>1044.5369098712447</v>
      </c>
      <c r="AY16">
        <f ca="1"/>
        <v>250</v>
      </c>
      <c r="AZ16">
        <f ca="1"/>
        <v>12.5</v>
      </c>
      <c r="BA16">
        <f ca="1"/>
        <v>160</v>
      </c>
      <c r="BB16">
        <f ca="1"/>
        <v>45.463090128755375</v>
      </c>
      <c r="BC16">
        <f ca="1"/>
        <v>1250</v>
      </c>
      <c r="BD16">
        <f ca="1"/>
        <v>1044.5369098712447</v>
      </c>
      <c r="BE16">
        <f ca="1"/>
        <v>250</v>
      </c>
      <c r="BF16">
        <f ca="1"/>
        <v>12.5</v>
      </c>
    </row>
    <row r="17" spans="1:58">
      <c r="A17" s="19" t="s">
        <v>78</v>
      </c>
      <c r="B17" s="20">
        <v>50</v>
      </c>
      <c r="C17" s="20">
        <v>100</v>
      </c>
      <c r="D17" s="20">
        <v>5</v>
      </c>
      <c r="E17" s="20">
        <v>7</v>
      </c>
      <c r="F17" s="21">
        <v>70</v>
      </c>
      <c r="G17" s="20">
        <v>265.5</v>
      </c>
      <c r="H17" s="20" t="s">
        <v>352</v>
      </c>
      <c r="I17" s="20">
        <v>1.69</v>
      </c>
      <c r="J17" s="20"/>
      <c r="K17" s="20"/>
      <c r="L17" s="20"/>
      <c r="M17" s="20"/>
      <c r="N17" s="22"/>
      <c r="P17">
        <f ca="1"/>
        <v>12.5</v>
      </c>
      <c r="Q17">
        <f ca="1"/>
        <v>160</v>
      </c>
      <c r="R17">
        <f ca="1"/>
        <v>126.56329113924052</v>
      </c>
      <c r="S17">
        <f ca="1"/>
        <v>1250</v>
      </c>
      <c r="T17">
        <f ca="1"/>
        <v>963.43670886075938</v>
      </c>
      <c r="U17">
        <f ca="1"/>
        <v>1000</v>
      </c>
      <c r="V17">
        <f ca="1"/>
        <v>12.5</v>
      </c>
      <c r="W17">
        <f ca="1"/>
        <v>160</v>
      </c>
      <c r="X17">
        <f ca="1"/>
        <v>126.56329113924052</v>
      </c>
      <c r="Y17">
        <f ca="1"/>
        <v>1250</v>
      </c>
      <c r="Z17">
        <f ca="1"/>
        <v>963.43670886075938</v>
      </c>
      <c r="AA17">
        <f ca="1"/>
        <v>1000</v>
      </c>
      <c r="AB17">
        <f ca="1"/>
        <v>12.5</v>
      </c>
      <c r="AC17">
        <f ca="1"/>
        <v>160</v>
      </c>
      <c r="AD17">
        <f ca="1"/>
        <v>126.56329113924052</v>
      </c>
      <c r="AE17">
        <f ca="1"/>
        <v>1250</v>
      </c>
      <c r="AF17">
        <f ca="1"/>
        <v>963.43670886075938</v>
      </c>
      <c r="AG17">
        <f ca="1"/>
        <v>1000</v>
      </c>
      <c r="AH17">
        <f ca="1"/>
        <v>12.5</v>
      </c>
      <c r="AI17">
        <f ca="1"/>
        <v>160</v>
      </c>
      <c r="AJ17">
        <f ca="1"/>
        <v>126.56329113924052</v>
      </c>
      <c r="AK17">
        <f ca="1"/>
        <v>1250</v>
      </c>
      <c r="AL17">
        <f ca="1"/>
        <v>963.43670886075938</v>
      </c>
      <c r="AM17">
        <f ca="1"/>
        <v>1000</v>
      </c>
      <c r="AN17">
        <f ca="1"/>
        <v>12.5</v>
      </c>
      <c r="AO17">
        <f ca="1"/>
        <v>160</v>
      </c>
      <c r="AP17">
        <f ca="1"/>
        <v>126.56329113924052</v>
      </c>
      <c r="AQ17">
        <f ca="1"/>
        <v>1250</v>
      </c>
      <c r="AR17">
        <f ca="1"/>
        <v>963.43670886075938</v>
      </c>
      <c r="AS17">
        <f ca="1"/>
        <v>1000</v>
      </c>
      <c r="AT17">
        <f ca="1"/>
        <v>12.5</v>
      </c>
      <c r="AU17">
        <f ca="1"/>
        <v>160</v>
      </c>
      <c r="AV17">
        <f ca="1"/>
        <v>126.56329113924052</v>
      </c>
      <c r="AW17">
        <f ca="1"/>
        <v>1250</v>
      </c>
      <c r="AX17">
        <f ca="1"/>
        <v>963.43670886075938</v>
      </c>
      <c r="AY17">
        <f ca="1"/>
        <v>1000</v>
      </c>
      <c r="AZ17">
        <f ca="1"/>
        <v>12.5</v>
      </c>
      <c r="BA17">
        <f ca="1"/>
        <v>160</v>
      </c>
      <c r="BB17">
        <f ca="1"/>
        <v>126.56329113924052</v>
      </c>
      <c r="BC17">
        <f ca="1"/>
        <v>1250</v>
      </c>
      <c r="BD17">
        <f ca="1"/>
        <v>963.43670886075938</v>
      </c>
      <c r="BE17">
        <f ca="1"/>
        <v>1000</v>
      </c>
      <c r="BF17">
        <f ca="1"/>
        <v>12.5</v>
      </c>
    </row>
    <row r="18" spans="1:58">
      <c r="A18" s="19" t="s">
        <v>77</v>
      </c>
      <c r="B18" s="20">
        <v>50</v>
      </c>
      <c r="C18" s="20">
        <v>100</v>
      </c>
      <c r="D18" s="20">
        <v>5</v>
      </c>
      <c r="E18" s="20">
        <v>12.5</v>
      </c>
      <c r="F18" s="21">
        <v>125</v>
      </c>
      <c r="G18" s="20">
        <v>541</v>
      </c>
      <c r="H18" s="20" t="s">
        <v>85</v>
      </c>
      <c r="I18" s="20">
        <v>1.68</v>
      </c>
      <c r="J18" s="20"/>
      <c r="K18" s="20"/>
      <c r="L18" s="20"/>
      <c r="M18" s="20"/>
      <c r="N18" s="22"/>
      <c r="P18">
        <f ca="1"/>
        <v>5</v>
      </c>
      <c r="Q18">
        <f ca="1"/>
        <v>160</v>
      </c>
      <c r="R18">
        <f ca="1"/>
        <v>1.3046478873239438</v>
      </c>
      <c r="S18">
        <f ca="1"/>
        <v>725</v>
      </c>
      <c r="T18">
        <f ca="1"/>
        <v>563.69535211267601</v>
      </c>
      <c r="U18">
        <f ca="1"/>
        <v>250</v>
      </c>
      <c r="V18">
        <f ca="1"/>
        <v>5</v>
      </c>
      <c r="W18">
        <f ca="1"/>
        <v>160</v>
      </c>
      <c r="X18">
        <f ca="1"/>
        <v>1.3046478873239438</v>
      </c>
      <c r="Y18">
        <f ca="1"/>
        <v>725</v>
      </c>
      <c r="Z18">
        <f ca="1"/>
        <v>563.69535211267601</v>
      </c>
      <c r="AA18">
        <f ca="1"/>
        <v>250</v>
      </c>
      <c r="AB18">
        <f ca="1"/>
        <v>5</v>
      </c>
      <c r="AC18">
        <f ca="1"/>
        <v>160</v>
      </c>
      <c r="AD18">
        <f ca="1"/>
        <v>1.3046478873239438</v>
      </c>
      <c r="AE18">
        <f ca="1"/>
        <v>725</v>
      </c>
      <c r="AF18">
        <f ca="1"/>
        <v>563.69535211267601</v>
      </c>
      <c r="AG18">
        <f ca="1"/>
        <v>250</v>
      </c>
      <c r="AH18">
        <f ca="1"/>
        <v>5</v>
      </c>
      <c r="AI18">
        <f ca="1"/>
        <v>160</v>
      </c>
      <c r="AJ18">
        <f ca="1"/>
        <v>1.3046478873239438</v>
      </c>
      <c r="AK18">
        <f ca="1"/>
        <v>725</v>
      </c>
      <c r="AL18">
        <f ca="1"/>
        <v>563.69535211267601</v>
      </c>
      <c r="AM18">
        <f ca="1"/>
        <v>250</v>
      </c>
      <c r="AN18">
        <f ca="1"/>
        <v>5</v>
      </c>
      <c r="AO18">
        <f ca="1"/>
        <v>160</v>
      </c>
      <c r="AP18">
        <f ca="1"/>
        <v>1.3046478873239438</v>
      </c>
      <c r="AQ18">
        <f ca="1"/>
        <v>725</v>
      </c>
      <c r="AR18">
        <f ca="1"/>
        <v>563.69535211267601</v>
      </c>
      <c r="AS18">
        <f ca="1"/>
        <v>250</v>
      </c>
      <c r="AT18">
        <f ca="1"/>
        <v>5</v>
      </c>
      <c r="AU18">
        <f ca="1"/>
        <v>160</v>
      </c>
      <c r="AV18">
        <f ca="1"/>
        <v>1.3046478873239438</v>
      </c>
      <c r="AW18">
        <f ca="1"/>
        <v>725</v>
      </c>
      <c r="AX18">
        <f ca="1"/>
        <v>563.69535211267601</v>
      </c>
      <c r="AY18">
        <f ca="1"/>
        <v>250</v>
      </c>
      <c r="AZ18">
        <f ca="1"/>
        <v>5</v>
      </c>
      <c r="BA18">
        <f ca="1"/>
        <v>160</v>
      </c>
      <c r="BB18">
        <f ca="1"/>
        <v>1.3046478873239438</v>
      </c>
      <c r="BC18">
        <f ca="1"/>
        <v>725</v>
      </c>
      <c r="BD18">
        <f ca="1"/>
        <v>563.69535211267601</v>
      </c>
      <c r="BE18">
        <f ca="1"/>
        <v>250</v>
      </c>
      <c r="BF18">
        <f ca="1"/>
        <v>5</v>
      </c>
    </row>
    <row r="19" spans="1:58">
      <c r="A19" s="19" t="s">
        <v>87</v>
      </c>
      <c r="B19" s="20">
        <v>50</v>
      </c>
      <c r="C19" s="20">
        <v>50</v>
      </c>
      <c r="D19" s="20">
        <v>2.5</v>
      </c>
      <c r="E19" s="20">
        <v>5</v>
      </c>
      <c r="F19" s="21">
        <v>100</v>
      </c>
      <c r="G19" s="20">
        <v>218.00000000000003</v>
      </c>
      <c r="H19" s="20" t="s">
        <v>55</v>
      </c>
      <c r="I19" s="20">
        <v>0.64</v>
      </c>
      <c r="J19" s="20" t="e">
        <v>#VALUE!</v>
      </c>
      <c r="K19" s="20"/>
      <c r="L19" s="20"/>
      <c r="M19" s="20"/>
      <c r="N19" s="22"/>
      <c r="P19">
        <f ca="1"/>
        <v>4.5</v>
      </c>
      <c r="Q19">
        <f ca="1"/>
        <v>64</v>
      </c>
      <c r="R19">
        <f ca="1"/>
        <v>0</v>
      </c>
      <c r="S19">
        <f ca="1"/>
        <v>450</v>
      </c>
      <c r="T19">
        <f ca="1"/>
        <v>386</v>
      </c>
      <c r="U19">
        <f ca="1"/>
        <v>100</v>
      </c>
      <c r="V19">
        <f ca="1"/>
        <v>4.5</v>
      </c>
      <c r="W19">
        <f ca="1"/>
        <v>64</v>
      </c>
      <c r="X19">
        <f ca="1"/>
        <v>0</v>
      </c>
      <c r="Y19">
        <f ca="1"/>
        <v>450</v>
      </c>
      <c r="Z19">
        <f ca="1"/>
        <v>386</v>
      </c>
      <c r="AA19">
        <f ca="1"/>
        <v>100</v>
      </c>
      <c r="AB19">
        <f ca="1"/>
        <v>4.5</v>
      </c>
      <c r="AC19">
        <f ca="1"/>
        <v>64</v>
      </c>
      <c r="AD19">
        <f ca="1"/>
        <v>0</v>
      </c>
      <c r="AE19">
        <f ca="1"/>
        <v>450</v>
      </c>
      <c r="AF19">
        <f ca="1"/>
        <v>386</v>
      </c>
      <c r="AG19">
        <f ca="1"/>
        <v>100</v>
      </c>
      <c r="AH19">
        <f ca="1"/>
        <v>4.5</v>
      </c>
      <c r="AI19">
        <f ca="1"/>
        <v>64</v>
      </c>
      <c r="AJ19">
        <f ca="1"/>
        <v>0</v>
      </c>
      <c r="AK19">
        <f ca="1"/>
        <v>450</v>
      </c>
      <c r="AL19">
        <f ca="1"/>
        <v>386</v>
      </c>
      <c r="AM19">
        <f ca="1"/>
        <v>100</v>
      </c>
      <c r="AN19">
        <f ca="1"/>
        <v>4.5</v>
      </c>
      <c r="AO19">
        <f ca="1"/>
        <v>64</v>
      </c>
      <c r="AP19">
        <f ca="1"/>
        <v>0</v>
      </c>
      <c r="AQ19">
        <f ca="1"/>
        <v>450</v>
      </c>
      <c r="AR19">
        <f ca="1"/>
        <v>386</v>
      </c>
      <c r="AS19">
        <f ca="1"/>
        <v>100</v>
      </c>
      <c r="AT19">
        <f ca="1"/>
        <v>4.5</v>
      </c>
      <c r="AU19">
        <f ca="1"/>
        <v>64</v>
      </c>
      <c r="AV19">
        <f ca="1"/>
        <v>0</v>
      </c>
      <c r="AW19">
        <f ca="1"/>
        <v>450</v>
      </c>
      <c r="AX19">
        <f ca="1"/>
        <v>386</v>
      </c>
      <c r="AY19">
        <f ca="1"/>
        <v>100</v>
      </c>
      <c r="AZ19">
        <f ca="1"/>
        <v>4.5</v>
      </c>
      <c r="BA19">
        <f ca="1"/>
        <v>64</v>
      </c>
      <c r="BB19">
        <f ca="1"/>
        <v>0</v>
      </c>
      <c r="BC19">
        <f ca="1"/>
        <v>450</v>
      </c>
      <c r="BD19">
        <f ca="1"/>
        <v>386</v>
      </c>
      <c r="BE19">
        <f ca="1"/>
        <v>100</v>
      </c>
      <c r="BF19">
        <f ca="1"/>
        <v>4.5</v>
      </c>
    </row>
    <row r="20" spans="1:58">
      <c r="A20" s="19" t="s">
        <v>101</v>
      </c>
      <c r="B20" s="20">
        <v>50</v>
      </c>
      <c r="C20" s="20">
        <v>40</v>
      </c>
      <c r="D20" s="20">
        <v>2</v>
      </c>
      <c r="E20" s="20">
        <v>4</v>
      </c>
      <c r="F20" s="21">
        <v>100</v>
      </c>
      <c r="G20" s="20">
        <v>168</v>
      </c>
      <c r="H20" s="20" t="s">
        <v>55</v>
      </c>
      <c r="I20" s="20">
        <v>0.64</v>
      </c>
      <c r="J20" s="20"/>
      <c r="K20" s="20"/>
      <c r="L20" s="20"/>
      <c r="M20" s="20"/>
      <c r="N20" s="22"/>
      <c r="P20">
        <f ca="1"/>
        <v>2</v>
      </c>
      <c r="Q20">
        <f ca="1"/>
        <v>64</v>
      </c>
      <c r="R20">
        <f ca="1"/>
        <v>0.52185915492957746</v>
      </c>
      <c r="S20">
        <f ca="1"/>
        <v>290</v>
      </c>
      <c r="T20">
        <f ca="1"/>
        <v>225.47814084507041</v>
      </c>
      <c r="U20">
        <f ca="1"/>
        <v>100</v>
      </c>
      <c r="V20">
        <f ca="1"/>
        <v>2</v>
      </c>
      <c r="W20">
        <f ca="1"/>
        <v>64</v>
      </c>
      <c r="X20">
        <f ca="1"/>
        <v>0.52185915492957746</v>
      </c>
      <c r="Y20">
        <f ca="1"/>
        <v>290</v>
      </c>
      <c r="Z20">
        <f ca="1"/>
        <v>225.47814084507041</v>
      </c>
      <c r="AA20">
        <f ca="1"/>
        <v>100</v>
      </c>
      <c r="AB20">
        <f ca="1"/>
        <v>2</v>
      </c>
      <c r="AC20">
        <f ca="1"/>
        <v>64</v>
      </c>
      <c r="AD20">
        <f ca="1"/>
        <v>0.52185915492957746</v>
      </c>
      <c r="AE20">
        <f ca="1"/>
        <v>290</v>
      </c>
      <c r="AF20">
        <f ca="1"/>
        <v>225.47814084507041</v>
      </c>
      <c r="AG20">
        <f ca="1"/>
        <v>100</v>
      </c>
      <c r="AH20">
        <f ca="1"/>
        <v>2</v>
      </c>
      <c r="AI20">
        <f ca="1"/>
        <v>64</v>
      </c>
      <c r="AJ20">
        <f ca="1"/>
        <v>0.52185915492957746</v>
      </c>
      <c r="AK20">
        <f ca="1"/>
        <v>290</v>
      </c>
      <c r="AL20">
        <f ca="1"/>
        <v>225.47814084507041</v>
      </c>
      <c r="AM20">
        <f ca="1"/>
        <v>100</v>
      </c>
      <c r="AN20">
        <f ca="1"/>
        <v>2</v>
      </c>
      <c r="AO20">
        <f ca="1"/>
        <v>64</v>
      </c>
      <c r="AP20">
        <f ca="1"/>
        <v>0.52185915492957746</v>
      </c>
      <c r="AQ20">
        <f ca="1"/>
        <v>290</v>
      </c>
      <c r="AR20">
        <f ca="1"/>
        <v>225.47814084507041</v>
      </c>
      <c r="AS20">
        <f ca="1"/>
        <v>100</v>
      </c>
      <c r="AT20">
        <f ca="1"/>
        <v>2</v>
      </c>
      <c r="AU20">
        <f ca="1"/>
        <v>64</v>
      </c>
      <c r="AV20">
        <f ca="1"/>
        <v>0.52185915492957746</v>
      </c>
      <c r="AW20">
        <f ca="1"/>
        <v>290</v>
      </c>
      <c r="AX20">
        <f ca="1"/>
        <v>225.47814084507041</v>
      </c>
      <c r="AY20">
        <f ca="1"/>
        <v>100</v>
      </c>
      <c r="AZ20">
        <f ca="1"/>
        <v>2</v>
      </c>
      <c r="BA20">
        <f ca="1"/>
        <v>64</v>
      </c>
      <c r="BB20">
        <f ca="1"/>
        <v>0.52185915492957746</v>
      </c>
      <c r="BC20">
        <f ca="1"/>
        <v>290</v>
      </c>
      <c r="BD20">
        <f ca="1"/>
        <v>225.47814084507041</v>
      </c>
      <c r="BE20">
        <f ca="1"/>
        <v>100</v>
      </c>
      <c r="BF20">
        <f ca="1"/>
        <v>2</v>
      </c>
    </row>
    <row r="21" spans="1:58">
      <c r="A21" s="23" t="s">
        <v>96</v>
      </c>
      <c r="B21" s="20">
        <v>75</v>
      </c>
      <c r="C21" s="20">
        <v>100</v>
      </c>
      <c r="D21" s="20">
        <v>7.5</v>
      </c>
      <c r="E21" s="20">
        <v>19</v>
      </c>
      <c r="F21" s="21">
        <v>190</v>
      </c>
      <c r="G21" s="20">
        <v>1380</v>
      </c>
      <c r="H21" s="20" t="s">
        <v>352</v>
      </c>
      <c r="I21" s="20">
        <v>0.6</v>
      </c>
      <c r="J21" s="20"/>
      <c r="K21" s="20"/>
      <c r="L21" s="20"/>
      <c r="M21" s="20"/>
      <c r="N21" s="22">
        <v>161.5</v>
      </c>
      <c r="P21">
        <f ca="1"/>
        <v>0</v>
      </c>
      <c r="Q21">
        <f ca="1"/>
        <v>0</v>
      </c>
      <c r="R21">
        <f ca="1"/>
        <v>0</v>
      </c>
      <c r="S21">
        <f ca="1"/>
        <v>0</v>
      </c>
      <c r="T21">
        <f ca="1"/>
        <v>0</v>
      </c>
      <c r="U21">
        <f ca="1"/>
        <v>0</v>
      </c>
      <c r="V21">
        <f ca="1"/>
        <v>0</v>
      </c>
      <c r="W21">
        <f ca="1"/>
        <v>0</v>
      </c>
      <c r="X21">
        <f ca="1"/>
        <v>0</v>
      </c>
      <c r="Y21">
        <f ca="1"/>
        <v>0</v>
      </c>
      <c r="Z21">
        <f ca="1"/>
        <v>0</v>
      </c>
      <c r="AA21">
        <f ca="1"/>
        <v>0</v>
      </c>
      <c r="AB21">
        <f ca="1"/>
        <v>0</v>
      </c>
      <c r="AC21">
        <f ca="1"/>
        <v>0</v>
      </c>
      <c r="AD21">
        <f ca="1"/>
        <v>0</v>
      </c>
      <c r="AE21">
        <f ca="1"/>
        <v>0</v>
      </c>
      <c r="AF21">
        <f ca="1"/>
        <v>0</v>
      </c>
      <c r="AG21">
        <f ca="1"/>
        <v>0</v>
      </c>
      <c r="AH21">
        <f ca="1"/>
        <v>0</v>
      </c>
      <c r="AI21">
        <f ca="1"/>
        <v>0</v>
      </c>
      <c r="AJ21">
        <f ca="1"/>
        <v>0</v>
      </c>
      <c r="AK21">
        <f ca="1"/>
        <v>0</v>
      </c>
      <c r="AL21">
        <f ca="1"/>
        <v>0</v>
      </c>
      <c r="AM21">
        <f ca="1"/>
        <v>0</v>
      </c>
      <c r="AN21">
        <f ca="1"/>
        <v>0</v>
      </c>
      <c r="AO21">
        <f ca="1"/>
        <v>0</v>
      </c>
      <c r="AP21">
        <f ca="1"/>
        <v>0</v>
      </c>
      <c r="AQ21">
        <f ca="1"/>
        <v>0</v>
      </c>
      <c r="AR21">
        <f ca="1"/>
        <v>0</v>
      </c>
      <c r="AS21">
        <f ca="1"/>
        <v>0</v>
      </c>
      <c r="AT21">
        <f ca="1"/>
        <v>0</v>
      </c>
      <c r="AU21">
        <f ca="1"/>
        <v>0</v>
      </c>
      <c r="AV21">
        <f ca="1"/>
        <v>0</v>
      </c>
      <c r="AW21">
        <f ca="1"/>
        <v>0</v>
      </c>
      <c r="AX21">
        <f ca="1"/>
        <v>0</v>
      </c>
      <c r="AY21">
        <f ca="1"/>
        <v>0</v>
      </c>
      <c r="AZ21">
        <f ca="1"/>
        <v>0</v>
      </c>
      <c r="BA21">
        <f ca="1"/>
        <v>0</v>
      </c>
      <c r="BB21">
        <f ca="1"/>
        <v>0</v>
      </c>
      <c r="BC21">
        <f ca="1"/>
        <v>0</v>
      </c>
      <c r="BD21">
        <f ca="1"/>
        <v>0</v>
      </c>
      <c r="BE21">
        <f ca="1"/>
        <v>0</v>
      </c>
      <c r="BF21">
        <f ca="1"/>
        <v>0</v>
      </c>
    </row>
    <row r="22" spans="1:58">
      <c r="A22" s="19" t="s">
        <v>614</v>
      </c>
      <c r="B22" s="20">
        <v>75</v>
      </c>
      <c r="C22" s="20">
        <v>210</v>
      </c>
      <c r="D22" s="20">
        <v>15.75</v>
      </c>
      <c r="E22" s="20">
        <v>5</v>
      </c>
      <c r="F22" s="21">
        <v>23.809523809523807</v>
      </c>
      <c r="G22" s="20">
        <v>330</v>
      </c>
      <c r="H22" s="20" t="s">
        <v>450</v>
      </c>
      <c r="I22" s="20">
        <v>0.6</v>
      </c>
      <c r="J22" s="20"/>
      <c r="K22" s="20"/>
      <c r="L22" s="20"/>
      <c r="M22" s="20"/>
      <c r="N22" s="22">
        <v>20.238095238095234</v>
      </c>
      <c r="P22">
        <f ca="1"/>
        <v>0</v>
      </c>
      <c r="Q22">
        <f ca="1"/>
        <v>0</v>
      </c>
      <c r="R22">
        <f ca="1"/>
        <v>0</v>
      </c>
      <c r="S22">
        <f ca="1"/>
        <v>0</v>
      </c>
      <c r="T22">
        <f ca="1"/>
        <v>0</v>
      </c>
      <c r="U22">
        <f ca="1"/>
        <v>0</v>
      </c>
      <c r="V22">
        <f ca="1"/>
        <v>0</v>
      </c>
      <c r="W22">
        <f ca="1"/>
        <v>0</v>
      </c>
      <c r="X22">
        <f ca="1"/>
        <v>0</v>
      </c>
      <c r="Y22">
        <f ca="1"/>
        <v>0</v>
      </c>
      <c r="Z22">
        <f ca="1"/>
        <v>0</v>
      </c>
      <c r="AA22">
        <f ca="1"/>
        <v>0</v>
      </c>
      <c r="AB22">
        <f ca="1"/>
        <v>0</v>
      </c>
      <c r="AC22">
        <f ca="1"/>
        <v>0</v>
      </c>
      <c r="AD22">
        <f ca="1"/>
        <v>0</v>
      </c>
      <c r="AE22">
        <f ca="1"/>
        <v>0</v>
      </c>
      <c r="AF22">
        <f ca="1"/>
        <v>0</v>
      </c>
      <c r="AG22">
        <f ca="1"/>
        <v>0</v>
      </c>
      <c r="AH22">
        <f ca="1"/>
        <v>0</v>
      </c>
      <c r="AI22">
        <f ca="1"/>
        <v>0</v>
      </c>
      <c r="AJ22">
        <f ca="1"/>
        <v>0</v>
      </c>
      <c r="AK22">
        <f ca="1"/>
        <v>0</v>
      </c>
      <c r="AL22">
        <f ca="1"/>
        <v>0</v>
      </c>
      <c r="AM22">
        <f ca="1"/>
        <v>0</v>
      </c>
      <c r="AN22">
        <f ca="1"/>
        <v>0</v>
      </c>
      <c r="AO22">
        <f ca="1"/>
        <v>0</v>
      </c>
      <c r="AP22">
        <f ca="1"/>
        <v>0</v>
      </c>
      <c r="AQ22">
        <f ca="1"/>
        <v>0</v>
      </c>
      <c r="AR22">
        <f ca="1"/>
        <v>0</v>
      </c>
      <c r="AS22">
        <f ca="1"/>
        <v>0</v>
      </c>
      <c r="AT22">
        <f ca="1"/>
        <v>0</v>
      </c>
      <c r="AU22">
        <f ca="1"/>
        <v>0</v>
      </c>
      <c r="AV22">
        <f ca="1"/>
        <v>0</v>
      </c>
      <c r="AW22">
        <f ca="1"/>
        <v>0</v>
      </c>
      <c r="AX22">
        <f ca="1"/>
        <v>0</v>
      </c>
      <c r="AY22">
        <f ca="1"/>
        <v>0</v>
      </c>
      <c r="AZ22">
        <f ca="1"/>
        <v>0</v>
      </c>
      <c r="BA22">
        <f ca="1"/>
        <v>0</v>
      </c>
      <c r="BB22">
        <f ca="1"/>
        <v>0</v>
      </c>
      <c r="BC22">
        <f ca="1"/>
        <v>0</v>
      </c>
      <c r="BD22">
        <f ca="1"/>
        <v>0</v>
      </c>
      <c r="BE22">
        <f ca="1"/>
        <v>0</v>
      </c>
      <c r="BF22">
        <f ca="1"/>
        <v>0</v>
      </c>
    </row>
    <row r="23" spans="1:58">
      <c r="A23" s="19" t="s">
        <v>768</v>
      </c>
      <c r="B23" s="20">
        <v>75</v>
      </c>
      <c r="C23" s="20">
        <v>45</v>
      </c>
      <c r="D23" s="20">
        <v>3.375</v>
      </c>
      <c r="E23" s="20">
        <v>0</v>
      </c>
      <c r="F23" s="21"/>
      <c r="G23" s="20">
        <v>-48</v>
      </c>
      <c r="H23" s="20" t="s">
        <v>55</v>
      </c>
      <c r="I23" s="20">
        <v>0.64</v>
      </c>
      <c r="J23" s="20"/>
      <c r="K23" s="20"/>
      <c r="L23" s="20"/>
      <c r="M23" s="20"/>
      <c r="N23" s="22">
        <v>0</v>
      </c>
      <c r="P23">
        <f ca="1"/>
        <v>0</v>
      </c>
      <c r="Q23">
        <f ca="1"/>
        <v>0</v>
      </c>
      <c r="R23">
        <f ca="1"/>
        <v>0</v>
      </c>
      <c r="S23">
        <f ca="1"/>
        <v>0</v>
      </c>
      <c r="T23">
        <f ca="1"/>
        <v>0</v>
      </c>
      <c r="U23">
        <f ca="1"/>
        <v>150</v>
      </c>
      <c r="V23">
        <f ca="1"/>
        <v>0</v>
      </c>
      <c r="W23">
        <f ca="1"/>
        <v>0</v>
      </c>
      <c r="X23">
        <f ca="1"/>
        <v>0</v>
      </c>
      <c r="Y23">
        <f ca="1"/>
        <v>0</v>
      </c>
      <c r="Z23">
        <f ca="1"/>
        <v>0</v>
      </c>
      <c r="AA23">
        <f ca="1"/>
        <v>150</v>
      </c>
      <c r="AB23">
        <f ca="1"/>
        <v>0</v>
      </c>
      <c r="AC23">
        <f ca="1"/>
        <v>0</v>
      </c>
      <c r="AD23">
        <f ca="1"/>
        <v>0</v>
      </c>
      <c r="AE23">
        <f ca="1"/>
        <v>0</v>
      </c>
      <c r="AF23">
        <f ca="1"/>
        <v>0</v>
      </c>
      <c r="AG23">
        <f ca="1"/>
        <v>150</v>
      </c>
      <c r="AH23">
        <f ca="1"/>
        <v>0</v>
      </c>
      <c r="AI23">
        <f ca="1"/>
        <v>0</v>
      </c>
      <c r="AJ23">
        <f ca="1"/>
        <v>0</v>
      </c>
      <c r="AK23">
        <f ca="1"/>
        <v>0</v>
      </c>
      <c r="AL23">
        <f ca="1"/>
        <v>0</v>
      </c>
      <c r="AM23">
        <f ca="1"/>
        <v>150</v>
      </c>
      <c r="AN23">
        <f ca="1"/>
        <v>0</v>
      </c>
      <c r="AO23">
        <f ca="1"/>
        <v>0</v>
      </c>
      <c r="AP23">
        <f ca="1"/>
        <v>0</v>
      </c>
      <c r="AQ23">
        <f ca="1"/>
        <v>0</v>
      </c>
      <c r="AR23">
        <f ca="1"/>
        <v>0</v>
      </c>
      <c r="AS23">
        <f ca="1"/>
        <v>150</v>
      </c>
      <c r="AT23">
        <f ca="1"/>
        <v>0</v>
      </c>
      <c r="AU23">
        <f ca="1"/>
        <v>0</v>
      </c>
      <c r="AV23">
        <f ca="1"/>
        <v>0</v>
      </c>
      <c r="AW23">
        <f ca="1"/>
        <v>0</v>
      </c>
      <c r="AX23">
        <f ca="1"/>
        <v>0</v>
      </c>
      <c r="AY23">
        <f ca="1"/>
        <v>150</v>
      </c>
      <c r="AZ23">
        <f ca="1"/>
        <v>0</v>
      </c>
      <c r="BA23">
        <f ca="1"/>
        <v>0</v>
      </c>
      <c r="BB23">
        <f ca="1"/>
        <v>0</v>
      </c>
      <c r="BC23">
        <f ca="1"/>
        <v>0</v>
      </c>
      <c r="BD23">
        <f ca="1"/>
        <v>0</v>
      </c>
      <c r="BE23">
        <f ca="1"/>
        <v>150</v>
      </c>
      <c r="BF23">
        <f ca="1"/>
        <v>0</v>
      </c>
    </row>
    <row r="24" spans="1:58">
      <c r="A24" s="19" t="s">
        <v>76</v>
      </c>
      <c r="B24" s="20">
        <v>75</v>
      </c>
      <c r="C24" s="20">
        <v>100</v>
      </c>
      <c r="D24" s="20">
        <v>7.5</v>
      </c>
      <c r="E24" s="20">
        <v>7</v>
      </c>
      <c r="F24" s="21">
        <v>70</v>
      </c>
      <c r="G24" s="20">
        <v>398.25000000000006</v>
      </c>
      <c r="H24" s="20" t="s">
        <v>352</v>
      </c>
      <c r="I24" s="20">
        <v>1.69</v>
      </c>
      <c r="J24" s="20"/>
      <c r="K24" s="20"/>
      <c r="L24" s="20"/>
      <c r="M24" s="20"/>
      <c r="N24" s="22"/>
      <c r="P24">
        <f ca="1"/>
        <v>0</v>
      </c>
      <c r="Q24">
        <f ca="1"/>
        <v>0</v>
      </c>
      <c r="R24">
        <f ca="1"/>
        <v>0</v>
      </c>
      <c r="S24">
        <f ca="1"/>
        <v>0</v>
      </c>
      <c r="T24">
        <f ca="1"/>
        <v>0</v>
      </c>
      <c r="U24">
        <f ca="1"/>
        <v>0</v>
      </c>
      <c r="V24">
        <f ca="1"/>
        <v>0</v>
      </c>
      <c r="W24">
        <f ca="1"/>
        <v>0</v>
      </c>
      <c r="X24">
        <f ca="1"/>
        <v>0</v>
      </c>
      <c r="Y24">
        <f ca="1"/>
        <v>0</v>
      </c>
      <c r="Z24">
        <f ca="1"/>
        <v>0</v>
      </c>
      <c r="AA24">
        <f ca="1"/>
        <v>0</v>
      </c>
      <c r="AB24">
        <f ca="1"/>
        <v>0</v>
      </c>
      <c r="AC24">
        <f ca="1"/>
        <v>0</v>
      </c>
      <c r="AD24">
        <f ca="1"/>
        <v>0</v>
      </c>
      <c r="AE24">
        <f ca="1"/>
        <v>0</v>
      </c>
      <c r="AF24">
        <f ca="1"/>
        <v>0</v>
      </c>
      <c r="AG24">
        <f ca="1"/>
        <v>0</v>
      </c>
      <c r="AH24">
        <f ca="1"/>
        <v>0</v>
      </c>
      <c r="AI24">
        <f ca="1"/>
        <v>0</v>
      </c>
      <c r="AJ24">
        <f ca="1"/>
        <v>0</v>
      </c>
      <c r="AK24">
        <f ca="1"/>
        <v>0</v>
      </c>
      <c r="AL24">
        <f ca="1"/>
        <v>0</v>
      </c>
      <c r="AM24">
        <f ca="1"/>
        <v>0</v>
      </c>
      <c r="AN24">
        <f ca="1"/>
        <v>0</v>
      </c>
      <c r="AO24">
        <f ca="1"/>
        <v>0</v>
      </c>
      <c r="AP24">
        <f ca="1"/>
        <v>0</v>
      </c>
      <c r="AQ24">
        <f ca="1"/>
        <v>0</v>
      </c>
      <c r="AR24">
        <f ca="1"/>
        <v>0</v>
      </c>
      <c r="AS24">
        <f ca="1"/>
        <v>0</v>
      </c>
      <c r="AT24">
        <f ca="1"/>
        <v>0</v>
      </c>
      <c r="AU24">
        <f ca="1"/>
        <v>0</v>
      </c>
      <c r="AV24">
        <f ca="1"/>
        <v>0</v>
      </c>
      <c r="AW24">
        <f ca="1"/>
        <v>0</v>
      </c>
      <c r="AX24">
        <f ca="1"/>
        <v>0</v>
      </c>
      <c r="AY24">
        <f ca="1"/>
        <v>0</v>
      </c>
      <c r="AZ24">
        <f ca="1"/>
        <v>0</v>
      </c>
      <c r="BA24">
        <f ca="1"/>
        <v>0</v>
      </c>
      <c r="BB24">
        <f ca="1"/>
        <v>0</v>
      </c>
      <c r="BC24">
        <f ca="1"/>
        <v>0</v>
      </c>
      <c r="BD24">
        <f ca="1"/>
        <v>0</v>
      </c>
      <c r="BE24">
        <f ca="1"/>
        <v>0</v>
      </c>
      <c r="BF24">
        <f ca="1"/>
        <v>0</v>
      </c>
    </row>
    <row r="25" spans="1:58">
      <c r="A25" s="19" t="s">
        <v>699</v>
      </c>
      <c r="B25" s="20">
        <v>75</v>
      </c>
      <c r="C25" s="20">
        <v>40</v>
      </c>
      <c r="D25" s="20">
        <v>3</v>
      </c>
      <c r="E25" s="20">
        <v>4</v>
      </c>
      <c r="F25" s="21">
        <v>100</v>
      </c>
      <c r="G25" s="20">
        <v>252</v>
      </c>
      <c r="H25" s="20" t="s">
        <v>55</v>
      </c>
      <c r="I25" s="20">
        <v>0.64</v>
      </c>
      <c r="J25" s="20"/>
      <c r="K25" s="20"/>
      <c r="L25" s="20"/>
      <c r="M25" s="20"/>
      <c r="N25" s="22"/>
      <c r="P25">
        <f ca="1"/>
        <v>0</v>
      </c>
      <c r="Q25">
        <f ca="1"/>
        <v>0</v>
      </c>
      <c r="R25">
        <f ca="1"/>
        <v>0</v>
      </c>
      <c r="S25">
        <f ca="1"/>
        <v>0</v>
      </c>
      <c r="T25">
        <f ca="1"/>
        <v>0</v>
      </c>
      <c r="U25">
        <f ca="1"/>
        <v>0</v>
      </c>
      <c r="V25">
        <f ca="1"/>
        <v>0</v>
      </c>
      <c r="W25">
        <f ca="1"/>
        <v>0</v>
      </c>
      <c r="X25">
        <f ca="1"/>
        <v>0</v>
      </c>
      <c r="Y25">
        <f ca="1"/>
        <v>0</v>
      </c>
      <c r="Z25">
        <f ca="1"/>
        <v>0</v>
      </c>
      <c r="AA25">
        <f ca="1"/>
        <v>0</v>
      </c>
      <c r="AB25">
        <f ca="1"/>
        <v>0</v>
      </c>
      <c r="AC25">
        <f ca="1"/>
        <v>0</v>
      </c>
      <c r="AD25">
        <f ca="1"/>
        <v>0</v>
      </c>
      <c r="AE25">
        <f ca="1"/>
        <v>0</v>
      </c>
      <c r="AF25">
        <f ca="1"/>
        <v>0</v>
      </c>
      <c r="AG25">
        <f ca="1"/>
        <v>0</v>
      </c>
      <c r="AH25">
        <f ca="1"/>
        <v>0</v>
      </c>
      <c r="AI25">
        <f ca="1"/>
        <v>0</v>
      </c>
      <c r="AJ25">
        <f ca="1"/>
        <v>0</v>
      </c>
      <c r="AK25">
        <f ca="1"/>
        <v>0</v>
      </c>
      <c r="AL25">
        <f ca="1"/>
        <v>0</v>
      </c>
      <c r="AM25">
        <f ca="1"/>
        <v>0</v>
      </c>
      <c r="AN25">
        <f ca="1"/>
        <v>0</v>
      </c>
      <c r="AO25">
        <f ca="1"/>
        <v>0</v>
      </c>
      <c r="AP25">
        <f ca="1"/>
        <v>0</v>
      </c>
      <c r="AQ25">
        <f ca="1"/>
        <v>0</v>
      </c>
      <c r="AR25">
        <f ca="1"/>
        <v>0</v>
      </c>
      <c r="AS25">
        <f ca="1"/>
        <v>0</v>
      </c>
      <c r="AT25">
        <f ca="1"/>
        <v>0</v>
      </c>
      <c r="AU25">
        <f ca="1"/>
        <v>0</v>
      </c>
      <c r="AV25">
        <f ca="1"/>
        <v>0</v>
      </c>
      <c r="AW25">
        <f ca="1"/>
        <v>0</v>
      </c>
      <c r="AX25">
        <f ca="1"/>
        <v>0</v>
      </c>
      <c r="AY25">
        <f ca="1"/>
        <v>0</v>
      </c>
      <c r="AZ25">
        <f ca="1"/>
        <v>0</v>
      </c>
      <c r="BA25">
        <f ca="1"/>
        <v>0</v>
      </c>
      <c r="BB25">
        <f ca="1"/>
        <v>0</v>
      </c>
      <c r="BC25">
        <f ca="1"/>
        <v>0</v>
      </c>
      <c r="BD25">
        <f ca="1"/>
        <v>0</v>
      </c>
      <c r="BE25">
        <f ca="1"/>
        <v>0</v>
      </c>
      <c r="BF25">
        <f ca="1"/>
        <v>0</v>
      </c>
    </row>
    <row r="26" spans="1:58">
      <c r="A26" s="19" t="s">
        <v>66</v>
      </c>
      <c r="B26" s="20">
        <v>100</v>
      </c>
      <c r="C26" s="20">
        <v>65</v>
      </c>
      <c r="D26" s="20">
        <v>6.5</v>
      </c>
      <c r="E26" s="20">
        <v>2.9250000000000003</v>
      </c>
      <c r="F26" s="21">
        <v>45</v>
      </c>
      <c r="G26" s="20">
        <v>228.5</v>
      </c>
      <c r="H26" s="20" t="s">
        <v>55</v>
      </c>
      <c r="I26" s="20">
        <v>0.64</v>
      </c>
      <c r="J26" s="20">
        <v>3.6</v>
      </c>
      <c r="K26" s="20">
        <v>43.63</v>
      </c>
      <c r="L26" s="20"/>
      <c r="M26" s="20"/>
      <c r="N26" s="22"/>
      <c r="P26">
        <f ca="1"/>
        <v>0</v>
      </c>
      <c r="Q26">
        <f ca="1"/>
        <v>0</v>
      </c>
      <c r="R26">
        <f ca="1"/>
        <v>0</v>
      </c>
      <c r="S26">
        <f ca="1"/>
        <v>0</v>
      </c>
      <c r="T26">
        <f ca="1"/>
        <v>0</v>
      </c>
      <c r="U26">
        <f ca="1"/>
        <v>250</v>
      </c>
      <c r="V26">
        <f ca="1"/>
        <v>0</v>
      </c>
      <c r="W26">
        <f ca="1"/>
        <v>0</v>
      </c>
      <c r="X26">
        <f ca="1"/>
        <v>0</v>
      </c>
      <c r="Y26">
        <f ca="1"/>
        <v>0</v>
      </c>
      <c r="Z26">
        <f ca="1"/>
        <v>0</v>
      </c>
      <c r="AA26">
        <f ca="1"/>
        <v>250</v>
      </c>
      <c r="AB26">
        <f ca="1"/>
        <v>0</v>
      </c>
      <c r="AC26">
        <f ca="1"/>
        <v>0</v>
      </c>
      <c r="AD26">
        <f ca="1"/>
        <v>0</v>
      </c>
      <c r="AE26">
        <f ca="1"/>
        <v>0</v>
      </c>
      <c r="AF26">
        <f ca="1"/>
        <v>0</v>
      </c>
      <c r="AG26">
        <f ca="1"/>
        <v>250</v>
      </c>
      <c r="AH26">
        <f ca="1"/>
        <v>0</v>
      </c>
      <c r="AI26">
        <f ca="1"/>
        <v>0</v>
      </c>
      <c r="AJ26">
        <f ca="1"/>
        <v>0</v>
      </c>
      <c r="AK26">
        <f ca="1"/>
        <v>0</v>
      </c>
      <c r="AL26">
        <f ca="1"/>
        <v>0</v>
      </c>
      <c r="AM26">
        <f ca="1"/>
        <v>250</v>
      </c>
      <c r="AN26">
        <f ca="1"/>
        <v>0</v>
      </c>
      <c r="AO26">
        <f ca="1"/>
        <v>0</v>
      </c>
      <c r="AP26">
        <f ca="1"/>
        <v>0</v>
      </c>
      <c r="AQ26">
        <f ca="1"/>
        <v>0</v>
      </c>
      <c r="AR26">
        <f ca="1"/>
        <v>0</v>
      </c>
      <c r="AS26">
        <f ca="1"/>
        <v>250</v>
      </c>
      <c r="AT26">
        <f ca="1"/>
        <v>0</v>
      </c>
      <c r="AU26">
        <f ca="1"/>
        <v>0</v>
      </c>
      <c r="AV26">
        <f ca="1"/>
        <v>0</v>
      </c>
      <c r="AW26">
        <f ca="1"/>
        <v>0</v>
      </c>
      <c r="AX26">
        <f ca="1"/>
        <v>0</v>
      </c>
      <c r="AY26">
        <f ca="1"/>
        <v>250</v>
      </c>
      <c r="AZ26">
        <f ca="1"/>
        <v>0</v>
      </c>
      <c r="BA26">
        <f ca="1"/>
        <v>0</v>
      </c>
      <c r="BB26">
        <f ca="1"/>
        <v>0</v>
      </c>
      <c r="BC26">
        <f ca="1"/>
        <v>0</v>
      </c>
      <c r="BD26">
        <f ca="1"/>
        <v>0</v>
      </c>
      <c r="BE26">
        <f ca="1"/>
        <v>250</v>
      </c>
      <c r="BF26">
        <f ca="1"/>
        <v>0</v>
      </c>
    </row>
    <row r="27" spans="1:58">
      <c r="A27" s="19" t="s">
        <v>63</v>
      </c>
      <c r="B27" s="20">
        <v>100</v>
      </c>
      <c r="C27" s="20">
        <v>65</v>
      </c>
      <c r="D27" s="20">
        <v>6.5</v>
      </c>
      <c r="E27" s="20">
        <v>4.875</v>
      </c>
      <c r="F27" s="21">
        <v>75</v>
      </c>
      <c r="G27" s="20">
        <v>423.50000000000006</v>
      </c>
      <c r="H27" s="20" t="s">
        <v>55</v>
      </c>
      <c r="I27" s="20">
        <v>0.64</v>
      </c>
      <c r="J27" s="20">
        <v>67.5</v>
      </c>
      <c r="K27" s="20">
        <v>40</v>
      </c>
      <c r="L27" s="20"/>
      <c r="M27" s="20"/>
      <c r="N27" s="22"/>
      <c r="P27">
        <f ca="1"/>
        <v>0</v>
      </c>
      <c r="Q27">
        <f ca="1"/>
        <v>0</v>
      </c>
      <c r="R27">
        <f ca="1"/>
        <v>0</v>
      </c>
      <c r="S27">
        <f ca="1"/>
        <v>0</v>
      </c>
      <c r="T27">
        <f ca="1"/>
        <v>0</v>
      </c>
      <c r="U27">
        <f ca="1"/>
        <v>0</v>
      </c>
      <c r="V27">
        <f ca="1"/>
        <v>0</v>
      </c>
      <c r="W27">
        <f ca="1"/>
        <v>0</v>
      </c>
      <c r="X27">
        <f ca="1"/>
        <v>0</v>
      </c>
      <c r="Y27">
        <f ca="1"/>
        <v>0</v>
      </c>
      <c r="Z27">
        <f ca="1"/>
        <v>0</v>
      </c>
      <c r="AA27">
        <f ca="1"/>
        <v>0</v>
      </c>
      <c r="AB27">
        <f ca="1"/>
        <v>0</v>
      </c>
      <c r="AC27">
        <f ca="1"/>
        <v>0</v>
      </c>
      <c r="AD27">
        <f ca="1"/>
        <v>0</v>
      </c>
      <c r="AE27">
        <f ca="1"/>
        <v>0</v>
      </c>
      <c r="AF27">
        <f ca="1"/>
        <v>0</v>
      </c>
      <c r="AG27">
        <f ca="1"/>
        <v>0</v>
      </c>
      <c r="AH27">
        <f ca="1"/>
        <v>0</v>
      </c>
      <c r="AI27">
        <f ca="1"/>
        <v>0</v>
      </c>
      <c r="AJ27">
        <f ca="1"/>
        <v>0</v>
      </c>
      <c r="AK27">
        <f ca="1"/>
        <v>0</v>
      </c>
      <c r="AL27">
        <f ca="1"/>
        <v>0</v>
      </c>
      <c r="AM27">
        <f ca="1"/>
        <v>0</v>
      </c>
      <c r="AN27">
        <f ca="1"/>
        <v>0</v>
      </c>
      <c r="AO27">
        <f ca="1"/>
        <v>0</v>
      </c>
      <c r="AP27">
        <f ca="1"/>
        <v>0</v>
      </c>
      <c r="AQ27">
        <f ca="1"/>
        <v>0</v>
      </c>
      <c r="AR27">
        <f ca="1"/>
        <v>0</v>
      </c>
      <c r="AS27">
        <f ca="1"/>
        <v>0</v>
      </c>
      <c r="AT27">
        <f ca="1"/>
        <v>0</v>
      </c>
      <c r="AU27">
        <f ca="1"/>
        <v>0</v>
      </c>
      <c r="AV27">
        <f ca="1"/>
        <v>0</v>
      </c>
      <c r="AW27">
        <f ca="1"/>
        <v>0</v>
      </c>
      <c r="AX27">
        <f ca="1"/>
        <v>0</v>
      </c>
      <c r="AY27">
        <f ca="1"/>
        <v>0</v>
      </c>
      <c r="AZ27">
        <f ca="1"/>
        <v>0</v>
      </c>
      <c r="BA27">
        <f ca="1"/>
        <v>0</v>
      </c>
      <c r="BB27">
        <f ca="1"/>
        <v>0</v>
      </c>
      <c r="BC27">
        <f ca="1"/>
        <v>0</v>
      </c>
      <c r="BD27">
        <f ca="1"/>
        <v>0</v>
      </c>
      <c r="BE27">
        <f ca="1"/>
        <v>0</v>
      </c>
      <c r="BF27">
        <f ca="1"/>
        <v>0</v>
      </c>
    </row>
    <row r="28" spans="1:58">
      <c r="A28" s="19" t="s">
        <v>79</v>
      </c>
      <c r="B28" s="20">
        <v>100</v>
      </c>
      <c r="C28" s="20">
        <v>50</v>
      </c>
      <c r="D28" s="20">
        <v>5</v>
      </c>
      <c r="E28" s="20">
        <v>5</v>
      </c>
      <c r="F28" s="21">
        <v>100</v>
      </c>
      <c r="G28" s="20">
        <v>436.00000000000006</v>
      </c>
      <c r="H28" s="20" t="s">
        <v>55</v>
      </c>
      <c r="I28" s="20">
        <v>0.64</v>
      </c>
      <c r="J28" s="20">
        <v>35</v>
      </c>
      <c r="K28" s="20">
        <v>91.67</v>
      </c>
      <c r="L28" s="20"/>
      <c r="M28" s="20"/>
      <c r="N28" s="22"/>
      <c r="P28">
        <f ca="1"/>
        <v>0</v>
      </c>
      <c r="Q28">
        <f ca="1"/>
        <v>0</v>
      </c>
      <c r="R28">
        <f ca="1"/>
        <v>0</v>
      </c>
      <c r="S28">
        <f ca="1"/>
        <v>0</v>
      </c>
      <c r="T28">
        <f ca="1"/>
        <v>0</v>
      </c>
      <c r="U28">
        <f ca="1"/>
        <v>0</v>
      </c>
      <c r="V28">
        <f ca="1"/>
        <v>0</v>
      </c>
      <c r="W28">
        <f ca="1"/>
        <v>0</v>
      </c>
      <c r="X28">
        <f ca="1"/>
        <v>0</v>
      </c>
      <c r="Y28">
        <f ca="1"/>
        <v>0</v>
      </c>
      <c r="Z28">
        <f ca="1"/>
        <v>0</v>
      </c>
      <c r="AA28">
        <f ca="1"/>
        <v>0</v>
      </c>
      <c r="AB28">
        <f ca="1"/>
        <v>0</v>
      </c>
      <c r="AC28">
        <f ca="1"/>
        <v>0</v>
      </c>
      <c r="AD28">
        <f ca="1"/>
        <v>0</v>
      </c>
      <c r="AE28">
        <f ca="1"/>
        <v>0</v>
      </c>
      <c r="AF28">
        <f ca="1"/>
        <v>0</v>
      </c>
      <c r="AG28">
        <f ca="1"/>
        <v>0</v>
      </c>
      <c r="AH28">
        <f ca="1"/>
        <v>0</v>
      </c>
      <c r="AI28">
        <f ca="1"/>
        <v>0</v>
      </c>
      <c r="AJ28">
        <f ca="1"/>
        <v>0</v>
      </c>
      <c r="AK28">
        <f ca="1"/>
        <v>0</v>
      </c>
      <c r="AL28">
        <f ca="1"/>
        <v>0</v>
      </c>
      <c r="AM28">
        <f ca="1"/>
        <v>0</v>
      </c>
      <c r="AN28">
        <f ca="1"/>
        <v>0</v>
      </c>
      <c r="AO28">
        <f ca="1"/>
        <v>0</v>
      </c>
      <c r="AP28">
        <f ca="1"/>
        <v>0</v>
      </c>
      <c r="AQ28">
        <f ca="1"/>
        <v>0</v>
      </c>
      <c r="AR28">
        <f ca="1"/>
        <v>0</v>
      </c>
      <c r="AS28">
        <f ca="1"/>
        <v>0</v>
      </c>
      <c r="AT28">
        <f ca="1"/>
        <v>0</v>
      </c>
      <c r="AU28">
        <f ca="1"/>
        <v>0</v>
      </c>
      <c r="AV28">
        <f ca="1"/>
        <v>0</v>
      </c>
      <c r="AW28">
        <f ca="1"/>
        <v>0</v>
      </c>
      <c r="AX28">
        <f ca="1"/>
        <v>0</v>
      </c>
      <c r="AY28">
        <f ca="1"/>
        <v>0</v>
      </c>
      <c r="AZ28">
        <f ca="1"/>
        <v>0</v>
      </c>
      <c r="BA28">
        <f ca="1"/>
        <v>0</v>
      </c>
      <c r="BB28">
        <f ca="1"/>
        <v>0</v>
      </c>
      <c r="BC28">
        <f ca="1"/>
        <v>0</v>
      </c>
      <c r="BD28">
        <f ca="1"/>
        <v>0</v>
      </c>
      <c r="BE28">
        <f ca="1"/>
        <v>0</v>
      </c>
      <c r="BF28">
        <f ca="1"/>
        <v>0</v>
      </c>
    </row>
    <row r="29" spans="1:58">
      <c r="A29" s="19" t="s">
        <v>103</v>
      </c>
      <c r="B29" s="20">
        <v>100</v>
      </c>
      <c r="C29" s="20">
        <v>50</v>
      </c>
      <c r="D29" s="20">
        <v>5</v>
      </c>
      <c r="E29" s="20">
        <v>5</v>
      </c>
      <c r="F29" s="21">
        <v>100</v>
      </c>
      <c r="G29" s="20">
        <v>436.00000000000006</v>
      </c>
      <c r="H29" s="20" t="s">
        <v>55</v>
      </c>
      <c r="I29" s="20">
        <v>0.64</v>
      </c>
      <c r="J29" s="20" t="e">
        <v>#N/A</v>
      </c>
      <c r="K29" s="20">
        <v>115</v>
      </c>
      <c r="L29" s="20"/>
      <c r="M29" s="20"/>
      <c r="N29" s="22">
        <v>85</v>
      </c>
      <c r="P29">
        <f ca="1"/>
        <v>0</v>
      </c>
      <c r="Q29">
        <f ca="1"/>
        <v>0</v>
      </c>
      <c r="R29">
        <f ca="1"/>
        <v>0</v>
      </c>
      <c r="S29">
        <f ca="1"/>
        <v>0</v>
      </c>
      <c r="T29">
        <f ca="1"/>
        <v>0</v>
      </c>
      <c r="U29">
        <f ca="1"/>
        <v>1500</v>
      </c>
      <c r="V29">
        <f ca="1"/>
        <v>0</v>
      </c>
      <c r="W29">
        <f ca="1"/>
        <v>0</v>
      </c>
      <c r="X29">
        <f ca="1"/>
        <v>0</v>
      </c>
      <c r="Y29">
        <f ca="1"/>
        <v>0</v>
      </c>
      <c r="Z29">
        <f ca="1"/>
        <v>0</v>
      </c>
      <c r="AA29">
        <f ca="1"/>
        <v>1500</v>
      </c>
      <c r="AB29">
        <f ca="1"/>
        <v>0</v>
      </c>
      <c r="AC29">
        <f ca="1"/>
        <v>0</v>
      </c>
      <c r="AD29">
        <f ca="1"/>
        <v>0</v>
      </c>
      <c r="AE29">
        <f ca="1"/>
        <v>0</v>
      </c>
      <c r="AF29">
        <f ca="1"/>
        <v>0</v>
      </c>
      <c r="AG29">
        <f ca="1"/>
        <v>1500</v>
      </c>
      <c r="AH29">
        <f ca="1"/>
        <v>0</v>
      </c>
      <c r="AI29">
        <f ca="1"/>
        <v>0</v>
      </c>
      <c r="AJ29">
        <f ca="1"/>
        <v>0</v>
      </c>
      <c r="AK29">
        <f ca="1"/>
        <v>0</v>
      </c>
      <c r="AL29">
        <f ca="1"/>
        <v>0</v>
      </c>
      <c r="AM29">
        <f ca="1"/>
        <v>1500</v>
      </c>
      <c r="AN29">
        <f ca="1"/>
        <v>0</v>
      </c>
      <c r="AO29">
        <f ca="1"/>
        <v>0</v>
      </c>
      <c r="AP29">
        <f ca="1"/>
        <v>0</v>
      </c>
      <c r="AQ29">
        <f ca="1"/>
        <v>0</v>
      </c>
      <c r="AR29">
        <f ca="1"/>
        <v>0</v>
      </c>
      <c r="AS29">
        <f ca="1"/>
        <v>1500</v>
      </c>
      <c r="AT29">
        <f ca="1"/>
        <v>0</v>
      </c>
      <c r="AU29">
        <f ca="1"/>
        <v>0</v>
      </c>
      <c r="AV29">
        <f ca="1"/>
        <v>0</v>
      </c>
      <c r="AW29">
        <f ca="1"/>
        <v>0</v>
      </c>
      <c r="AX29">
        <f ca="1"/>
        <v>0</v>
      </c>
      <c r="AY29">
        <f ca="1"/>
        <v>1500</v>
      </c>
      <c r="AZ29">
        <f ca="1"/>
        <v>0</v>
      </c>
      <c r="BA29">
        <f ca="1"/>
        <v>0</v>
      </c>
      <c r="BB29">
        <f ca="1"/>
        <v>0</v>
      </c>
      <c r="BC29">
        <f ca="1"/>
        <v>0</v>
      </c>
      <c r="BD29">
        <f ca="1"/>
        <v>0</v>
      </c>
      <c r="BE29">
        <f ca="1"/>
        <v>1500</v>
      </c>
      <c r="BF29">
        <f ca="1"/>
        <v>0</v>
      </c>
    </row>
    <row r="30" spans="1:58">
      <c r="A30" s="19" t="s">
        <v>77</v>
      </c>
      <c r="B30" s="20">
        <v>100</v>
      </c>
      <c r="C30" s="20">
        <v>100</v>
      </c>
      <c r="D30" s="20">
        <v>10</v>
      </c>
      <c r="E30" s="20">
        <v>7</v>
      </c>
      <c r="F30" s="21">
        <v>70</v>
      </c>
      <c r="G30" s="20">
        <v>531</v>
      </c>
      <c r="H30" s="20" t="s">
        <v>352</v>
      </c>
      <c r="I30" s="20">
        <v>1.69</v>
      </c>
      <c r="J30" s="20"/>
      <c r="K30" s="20"/>
      <c r="L30" s="20"/>
      <c r="M30" s="20"/>
      <c r="N30" s="22"/>
      <c r="P30">
        <f ca="1"/>
        <v>0</v>
      </c>
      <c r="Q30">
        <f ca="1"/>
        <v>0</v>
      </c>
      <c r="R30">
        <f ca="1"/>
        <v>0</v>
      </c>
      <c r="S30">
        <f ca="1"/>
        <v>0</v>
      </c>
      <c r="T30">
        <f ca="1"/>
        <v>0</v>
      </c>
      <c r="U30">
        <f ca="1"/>
        <v>500</v>
      </c>
      <c r="V30">
        <f ca="1"/>
        <v>0</v>
      </c>
      <c r="W30">
        <f ca="1"/>
        <v>0</v>
      </c>
      <c r="X30">
        <f ca="1"/>
        <v>0</v>
      </c>
      <c r="Y30">
        <f ca="1"/>
        <v>0</v>
      </c>
      <c r="Z30">
        <f ca="1"/>
        <v>0</v>
      </c>
      <c r="AA30">
        <f ca="1"/>
        <v>500</v>
      </c>
      <c r="AB30">
        <f ca="1"/>
        <v>0</v>
      </c>
      <c r="AC30">
        <f ca="1"/>
        <v>0</v>
      </c>
      <c r="AD30">
        <f ca="1"/>
        <v>0</v>
      </c>
      <c r="AE30">
        <f ca="1"/>
        <v>0</v>
      </c>
      <c r="AF30">
        <f ca="1"/>
        <v>0</v>
      </c>
      <c r="AG30">
        <f ca="1"/>
        <v>500</v>
      </c>
      <c r="AH30">
        <f ca="1"/>
        <v>0</v>
      </c>
      <c r="AI30">
        <f ca="1"/>
        <v>0</v>
      </c>
      <c r="AJ30">
        <f ca="1"/>
        <v>0</v>
      </c>
      <c r="AK30">
        <f ca="1"/>
        <v>0</v>
      </c>
      <c r="AL30">
        <f ca="1"/>
        <v>0</v>
      </c>
      <c r="AM30">
        <f ca="1"/>
        <v>500</v>
      </c>
      <c r="AN30">
        <f ca="1"/>
        <v>0</v>
      </c>
      <c r="AO30">
        <f ca="1"/>
        <v>0</v>
      </c>
      <c r="AP30">
        <f ca="1"/>
        <v>0</v>
      </c>
      <c r="AQ30">
        <f ca="1"/>
        <v>0</v>
      </c>
      <c r="AR30">
        <f ca="1"/>
        <v>0</v>
      </c>
      <c r="AS30">
        <f ca="1"/>
        <v>500</v>
      </c>
      <c r="AT30">
        <f ca="1"/>
        <v>0</v>
      </c>
      <c r="AU30">
        <f ca="1"/>
        <v>0</v>
      </c>
      <c r="AV30">
        <f ca="1"/>
        <v>0</v>
      </c>
      <c r="AW30">
        <f ca="1"/>
        <v>0</v>
      </c>
      <c r="AX30">
        <f ca="1"/>
        <v>0</v>
      </c>
      <c r="AY30">
        <f ca="1"/>
        <v>500</v>
      </c>
      <c r="AZ30">
        <f ca="1"/>
        <v>0</v>
      </c>
      <c r="BA30">
        <f ca="1"/>
        <v>0</v>
      </c>
      <c r="BB30">
        <f ca="1"/>
        <v>0</v>
      </c>
      <c r="BC30">
        <f ca="1"/>
        <v>0</v>
      </c>
      <c r="BD30">
        <f ca="1"/>
        <v>0</v>
      </c>
      <c r="BE30">
        <f ca="1"/>
        <v>500</v>
      </c>
      <c r="BF30">
        <f ca="1"/>
        <v>0</v>
      </c>
    </row>
    <row r="31" spans="1:58">
      <c r="A31" s="19" t="s">
        <v>76</v>
      </c>
      <c r="B31" s="20">
        <v>100</v>
      </c>
      <c r="C31" s="20">
        <v>100</v>
      </c>
      <c r="D31" s="20">
        <v>10</v>
      </c>
      <c r="E31" s="20">
        <v>12.5</v>
      </c>
      <c r="F31" s="21">
        <v>125</v>
      </c>
      <c r="G31" s="20">
        <v>1082</v>
      </c>
      <c r="H31" s="20" t="s">
        <v>85</v>
      </c>
      <c r="I31" s="20">
        <v>1.68</v>
      </c>
      <c r="J31" s="20"/>
      <c r="K31" s="20"/>
      <c r="L31" s="20"/>
      <c r="M31" s="20"/>
      <c r="N31" s="22"/>
      <c r="P31">
        <f ca="1"/>
        <v>0</v>
      </c>
      <c r="Q31">
        <f ca="1"/>
        <v>0</v>
      </c>
      <c r="R31">
        <f ca="1"/>
        <v>0</v>
      </c>
      <c r="S31">
        <f ca="1"/>
        <v>0</v>
      </c>
      <c r="T31">
        <f ca="1"/>
        <v>0</v>
      </c>
      <c r="U31">
        <f ca="1"/>
        <v>150</v>
      </c>
      <c r="V31">
        <f ca="1"/>
        <v>0</v>
      </c>
      <c r="W31">
        <f ca="1"/>
        <v>0</v>
      </c>
      <c r="X31">
        <f ca="1"/>
        <v>0</v>
      </c>
      <c r="Y31">
        <f ca="1"/>
        <v>0</v>
      </c>
      <c r="Z31">
        <f ca="1"/>
        <v>0</v>
      </c>
      <c r="AA31">
        <f ca="1"/>
        <v>150</v>
      </c>
      <c r="AB31">
        <f ca="1"/>
        <v>0</v>
      </c>
      <c r="AC31">
        <f ca="1"/>
        <v>0</v>
      </c>
      <c r="AD31">
        <f ca="1"/>
        <v>0</v>
      </c>
      <c r="AE31">
        <f ca="1"/>
        <v>0</v>
      </c>
      <c r="AF31">
        <f ca="1"/>
        <v>0</v>
      </c>
      <c r="AG31">
        <f ca="1"/>
        <v>150</v>
      </c>
      <c r="AH31">
        <f ca="1"/>
        <v>0</v>
      </c>
      <c r="AI31">
        <f ca="1"/>
        <v>0</v>
      </c>
      <c r="AJ31">
        <f ca="1"/>
        <v>0</v>
      </c>
      <c r="AK31">
        <f ca="1"/>
        <v>0</v>
      </c>
      <c r="AL31">
        <f ca="1"/>
        <v>0</v>
      </c>
      <c r="AM31">
        <f ca="1"/>
        <v>150</v>
      </c>
      <c r="AN31">
        <f ca="1"/>
        <v>0</v>
      </c>
      <c r="AO31">
        <f ca="1"/>
        <v>0</v>
      </c>
      <c r="AP31">
        <f ca="1"/>
        <v>0</v>
      </c>
      <c r="AQ31">
        <f ca="1"/>
        <v>0</v>
      </c>
      <c r="AR31">
        <f ca="1"/>
        <v>0</v>
      </c>
      <c r="AS31">
        <f ca="1"/>
        <v>150</v>
      </c>
      <c r="AT31">
        <f ca="1"/>
        <v>0</v>
      </c>
      <c r="AU31">
        <f ca="1"/>
        <v>0</v>
      </c>
      <c r="AV31">
        <f ca="1"/>
        <v>0</v>
      </c>
      <c r="AW31">
        <f ca="1"/>
        <v>0</v>
      </c>
      <c r="AX31">
        <f ca="1"/>
        <v>0</v>
      </c>
      <c r="AY31">
        <f ca="1"/>
        <v>150</v>
      </c>
      <c r="AZ31">
        <f ca="1"/>
        <v>0</v>
      </c>
      <c r="BA31">
        <f ca="1"/>
        <v>0</v>
      </c>
      <c r="BB31">
        <f ca="1"/>
        <v>0</v>
      </c>
      <c r="BC31">
        <f ca="1"/>
        <v>0</v>
      </c>
      <c r="BD31">
        <f ca="1"/>
        <v>0</v>
      </c>
      <c r="BE31">
        <f ca="1"/>
        <v>150</v>
      </c>
      <c r="BF31">
        <f ca="1"/>
        <v>0</v>
      </c>
    </row>
    <row r="32" spans="1:58">
      <c r="A32" s="19" t="s">
        <v>80</v>
      </c>
      <c r="B32" s="20">
        <v>100</v>
      </c>
      <c r="C32" s="20">
        <v>100</v>
      </c>
      <c r="D32" s="20">
        <v>10</v>
      </c>
      <c r="E32" s="20">
        <v>12.5</v>
      </c>
      <c r="F32" s="21">
        <v>125</v>
      </c>
      <c r="G32" s="20">
        <v>1190</v>
      </c>
      <c r="H32" s="20" t="s">
        <v>85</v>
      </c>
      <c r="I32" s="20">
        <v>0.6</v>
      </c>
      <c r="J32" s="20"/>
      <c r="K32" s="20"/>
      <c r="L32" s="20"/>
      <c r="M32" s="20"/>
      <c r="N32" s="22"/>
      <c r="P32">
        <f ca="1"/>
        <v>0</v>
      </c>
      <c r="Q32">
        <f ca="1"/>
        <v>0</v>
      </c>
      <c r="R32">
        <f ca="1"/>
        <v>0</v>
      </c>
      <c r="S32">
        <f ca="1"/>
        <v>0</v>
      </c>
      <c r="T32">
        <f ca="1"/>
        <v>0</v>
      </c>
      <c r="U32">
        <f ca="1"/>
        <v>250</v>
      </c>
      <c r="V32">
        <f ca="1"/>
        <v>0</v>
      </c>
      <c r="W32">
        <f ca="1"/>
        <v>0</v>
      </c>
      <c r="X32">
        <f ca="1"/>
        <v>0</v>
      </c>
      <c r="Y32">
        <f ca="1"/>
        <v>0</v>
      </c>
      <c r="Z32">
        <f ca="1"/>
        <v>0</v>
      </c>
      <c r="AA32">
        <f ca="1"/>
        <v>250</v>
      </c>
      <c r="AB32">
        <f ca="1"/>
        <v>0</v>
      </c>
      <c r="AC32">
        <f ca="1"/>
        <v>0</v>
      </c>
      <c r="AD32">
        <f ca="1"/>
        <v>0</v>
      </c>
      <c r="AE32">
        <f ca="1"/>
        <v>0</v>
      </c>
      <c r="AF32">
        <f ca="1"/>
        <v>0</v>
      </c>
      <c r="AG32">
        <f ca="1"/>
        <v>250</v>
      </c>
      <c r="AH32">
        <f ca="1"/>
        <v>0</v>
      </c>
      <c r="AI32">
        <f ca="1"/>
        <v>0</v>
      </c>
      <c r="AJ32">
        <f ca="1"/>
        <v>0</v>
      </c>
      <c r="AK32">
        <f ca="1"/>
        <v>0</v>
      </c>
      <c r="AL32">
        <f ca="1"/>
        <v>0</v>
      </c>
      <c r="AM32">
        <f ca="1"/>
        <v>250</v>
      </c>
      <c r="AN32">
        <f ca="1"/>
        <v>0</v>
      </c>
      <c r="AO32">
        <f ca="1"/>
        <v>0</v>
      </c>
      <c r="AP32">
        <f ca="1"/>
        <v>0</v>
      </c>
      <c r="AQ32">
        <f ca="1"/>
        <v>0</v>
      </c>
      <c r="AR32">
        <f ca="1"/>
        <v>0</v>
      </c>
      <c r="AS32">
        <f ca="1"/>
        <v>250</v>
      </c>
      <c r="AT32">
        <f ca="1"/>
        <v>0</v>
      </c>
      <c r="AU32">
        <f ca="1"/>
        <v>0</v>
      </c>
      <c r="AV32">
        <f ca="1"/>
        <v>0</v>
      </c>
      <c r="AW32">
        <f ca="1"/>
        <v>0</v>
      </c>
      <c r="AX32">
        <f ca="1"/>
        <v>0</v>
      </c>
      <c r="AY32">
        <f ca="1"/>
        <v>250</v>
      </c>
      <c r="AZ32">
        <f ca="1"/>
        <v>0</v>
      </c>
      <c r="BA32">
        <f ca="1"/>
        <v>0</v>
      </c>
      <c r="BB32">
        <f ca="1"/>
        <v>0</v>
      </c>
      <c r="BC32">
        <f ca="1"/>
        <v>0</v>
      </c>
      <c r="BD32">
        <f ca="1"/>
        <v>0</v>
      </c>
      <c r="BE32">
        <f ca="1"/>
        <v>250</v>
      </c>
      <c r="BF32">
        <f ca="1"/>
        <v>0</v>
      </c>
    </row>
    <row r="33" spans="1:58">
      <c r="A33" s="19" t="s">
        <v>80</v>
      </c>
      <c r="B33" s="20">
        <v>100</v>
      </c>
      <c r="C33" s="20">
        <v>100</v>
      </c>
      <c r="D33" s="20">
        <v>10</v>
      </c>
      <c r="E33" s="20">
        <v>7</v>
      </c>
      <c r="F33" s="21">
        <v>70</v>
      </c>
      <c r="G33" s="20">
        <v>640</v>
      </c>
      <c r="H33" s="20" t="s">
        <v>352</v>
      </c>
      <c r="I33" s="20">
        <v>0.6</v>
      </c>
      <c r="J33" s="20"/>
      <c r="K33" s="20"/>
      <c r="L33" s="20"/>
      <c r="M33" s="20"/>
      <c r="N33" s="22"/>
      <c r="P33">
        <f ca="1"/>
        <v>0</v>
      </c>
      <c r="Q33">
        <f ca="1"/>
        <v>0</v>
      </c>
      <c r="R33">
        <f ca="1"/>
        <v>0</v>
      </c>
      <c r="S33">
        <f ca="1"/>
        <v>0</v>
      </c>
      <c r="T33">
        <f ca="1"/>
        <v>0</v>
      </c>
      <c r="U33">
        <f ca="1"/>
        <v>0</v>
      </c>
      <c r="V33">
        <f ca="1"/>
        <v>0</v>
      </c>
      <c r="W33">
        <f ca="1"/>
        <v>0</v>
      </c>
      <c r="X33">
        <f ca="1"/>
        <v>0</v>
      </c>
      <c r="Y33">
        <f ca="1"/>
        <v>0</v>
      </c>
      <c r="Z33">
        <f ca="1"/>
        <v>0</v>
      </c>
      <c r="AA33">
        <f ca="1"/>
        <v>0</v>
      </c>
      <c r="AB33">
        <f ca="1"/>
        <v>0</v>
      </c>
      <c r="AC33">
        <f ca="1"/>
        <v>0</v>
      </c>
      <c r="AD33">
        <f ca="1"/>
        <v>0</v>
      </c>
      <c r="AE33">
        <f ca="1"/>
        <v>0</v>
      </c>
      <c r="AF33">
        <f ca="1"/>
        <v>0</v>
      </c>
      <c r="AG33">
        <f ca="1"/>
        <v>0</v>
      </c>
      <c r="AH33">
        <f ca="1"/>
        <v>0</v>
      </c>
      <c r="AI33">
        <f ca="1"/>
        <v>0</v>
      </c>
      <c r="AJ33">
        <f ca="1"/>
        <v>0</v>
      </c>
      <c r="AK33">
        <f ca="1"/>
        <v>0</v>
      </c>
      <c r="AL33">
        <f ca="1"/>
        <v>0</v>
      </c>
      <c r="AM33">
        <f ca="1"/>
        <v>0</v>
      </c>
      <c r="AN33">
        <f ca="1"/>
        <v>0</v>
      </c>
      <c r="AO33">
        <f ca="1"/>
        <v>0</v>
      </c>
      <c r="AP33">
        <f ca="1"/>
        <v>0</v>
      </c>
      <c r="AQ33">
        <f ca="1"/>
        <v>0</v>
      </c>
      <c r="AR33">
        <f ca="1"/>
        <v>0</v>
      </c>
      <c r="AS33">
        <f ca="1"/>
        <v>0</v>
      </c>
      <c r="AT33">
        <f ca="1"/>
        <v>0</v>
      </c>
      <c r="AU33">
        <f ca="1"/>
        <v>0</v>
      </c>
      <c r="AV33">
        <f ca="1"/>
        <v>0</v>
      </c>
      <c r="AW33">
        <f ca="1"/>
        <v>0</v>
      </c>
      <c r="AX33">
        <f ca="1"/>
        <v>0</v>
      </c>
      <c r="AY33">
        <f ca="1"/>
        <v>0</v>
      </c>
      <c r="AZ33">
        <f ca="1"/>
        <v>0</v>
      </c>
      <c r="BA33">
        <f ca="1"/>
        <v>0</v>
      </c>
      <c r="BB33">
        <f ca="1"/>
        <v>0</v>
      </c>
      <c r="BC33">
        <f ca="1"/>
        <v>0</v>
      </c>
      <c r="BD33">
        <f ca="1"/>
        <v>0</v>
      </c>
      <c r="BE33">
        <f ca="1"/>
        <v>0</v>
      </c>
      <c r="BF33">
        <f ca="1"/>
        <v>0</v>
      </c>
    </row>
    <row r="34" spans="1:58">
      <c r="A34" s="19" t="s">
        <v>75</v>
      </c>
      <c r="B34" s="20">
        <v>100</v>
      </c>
      <c r="C34" s="20">
        <v>41</v>
      </c>
      <c r="D34" s="20">
        <v>4.0999999999999996</v>
      </c>
      <c r="E34" s="20">
        <v>4.92</v>
      </c>
      <c r="F34" s="21">
        <v>120</v>
      </c>
      <c r="G34" s="20">
        <v>428</v>
      </c>
      <c r="H34" s="20" t="s">
        <v>55</v>
      </c>
      <c r="I34" s="20">
        <v>0.64</v>
      </c>
      <c r="J34" s="20" t="e">
        <v>#VALUE!</v>
      </c>
      <c r="K34" s="20">
        <v>101.11</v>
      </c>
      <c r="L34" s="20"/>
      <c r="M34" s="20"/>
      <c r="N34" s="22"/>
      <c r="P34">
        <f ca="1"/>
        <v>0</v>
      </c>
      <c r="Q34">
        <f ca="1"/>
        <v>0</v>
      </c>
      <c r="R34">
        <f ca="1"/>
        <v>0</v>
      </c>
      <c r="S34">
        <f ca="1"/>
        <v>0</v>
      </c>
      <c r="T34">
        <f ca="1"/>
        <v>0</v>
      </c>
      <c r="U34">
        <f ca="1"/>
        <v>250</v>
      </c>
      <c r="V34">
        <f ca="1"/>
        <v>0</v>
      </c>
      <c r="W34">
        <f ca="1"/>
        <v>0</v>
      </c>
      <c r="X34">
        <f ca="1"/>
        <v>0</v>
      </c>
      <c r="Y34">
        <f ca="1"/>
        <v>0</v>
      </c>
      <c r="Z34">
        <f ca="1"/>
        <v>0</v>
      </c>
      <c r="AA34">
        <f ca="1"/>
        <v>250</v>
      </c>
      <c r="AB34">
        <f ca="1"/>
        <v>0</v>
      </c>
      <c r="AC34">
        <f ca="1"/>
        <v>0</v>
      </c>
      <c r="AD34">
        <f ca="1"/>
        <v>0</v>
      </c>
      <c r="AE34">
        <f ca="1"/>
        <v>0</v>
      </c>
      <c r="AF34">
        <f ca="1"/>
        <v>0</v>
      </c>
      <c r="AG34">
        <f ca="1"/>
        <v>250</v>
      </c>
      <c r="AH34">
        <f ca="1"/>
        <v>0</v>
      </c>
      <c r="AI34">
        <f ca="1"/>
        <v>0</v>
      </c>
      <c r="AJ34">
        <f ca="1"/>
        <v>0</v>
      </c>
      <c r="AK34">
        <f ca="1"/>
        <v>0</v>
      </c>
      <c r="AL34">
        <f ca="1"/>
        <v>0</v>
      </c>
      <c r="AM34">
        <f ca="1"/>
        <v>250</v>
      </c>
      <c r="AN34">
        <f ca="1"/>
        <v>0</v>
      </c>
      <c r="AO34">
        <f ca="1"/>
        <v>0</v>
      </c>
      <c r="AP34">
        <f ca="1"/>
        <v>0</v>
      </c>
      <c r="AQ34">
        <f ca="1"/>
        <v>0</v>
      </c>
      <c r="AR34">
        <f ca="1"/>
        <v>0</v>
      </c>
      <c r="AS34">
        <f ca="1"/>
        <v>250</v>
      </c>
      <c r="AT34">
        <f ca="1"/>
        <v>0</v>
      </c>
      <c r="AU34">
        <f ca="1"/>
        <v>0</v>
      </c>
      <c r="AV34">
        <f ca="1"/>
        <v>0</v>
      </c>
      <c r="AW34">
        <f ca="1"/>
        <v>0</v>
      </c>
      <c r="AX34">
        <f ca="1"/>
        <v>0</v>
      </c>
      <c r="AY34">
        <f ca="1"/>
        <v>250</v>
      </c>
      <c r="AZ34">
        <f ca="1"/>
        <v>0</v>
      </c>
      <c r="BA34">
        <f ca="1"/>
        <v>0</v>
      </c>
      <c r="BB34">
        <f ca="1"/>
        <v>0</v>
      </c>
      <c r="BC34">
        <f ca="1"/>
        <v>0</v>
      </c>
      <c r="BD34">
        <f ca="1"/>
        <v>0</v>
      </c>
      <c r="BE34">
        <f ca="1"/>
        <v>250</v>
      </c>
      <c r="BF34">
        <f ca="1"/>
        <v>0</v>
      </c>
    </row>
    <row r="35" spans="1:58">
      <c r="A35" s="19" t="s">
        <v>93</v>
      </c>
      <c r="B35" s="20">
        <v>100</v>
      </c>
      <c r="C35" s="20">
        <v>40</v>
      </c>
      <c r="D35" s="20">
        <v>4</v>
      </c>
      <c r="E35" s="20">
        <v>4</v>
      </c>
      <c r="F35" s="21">
        <v>100</v>
      </c>
      <c r="G35" s="20">
        <v>336</v>
      </c>
      <c r="H35" s="20" t="s">
        <v>55</v>
      </c>
      <c r="I35" s="20">
        <v>0.64</v>
      </c>
      <c r="J35" s="20"/>
      <c r="K35" s="20"/>
      <c r="L35" s="20"/>
      <c r="M35" s="20"/>
      <c r="N35" s="22"/>
      <c r="P35">
        <f ca="1"/>
        <v>0</v>
      </c>
      <c r="Q35">
        <f ca="1"/>
        <v>0</v>
      </c>
      <c r="R35">
        <f ca="1"/>
        <v>0</v>
      </c>
      <c r="S35">
        <f ca="1"/>
        <v>0</v>
      </c>
      <c r="T35">
        <f ca="1"/>
        <v>0</v>
      </c>
      <c r="U35">
        <f ca="1"/>
        <v>250</v>
      </c>
      <c r="V35">
        <f ca="1"/>
        <v>0</v>
      </c>
      <c r="W35">
        <f ca="1"/>
        <v>0</v>
      </c>
      <c r="X35">
        <f ca="1"/>
        <v>0</v>
      </c>
      <c r="Y35">
        <f ca="1"/>
        <v>0</v>
      </c>
      <c r="Z35">
        <f ca="1"/>
        <v>0</v>
      </c>
      <c r="AA35">
        <f ca="1"/>
        <v>250</v>
      </c>
      <c r="AB35">
        <f ca="1"/>
        <v>0</v>
      </c>
      <c r="AC35">
        <f ca="1"/>
        <v>0</v>
      </c>
      <c r="AD35">
        <f ca="1"/>
        <v>0</v>
      </c>
      <c r="AE35">
        <f ca="1"/>
        <v>0</v>
      </c>
      <c r="AF35">
        <f ca="1"/>
        <v>0</v>
      </c>
      <c r="AG35">
        <f ca="1"/>
        <v>250</v>
      </c>
      <c r="AH35">
        <f ca="1"/>
        <v>0</v>
      </c>
      <c r="AI35">
        <f ca="1"/>
        <v>0</v>
      </c>
      <c r="AJ35">
        <f ca="1"/>
        <v>0</v>
      </c>
      <c r="AK35">
        <f ca="1"/>
        <v>0</v>
      </c>
      <c r="AL35">
        <f ca="1"/>
        <v>0</v>
      </c>
      <c r="AM35">
        <f ca="1"/>
        <v>250</v>
      </c>
      <c r="AN35">
        <f ca="1"/>
        <v>0</v>
      </c>
      <c r="AO35">
        <f ca="1"/>
        <v>0</v>
      </c>
      <c r="AP35">
        <f ca="1"/>
        <v>0</v>
      </c>
      <c r="AQ35">
        <f ca="1"/>
        <v>0</v>
      </c>
      <c r="AR35">
        <f ca="1"/>
        <v>0</v>
      </c>
      <c r="AS35">
        <f ca="1"/>
        <v>250</v>
      </c>
      <c r="AT35">
        <f ca="1"/>
        <v>0</v>
      </c>
      <c r="AU35">
        <f ca="1"/>
        <v>0</v>
      </c>
      <c r="AV35">
        <f ca="1"/>
        <v>0</v>
      </c>
      <c r="AW35">
        <f ca="1"/>
        <v>0</v>
      </c>
      <c r="AX35">
        <f ca="1"/>
        <v>0</v>
      </c>
      <c r="AY35">
        <f ca="1"/>
        <v>250</v>
      </c>
      <c r="AZ35">
        <f ca="1"/>
        <v>0</v>
      </c>
      <c r="BA35">
        <f ca="1"/>
        <v>0</v>
      </c>
      <c r="BB35">
        <f ca="1"/>
        <v>0</v>
      </c>
      <c r="BC35">
        <f ca="1"/>
        <v>0</v>
      </c>
      <c r="BD35">
        <f ca="1"/>
        <v>0</v>
      </c>
      <c r="BE35">
        <f ca="1"/>
        <v>250</v>
      </c>
      <c r="BF35">
        <f ca="1"/>
        <v>0</v>
      </c>
    </row>
    <row r="36" spans="1:58">
      <c r="A36" s="19" t="s">
        <v>81</v>
      </c>
      <c r="B36" s="20">
        <v>125</v>
      </c>
      <c r="C36" s="20">
        <v>65</v>
      </c>
      <c r="D36" s="20">
        <v>8.125</v>
      </c>
      <c r="E36" s="20">
        <v>6.5</v>
      </c>
      <c r="F36" s="21">
        <v>100</v>
      </c>
      <c r="G36" s="20">
        <v>732.5</v>
      </c>
      <c r="H36" s="20" t="s">
        <v>55</v>
      </c>
      <c r="I36" s="20">
        <v>0.64</v>
      </c>
      <c r="J36" s="20">
        <v>90</v>
      </c>
      <c r="K36" s="20"/>
      <c r="L36" s="20"/>
      <c r="M36" s="20"/>
      <c r="N36" s="22">
        <v>85</v>
      </c>
      <c r="P36">
        <f ca="1"/>
        <v>0</v>
      </c>
      <c r="Q36">
        <f ca="1"/>
        <v>0</v>
      </c>
      <c r="R36">
        <f ca="1"/>
        <v>0</v>
      </c>
      <c r="S36">
        <f ca="1"/>
        <v>0</v>
      </c>
      <c r="T36">
        <f ca="1"/>
        <v>0</v>
      </c>
      <c r="U36">
        <f ca="1"/>
        <v>150</v>
      </c>
      <c r="V36">
        <f ca="1"/>
        <v>0</v>
      </c>
      <c r="W36">
        <f ca="1"/>
        <v>0</v>
      </c>
      <c r="X36">
        <f ca="1"/>
        <v>0</v>
      </c>
      <c r="Y36">
        <f ca="1"/>
        <v>0</v>
      </c>
      <c r="Z36">
        <f ca="1"/>
        <v>0</v>
      </c>
      <c r="AA36">
        <f ca="1"/>
        <v>150</v>
      </c>
      <c r="AB36">
        <f ca="1"/>
        <v>0</v>
      </c>
      <c r="AC36">
        <f ca="1"/>
        <v>0</v>
      </c>
      <c r="AD36">
        <f ca="1"/>
        <v>0</v>
      </c>
      <c r="AE36">
        <f ca="1"/>
        <v>0</v>
      </c>
      <c r="AF36">
        <f ca="1"/>
        <v>0</v>
      </c>
      <c r="AG36">
        <f ca="1"/>
        <v>150</v>
      </c>
      <c r="AH36">
        <f ca="1"/>
        <v>0</v>
      </c>
      <c r="AI36">
        <f ca="1"/>
        <v>0</v>
      </c>
      <c r="AJ36">
        <f ca="1"/>
        <v>0</v>
      </c>
      <c r="AK36">
        <f ca="1"/>
        <v>0</v>
      </c>
      <c r="AL36">
        <f ca="1"/>
        <v>0</v>
      </c>
      <c r="AM36">
        <f ca="1"/>
        <v>150</v>
      </c>
      <c r="AN36">
        <f ca="1"/>
        <v>0</v>
      </c>
      <c r="AO36">
        <f ca="1"/>
        <v>0</v>
      </c>
      <c r="AP36">
        <f ca="1"/>
        <v>0</v>
      </c>
      <c r="AQ36">
        <f ca="1"/>
        <v>0</v>
      </c>
      <c r="AR36">
        <f ca="1"/>
        <v>0</v>
      </c>
      <c r="AS36">
        <f ca="1"/>
        <v>150</v>
      </c>
      <c r="AT36">
        <f ca="1"/>
        <v>0</v>
      </c>
      <c r="AU36">
        <f ca="1"/>
        <v>0</v>
      </c>
      <c r="AV36">
        <f ca="1"/>
        <v>0</v>
      </c>
      <c r="AW36">
        <f ca="1"/>
        <v>0</v>
      </c>
      <c r="AX36">
        <f ca="1"/>
        <v>0</v>
      </c>
      <c r="AY36">
        <f ca="1"/>
        <v>150</v>
      </c>
      <c r="AZ36">
        <f ca="1"/>
        <v>0</v>
      </c>
      <c r="BA36">
        <f ca="1"/>
        <v>0</v>
      </c>
      <c r="BB36">
        <f ca="1"/>
        <v>0</v>
      </c>
      <c r="BC36">
        <f ca="1"/>
        <v>0</v>
      </c>
      <c r="BD36">
        <f ca="1"/>
        <v>0</v>
      </c>
      <c r="BE36">
        <f ca="1"/>
        <v>150</v>
      </c>
      <c r="BF36">
        <f ca="1"/>
        <v>0</v>
      </c>
    </row>
    <row r="37" spans="1:58">
      <c r="A37" s="23" t="s">
        <v>54</v>
      </c>
      <c r="B37" s="20">
        <v>150</v>
      </c>
      <c r="C37" s="20">
        <v>45</v>
      </c>
      <c r="D37" s="20">
        <v>6.75</v>
      </c>
      <c r="E37" s="20">
        <v>4.4550000000000001</v>
      </c>
      <c r="F37" s="21">
        <v>99</v>
      </c>
      <c r="G37" s="20">
        <v>572.25</v>
      </c>
      <c r="H37" s="20" t="s">
        <v>55</v>
      </c>
      <c r="I37" s="20">
        <v>0.64</v>
      </c>
      <c r="J37" s="20">
        <v>20</v>
      </c>
      <c r="K37" s="20">
        <v>99.75</v>
      </c>
      <c r="L37" s="20"/>
      <c r="M37" s="20"/>
      <c r="N37" s="22"/>
      <c r="P37">
        <f ca="1"/>
        <v>0</v>
      </c>
      <c r="Q37">
        <f ca="1"/>
        <v>0</v>
      </c>
      <c r="R37">
        <f ca="1"/>
        <v>0</v>
      </c>
      <c r="S37">
        <f ca="1"/>
        <v>0</v>
      </c>
      <c r="T37">
        <f ca="1"/>
        <v>0</v>
      </c>
      <c r="U37">
        <f ca="1"/>
        <v>250</v>
      </c>
      <c r="V37">
        <f ca="1"/>
        <v>0</v>
      </c>
      <c r="W37">
        <f ca="1"/>
        <v>0</v>
      </c>
      <c r="X37">
        <f ca="1"/>
        <v>0</v>
      </c>
      <c r="Y37">
        <f ca="1"/>
        <v>0</v>
      </c>
      <c r="Z37">
        <f ca="1"/>
        <v>0</v>
      </c>
      <c r="AA37">
        <f ca="1"/>
        <v>250</v>
      </c>
      <c r="AB37">
        <f ca="1"/>
        <v>0</v>
      </c>
      <c r="AC37">
        <f ca="1"/>
        <v>0</v>
      </c>
      <c r="AD37">
        <f ca="1"/>
        <v>0</v>
      </c>
      <c r="AE37">
        <f ca="1"/>
        <v>0</v>
      </c>
      <c r="AF37">
        <f ca="1"/>
        <v>0</v>
      </c>
      <c r="AG37">
        <f ca="1"/>
        <v>250</v>
      </c>
      <c r="AH37">
        <f ca="1"/>
        <v>0</v>
      </c>
      <c r="AI37">
        <f ca="1"/>
        <v>0</v>
      </c>
      <c r="AJ37">
        <f ca="1"/>
        <v>0</v>
      </c>
      <c r="AK37">
        <f ca="1"/>
        <v>0</v>
      </c>
      <c r="AL37">
        <f ca="1"/>
        <v>0</v>
      </c>
      <c r="AM37">
        <f ca="1"/>
        <v>250</v>
      </c>
      <c r="AN37">
        <f ca="1"/>
        <v>0</v>
      </c>
      <c r="AO37">
        <f ca="1"/>
        <v>0</v>
      </c>
      <c r="AP37">
        <f ca="1"/>
        <v>0</v>
      </c>
      <c r="AQ37">
        <f ca="1"/>
        <v>0</v>
      </c>
      <c r="AR37">
        <f ca="1"/>
        <v>0</v>
      </c>
      <c r="AS37">
        <f ca="1"/>
        <v>250</v>
      </c>
      <c r="AT37">
        <f ca="1"/>
        <v>0</v>
      </c>
      <c r="AU37">
        <f ca="1"/>
        <v>0</v>
      </c>
      <c r="AV37">
        <f ca="1"/>
        <v>0</v>
      </c>
      <c r="AW37">
        <f ca="1"/>
        <v>0</v>
      </c>
      <c r="AX37">
        <f ca="1"/>
        <v>0</v>
      </c>
      <c r="AY37">
        <f ca="1"/>
        <v>250</v>
      </c>
      <c r="AZ37">
        <f ca="1"/>
        <v>0</v>
      </c>
      <c r="BA37">
        <f ca="1"/>
        <v>0</v>
      </c>
      <c r="BB37">
        <f ca="1"/>
        <v>0</v>
      </c>
      <c r="BC37">
        <f ca="1"/>
        <v>0</v>
      </c>
      <c r="BD37">
        <f ca="1"/>
        <v>0</v>
      </c>
      <c r="BE37">
        <f ca="1"/>
        <v>250</v>
      </c>
      <c r="BF37">
        <f ca="1"/>
        <v>0</v>
      </c>
    </row>
    <row r="38" spans="1:58">
      <c r="A38" s="19" t="s">
        <v>88</v>
      </c>
      <c r="B38" s="20">
        <v>400</v>
      </c>
      <c r="C38" s="20">
        <v>65</v>
      </c>
      <c r="D38" s="20">
        <v>26</v>
      </c>
      <c r="E38" s="20">
        <v>3.5750000000000002</v>
      </c>
      <c r="F38" s="21">
        <v>55</v>
      </c>
      <c r="G38" s="20">
        <v>1174</v>
      </c>
      <c r="H38" s="20" t="s">
        <v>55</v>
      </c>
      <c r="I38" s="20">
        <v>0.64</v>
      </c>
      <c r="J38" s="20">
        <v>55</v>
      </c>
      <c r="K38" s="20">
        <v>40</v>
      </c>
      <c r="L38" s="20"/>
      <c r="M38" s="20"/>
      <c r="N38" s="22"/>
      <c r="P38">
        <f ca="1"/>
        <v>0</v>
      </c>
      <c r="Q38">
        <f ca="1"/>
        <v>0</v>
      </c>
      <c r="R38">
        <f ca="1"/>
        <v>0</v>
      </c>
      <c r="S38">
        <f ca="1"/>
        <v>0</v>
      </c>
      <c r="T38">
        <f ca="1"/>
        <v>0</v>
      </c>
      <c r="U38">
        <f ca="1"/>
        <v>100</v>
      </c>
      <c r="V38">
        <f ca="1"/>
        <v>0</v>
      </c>
      <c r="W38">
        <f ca="1"/>
        <v>0</v>
      </c>
      <c r="X38">
        <f ca="1"/>
        <v>0</v>
      </c>
      <c r="Y38">
        <f ca="1"/>
        <v>0</v>
      </c>
      <c r="Z38">
        <f ca="1"/>
        <v>0</v>
      </c>
      <c r="AA38">
        <f ca="1"/>
        <v>100</v>
      </c>
      <c r="AB38">
        <f ca="1"/>
        <v>0</v>
      </c>
      <c r="AC38">
        <f ca="1"/>
        <v>0</v>
      </c>
      <c r="AD38">
        <f ca="1"/>
        <v>0</v>
      </c>
      <c r="AE38">
        <f ca="1"/>
        <v>0</v>
      </c>
      <c r="AF38">
        <f ca="1"/>
        <v>0</v>
      </c>
      <c r="AG38">
        <f ca="1"/>
        <v>100</v>
      </c>
      <c r="AH38">
        <f ca="1"/>
        <v>0</v>
      </c>
      <c r="AI38">
        <f ca="1"/>
        <v>0</v>
      </c>
      <c r="AJ38">
        <f ca="1"/>
        <v>0</v>
      </c>
      <c r="AK38">
        <f ca="1"/>
        <v>0</v>
      </c>
      <c r="AL38">
        <f ca="1"/>
        <v>0</v>
      </c>
      <c r="AM38">
        <f ca="1"/>
        <v>100</v>
      </c>
      <c r="AN38">
        <f ca="1"/>
        <v>0</v>
      </c>
      <c r="AO38">
        <f ca="1"/>
        <v>0</v>
      </c>
      <c r="AP38">
        <f ca="1"/>
        <v>0</v>
      </c>
      <c r="AQ38">
        <f ca="1"/>
        <v>0</v>
      </c>
      <c r="AR38">
        <f ca="1"/>
        <v>0</v>
      </c>
      <c r="AS38">
        <f ca="1"/>
        <v>100</v>
      </c>
      <c r="AT38">
        <f ca="1"/>
        <v>0</v>
      </c>
      <c r="AU38">
        <f ca="1"/>
        <v>0</v>
      </c>
      <c r="AV38">
        <f ca="1"/>
        <v>0</v>
      </c>
      <c r="AW38">
        <f ca="1"/>
        <v>0</v>
      </c>
      <c r="AX38">
        <f ca="1"/>
        <v>0</v>
      </c>
      <c r="AY38">
        <f ca="1"/>
        <v>100</v>
      </c>
      <c r="AZ38">
        <f ca="1"/>
        <v>0</v>
      </c>
      <c r="BA38">
        <f ca="1"/>
        <v>0</v>
      </c>
      <c r="BB38">
        <f ca="1"/>
        <v>0</v>
      </c>
      <c r="BC38">
        <f ca="1"/>
        <v>0</v>
      </c>
      <c r="BD38">
        <f ca="1"/>
        <v>0</v>
      </c>
      <c r="BE38">
        <f ca="1"/>
        <v>100</v>
      </c>
      <c r="BF38">
        <f ca="1"/>
        <v>0</v>
      </c>
    </row>
    <row r="39" spans="1:58">
      <c r="A39" s="19" t="s">
        <v>46</v>
      </c>
      <c r="B39" s="20">
        <v>500</v>
      </c>
      <c r="C39" s="20">
        <v>20</v>
      </c>
      <c r="D39" s="20">
        <v>10</v>
      </c>
      <c r="E39" s="20">
        <v>2.9</v>
      </c>
      <c r="F39" s="21">
        <v>145</v>
      </c>
      <c r="G39" s="20">
        <v>1130</v>
      </c>
      <c r="H39" s="20" t="s">
        <v>55</v>
      </c>
      <c r="I39" s="20">
        <v>0.64</v>
      </c>
      <c r="J39" s="20">
        <v>11.6</v>
      </c>
      <c r="K39" s="20">
        <v>80</v>
      </c>
      <c r="L39" s="20"/>
      <c r="M39" s="20"/>
      <c r="N39" s="22">
        <v>123.25</v>
      </c>
      <c r="O39" t="e">
        <f>Produit!N2:N71,Produit!U1:U71</f>
        <v>#VALUE!</v>
      </c>
      <c r="P39">
        <f ca="1"/>
        <v>0</v>
      </c>
      <c r="Q39">
        <f ca="1"/>
        <v>0</v>
      </c>
      <c r="R39">
        <f ca="1"/>
        <v>0</v>
      </c>
      <c r="S39">
        <f ca="1"/>
        <v>0</v>
      </c>
      <c r="T39">
        <f ca="1"/>
        <v>0</v>
      </c>
      <c r="U39">
        <f ca="1"/>
        <v>0</v>
      </c>
      <c r="V39">
        <f ca="1"/>
        <v>0</v>
      </c>
      <c r="W39">
        <f ca="1"/>
        <v>0</v>
      </c>
      <c r="X39">
        <f ca="1"/>
        <v>0</v>
      </c>
      <c r="Y39">
        <f ca="1"/>
        <v>0</v>
      </c>
      <c r="Z39">
        <f ca="1"/>
        <v>0</v>
      </c>
      <c r="AA39">
        <f ca="1"/>
        <v>0</v>
      </c>
      <c r="AB39">
        <f ca="1"/>
        <v>0</v>
      </c>
      <c r="AC39">
        <f ca="1"/>
        <v>0</v>
      </c>
      <c r="AD39">
        <f ca="1"/>
        <v>0</v>
      </c>
      <c r="AE39">
        <f ca="1"/>
        <v>0</v>
      </c>
      <c r="AF39">
        <f ca="1"/>
        <v>0</v>
      </c>
      <c r="AG39">
        <f ca="1"/>
        <v>0</v>
      </c>
      <c r="AH39">
        <f ca="1"/>
        <v>0</v>
      </c>
      <c r="AI39">
        <f ca="1"/>
        <v>0</v>
      </c>
      <c r="AJ39">
        <f ca="1"/>
        <v>0</v>
      </c>
      <c r="AK39">
        <f ca="1"/>
        <v>0</v>
      </c>
      <c r="AL39">
        <f ca="1"/>
        <v>0</v>
      </c>
      <c r="AM39">
        <f ca="1"/>
        <v>0</v>
      </c>
      <c r="AN39">
        <f ca="1"/>
        <v>0</v>
      </c>
      <c r="AO39">
        <f ca="1"/>
        <v>0</v>
      </c>
      <c r="AP39">
        <f ca="1"/>
        <v>0</v>
      </c>
      <c r="AQ39">
        <f ca="1"/>
        <v>0</v>
      </c>
      <c r="AR39">
        <f ca="1"/>
        <v>0</v>
      </c>
      <c r="AS39">
        <f ca="1"/>
        <v>0</v>
      </c>
      <c r="AT39">
        <f ca="1"/>
        <v>0</v>
      </c>
      <c r="AU39">
        <f ca="1"/>
        <v>0</v>
      </c>
      <c r="AV39">
        <f ca="1"/>
        <v>0</v>
      </c>
      <c r="AW39">
        <f ca="1"/>
        <v>0</v>
      </c>
      <c r="AX39">
        <f ca="1"/>
        <v>0</v>
      </c>
      <c r="AY39">
        <f ca="1"/>
        <v>0</v>
      </c>
      <c r="AZ39">
        <f ca="1"/>
        <v>0</v>
      </c>
      <c r="BA39">
        <f ca="1"/>
        <v>0</v>
      </c>
      <c r="BB39">
        <f ca="1"/>
        <v>0</v>
      </c>
      <c r="BC39">
        <f ca="1"/>
        <v>0</v>
      </c>
      <c r="BD39">
        <f ca="1"/>
        <v>0</v>
      </c>
      <c r="BE39">
        <f ca="1"/>
        <v>0</v>
      </c>
      <c r="BF39">
        <f ca="1"/>
        <v>0</v>
      </c>
    </row>
    <row r="40" spans="1:58">
      <c r="P40">
        <f ca="1"/>
        <v>0</v>
      </c>
      <c r="Q40">
        <f ca="1"/>
        <v>0</v>
      </c>
      <c r="R40">
        <f ca="1"/>
        <v>0</v>
      </c>
      <c r="S40">
        <f ca="1"/>
        <v>0</v>
      </c>
      <c r="T40">
        <f ca="1"/>
        <v>0</v>
      </c>
      <c r="U40">
        <f ca="1"/>
        <v>0</v>
      </c>
      <c r="V40">
        <f ca="1"/>
        <v>0</v>
      </c>
      <c r="W40">
        <f ca="1"/>
        <v>0</v>
      </c>
      <c r="X40">
        <f ca="1"/>
        <v>0</v>
      </c>
      <c r="Y40">
        <f ca="1"/>
        <v>0</v>
      </c>
      <c r="Z40">
        <f ca="1"/>
        <v>0</v>
      </c>
      <c r="AA40">
        <f ca="1"/>
        <v>0</v>
      </c>
      <c r="AB40">
        <f ca="1"/>
        <v>0</v>
      </c>
      <c r="AC40">
        <f ca="1"/>
        <v>0</v>
      </c>
      <c r="AD40">
        <f ca="1"/>
        <v>0</v>
      </c>
      <c r="AE40">
        <f ca="1"/>
        <v>0</v>
      </c>
      <c r="AF40">
        <f ca="1"/>
        <v>0</v>
      </c>
      <c r="AG40">
        <f ca="1"/>
        <v>0</v>
      </c>
      <c r="AH40">
        <f ca="1"/>
        <v>0</v>
      </c>
      <c r="AI40">
        <f ca="1"/>
        <v>0</v>
      </c>
      <c r="AJ40">
        <f ca="1"/>
        <v>0</v>
      </c>
      <c r="AK40">
        <f ca="1"/>
        <v>0</v>
      </c>
      <c r="AL40">
        <f ca="1"/>
        <v>0</v>
      </c>
      <c r="AM40">
        <f ca="1"/>
        <v>0</v>
      </c>
      <c r="AN40">
        <f ca="1"/>
        <v>0</v>
      </c>
      <c r="AO40">
        <f ca="1"/>
        <v>0</v>
      </c>
      <c r="AP40">
        <f ca="1"/>
        <v>0</v>
      </c>
      <c r="AQ40">
        <f ca="1"/>
        <v>0</v>
      </c>
      <c r="AR40">
        <f ca="1"/>
        <v>0</v>
      </c>
      <c r="AS40">
        <f ca="1"/>
        <v>0</v>
      </c>
      <c r="AT40">
        <f ca="1"/>
        <v>0</v>
      </c>
      <c r="AU40">
        <f ca="1"/>
        <v>0</v>
      </c>
      <c r="AV40">
        <f ca="1"/>
        <v>0</v>
      </c>
      <c r="AW40">
        <f ca="1"/>
        <v>0</v>
      </c>
      <c r="AX40">
        <f ca="1"/>
        <v>0</v>
      </c>
      <c r="AY40">
        <f ca="1"/>
        <v>0</v>
      </c>
      <c r="AZ40">
        <f ca="1"/>
        <v>0</v>
      </c>
      <c r="BA40">
        <f ca="1"/>
        <v>0</v>
      </c>
      <c r="BB40">
        <f ca="1"/>
        <v>0</v>
      </c>
      <c r="BC40">
        <f ca="1"/>
        <v>0</v>
      </c>
      <c r="BD40">
        <f ca="1"/>
        <v>0</v>
      </c>
      <c r="BE40">
        <f ca="1"/>
        <v>0</v>
      </c>
      <c r="BF40">
        <f ca="1"/>
        <v>0</v>
      </c>
    </row>
    <row r="41" spans="1:58">
      <c r="P41">
        <f ca="1"/>
        <v>0</v>
      </c>
      <c r="Q41">
        <f ca="1"/>
        <v>0</v>
      </c>
      <c r="R41">
        <f ca="1"/>
        <v>0</v>
      </c>
      <c r="S41">
        <f ca="1"/>
        <v>0</v>
      </c>
      <c r="T41">
        <f ca="1"/>
        <v>0</v>
      </c>
      <c r="U41">
        <f ca="1"/>
        <v>250</v>
      </c>
      <c r="V41">
        <f ca="1"/>
        <v>0</v>
      </c>
      <c r="W41">
        <f ca="1"/>
        <v>0</v>
      </c>
      <c r="X41">
        <f ca="1"/>
        <v>0</v>
      </c>
      <c r="Y41">
        <f ca="1"/>
        <v>0</v>
      </c>
      <c r="Z41">
        <f ca="1"/>
        <v>0</v>
      </c>
      <c r="AA41">
        <f ca="1"/>
        <v>250</v>
      </c>
      <c r="AB41">
        <f ca="1"/>
        <v>0</v>
      </c>
      <c r="AC41">
        <f ca="1"/>
        <v>0</v>
      </c>
      <c r="AD41">
        <f ca="1"/>
        <v>0</v>
      </c>
      <c r="AE41">
        <f ca="1"/>
        <v>0</v>
      </c>
      <c r="AF41">
        <f ca="1"/>
        <v>0</v>
      </c>
      <c r="AG41">
        <f ca="1"/>
        <v>250</v>
      </c>
      <c r="AH41">
        <f ca="1"/>
        <v>0</v>
      </c>
      <c r="AI41">
        <f ca="1"/>
        <v>0</v>
      </c>
      <c r="AJ41">
        <f ca="1"/>
        <v>0</v>
      </c>
      <c r="AK41">
        <f ca="1"/>
        <v>0</v>
      </c>
      <c r="AL41">
        <f ca="1"/>
        <v>0</v>
      </c>
      <c r="AM41">
        <f ca="1"/>
        <v>250</v>
      </c>
      <c r="AN41">
        <f ca="1"/>
        <v>0</v>
      </c>
      <c r="AO41">
        <f ca="1"/>
        <v>0</v>
      </c>
      <c r="AP41">
        <f ca="1"/>
        <v>0</v>
      </c>
      <c r="AQ41">
        <f ca="1"/>
        <v>0</v>
      </c>
      <c r="AR41">
        <f ca="1"/>
        <v>0</v>
      </c>
      <c r="AS41">
        <f ca="1"/>
        <v>250</v>
      </c>
      <c r="AT41">
        <f ca="1"/>
        <v>0</v>
      </c>
      <c r="AU41">
        <f ca="1"/>
        <v>0</v>
      </c>
      <c r="AV41">
        <f ca="1"/>
        <v>0</v>
      </c>
      <c r="AW41">
        <f ca="1"/>
        <v>0</v>
      </c>
      <c r="AX41">
        <f ca="1"/>
        <v>0</v>
      </c>
      <c r="AY41">
        <f ca="1"/>
        <v>250</v>
      </c>
      <c r="AZ41">
        <f ca="1"/>
        <v>0</v>
      </c>
      <c r="BA41">
        <f ca="1"/>
        <v>0</v>
      </c>
      <c r="BB41">
        <f ca="1"/>
        <v>0</v>
      </c>
      <c r="BC41">
        <f ca="1"/>
        <v>0</v>
      </c>
      <c r="BD41">
        <f ca="1"/>
        <v>0</v>
      </c>
      <c r="BE41">
        <f ca="1"/>
        <v>250</v>
      </c>
      <c r="BF41">
        <f ca="1"/>
        <v>0</v>
      </c>
    </row>
    <row r="42" spans="1:58">
      <c r="P42">
        <f ca="1"/>
        <v>0</v>
      </c>
      <c r="Q42">
        <f ca="1"/>
        <v>0</v>
      </c>
      <c r="R42">
        <f ca="1"/>
        <v>0</v>
      </c>
      <c r="S42">
        <f ca="1"/>
        <v>0</v>
      </c>
      <c r="T42">
        <f ca="1"/>
        <v>0</v>
      </c>
      <c r="U42">
        <f ca="1"/>
        <v>0</v>
      </c>
      <c r="V42">
        <f ca="1"/>
        <v>0</v>
      </c>
      <c r="W42">
        <f ca="1"/>
        <v>0</v>
      </c>
      <c r="X42">
        <f ca="1"/>
        <v>0</v>
      </c>
      <c r="Y42">
        <f ca="1"/>
        <v>0</v>
      </c>
      <c r="Z42">
        <f ca="1"/>
        <v>0</v>
      </c>
      <c r="AA42">
        <f ca="1"/>
        <v>0</v>
      </c>
      <c r="AB42">
        <f ca="1"/>
        <v>0</v>
      </c>
      <c r="AC42">
        <f ca="1"/>
        <v>0</v>
      </c>
      <c r="AD42">
        <f ca="1"/>
        <v>0</v>
      </c>
      <c r="AE42">
        <f ca="1"/>
        <v>0</v>
      </c>
      <c r="AF42">
        <f ca="1"/>
        <v>0</v>
      </c>
      <c r="AG42">
        <f ca="1"/>
        <v>0</v>
      </c>
      <c r="AH42">
        <f ca="1"/>
        <v>0</v>
      </c>
      <c r="AI42">
        <f ca="1"/>
        <v>0</v>
      </c>
      <c r="AJ42">
        <f ca="1"/>
        <v>0</v>
      </c>
      <c r="AK42">
        <f ca="1"/>
        <v>0</v>
      </c>
      <c r="AL42">
        <f ca="1"/>
        <v>0</v>
      </c>
      <c r="AM42">
        <f ca="1"/>
        <v>0</v>
      </c>
      <c r="AN42">
        <f ca="1"/>
        <v>0</v>
      </c>
      <c r="AO42">
        <f ca="1"/>
        <v>0</v>
      </c>
      <c r="AP42">
        <f ca="1"/>
        <v>0</v>
      </c>
      <c r="AQ42">
        <f ca="1"/>
        <v>0</v>
      </c>
      <c r="AR42">
        <f ca="1"/>
        <v>0</v>
      </c>
      <c r="AS42">
        <f ca="1"/>
        <v>0</v>
      </c>
      <c r="AT42">
        <f ca="1"/>
        <v>0</v>
      </c>
      <c r="AU42">
        <f ca="1"/>
        <v>0</v>
      </c>
      <c r="AV42">
        <f ca="1"/>
        <v>0</v>
      </c>
      <c r="AW42">
        <f ca="1"/>
        <v>0</v>
      </c>
      <c r="AX42">
        <f ca="1"/>
        <v>0</v>
      </c>
      <c r="AY42">
        <f ca="1"/>
        <v>0</v>
      </c>
      <c r="AZ42">
        <f ca="1"/>
        <v>0</v>
      </c>
      <c r="BA42">
        <f ca="1"/>
        <v>0</v>
      </c>
      <c r="BB42">
        <f ca="1"/>
        <v>0</v>
      </c>
      <c r="BC42">
        <f ca="1"/>
        <v>0</v>
      </c>
      <c r="BD42">
        <f ca="1"/>
        <v>0</v>
      </c>
      <c r="BE42">
        <f ca="1"/>
        <v>0</v>
      </c>
      <c r="BF42">
        <f ca="1"/>
        <v>0</v>
      </c>
    </row>
    <row r="43" spans="1:58">
      <c r="P43">
        <f ca="1"/>
        <v>0</v>
      </c>
      <c r="Q43">
        <f ca="1"/>
        <v>0</v>
      </c>
      <c r="R43">
        <f ca="1"/>
        <v>0</v>
      </c>
      <c r="S43">
        <f ca="1"/>
        <v>0</v>
      </c>
      <c r="T43">
        <f ca="1"/>
        <v>0</v>
      </c>
      <c r="U43">
        <f ca="1"/>
        <v>0</v>
      </c>
      <c r="V43">
        <f ca="1"/>
        <v>0</v>
      </c>
      <c r="W43">
        <f ca="1"/>
        <v>0</v>
      </c>
      <c r="X43">
        <f ca="1"/>
        <v>0</v>
      </c>
      <c r="Y43">
        <f ca="1"/>
        <v>0</v>
      </c>
      <c r="Z43">
        <f ca="1"/>
        <v>0</v>
      </c>
      <c r="AA43">
        <f ca="1"/>
        <v>0</v>
      </c>
      <c r="AB43">
        <f ca="1"/>
        <v>0</v>
      </c>
      <c r="AC43">
        <f ca="1"/>
        <v>0</v>
      </c>
      <c r="AD43">
        <f ca="1"/>
        <v>0</v>
      </c>
      <c r="AE43">
        <f ca="1"/>
        <v>0</v>
      </c>
      <c r="AF43">
        <f ca="1"/>
        <v>0</v>
      </c>
      <c r="AG43">
        <f ca="1"/>
        <v>0</v>
      </c>
      <c r="AH43">
        <f ca="1"/>
        <v>0</v>
      </c>
      <c r="AI43">
        <f ca="1"/>
        <v>0</v>
      </c>
      <c r="AJ43">
        <f ca="1"/>
        <v>0</v>
      </c>
      <c r="AK43">
        <f ca="1"/>
        <v>0</v>
      </c>
      <c r="AL43">
        <f ca="1"/>
        <v>0</v>
      </c>
      <c r="AM43">
        <f ca="1"/>
        <v>0</v>
      </c>
      <c r="AN43">
        <f ca="1"/>
        <v>0</v>
      </c>
      <c r="AO43">
        <f ca="1"/>
        <v>0</v>
      </c>
      <c r="AP43">
        <f ca="1"/>
        <v>0</v>
      </c>
      <c r="AQ43">
        <f ca="1"/>
        <v>0</v>
      </c>
      <c r="AR43">
        <f ca="1"/>
        <v>0</v>
      </c>
      <c r="AS43">
        <f ca="1"/>
        <v>0</v>
      </c>
      <c r="AT43">
        <f ca="1"/>
        <v>0</v>
      </c>
      <c r="AU43">
        <f ca="1"/>
        <v>0</v>
      </c>
      <c r="AV43">
        <f ca="1"/>
        <v>0</v>
      </c>
      <c r="AW43">
        <f ca="1"/>
        <v>0</v>
      </c>
      <c r="AX43">
        <f ca="1"/>
        <v>0</v>
      </c>
      <c r="AY43">
        <f ca="1"/>
        <v>0</v>
      </c>
      <c r="AZ43">
        <f ca="1"/>
        <v>0</v>
      </c>
      <c r="BA43">
        <f ca="1"/>
        <v>0</v>
      </c>
      <c r="BB43">
        <f ca="1"/>
        <v>0</v>
      </c>
      <c r="BC43">
        <f ca="1"/>
        <v>0</v>
      </c>
      <c r="BD43">
        <f ca="1"/>
        <v>0</v>
      </c>
      <c r="BE43">
        <f ca="1"/>
        <v>0</v>
      </c>
      <c r="BF43">
        <f ca="1"/>
        <v>0</v>
      </c>
    </row>
    <row r="44" spans="1:58">
      <c r="P44">
        <f ca="1"/>
        <v>0</v>
      </c>
      <c r="Q44">
        <f ca="1"/>
        <v>0</v>
      </c>
      <c r="R44">
        <f ca="1"/>
        <v>0</v>
      </c>
      <c r="S44">
        <f ca="1"/>
        <v>0</v>
      </c>
      <c r="T44">
        <f ca="1"/>
        <v>0</v>
      </c>
      <c r="U44">
        <f ca="1"/>
        <v>0</v>
      </c>
      <c r="V44">
        <f ca="1"/>
        <v>0</v>
      </c>
      <c r="W44">
        <f ca="1"/>
        <v>0</v>
      </c>
      <c r="X44">
        <f ca="1"/>
        <v>0</v>
      </c>
      <c r="Y44">
        <f ca="1"/>
        <v>0</v>
      </c>
      <c r="Z44">
        <f ca="1"/>
        <v>0</v>
      </c>
      <c r="AA44">
        <f ca="1"/>
        <v>0</v>
      </c>
      <c r="AB44">
        <f ca="1"/>
        <v>0</v>
      </c>
      <c r="AC44">
        <f ca="1"/>
        <v>0</v>
      </c>
      <c r="AD44">
        <f ca="1"/>
        <v>0</v>
      </c>
      <c r="AE44">
        <f ca="1"/>
        <v>0</v>
      </c>
      <c r="AF44">
        <f ca="1"/>
        <v>0</v>
      </c>
      <c r="AG44">
        <f ca="1"/>
        <v>0</v>
      </c>
      <c r="AH44">
        <f ca="1"/>
        <v>0</v>
      </c>
      <c r="AI44">
        <f ca="1"/>
        <v>0</v>
      </c>
      <c r="AJ44">
        <f ca="1"/>
        <v>0</v>
      </c>
      <c r="AK44">
        <f ca="1"/>
        <v>0</v>
      </c>
      <c r="AL44">
        <f ca="1"/>
        <v>0</v>
      </c>
      <c r="AM44">
        <f ca="1"/>
        <v>0</v>
      </c>
      <c r="AN44">
        <f ca="1"/>
        <v>0</v>
      </c>
      <c r="AO44">
        <f ca="1"/>
        <v>0</v>
      </c>
      <c r="AP44">
        <f ca="1"/>
        <v>0</v>
      </c>
      <c r="AQ44">
        <f ca="1"/>
        <v>0</v>
      </c>
      <c r="AR44">
        <f ca="1"/>
        <v>0</v>
      </c>
      <c r="AS44">
        <f ca="1"/>
        <v>0</v>
      </c>
      <c r="AT44">
        <f ca="1"/>
        <v>0</v>
      </c>
      <c r="AU44">
        <f ca="1"/>
        <v>0</v>
      </c>
      <c r="AV44">
        <f ca="1"/>
        <v>0</v>
      </c>
      <c r="AW44">
        <f ca="1"/>
        <v>0</v>
      </c>
      <c r="AX44">
        <f ca="1"/>
        <v>0</v>
      </c>
      <c r="AY44">
        <f ca="1"/>
        <v>0</v>
      </c>
      <c r="AZ44">
        <f ca="1"/>
        <v>0</v>
      </c>
      <c r="BA44">
        <f ca="1"/>
        <v>0</v>
      </c>
      <c r="BB44">
        <f ca="1"/>
        <v>0</v>
      </c>
      <c r="BC44">
        <f ca="1"/>
        <v>0</v>
      </c>
      <c r="BD44">
        <f ca="1"/>
        <v>0</v>
      </c>
      <c r="BE44">
        <f ca="1"/>
        <v>0</v>
      </c>
      <c r="BF44">
        <f ca="1"/>
        <v>0</v>
      </c>
    </row>
    <row r="45" spans="1:58">
      <c r="P45">
        <f ca="1"/>
        <v>0</v>
      </c>
      <c r="Q45">
        <f ca="1"/>
        <v>0</v>
      </c>
      <c r="R45">
        <f ca="1"/>
        <v>0</v>
      </c>
      <c r="S45">
        <f ca="1"/>
        <v>0</v>
      </c>
      <c r="T45">
        <f ca="1"/>
        <v>0</v>
      </c>
      <c r="U45">
        <f ca="1"/>
        <v>0</v>
      </c>
      <c r="V45">
        <f ca="1"/>
        <v>0</v>
      </c>
      <c r="W45">
        <f ca="1"/>
        <v>0</v>
      </c>
      <c r="X45">
        <f ca="1"/>
        <v>0</v>
      </c>
      <c r="Y45">
        <f ca="1"/>
        <v>0</v>
      </c>
      <c r="Z45">
        <f ca="1"/>
        <v>0</v>
      </c>
      <c r="AA45">
        <f ca="1"/>
        <v>0</v>
      </c>
      <c r="AB45">
        <f ca="1"/>
        <v>0</v>
      </c>
      <c r="AC45">
        <f ca="1"/>
        <v>0</v>
      </c>
      <c r="AD45">
        <f ca="1"/>
        <v>0</v>
      </c>
      <c r="AE45">
        <f ca="1"/>
        <v>0</v>
      </c>
      <c r="AF45">
        <f ca="1"/>
        <v>0</v>
      </c>
      <c r="AG45">
        <f ca="1"/>
        <v>0</v>
      </c>
      <c r="AH45">
        <f ca="1"/>
        <v>0</v>
      </c>
      <c r="AI45">
        <f ca="1"/>
        <v>0</v>
      </c>
      <c r="AJ45">
        <f ca="1"/>
        <v>0</v>
      </c>
      <c r="AK45">
        <f ca="1"/>
        <v>0</v>
      </c>
      <c r="AL45">
        <f ca="1"/>
        <v>0</v>
      </c>
      <c r="AM45">
        <f ca="1"/>
        <v>0</v>
      </c>
      <c r="AN45">
        <f ca="1"/>
        <v>0</v>
      </c>
      <c r="AO45">
        <f ca="1"/>
        <v>0</v>
      </c>
      <c r="AP45">
        <f ca="1"/>
        <v>0</v>
      </c>
      <c r="AQ45">
        <f ca="1"/>
        <v>0</v>
      </c>
      <c r="AR45">
        <f ca="1"/>
        <v>0</v>
      </c>
      <c r="AS45">
        <f ca="1"/>
        <v>0</v>
      </c>
      <c r="AT45">
        <f ca="1"/>
        <v>0</v>
      </c>
      <c r="AU45">
        <f ca="1"/>
        <v>0</v>
      </c>
      <c r="AV45">
        <f ca="1"/>
        <v>0</v>
      </c>
      <c r="AW45">
        <f ca="1"/>
        <v>0</v>
      </c>
      <c r="AX45">
        <f ca="1"/>
        <v>0</v>
      </c>
      <c r="AY45">
        <f ca="1"/>
        <v>0</v>
      </c>
      <c r="AZ45">
        <f ca="1"/>
        <v>0</v>
      </c>
      <c r="BA45">
        <f ca="1"/>
        <v>0</v>
      </c>
      <c r="BB45">
        <f ca="1"/>
        <v>0</v>
      </c>
      <c r="BC45">
        <f ca="1"/>
        <v>0</v>
      </c>
      <c r="BD45">
        <f ca="1"/>
        <v>0</v>
      </c>
      <c r="BE45">
        <f ca="1"/>
        <v>0</v>
      </c>
      <c r="BF45">
        <f ca="1"/>
        <v>0</v>
      </c>
    </row>
    <row r="46" spans="1:58">
      <c r="P46">
        <f ca="1"/>
        <v>0</v>
      </c>
      <c r="Q46">
        <f ca="1"/>
        <v>0</v>
      </c>
      <c r="R46">
        <f ca="1"/>
        <v>0</v>
      </c>
      <c r="S46">
        <f ca="1"/>
        <v>0</v>
      </c>
      <c r="T46">
        <f ca="1"/>
        <v>0</v>
      </c>
      <c r="U46">
        <f ca="1"/>
        <v>100</v>
      </c>
      <c r="V46">
        <f ca="1"/>
        <v>0</v>
      </c>
      <c r="W46">
        <f ca="1"/>
        <v>0</v>
      </c>
      <c r="X46">
        <f ca="1"/>
        <v>0</v>
      </c>
      <c r="Y46">
        <f ca="1"/>
        <v>0</v>
      </c>
      <c r="Z46">
        <f ca="1"/>
        <v>0</v>
      </c>
      <c r="AA46">
        <f ca="1"/>
        <v>100</v>
      </c>
      <c r="AB46">
        <f ca="1"/>
        <v>0</v>
      </c>
      <c r="AC46">
        <f ca="1"/>
        <v>0</v>
      </c>
      <c r="AD46">
        <f ca="1"/>
        <v>0</v>
      </c>
      <c r="AE46">
        <f ca="1"/>
        <v>0</v>
      </c>
      <c r="AF46">
        <f ca="1"/>
        <v>0</v>
      </c>
      <c r="AG46">
        <f ca="1"/>
        <v>100</v>
      </c>
      <c r="AH46">
        <f ca="1"/>
        <v>0</v>
      </c>
      <c r="AI46">
        <f ca="1"/>
        <v>0</v>
      </c>
      <c r="AJ46">
        <f ca="1"/>
        <v>0</v>
      </c>
      <c r="AK46">
        <f ca="1"/>
        <v>0</v>
      </c>
      <c r="AL46">
        <f ca="1"/>
        <v>0</v>
      </c>
      <c r="AM46">
        <f ca="1"/>
        <v>100</v>
      </c>
      <c r="AN46">
        <f ca="1"/>
        <v>0</v>
      </c>
      <c r="AO46">
        <f ca="1"/>
        <v>0</v>
      </c>
      <c r="AP46">
        <f ca="1"/>
        <v>0</v>
      </c>
      <c r="AQ46">
        <f ca="1"/>
        <v>0</v>
      </c>
      <c r="AR46">
        <f ca="1"/>
        <v>0</v>
      </c>
      <c r="AS46">
        <f ca="1"/>
        <v>100</v>
      </c>
      <c r="AT46">
        <f ca="1"/>
        <v>0</v>
      </c>
      <c r="AU46">
        <f ca="1"/>
        <v>0</v>
      </c>
      <c r="AV46">
        <f ca="1"/>
        <v>0</v>
      </c>
      <c r="AW46">
        <f ca="1"/>
        <v>0</v>
      </c>
      <c r="AX46">
        <f ca="1"/>
        <v>0</v>
      </c>
      <c r="AY46">
        <f ca="1"/>
        <v>100</v>
      </c>
      <c r="AZ46">
        <f ca="1"/>
        <v>0</v>
      </c>
      <c r="BA46">
        <f ca="1"/>
        <v>0</v>
      </c>
      <c r="BB46">
        <f ca="1"/>
        <v>0</v>
      </c>
      <c r="BC46">
        <f ca="1"/>
        <v>0</v>
      </c>
      <c r="BD46">
        <f ca="1"/>
        <v>0</v>
      </c>
      <c r="BE46">
        <f ca="1"/>
        <v>100</v>
      </c>
      <c r="BF46">
        <f ca="1"/>
        <v>0</v>
      </c>
    </row>
    <row r="47" spans="1:58">
      <c r="P47">
        <f ca="1"/>
        <v>0</v>
      </c>
      <c r="Q47">
        <f ca="1"/>
        <v>0</v>
      </c>
      <c r="R47">
        <f ca="1"/>
        <v>0</v>
      </c>
      <c r="S47">
        <f ca="1"/>
        <v>0</v>
      </c>
      <c r="T47">
        <f ca="1"/>
        <v>0</v>
      </c>
      <c r="U47">
        <f ca="1"/>
        <v>250</v>
      </c>
      <c r="V47">
        <f ca="1"/>
        <v>0</v>
      </c>
      <c r="W47">
        <f ca="1"/>
        <v>0</v>
      </c>
      <c r="X47">
        <f ca="1"/>
        <v>0</v>
      </c>
      <c r="Y47">
        <f ca="1"/>
        <v>0</v>
      </c>
      <c r="Z47">
        <f ca="1"/>
        <v>0</v>
      </c>
      <c r="AA47">
        <f ca="1"/>
        <v>250</v>
      </c>
      <c r="AB47">
        <f ca="1"/>
        <v>0</v>
      </c>
      <c r="AC47">
        <f ca="1"/>
        <v>0</v>
      </c>
      <c r="AD47">
        <f ca="1"/>
        <v>0</v>
      </c>
      <c r="AE47">
        <f ca="1"/>
        <v>0</v>
      </c>
      <c r="AF47">
        <f ca="1"/>
        <v>0</v>
      </c>
      <c r="AG47">
        <f ca="1"/>
        <v>250</v>
      </c>
      <c r="AH47">
        <f ca="1"/>
        <v>0</v>
      </c>
      <c r="AI47">
        <f ca="1"/>
        <v>0</v>
      </c>
      <c r="AJ47">
        <f ca="1"/>
        <v>0</v>
      </c>
      <c r="AK47">
        <f ca="1"/>
        <v>0</v>
      </c>
      <c r="AL47">
        <f ca="1"/>
        <v>0</v>
      </c>
      <c r="AM47">
        <f ca="1"/>
        <v>250</v>
      </c>
      <c r="AN47">
        <f ca="1"/>
        <v>0</v>
      </c>
      <c r="AO47">
        <f ca="1"/>
        <v>0</v>
      </c>
      <c r="AP47">
        <f ca="1"/>
        <v>0</v>
      </c>
      <c r="AQ47">
        <f ca="1"/>
        <v>0</v>
      </c>
      <c r="AR47">
        <f ca="1"/>
        <v>0</v>
      </c>
      <c r="AS47">
        <f ca="1"/>
        <v>250</v>
      </c>
      <c r="AT47">
        <f ca="1"/>
        <v>0</v>
      </c>
      <c r="AU47">
        <f ca="1"/>
        <v>0</v>
      </c>
      <c r="AV47">
        <f ca="1"/>
        <v>0</v>
      </c>
      <c r="AW47">
        <f ca="1"/>
        <v>0</v>
      </c>
      <c r="AX47">
        <f ca="1"/>
        <v>0</v>
      </c>
      <c r="AY47">
        <f ca="1"/>
        <v>250</v>
      </c>
      <c r="AZ47">
        <f ca="1"/>
        <v>0</v>
      </c>
      <c r="BA47">
        <f ca="1"/>
        <v>0</v>
      </c>
      <c r="BB47">
        <f ca="1"/>
        <v>0</v>
      </c>
      <c r="BC47">
        <f ca="1"/>
        <v>0</v>
      </c>
      <c r="BD47">
        <f ca="1"/>
        <v>0</v>
      </c>
      <c r="BE47">
        <f ca="1"/>
        <v>250</v>
      </c>
      <c r="BF47">
        <f ca="1"/>
        <v>0</v>
      </c>
    </row>
    <row r="48" spans="1:58">
      <c r="P48">
        <f ca="1"/>
        <v>0</v>
      </c>
      <c r="Q48">
        <f ca="1"/>
        <v>0</v>
      </c>
      <c r="R48">
        <f ca="1"/>
        <v>0</v>
      </c>
      <c r="S48">
        <f ca="1"/>
        <v>0</v>
      </c>
      <c r="T48">
        <f ca="1"/>
        <v>0</v>
      </c>
      <c r="U48">
        <f ca="1"/>
        <v>0</v>
      </c>
      <c r="V48">
        <f ca="1"/>
        <v>0</v>
      </c>
      <c r="W48">
        <f ca="1"/>
        <v>0</v>
      </c>
      <c r="X48">
        <f ca="1"/>
        <v>0</v>
      </c>
      <c r="Y48">
        <f ca="1"/>
        <v>0</v>
      </c>
      <c r="Z48">
        <f ca="1"/>
        <v>0</v>
      </c>
      <c r="AA48">
        <f ca="1"/>
        <v>0</v>
      </c>
      <c r="AB48">
        <f ca="1"/>
        <v>0</v>
      </c>
      <c r="AC48">
        <f ca="1"/>
        <v>0</v>
      </c>
      <c r="AD48">
        <f ca="1"/>
        <v>0</v>
      </c>
      <c r="AE48">
        <f ca="1"/>
        <v>0</v>
      </c>
      <c r="AF48">
        <f ca="1"/>
        <v>0</v>
      </c>
      <c r="AG48">
        <f ca="1"/>
        <v>0</v>
      </c>
      <c r="AH48">
        <f ca="1"/>
        <v>0</v>
      </c>
      <c r="AI48">
        <f ca="1"/>
        <v>0</v>
      </c>
      <c r="AJ48">
        <f ca="1"/>
        <v>0</v>
      </c>
      <c r="AK48">
        <f ca="1"/>
        <v>0</v>
      </c>
      <c r="AL48">
        <f ca="1"/>
        <v>0</v>
      </c>
      <c r="AM48">
        <f ca="1"/>
        <v>0</v>
      </c>
      <c r="AN48">
        <f ca="1"/>
        <v>0</v>
      </c>
      <c r="AO48">
        <f ca="1"/>
        <v>0</v>
      </c>
      <c r="AP48">
        <f ca="1"/>
        <v>0</v>
      </c>
      <c r="AQ48">
        <f ca="1"/>
        <v>0</v>
      </c>
      <c r="AR48">
        <f ca="1"/>
        <v>0</v>
      </c>
      <c r="AS48">
        <f ca="1"/>
        <v>0</v>
      </c>
      <c r="AT48">
        <f ca="1"/>
        <v>0</v>
      </c>
      <c r="AU48">
        <f ca="1"/>
        <v>0</v>
      </c>
      <c r="AV48">
        <f ca="1"/>
        <v>0</v>
      </c>
      <c r="AW48">
        <f ca="1"/>
        <v>0</v>
      </c>
      <c r="AX48">
        <f ca="1"/>
        <v>0</v>
      </c>
      <c r="AY48">
        <f ca="1"/>
        <v>0</v>
      </c>
      <c r="AZ48">
        <f ca="1"/>
        <v>0</v>
      </c>
      <c r="BA48">
        <f ca="1"/>
        <v>0</v>
      </c>
      <c r="BB48">
        <f ca="1"/>
        <v>0</v>
      </c>
      <c r="BC48">
        <f ca="1"/>
        <v>0</v>
      </c>
      <c r="BD48">
        <f ca="1"/>
        <v>0</v>
      </c>
      <c r="BE48">
        <f ca="1"/>
        <v>0</v>
      </c>
      <c r="BF48">
        <f ca="1"/>
        <v>0</v>
      </c>
    </row>
    <row r="49" spans="16:58">
      <c r="P49">
        <f ca="1"/>
        <v>0</v>
      </c>
      <c r="Q49">
        <f ca="1"/>
        <v>0</v>
      </c>
      <c r="R49">
        <f ca="1"/>
        <v>0</v>
      </c>
      <c r="S49">
        <f ca="1"/>
        <v>0</v>
      </c>
      <c r="T49">
        <f ca="1"/>
        <v>0</v>
      </c>
      <c r="U49">
        <f ca="1"/>
        <v>0</v>
      </c>
      <c r="V49">
        <f ca="1"/>
        <v>0</v>
      </c>
      <c r="W49">
        <f ca="1"/>
        <v>0</v>
      </c>
      <c r="X49">
        <f ca="1"/>
        <v>0</v>
      </c>
      <c r="Y49">
        <f ca="1"/>
        <v>0</v>
      </c>
      <c r="Z49">
        <f ca="1"/>
        <v>0</v>
      </c>
      <c r="AA49">
        <f ca="1"/>
        <v>0</v>
      </c>
      <c r="AB49">
        <f ca="1"/>
        <v>0</v>
      </c>
      <c r="AC49">
        <f ca="1"/>
        <v>0</v>
      </c>
      <c r="AD49">
        <f ca="1"/>
        <v>0</v>
      </c>
      <c r="AE49">
        <f ca="1"/>
        <v>0</v>
      </c>
      <c r="AF49">
        <f ca="1"/>
        <v>0</v>
      </c>
      <c r="AG49">
        <f ca="1"/>
        <v>0</v>
      </c>
      <c r="AH49">
        <f ca="1"/>
        <v>0</v>
      </c>
      <c r="AI49">
        <f ca="1"/>
        <v>0</v>
      </c>
      <c r="AJ49">
        <f ca="1"/>
        <v>0</v>
      </c>
      <c r="AK49">
        <f ca="1"/>
        <v>0</v>
      </c>
      <c r="AL49">
        <f ca="1"/>
        <v>0</v>
      </c>
      <c r="AM49">
        <f ca="1"/>
        <v>0</v>
      </c>
      <c r="AN49">
        <f ca="1"/>
        <v>0</v>
      </c>
      <c r="AO49">
        <f ca="1"/>
        <v>0</v>
      </c>
      <c r="AP49">
        <f ca="1"/>
        <v>0</v>
      </c>
      <c r="AQ49">
        <f ca="1"/>
        <v>0</v>
      </c>
      <c r="AR49">
        <f ca="1"/>
        <v>0</v>
      </c>
      <c r="AS49">
        <f ca="1"/>
        <v>0</v>
      </c>
      <c r="AT49">
        <f ca="1"/>
        <v>0</v>
      </c>
      <c r="AU49">
        <f ca="1"/>
        <v>0</v>
      </c>
      <c r="AV49">
        <f ca="1"/>
        <v>0</v>
      </c>
      <c r="AW49">
        <f ca="1"/>
        <v>0</v>
      </c>
      <c r="AX49">
        <f ca="1"/>
        <v>0</v>
      </c>
      <c r="AY49">
        <f ca="1"/>
        <v>0</v>
      </c>
      <c r="AZ49">
        <f ca="1"/>
        <v>0</v>
      </c>
      <c r="BA49">
        <f ca="1"/>
        <v>0</v>
      </c>
      <c r="BB49">
        <f ca="1"/>
        <v>0</v>
      </c>
      <c r="BC49">
        <f ca="1"/>
        <v>0</v>
      </c>
      <c r="BD49">
        <f ca="1"/>
        <v>0</v>
      </c>
      <c r="BE49">
        <f ca="1"/>
        <v>0</v>
      </c>
      <c r="BF49">
        <f ca="1"/>
        <v>0</v>
      </c>
    </row>
    <row r="50" spans="16:58">
      <c r="P50">
        <f ca="1"/>
        <v>0</v>
      </c>
      <c r="Q50">
        <f ca="1"/>
        <v>0</v>
      </c>
      <c r="R50">
        <f ca="1"/>
        <v>0</v>
      </c>
      <c r="S50">
        <f ca="1"/>
        <v>0</v>
      </c>
      <c r="T50">
        <f ca="1"/>
        <v>0</v>
      </c>
      <c r="U50">
        <f ca="1"/>
        <v>0</v>
      </c>
      <c r="V50">
        <f ca="1"/>
        <v>0</v>
      </c>
      <c r="W50">
        <f ca="1"/>
        <v>0</v>
      </c>
      <c r="X50">
        <f ca="1"/>
        <v>0</v>
      </c>
      <c r="Y50">
        <f ca="1"/>
        <v>0</v>
      </c>
      <c r="Z50">
        <f ca="1"/>
        <v>0</v>
      </c>
      <c r="AA50">
        <f ca="1"/>
        <v>0</v>
      </c>
      <c r="AB50">
        <f ca="1"/>
        <v>0</v>
      </c>
      <c r="AC50">
        <f ca="1"/>
        <v>0</v>
      </c>
      <c r="AD50">
        <f ca="1"/>
        <v>0</v>
      </c>
      <c r="AE50">
        <f ca="1"/>
        <v>0</v>
      </c>
      <c r="AF50">
        <f ca="1"/>
        <v>0</v>
      </c>
      <c r="AG50">
        <f ca="1"/>
        <v>0</v>
      </c>
      <c r="AH50">
        <f ca="1"/>
        <v>0</v>
      </c>
      <c r="AI50">
        <f ca="1"/>
        <v>0</v>
      </c>
      <c r="AJ50">
        <f ca="1"/>
        <v>0</v>
      </c>
      <c r="AK50">
        <f ca="1"/>
        <v>0</v>
      </c>
      <c r="AL50">
        <f ca="1"/>
        <v>0</v>
      </c>
      <c r="AM50">
        <f ca="1"/>
        <v>0</v>
      </c>
      <c r="AN50">
        <f ca="1"/>
        <v>0</v>
      </c>
      <c r="AO50">
        <f ca="1"/>
        <v>0</v>
      </c>
      <c r="AP50">
        <f ca="1"/>
        <v>0</v>
      </c>
      <c r="AQ50">
        <f ca="1"/>
        <v>0</v>
      </c>
      <c r="AR50">
        <f ca="1"/>
        <v>0</v>
      </c>
      <c r="AS50">
        <f ca="1"/>
        <v>0</v>
      </c>
      <c r="AT50">
        <f ca="1"/>
        <v>0</v>
      </c>
      <c r="AU50">
        <f ca="1"/>
        <v>0</v>
      </c>
      <c r="AV50">
        <f ca="1"/>
        <v>0</v>
      </c>
      <c r="AW50">
        <f ca="1"/>
        <v>0</v>
      </c>
      <c r="AX50">
        <f ca="1"/>
        <v>0</v>
      </c>
      <c r="AY50">
        <f ca="1"/>
        <v>0</v>
      </c>
      <c r="AZ50">
        <f ca="1"/>
        <v>0</v>
      </c>
      <c r="BA50">
        <f ca="1"/>
        <v>0</v>
      </c>
      <c r="BB50">
        <f ca="1"/>
        <v>0</v>
      </c>
      <c r="BC50">
        <f ca="1"/>
        <v>0</v>
      </c>
      <c r="BD50">
        <f ca="1"/>
        <v>0</v>
      </c>
      <c r="BE50">
        <f ca="1"/>
        <v>0</v>
      </c>
      <c r="BF50">
        <f ca="1"/>
        <v>0</v>
      </c>
    </row>
    <row r="51" spans="16:58">
      <c r="P51">
        <f ca="1"/>
        <v>0</v>
      </c>
      <c r="Q51">
        <f ca="1"/>
        <v>0</v>
      </c>
      <c r="R51">
        <f ca="1"/>
        <v>0</v>
      </c>
      <c r="S51">
        <f ca="1"/>
        <v>0</v>
      </c>
      <c r="T51">
        <f ca="1"/>
        <v>0</v>
      </c>
      <c r="U51">
        <f ca="1"/>
        <v>0</v>
      </c>
      <c r="V51">
        <f ca="1"/>
        <v>0</v>
      </c>
      <c r="W51">
        <f ca="1"/>
        <v>0</v>
      </c>
      <c r="X51">
        <f ca="1"/>
        <v>0</v>
      </c>
      <c r="Y51">
        <f ca="1"/>
        <v>0</v>
      </c>
      <c r="Z51">
        <f ca="1"/>
        <v>0</v>
      </c>
      <c r="AA51">
        <f ca="1"/>
        <v>0</v>
      </c>
      <c r="AB51">
        <f ca="1"/>
        <v>0</v>
      </c>
      <c r="AC51">
        <f ca="1"/>
        <v>0</v>
      </c>
      <c r="AD51">
        <f ca="1"/>
        <v>0</v>
      </c>
      <c r="AE51">
        <f ca="1"/>
        <v>0</v>
      </c>
      <c r="AF51">
        <f ca="1"/>
        <v>0</v>
      </c>
      <c r="AG51">
        <f ca="1"/>
        <v>0</v>
      </c>
      <c r="AH51">
        <f ca="1"/>
        <v>0</v>
      </c>
      <c r="AI51">
        <f ca="1"/>
        <v>0</v>
      </c>
      <c r="AJ51">
        <f ca="1"/>
        <v>0</v>
      </c>
      <c r="AK51">
        <f ca="1"/>
        <v>0</v>
      </c>
      <c r="AL51">
        <f ca="1"/>
        <v>0</v>
      </c>
      <c r="AM51">
        <f ca="1"/>
        <v>0</v>
      </c>
      <c r="AN51">
        <f ca="1"/>
        <v>0</v>
      </c>
      <c r="AO51">
        <f ca="1"/>
        <v>0</v>
      </c>
      <c r="AP51">
        <f ca="1"/>
        <v>0</v>
      </c>
      <c r="AQ51">
        <f ca="1"/>
        <v>0</v>
      </c>
      <c r="AR51">
        <f ca="1"/>
        <v>0</v>
      </c>
      <c r="AS51">
        <f ca="1"/>
        <v>0</v>
      </c>
      <c r="AT51">
        <f ca="1"/>
        <v>0</v>
      </c>
      <c r="AU51">
        <f ca="1"/>
        <v>0</v>
      </c>
      <c r="AV51">
        <f ca="1"/>
        <v>0</v>
      </c>
      <c r="AW51">
        <f ca="1"/>
        <v>0</v>
      </c>
      <c r="AX51">
        <f ca="1"/>
        <v>0</v>
      </c>
      <c r="AY51">
        <f ca="1"/>
        <v>0</v>
      </c>
      <c r="AZ51">
        <f ca="1"/>
        <v>0</v>
      </c>
      <c r="BA51">
        <f ca="1"/>
        <v>0</v>
      </c>
      <c r="BB51">
        <f ca="1"/>
        <v>0</v>
      </c>
      <c r="BC51">
        <f ca="1"/>
        <v>0</v>
      </c>
      <c r="BD51">
        <f ca="1"/>
        <v>0</v>
      </c>
      <c r="BE51">
        <f ca="1"/>
        <v>0</v>
      </c>
      <c r="BF51">
        <f ca="1"/>
        <v>0</v>
      </c>
    </row>
    <row r="52" spans="16:58">
      <c r="P52">
        <f ca="1"/>
        <v>0</v>
      </c>
      <c r="Q52">
        <f ca="1"/>
        <v>0</v>
      </c>
      <c r="R52">
        <f ca="1"/>
        <v>0</v>
      </c>
      <c r="S52">
        <f ca="1"/>
        <v>0</v>
      </c>
      <c r="T52">
        <f ca="1"/>
        <v>0</v>
      </c>
      <c r="U52">
        <f ca="1"/>
        <v>0</v>
      </c>
      <c r="V52">
        <f ca="1"/>
        <v>0</v>
      </c>
      <c r="W52">
        <f ca="1"/>
        <v>0</v>
      </c>
      <c r="X52">
        <f ca="1"/>
        <v>0</v>
      </c>
      <c r="Y52">
        <f ca="1"/>
        <v>0</v>
      </c>
      <c r="Z52">
        <f ca="1"/>
        <v>0</v>
      </c>
      <c r="AA52">
        <f ca="1"/>
        <v>0</v>
      </c>
      <c r="AB52">
        <f ca="1"/>
        <v>0</v>
      </c>
      <c r="AC52">
        <f ca="1"/>
        <v>0</v>
      </c>
      <c r="AD52">
        <f ca="1"/>
        <v>0</v>
      </c>
      <c r="AE52">
        <f ca="1"/>
        <v>0</v>
      </c>
      <c r="AF52">
        <f ca="1"/>
        <v>0</v>
      </c>
      <c r="AG52">
        <f ca="1"/>
        <v>0</v>
      </c>
      <c r="AH52">
        <f ca="1"/>
        <v>0</v>
      </c>
      <c r="AI52">
        <f ca="1"/>
        <v>0</v>
      </c>
      <c r="AJ52">
        <f ca="1"/>
        <v>0</v>
      </c>
      <c r="AK52">
        <f ca="1"/>
        <v>0</v>
      </c>
      <c r="AL52">
        <f ca="1"/>
        <v>0</v>
      </c>
      <c r="AM52">
        <f ca="1"/>
        <v>0</v>
      </c>
      <c r="AN52">
        <f ca="1"/>
        <v>0</v>
      </c>
      <c r="AO52">
        <f ca="1"/>
        <v>0</v>
      </c>
      <c r="AP52">
        <f ca="1"/>
        <v>0</v>
      </c>
      <c r="AQ52">
        <f ca="1"/>
        <v>0</v>
      </c>
      <c r="AR52">
        <f ca="1"/>
        <v>0</v>
      </c>
      <c r="AS52">
        <f ca="1"/>
        <v>0</v>
      </c>
      <c r="AT52">
        <f ca="1"/>
        <v>0</v>
      </c>
      <c r="AU52">
        <f ca="1"/>
        <v>0</v>
      </c>
      <c r="AV52">
        <f ca="1"/>
        <v>0</v>
      </c>
      <c r="AW52">
        <f ca="1"/>
        <v>0</v>
      </c>
      <c r="AX52">
        <f ca="1"/>
        <v>0</v>
      </c>
      <c r="AY52">
        <f ca="1"/>
        <v>0</v>
      </c>
      <c r="AZ52">
        <f ca="1"/>
        <v>0</v>
      </c>
      <c r="BA52">
        <f ca="1"/>
        <v>0</v>
      </c>
      <c r="BB52">
        <f ca="1"/>
        <v>0</v>
      </c>
      <c r="BC52">
        <f ca="1"/>
        <v>0</v>
      </c>
      <c r="BD52">
        <f ca="1"/>
        <v>0</v>
      </c>
      <c r="BE52">
        <f ca="1"/>
        <v>0</v>
      </c>
      <c r="BF52">
        <f ca="1"/>
        <v>0</v>
      </c>
    </row>
    <row r="53" spans="16:58">
      <c r="P53">
        <f ca="1"/>
        <v>0</v>
      </c>
      <c r="Q53">
        <f ca="1"/>
        <v>0</v>
      </c>
      <c r="R53">
        <f ca="1"/>
        <v>0</v>
      </c>
      <c r="S53">
        <f ca="1"/>
        <v>0</v>
      </c>
      <c r="T53">
        <f ca="1"/>
        <v>0</v>
      </c>
      <c r="U53">
        <f ca="1"/>
        <v>0</v>
      </c>
      <c r="V53">
        <f ca="1"/>
        <v>0</v>
      </c>
      <c r="W53">
        <f ca="1"/>
        <v>0</v>
      </c>
      <c r="X53">
        <f ca="1"/>
        <v>0</v>
      </c>
      <c r="Y53">
        <f ca="1"/>
        <v>0</v>
      </c>
      <c r="Z53">
        <f ca="1"/>
        <v>0</v>
      </c>
      <c r="AA53">
        <f ca="1"/>
        <v>0</v>
      </c>
      <c r="AB53">
        <f ca="1"/>
        <v>0</v>
      </c>
      <c r="AC53">
        <f ca="1"/>
        <v>0</v>
      </c>
      <c r="AD53">
        <f ca="1"/>
        <v>0</v>
      </c>
      <c r="AE53">
        <f ca="1"/>
        <v>0</v>
      </c>
      <c r="AF53">
        <f ca="1"/>
        <v>0</v>
      </c>
      <c r="AG53">
        <f ca="1"/>
        <v>0</v>
      </c>
      <c r="AH53">
        <f ca="1"/>
        <v>0</v>
      </c>
      <c r="AI53">
        <f ca="1"/>
        <v>0</v>
      </c>
      <c r="AJ53">
        <f ca="1"/>
        <v>0</v>
      </c>
      <c r="AK53">
        <f ca="1"/>
        <v>0</v>
      </c>
      <c r="AL53">
        <f ca="1"/>
        <v>0</v>
      </c>
      <c r="AM53">
        <f ca="1"/>
        <v>0</v>
      </c>
      <c r="AN53">
        <f ca="1"/>
        <v>0</v>
      </c>
      <c r="AO53">
        <f ca="1"/>
        <v>0</v>
      </c>
      <c r="AP53">
        <f ca="1"/>
        <v>0</v>
      </c>
      <c r="AQ53">
        <f ca="1"/>
        <v>0</v>
      </c>
      <c r="AR53">
        <f ca="1"/>
        <v>0</v>
      </c>
      <c r="AS53">
        <f ca="1"/>
        <v>0</v>
      </c>
      <c r="AT53">
        <f ca="1"/>
        <v>0</v>
      </c>
      <c r="AU53">
        <f ca="1"/>
        <v>0</v>
      </c>
      <c r="AV53">
        <f ca="1"/>
        <v>0</v>
      </c>
      <c r="AW53">
        <f ca="1"/>
        <v>0</v>
      </c>
      <c r="AX53">
        <f ca="1"/>
        <v>0</v>
      </c>
      <c r="AY53">
        <f ca="1"/>
        <v>0</v>
      </c>
      <c r="AZ53">
        <f ca="1"/>
        <v>0</v>
      </c>
      <c r="BA53">
        <f ca="1"/>
        <v>0</v>
      </c>
      <c r="BB53">
        <f ca="1"/>
        <v>0</v>
      </c>
      <c r="BC53">
        <f ca="1"/>
        <v>0</v>
      </c>
      <c r="BD53">
        <f ca="1"/>
        <v>0</v>
      </c>
      <c r="BE53">
        <f ca="1"/>
        <v>0</v>
      </c>
      <c r="BF53">
        <f ca="1"/>
        <v>0</v>
      </c>
    </row>
    <row r="54" spans="16:58">
      <c r="P54">
        <f ca="1"/>
        <v>0</v>
      </c>
      <c r="Q54">
        <f ca="1"/>
        <v>0</v>
      </c>
      <c r="R54">
        <f ca="1"/>
        <v>0</v>
      </c>
      <c r="S54">
        <f ca="1"/>
        <v>0</v>
      </c>
      <c r="T54">
        <f ca="1"/>
        <v>0</v>
      </c>
      <c r="U54">
        <f ca="1"/>
        <v>0</v>
      </c>
      <c r="V54">
        <f ca="1"/>
        <v>0</v>
      </c>
      <c r="W54">
        <f ca="1"/>
        <v>0</v>
      </c>
      <c r="X54">
        <f ca="1"/>
        <v>0</v>
      </c>
      <c r="Y54">
        <f ca="1"/>
        <v>0</v>
      </c>
      <c r="Z54">
        <f ca="1"/>
        <v>0</v>
      </c>
      <c r="AA54">
        <f ca="1"/>
        <v>0</v>
      </c>
      <c r="AB54">
        <f ca="1"/>
        <v>0</v>
      </c>
      <c r="AC54">
        <f ca="1"/>
        <v>0</v>
      </c>
      <c r="AD54">
        <f ca="1"/>
        <v>0</v>
      </c>
      <c r="AE54">
        <f ca="1"/>
        <v>0</v>
      </c>
      <c r="AF54">
        <f ca="1"/>
        <v>0</v>
      </c>
      <c r="AG54">
        <f ca="1"/>
        <v>0</v>
      </c>
      <c r="AH54">
        <f ca="1"/>
        <v>0</v>
      </c>
      <c r="AI54">
        <f ca="1"/>
        <v>0</v>
      </c>
      <c r="AJ54">
        <f ca="1"/>
        <v>0</v>
      </c>
      <c r="AK54">
        <f ca="1"/>
        <v>0</v>
      </c>
      <c r="AL54">
        <f ca="1"/>
        <v>0</v>
      </c>
      <c r="AM54">
        <f ca="1"/>
        <v>0</v>
      </c>
      <c r="AN54">
        <f ca="1"/>
        <v>0</v>
      </c>
      <c r="AO54">
        <f ca="1"/>
        <v>0</v>
      </c>
      <c r="AP54">
        <f ca="1"/>
        <v>0</v>
      </c>
      <c r="AQ54">
        <f ca="1"/>
        <v>0</v>
      </c>
      <c r="AR54">
        <f ca="1"/>
        <v>0</v>
      </c>
      <c r="AS54">
        <f ca="1"/>
        <v>0</v>
      </c>
      <c r="AT54">
        <f ca="1"/>
        <v>0</v>
      </c>
      <c r="AU54">
        <f ca="1"/>
        <v>0</v>
      </c>
      <c r="AV54">
        <f ca="1"/>
        <v>0</v>
      </c>
      <c r="AW54">
        <f ca="1"/>
        <v>0</v>
      </c>
      <c r="AX54">
        <f ca="1"/>
        <v>0</v>
      </c>
      <c r="AY54">
        <f ca="1"/>
        <v>0</v>
      </c>
      <c r="AZ54">
        <f ca="1"/>
        <v>0</v>
      </c>
      <c r="BA54">
        <f ca="1"/>
        <v>0</v>
      </c>
      <c r="BB54">
        <f ca="1"/>
        <v>0</v>
      </c>
      <c r="BC54">
        <f ca="1"/>
        <v>0</v>
      </c>
      <c r="BD54">
        <f ca="1"/>
        <v>0</v>
      </c>
      <c r="BE54">
        <f ca="1"/>
        <v>0</v>
      </c>
      <c r="BF54">
        <f ca="1"/>
        <v>0</v>
      </c>
    </row>
    <row r="55" spans="16:58">
      <c r="P55">
        <f ca="1"/>
        <v>0</v>
      </c>
      <c r="Q55">
        <f ca="1"/>
        <v>0</v>
      </c>
      <c r="R55">
        <f ca="1"/>
        <v>0</v>
      </c>
      <c r="S55">
        <f ca="1"/>
        <v>0</v>
      </c>
      <c r="T55">
        <f ca="1"/>
        <v>0</v>
      </c>
      <c r="U55">
        <f ca="1"/>
        <v>0</v>
      </c>
      <c r="V55">
        <f ca="1"/>
        <v>0</v>
      </c>
      <c r="W55">
        <f ca="1"/>
        <v>0</v>
      </c>
      <c r="X55">
        <f ca="1"/>
        <v>0</v>
      </c>
      <c r="Y55">
        <f ca="1"/>
        <v>0</v>
      </c>
      <c r="Z55">
        <f ca="1"/>
        <v>0</v>
      </c>
      <c r="AA55">
        <f ca="1"/>
        <v>0</v>
      </c>
      <c r="AB55">
        <f ca="1"/>
        <v>0</v>
      </c>
      <c r="AC55">
        <f ca="1"/>
        <v>0</v>
      </c>
      <c r="AD55">
        <f ca="1"/>
        <v>0</v>
      </c>
      <c r="AE55">
        <f ca="1"/>
        <v>0</v>
      </c>
      <c r="AF55">
        <f ca="1"/>
        <v>0</v>
      </c>
      <c r="AG55">
        <f ca="1"/>
        <v>0</v>
      </c>
      <c r="AH55">
        <f ca="1"/>
        <v>0</v>
      </c>
      <c r="AI55">
        <f ca="1"/>
        <v>0</v>
      </c>
      <c r="AJ55">
        <f ca="1"/>
        <v>0</v>
      </c>
      <c r="AK55">
        <f ca="1"/>
        <v>0</v>
      </c>
      <c r="AL55">
        <f ca="1"/>
        <v>0</v>
      </c>
      <c r="AM55">
        <f ca="1"/>
        <v>0</v>
      </c>
      <c r="AN55">
        <f ca="1"/>
        <v>0</v>
      </c>
      <c r="AO55">
        <f ca="1"/>
        <v>0</v>
      </c>
      <c r="AP55">
        <f ca="1"/>
        <v>0</v>
      </c>
      <c r="AQ55">
        <f ca="1"/>
        <v>0</v>
      </c>
      <c r="AR55">
        <f ca="1"/>
        <v>0</v>
      </c>
      <c r="AS55">
        <f ca="1"/>
        <v>0</v>
      </c>
      <c r="AT55">
        <f ca="1"/>
        <v>0</v>
      </c>
      <c r="AU55">
        <f ca="1"/>
        <v>0</v>
      </c>
      <c r="AV55">
        <f ca="1"/>
        <v>0</v>
      </c>
      <c r="AW55">
        <f ca="1"/>
        <v>0</v>
      </c>
      <c r="AX55">
        <f ca="1"/>
        <v>0</v>
      </c>
      <c r="AY55">
        <f ca="1"/>
        <v>0</v>
      </c>
      <c r="AZ55">
        <f ca="1"/>
        <v>0</v>
      </c>
      <c r="BA55">
        <f ca="1"/>
        <v>0</v>
      </c>
      <c r="BB55">
        <f ca="1"/>
        <v>0</v>
      </c>
      <c r="BC55">
        <f ca="1"/>
        <v>0</v>
      </c>
      <c r="BD55">
        <f ca="1"/>
        <v>0</v>
      </c>
      <c r="BE55">
        <f ca="1"/>
        <v>0</v>
      </c>
      <c r="BF55">
        <f ca="1"/>
        <v>0</v>
      </c>
    </row>
    <row r="56" spans="16:58">
      <c r="P56">
        <f ca="1"/>
        <v>0</v>
      </c>
      <c r="Q56">
        <f ca="1"/>
        <v>0</v>
      </c>
      <c r="R56">
        <f ca="1"/>
        <v>0</v>
      </c>
      <c r="S56">
        <f ca="1"/>
        <v>0</v>
      </c>
      <c r="T56">
        <f ca="1"/>
        <v>0</v>
      </c>
      <c r="U56">
        <f ca="1"/>
        <v>0</v>
      </c>
      <c r="V56">
        <f ca="1"/>
        <v>0</v>
      </c>
      <c r="W56">
        <f ca="1"/>
        <v>0</v>
      </c>
      <c r="X56">
        <f ca="1"/>
        <v>0</v>
      </c>
      <c r="Y56">
        <f ca="1"/>
        <v>0</v>
      </c>
      <c r="Z56">
        <f ca="1"/>
        <v>0</v>
      </c>
      <c r="AA56">
        <f ca="1"/>
        <v>0</v>
      </c>
      <c r="AB56">
        <f ca="1"/>
        <v>0</v>
      </c>
      <c r="AC56">
        <f ca="1"/>
        <v>0</v>
      </c>
      <c r="AD56">
        <f ca="1"/>
        <v>0</v>
      </c>
      <c r="AE56">
        <f ca="1"/>
        <v>0</v>
      </c>
      <c r="AF56">
        <f ca="1"/>
        <v>0</v>
      </c>
      <c r="AG56">
        <f ca="1"/>
        <v>0</v>
      </c>
      <c r="AH56">
        <f ca="1"/>
        <v>0</v>
      </c>
      <c r="AI56">
        <f ca="1"/>
        <v>0</v>
      </c>
      <c r="AJ56">
        <f ca="1"/>
        <v>0</v>
      </c>
      <c r="AK56">
        <f ca="1"/>
        <v>0</v>
      </c>
      <c r="AL56">
        <f ca="1"/>
        <v>0</v>
      </c>
      <c r="AM56">
        <f ca="1"/>
        <v>0</v>
      </c>
      <c r="AN56">
        <f ca="1"/>
        <v>0</v>
      </c>
      <c r="AO56">
        <f ca="1"/>
        <v>0</v>
      </c>
      <c r="AP56">
        <f ca="1"/>
        <v>0</v>
      </c>
      <c r="AQ56">
        <f ca="1"/>
        <v>0</v>
      </c>
      <c r="AR56">
        <f ca="1"/>
        <v>0</v>
      </c>
      <c r="AS56">
        <f ca="1"/>
        <v>0</v>
      </c>
      <c r="AT56">
        <f ca="1"/>
        <v>0</v>
      </c>
      <c r="AU56">
        <f ca="1"/>
        <v>0</v>
      </c>
      <c r="AV56">
        <f ca="1"/>
        <v>0</v>
      </c>
      <c r="AW56">
        <f ca="1"/>
        <v>0</v>
      </c>
      <c r="AX56">
        <f ca="1"/>
        <v>0</v>
      </c>
      <c r="AY56">
        <f ca="1"/>
        <v>0</v>
      </c>
      <c r="AZ56">
        <f ca="1"/>
        <v>0</v>
      </c>
      <c r="BA56">
        <f ca="1"/>
        <v>0</v>
      </c>
      <c r="BB56">
        <f ca="1"/>
        <v>0</v>
      </c>
      <c r="BC56">
        <f ca="1"/>
        <v>0</v>
      </c>
      <c r="BD56">
        <f ca="1"/>
        <v>0</v>
      </c>
      <c r="BE56">
        <f ca="1"/>
        <v>0</v>
      </c>
      <c r="BF56">
        <f ca="1"/>
        <v>0</v>
      </c>
    </row>
    <row r="57" spans="16:58">
      <c r="P57">
        <f ca="1"/>
        <v>0</v>
      </c>
      <c r="Q57">
        <f ca="1"/>
        <v>0</v>
      </c>
      <c r="R57">
        <f ca="1"/>
        <v>0</v>
      </c>
      <c r="S57">
        <f ca="1"/>
        <v>0</v>
      </c>
      <c r="T57">
        <f ca="1"/>
        <v>0</v>
      </c>
      <c r="U57">
        <f ca="1"/>
        <v>0</v>
      </c>
      <c r="V57">
        <f ca="1"/>
        <v>0</v>
      </c>
      <c r="W57">
        <f ca="1"/>
        <v>0</v>
      </c>
      <c r="X57">
        <f ca="1"/>
        <v>0</v>
      </c>
      <c r="Y57">
        <f ca="1"/>
        <v>0</v>
      </c>
      <c r="Z57">
        <f ca="1"/>
        <v>0</v>
      </c>
      <c r="AA57">
        <f ca="1"/>
        <v>0</v>
      </c>
      <c r="AB57">
        <f ca="1"/>
        <v>0</v>
      </c>
      <c r="AC57">
        <f ca="1"/>
        <v>0</v>
      </c>
      <c r="AD57">
        <f ca="1"/>
        <v>0</v>
      </c>
      <c r="AE57">
        <f ca="1"/>
        <v>0</v>
      </c>
      <c r="AF57">
        <f ca="1"/>
        <v>0</v>
      </c>
      <c r="AG57">
        <f ca="1"/>
        <v>0</v>
      </c>
      <c r="AH57">
        <f ca="1"/>
        <v>0</v>
      </c>
      <c r="AI57">
        <f ca="1"/>
        <v>0</v>
      </c>
      <c r="AJ57">
        <f ca="1"/>
        <v>0</v>
      </c>
      <c r="AK57">
        <f ca="1"/>
        <v>0</v>
      </c>
      <c r="AL57">
        <f ca="1"/>
        <v>0</v>
      </c>
      <c r="AM57">
        <f ca="1"/>
        <v>0</v>
      </c>
      <c r="AN57">
        <f ca="1"/>
        <v>0</v>
      </c>
      <c r="AO57">
        <f ca="1"/>
        <v>0</v>
      </c>
      <c r="AP57">
        <f ca="1"/>
        <v>0</v>
      </c>
      <c r="AQ57">
        <f ca="1"/>
        <v>0</v>
      </c>
      <c r="AR57">
        <f ca="1"/>
        <v>0</v>
      </c>
      <c r="AS57">
        <f ca="1"/>
        <v>0</v>
      </c>
      <c r="AT57">
        <f ca="1"/>
        <v>0</v>
      </c>
      <c r="AU57">
        <f ca="1"/>
        <v>0</v>
      </c>
      <c r="AV57">
        <f ca="1"/>
        <v>0</v>
      </c>
      <c r="AW57">
        <f ca="1"/>
        <v>0</v>
      </c>
      <c r="AX57">
        <f ca="1"/>
        <v>0</v>
      </c>
      <c r="AY57">
        <f ca="1"/>
        <v>0</v>
      </c>
      <c r="AZ57">
        <f ca="1"/>
        <v>0</v>
      </c>
      <c r="BA57">
        <f ca="1"/>
        <v>0</v>
      </c>
      <c r="BB57">
        <f ca="1"/>
        <v>0</v>
      </c>
      <c r="BC57">
        <f ca="1"/>
        <v>0</v>
      </c>
      <c r="BD57">
        <f ca="1"/>
        <v>0</v>
      </c>
      <c r="BE57">
        <f ca="1"/>
        <v>0</v>
      </c>
      <c r="BF57">
        <f ca="1"/>
        <v>0</v>
      </c>
    </row>
    <row r="58" spans="16:58">
      <c r="P58">
        <f ca="1"/>
        <v>0</v>
      </c>
      <c r="Q58">
        <f ca="1"/>
        <v>0</v>
      </c>
      <c r="R58">
        <f ca="1"/>
        <v>0</v>
      </c>
      <c r="S58">
        <f ca="1"/>
        <v>0</v>
      </c>
      <c r="T58">
        <f ca="1"/>
        <v>0</v>
      </c>
      <c r="U58">
        <f ca="1"/>
        <v>0</v>
      </c>
      <c r="V58">
        <f ca="1"/>
        <v>0</v>
      </c>
      <c r="W58">
        <f ca="1"/>
        <v>0</v>
      </c>
      <c r="X58">
        <f ca="1"/>
        <v>0</v>
      </c>
      <c r="Y58">
        <f ca="1"/>
        <v>0</v>
      </c>
      <c r="Z58">
        <f ca="1"/>
        <v>0</v>
      </c>
      <c r="AA58">
        <f ca="1"/>
        <v>0</v>
      </c>
      <c r="AB58">
        <f ca="1"/>
        <v>0</v>
      </c>
      <c r="AC58">
        <f ca="1"/>
        <v>0</v>
      </c>
      <c r="AD58">
        <f ca="1"/>
        <v>0</v>
      </c>
      <c r="AE58">
        <f ca="1"/>
        <v>0</v>
      </c>
      <c r="AF58">
        <f ca="1"/>
        <v>0</v>
      </c>
      <c r="AG58">
        <f ca="1"/>
        <v>0</v>
      </c>
      <c r="AH58">
        <f ca="1"/>
        <v>0</v>
      </c>
      <c r="AI58">
        <f ca="1"/>
        <v>0</v>
      </c>
      <c r="AJ58">
        <f ca="1"/>
        <v>0</v>
      </c>
      <c r="AK58">
        <f ca="1"/>
        <v>0</v>
      </c>
      <c r="AL58">
        <f ca="1"/>
        <v>0</v>
      </c>
      <c r="AM58">
        <f ca="1"/>
        <v>0</v>
      </c>
      <c r="AN58">
        <f ca="1"/>
        <v>0</v>
      </c>
      <c r="AO58">
        <f ca="1"/>
        <v>0</v>
      </c>
      <c r="AP58">
        <f ca="1"/>
        <v>0</v>
      </c>
      <c r="AQ58">
        <f ca="1"/>
        <v>0</v>
      </c>
      <c r="AR58">
        <f ca="1"/>
        <v>0</v>
      </c>
      <c r="AS58">
        <f ca="1"/>
        <v>0</v>
      </c>
      <c r="AT58">
        <f ca="1"/>
        <v>0</v>
      </c>
      <c r="AU58">
        <f ca="1"/>
        <v>0</v>
      </c>
      <c r="AV58">
        <f ca="1"/>
        <v>0</v>
      </c>
      <c r="AW58">
        <f ca="1"/>
        <v>0</v>
      </c>
      <c r="AX58">
        <f ca="1"/>
        <v>0</v>
      </c>
      <c r="AY58">
        <f ca="1"/>
        <v>0</v>
      </c>
      <c r="AZ58">
        <f ca="1"/>
        <v>0</v>
      </c>
      <c r="BA58">
        <f ca="1"/>
        <v>0</v>
      </c>
      <c r="BB58">
        <f ca="1"/>
        <v>0</v>
      </c>
      <c r="BC58">
        <f ca="1"/>
        <v>0</v>
      </c>
      <c r="BD58">
        <f ca="1"/>
        <v>0</v>
      </c>
      <c r="BE58">
        <f ca="1"/>
        <v>0</v>
      </c>
      <c r="BF58">
        <f ca="1"/>
        <v>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FC02D-873A-A94F-AFD2-9953FEA883B0}">
  <sheetPr codeName="Feuil11"/>
  <dimension ref="A1:I1218"/>
  <sheetViews>
    <sheetView workbookViewId="0">
      <selection activeCell="B9" sqref="B9"/>
    </sheetView>
  </sheetViews>
  <sheetFormatPr baseColWidth="10" defaultColWidth="11" defaultRowHeight="16"/>
  <cols>
    <col min="1" max="1" width="4.33203125" customWidth="1"/>
    <col min="2" max="2" width="22.83203125" customWidth="1"/>
    <col min="3" max="3" width="26" customWidth="1"/>
    <col min="4" max="4" width="20.6640625" customWidth="1"/>
    <col min="5" max="5" width="18.83203125" customWidth="1"/>
    <col min="6" max="6" width="25.5" customWidth="1"/>
    <col min="7" max="7" width="23.5" customWidth="1"/>
    <col min="8" max="8" width="16" customWidth="1"/>
    <col min="9" max="9" width="14.1640625" customWidth="1"/>
    <col min="10" max="10" width="25.5" customWidth="1"/>
  </cols>
  <sheetData>
    <row r="1" spans="1:1">
      <c r="A1" t="s">
        <v>615</v>
      </c>
    </row>
    <row r="122" spans="1:9">
      <c r="A122">
        <v>3</v>
      </c>
      <c r="B122" t="s">
        <v>670</v>
      </c>
      <c r="C122" t="s">
        <v>416</v>
      </c>
      <c r="D122" t="s">
        <v>619</v>
      </c>
      <c r="E122">
        <v>135</v>
      </c>
      <c r="F122" t="s">
        <v>620</v>
      </c>
      <c r="H122" t="s">
        <v>621</v>
      </c>
      <c r="I122">
        <v>4.5286816504528683E-2</v>
      </c>
    </row>
    <row r="123" spans="1:9">
      <c r="A123">
        <v>4</v>
      </c>
      <c r="B123" t="s">
        <v>670</v>
      </c>
      <c r="C123" t="s">
        <v>416</v>
      </c>
      <c r="D123" t="s">
        <v>622</v>
      </c>
      <c r="E123" t="s">
        <v>124</v>
      </c>
      <c r="F123" t="s">
        <v>623</v>
      </c>
      <c r="G123">
        <v>4.5286816504528683E-2</v>
      </c>
      <c r="H123" t="s">
        <v>624</v>
      </c>
      <c r="I123">
        <v>4.5286816504528683E-2</v>
      </c>
    </row>
    <row r="124" spans="1:9">
      <c r="A124">
        <v>1</v>
      </c>
      <c r="B124" t="s">
        <v>625</v>
      </c>
      <c r="D124" t="s">
        <v>616</v>
      </c>
      <c r="E124">
        <v>1</v>
      </c>
      <c r="F124" t="s">
        <v>617</v>
      </c>
      <c r="G124">
        <v>16.8</v>
      </c>
    </row>
    <row r="125" spans="1:9">
      <c r="A125">
        <v>2</v>
      </c>
      <c r="B125" t="s">
        <v>625</v>
      </c>
      <c r="C125" t="s">
        <v>284</v>
      </c>
      <c r="D125" t="s">
        <v>618</v>
      </c>
      <c r="E125">
        <v>1</v>
      </c>
    </row>
    <row r="126" spans="1:9">
      <c r="A126">
        <v>3</v>
      </c>
      <c r="B126" t="s">
        <v>625</v>
      </c>
      <c r="C126" t="s">
        <v>284</v>
      </c>
      <c r="D126" t="s">
        <v>619</v>
      </c>
      <c r="E126">
        <v>16.8</v>
      </c>
      <c r="F126" t="s">
        <v>620</v>
      </c>
      <c r="H126" t="s">
        <v>621</v>
      </c>
      <c r="I126">
        <v>11.76</v>
      </c>
    </row>
    <row r="127" spans="1:9">
      <c r="A127">
        <v>4</v>
      </c>
      <c r="B127" t="s">
        <v>625</v>
      </c>
      <c r="C127" t="s">
        <v>284</v>
      </c>
      <c r="D127" t="s">
        <v>622</v>
      </c>
      <c r="E127" t="s">
        <v>151</v>
      </c>
      <c r="F127" t="s">
        <v>623</v>
      </c>
      <c r="G127">
        <v>11.76</v>
      </c>
      <c r="H127" t="s">
        <v>624</v>
      </c>
      <c r="I127">
        <v>11.76</v>
      </c>
    </row>
    <row r="128" spans="1:9">
      <c r="A128">
        <v>1</v>
      </c>
      <c r="B128" t="s">
        <v>625</v>
      </c>
      <c r="D128" t="s">
        <v>616</v>
      </c>
      <c r="E128">
        <v>2</v>
      </c>
      <c r="F128" t="s">
        <v>617</v>
      </c>
      <c r="G128">
        <v>16.8</v>
      </c>
    </row>
    <row r="129" spans="1:9">
      <c r="A129">
        <v>2</v>
      </c>
      <c r="B129" t="s">
        <v>625</v>
      </c>
      <c r="C129" t="s">
        <v>284</v>
      </c>
      <c r="D129" t="s">
        <v>618</v>
      </c>
      <c r="E129">
        <v>1</v>
      </c>
    </row>
    <row r="130" spans="1:9">
      <c r="A130">
        <v>3</v>
      </c>
      <c r="B130" t="s">
        <v>625</v>
      </c>
      <c r="C130" t="s">
        <v>284</v>
      </c>
      <c r="D130" t="s">
        <v>619</v>
      </c>
      <c r="E130">
        <v>16.8</v>
      </c>
      <c r="F130" t="s">
        <v>620</v>
      </c>
      <c r="H130" t="s">
        <v>621</v>
      </c>
      <c r="I130">
        <v>11.76</v>
      </c>
    </row>
    <row r="131" spans="1:9">
      <c r="A131">
        <v>4</v>
      </c>
      <c r="B131" t="s">
        <v>625</v>
      </c>
      <c r="C131" t="s">
        <v>284</v>
      </c>
      <c r="D131" t="s">
        <v>622</v>
      </c>
      <c r="E131" t="s">
        <v>151</v>
      </c>
      <c r="F131" t="s">
        <v>623</v>
      </c>
      <c r="G131">
        <v>11.76</v>
      </c>
      <c r="H131" t="s">
        <v>624</v>
      </c>
      <c r="I131">
        <v>11.76</v>
      </c>
    </row>
    <row r="132" spans="1:9">
      <c r="A132">
        <v>1</v>
      </c>
      <c r="B132" t="s">
        <v>626</v>
      </c>
      <c r="D132" t="s">
        <v>616</v>
      </c>
      <c r="E132">
        <v>1</v>
      </c>
      <c r="F132" t="s">
        <v>617</v>
      </c>
      <c r="G132">
        <v>21</v>
      </c>
    </row>
    <row r="133" spans="1:9">
      <c r="A133">
        <v>2</v>
      </c>
      <c r="B133" t="s">
        <v>626</v>
      </c>
      <c r="C133" t="s">
        <v>290</v>
      </c>
      <c r="D133" t="s">
        <v>618</v>
      </c>
      <c r="E133">
        <v>1</v>
      </c>
    </row>
    <row r="135" spans="1:9">
      <c r="A135">
        <v>4</v>
      </c>
      <c r="B135" t="s">
        <v>626</v>
      </c>
      <c r="C135" t="s">
        <v>290</v>
      </c>
      <c r="D135" t="s">
        <v>622</v>
      </c>
      <c r="E135" t="s">
        <v>151</v>
      </c>
      <c r="F135" t="s">
        <v>623</v>
      </c>
      <c r="G135">
        <v>14.7</v>
      </c>
      <c r="H135" t="s">
        <v>624</v>
      </c>
      <c r="I135">
        <v>26.46</v>
      </c>
    </row>
    <row r="136" spans="1:9">
      <c r="A136">
        <v>1</v>
      </c>
      <c r="B136" t="s">
        <v>626</v>
      </c>
      <c r="D136" t="s">
        <v>616</v>
      </c>
      <c r="E136">
        <v>2</v>
      </c>
      <c r="F136" t="s">
        <v>617</v>
      </c>
      <c r="G136">
        <v>21</v>
      </c>
    </row>
    <row r="137" spans="1:9">
      <c r="A137">
        <v>2</v>
      </c>
      <c r="B137" t="s">
        <v>626</v>
      </c>
      <c r="C137" t="s">
        <v>290</v>
      </c>
      <c r="D137" t="s">
        <v>618</v>
      </c>
      <c r="E137">
        <v>1</v>
      </c>
    </row>
    <row r="138" spans="1:9">
      <c r="A138">
        <v>3</v>
      </c>
      <c r="B138" t="s">
        <v>626</v>
      </c>
      <c r="C138" t="s">
        <v>290</v>
      </c>
      <c r="D138" t="s">
        <v>619</v>
      </c>
      <c r="E138">
        <v>21</v>
      </c>
      <c r="F138" t="s">
        <v>620</v>
      </c>
      <c r="H138" t="s">
        <v>621</v>
      </c>
      <c r="I138">
        <v>14.7</v>
      </c>
    </row>
    <row r="139" spans="1:9">
      <c r="A139">
        <v>4</v>
      </c>
      <c r="B139" t="s">
        <v>626</v>
      </c>
      <c r="C139" t="s">
        <v>290</v>
      </c>
      <c r="D139" t="s">
        <v>622</v>
      </c>
      <c r="E139" t="s">
        <v>151</v>
      </c>
      <c r="F139" t="s">
        <v>623</v>
      </c>
      <c r="G139">
        <v>14.7</v>
      </c>
      <c r="H139" t="s">
        <v>624</v>
      </c>
      <c r="I139">
        <v>26.46</v>
      </c>
    </row>
    <row r="140" spans="1:9">
      <c r="A140">
        <v>1</v>
      </c>
      <c r="B140" t="s">
        <v>769</v>
      </c>
      <c r="D140" t="s">
        <v>616</v>
      </c>
      <c r="E140">
        <v>1</v>
      </c>
      <c r="F140" t="s">
        <v>617</v>
      </c>
      <c r="G140">
        <v>21</v>
      </c>
    </row>
    <row r="142" spans="1:9">
      <c r="A142">
        <v>3</v>
      </c>
      <c r="B142" t="s">
        <v>769</v>
      </c>
      <c r="C142" t="s">
        <v>312</v>
      </c>
      <c r="D142" t="s">
        <v>619</v>
      </c>
      <c r="E142">
        <v>21</v>
      </c>
      <c r="F142" t="s">
        <v>620</v>
      </c>
      <c r="H142" t="s">
        <v>621</v>
      </c>
      <c r="I142">
        <v>1.3922651933701657</v>
      </c>
    </row>
    <row r="143" spans="1:9">
      <c r="A143">
        <v>4</v>
      </c>
      <c r="B143" t="s">
        <v>769</v>
      </c>
      <c r="C143" t="s">
        <v>312</v>
      </c>
      <c r="D143" t="s">
        <v>622</v>
      </c>
      <c r="E143" t="s">
        <v>221</v>
      </c>
      <c r="F143" t="s">
        <v>623</v>
      </c>
      <c r="G143">
        <v>1.3922651933701657</v>
      </c>
      <c r="H143" t="s">
        <v>624</v>
      </c>
      <c r="I143">
        <v>1.3922651933701657</v>
      </c>
    </row>
    <row r="144" spans="1:9">
      <c r="A144">
        <v>2</v>
      </c>
      <c r="B144" t="s">
        <v>769</v>
      </c>
      <c r="C144" t="s">
        <v>290</v>
      </c>
      <c r="D144" t="s">
        <v>618</v>
      </c>
      <c r="E144">
        <v>0.11049723756906077</v>
      </c>
    </row>
    <row r="145" spans="1:9">
      <c r="A145">
        <v>3</v>
      </c>
      <c r="B145" t="s">
        <v>769</v>
      </c>
      <c r="C145" t="s">
        <v>290</v>
      </c>
      <c r="D145" t="s">
        <v>619</v>
      </c>
      <c r="E145">
        <v>21</v>
      </c>
      <c r="F145" t="s">
        <v>620</v>
      </c>
      <c r="H145" t="s">
        <v>621</v>
      </c>
      <c r="I145">
        <v>1.6243093922651932</v>
      </c>
    </row>
    <row r="146" spans="1:9">
      <c r="A146">
        <v>4</v>
      </c>
      <c r="B146" t="s">
        <v>769</v>
      </c>
      <c r="C146" t="s">
        <v>290</v>
      </c>
      <c r="D146" t="s">
        <v>622</v>
      </c>
      <c r="E146" t="s">
        <v>151</v>
      </c>
      <c r="F146" t="s">
        <v>623</v>
      </c>
      <c r="G146">
        <v>1.6243093922651932</v>
      </c>
      <c r="H146" t="s">
        <v>624</v>
      </c>
      <c r="I146">
        <v>28.084309392265194</v>
      </c>
    </row>
    <row r="147" spans="1:9">
      <c r="A147">
        <v>2</v>
      </c>
      <c r="B147" t="s">
        <v>769</v>
      </c>
      <c r="C147" t="s">
        <v>326</v>
      </c>
      <c r="D147" t="s">
        <v>618</v>
      </c>
      <c r="E147">
        <v>0.11049723756906077</v>
      </c>
    </row>
    <row r="148" spans="1:9">
      <c r="A148">
        <v>3</v>
      </c>
      <c r="B148" t="s">
        <v>769</v>
      </c>
      <c r="C148" t="s">
        <v>326</v>
      </c>
      <c r="D148" t="s">
        <v>619</v>
      </c>
      <c r="E148">
        <v>21</v>
      </c>
      <c r="F148" t="s">
        <v>620</v>
      </c>
      <c r="H148" t="s">
        <v>621</v>
      </c>
      <c r="I148">
        <v>0.46408839779005523</v>
      </c>
    </row>
    <row r="149" spans="1:9">
      <c r="A149">
        <v>4</v>
      </c>
      <c r="B149" t="s">
        <v>769</v>
      </c>
      <c r="C149" t="s">
        <v>326</v>
      </c>
      <c r="D149" t="s">
        <v>622</v>
      </c>
      <c r="E149" t="s">
        <v>219</v>
      </c>
      <c r="F149" t="s">
        <v>623</v>
      </c>
      <c r="G149">
        <v>0.46408839779005523</v>
      </c>
      <c r="H149" t="s">
        <v>624</v>
      </c>
      <c r="I149">
        <v>0.46408839779005523</v>
      </c>
    </row>
    <row r="150" spans="1:9">
      <c r="A150">
        <v>2</v>
      </c>
      <c r="B150" t="s">
        <v>769</v>
      </c>
      <c r="C150" t="s">
        <v>305</v>
      </c>
      <c r="D150" t="s">
        <v>618</v>
      </c>
      <c r="E150">
        <v>0.11049723756906077</v>
      </c>
    </row>
    <row r="151" spans="1:9">
      <c r="A151">
        <v>3</v>
      </c>
      <c r="B151" t="s">
        <v>769</v>
      </c>
      <c r="C151" t="s">
        <v>305</v>
      </c>
      <c r="D151" t="s">
        <v>619</v>
      </c>
      <c r="E151">
        <v>21</v>
      </c>
      <c r="F151" t="s">
        <v>620</v>
      </c>
      <c r="H151" t="s">
        <v>621</v>
      </c>
      <c r="I151">
        <v>1.6243093922651932</v>
      </c>
    </row>
    <row r="152" spans="1:9">
      <c r="A152">
        <v>4</v>
      </c>
      <c r="B152" t="s">
        <v>769</v>
      </c>
      <c r="C152" t="s">
        <v>305</v>
      </c>
      <c r="D152" t="s">
        <v>622</v>
      </c>
      <c r="E152" t="s">
        <v>176</v>
      </c>
      <c r="F152" t="s">
        <v>623</v>
      </c>
      <c r="G152">
        <v>1.6243093922651932</v>
      </c>
      <c r="H152" t="s">
        <v>624</v>
      </c>
      <c r="I152">
        <v>10.96865121616281</v>
      </c>
    </row>
    <row r="153" spans="1:9">
      <c r="A153">
        <v>2</v>
      </c>
      <c r="B153" t="s">
        <v>769</v>
      </c>
      <c r="C153" t="s">
        <v>316</v>
      </c>
      <c r="D153" t="s">
        <v>618</v>
      </c>
      <c r="E153">
        <v>0.33149171270718231</v>
      </c>
    </row>
    <row r="154" spans="1:9">
      <c r="A154">
        <v>3</v>
      </c>
      <c r="B154" t="s">
        <v>769</v>
      </c>
      <c r="C154" t="s">
        <v>316</v>
      </c>
      <c r="D154" t="s">
        <v>619</v>
      </c>
      <c r="E154">
        <v>21</v>
      </c>
      <c r="F154" t="s">
        <v>620</v>
      </c>
      <c r="H154" t="s">
        <v>621</v>
      </c>
      <c r="I154">
        <v>2.4364640883977899</v>
      </c>
    </row>
    <row r="155" spans="1:9">
      <c r="A155">
        <v>4</v>
      </c>
      <c r="B155" t="s">
        <v>769</v>
      </c>
      <c r="C155" t="s">
        <v>316</v>
      </c>
      <c r="D155" t="s">
        <v>622</v>
      </c>
      <c r="E155" t="s">
        <v>261</v>
      </c>
      <c r="F155" t="s">
        <v>623</v>
      </c>
      <c r="G155">
        <v>2.4364640883977899</v>
      </c>
      <c r="H155" t="s">
        <v>624</v>
      </c>
      <c r="I155">
        <v>2.4364640883977899</v>
      </c>
    </row>
    <row r="156" spans="1:9">
      <c r="A156">
        <v>2</v>
      </c>
      <c r="B156" t="s">
        <v>769</v>
      </c>
      <c r="C156" t="s">
        <v>330</v>
      </c>
      <c r="D156" t="s">
        <v>618</v>
      </c>
      <c r="E156">
        <v>5.5248618784530384E-3</v>
      </c>
    </row>
    <row r="157" spans="1:9">
      <c r="A157">
        <v>1</v>
      </c>
      <c r="B157" t="s">
        <v>769</v>
      </c>
      <c r="D157" t="s">
        <v>616</v>
      </c>
      <c r="E157">
        <v>2</v>
      </c>
      <c r="F157" t="s">
        <v>617</v>
      </c>
      <c r="G157">
        <v>21</v>
      </c>
    </row>
    <row r="158" spans="1:9">
      <c r="A158">
        <v>2</v>
      </c>
      <c r="B158" t="s">
        <v>769</v>
      </c>
      <c r="C158" t="s">
        <v>312</v>
      </c>
      <c r="D158" t="s">
        <v>618</v>
      </c>
      <c r="E158">
        <v>0.33149171270718231</v>
      </c>
    </row>
    <row r="159" spans="1:9">
      <c r="A159">
        <v>3</v>
      </c>
      <c r="B159" t="s">
        <v>769</v>
      </c>
      <c r="C159" t="s">
        <v>312</v>
      </c>
      <c r="D159" t="s">
        <v>619</v>
      </c>
      <c r="E159">
        <v>21</v>
      </c>
      <c r="F159" t="s">
        <v>620</v>
      </c>
      <c r="H159" t="s">
        <v>621</v>
      </c>
      <c r="I159">
        <v>1.3922651933701657</v>
      </c>
    </row>
    <row r="160" spans="1:9">
      <c r="A160">
        <v>4</v>
      </c>
      <c r="B160" t="s">
        <v>769</v>
      </c>
      <c r="C160" t="s">
        <v>312</v>
      </c>
      <c r="D160" t="s">
        <v>622</v>
      </c>
      <c r="E160" t="s">
        <v>221</v>
      </c>
      <c r="F160" t="s">
        <v>623</v>
      </c>
      <c r="G160">
        <v>1.3922651933701657</v>
      </c>
      <c r="H160" t="s">
        <v>624</v>
      </c>
      <c r="I160">
        <v>1.3922651933701657</v>
      </c>
    </row>
    <row r="161" spans="1:9">
      <c r="A161">
        <v>2</v>
      </c>
      <c r="B161" t="s">
        <v>769</v>
      </c>
      <c r="C161" t="s">
        <v>290</v>
      </c>
      <c r="D161" t="s">
        <v>618</v>
      </c>
      <c r="E161">
        <v>0.11049723756906077</v>
      </c>
    </row>
    <row r="162" spans="1:9">
      <c r="A162">
        <v>3</v>
      </c>
      <c r="B162" t="s">
        <v>769</v>
      </c>
      <c r="C162" t="s">
        <v>290</v>
      </c>
      <c r="D162" t="s">
        <v>619</v>
      </c>
      <c r="E162">
        <v>21</v>
      </c>
      <c r="F162" t="s">
        <v>620</v>
      </c>
      <c r="H162" t="s">
        <v>621</v>
      </c>
      <c r="I162">
        <v>1.6243093922651932</v>
      </c>
    </row>
    <row r="164" spans="1:9">
      <c r="A164">
        <v>2</v>
      </c>
      <c r="B164" t="s">
        <v>769</v>
      </c>
      <c r="C164" t="s">
        <v>326</v>
      </c>
      <c r="D164" t="s">
        <v>618</v>
      </c>
      <c r="E164">
        <v>0.11049723756906077</v>
      </c>
    </row>
    <row r="165" spans="1:9">
      <c r="A165">
        <v>3</v>
      </c>
      <c r="B165" t="s">
        <v>769</v>
      </c>
      <c r="C165" t="s">
        <v>326</v>
      </c>
      <c r="D165" t="s">
        <v>619</v>
      </c>
      <c r="E165">
        <v>21</v>
      </c>
      <c r="F165" t="s">
        <v>620</v>
      </c>
      <c r="H165" t="s">
        <v>621</v>
      </c>
      <c r="I165">
        <v>0.46408839779005523</v>
      </c>
    </row>
    <row r="166" spans="1:9">
      <c r="A166">
        <v>4</v>
      </c>
      <c r="B166" t="s">
        <v>769</v>
      </c>
      <c r="C166" t="s">
        <v>326</v>
      </c>
      <c r="D166" t="s">
        <v>622</v>
      </c>
      <c r="E166" t="s">
        <v>219</v>
      </c>
      <c r="F166" t="s">
        <v>623</v>
      </c>
      <c r="G166">
        <v>0.46408839779005523</v>
      </c>
      <c r="H166" t="s">
        <v>624</v>
      </c>
      <c r="I166">
        <v>0.46408839779005523</v>
      </c>
    </row>
    <row r="167" spans="1:9">
      <c r="A167">
        <v>2</v>
      </c>
      <c r="B167" t="s">
        <v>769</v>
      </c>
      <c r="C167" t="s">
        <v>305</v>
      </c>
      <c r="D167" t="s">
        <v>618</v>
      </c>
      <c r="E167">
        <v>0.11049723756906077</v>
      </c>
    </row>
    <row r="168" spans="1:9">
      <c r="A168">
        <v>3</v>
      </c>
      <c r="B168" t="s">
        <v>769</v>
      </c>
      <c r="C168" t="s">
        <v>305</v>
      </c>
      <c r="D168" t="s">
        <v>619</v>
      </c>
      <c r="E168">
        <v>21</v>
      </c>
      <c r="F168" t="s">
        <v>620</v>
      </c>
      <c r="H168" t="s">
        <v>621</v>
      </c>
      <c r="I168">
        <v>1.6243093922651932</v>
      </c>
    </row>
    <row r="169" spans="1:9">
      <c r="A169">
        <v>4</v>
      </c>
      <c r="B169" t="s">
        <v>769</v>
      </c>
      <c r="C169" t="s">
        <v>305</v>
      </c>
      <c r="D169" t="s">
        <v>622</v>
      </c>
      <c r="E169" t="s">
        <v>176</v>
      </c>
      <c r="F169" t="s">
        <v>623</v>
      </c>
      <c r="G169">
        <v>1.6243093922651932</v>
      </c>
      <c r="H169" t="s">
        <v>624</v>
      </c>
      <c r="I169">
        <v>10.96865121616281</v>
      </c>
    </row>
    <row r="170" spans="1:9">
      <c r="A170">
        <v>2</v>
      </c>
      <c r="B170" t="s">
        <v>769</v>
      </c>
      <c r="C170" t="s">
        <v>316</v>
      </c>
      <c r="D170" t="s">
        <v>618</v>
      </c>
      <c r="E170">
        <v>0.33149171270718231</v>
      </c>
    </row>
    <row r="171" spans="1:9">
      <c r="A171">
        <v>3</v>
      </c>
      <c r="B171" t="s">
        <v>769</v>
      </c>
      <c r="C171" t="s">
        <v>316</v>
      </c>
      <c r="D171" t="s">
        <v>619</v>
      </c>
      <c r="E171">
        <v>21</v>
      </c>
      <c r="F171" t="s">
        <v>620</v>
      </c>
      <c r="H171" t="s">
        <v>621</v>
      </c>
      <c r="I171">
        <v>2.4364640883977899</v>
      </c>
    </row>
    <row r="172" spans="1:9">
      <c r="A172">
        <v>4</v>
      </c>
      <c r="B172" t="s">
        <v>769</v>
      </c>
      <c r="C172" t="s">
        <v>316</v>
      </c>
      <c r="D172" t="s">
        <v>622</v>
      </c>
      <c r="E172" t="s">
        <v>261</v>
      </c>
      <c r="F172" t="s">
        <v>623</v>
      </c>
      <c r="G172">
        <v>2.4364640883977899</v>
      </c>
      <c r="H172" t="s">
        <v>624</v>
      </c>
      <c r="I172">
        <v>2.4364640883977899</v>
      </c>
    </row>
    <row r="173" spans="1:9">
      <c r="A173">
        <v>2</v>
      </c>
      <c r="B173" t="s">
        <v>769</v>
      </c>
      <c r="C173" t="s">
        <v>330</v>
      </c>
      <c r="D173" t="s">
        <v>618</v>
      </c>
      <c r="E173">
        <v>5.5248618784530384E-3</v>
      </c>
    </row>
    <row r="174" spans="1:9">
      <c r="A174">
        <v>1</v>
      </c>
      <c r="B174" t="s">
        <v>628</v>
      </c>
      <c r="D174" t="s">
        <v>616</v>
      </c>
      <c r="E174">
        <v>1</v>
      </c>
      <c r="F174" t="s">
        <v>617</v>
      </c>
      <c r="G174">
        <v>25.2</v>
      </c>
    </row>
    <row r="175" spans="1:9">
      <c r="A175">
        <v>2</v>
      </c>
      <c r="B175" t="s">
        <v>628</v>
      </c>
      <c r="C175" t="s">
        <v>299</v>
      </c>
      <c r="D175" t="s">
        <v>618</v>
      </c>
      <c r="E175">
        <v>1</v>
      </c>
    </row>
    <row r="176" spans="1:9">
      <c r="A176">
        <v>3</v>
      </c>
      <c r="B176" t="s">
        <v>628</v>
      </c>
      <c r="C176" t="s">
        <v>299</v>
      </c>
      <c r="D176" t="s">
        <v>619</v>
      </c>
      <c r="E176">
        <v>25.2</v>
      </c>
      <c r="F176" t="s">
        <v>620</v>
      </c>
      <c r="H176" t="s">
        <v>621</v>
      </c>
      <c r="I176">
        <v>21.419999999999998</v>
      </c>
    </row>
    <row r="177" spans="1:9">
      <c r="A177">
        <v>4</v>
      </c>
      <c r="B177" t="s">
        <v>628</v>
      </c>
      <c r="C177" t="s">
        <v>299</v>
      </c>
      <c r="D177" t="s">
        <v>622</v>
      </c>
      <c r="E177" t="s">
        <v>168</v>
      </c>
      <c r="F177" t="s">
        <v>623</v>
      </c>
      <c r="G177">
        <v>21.419999999999998</v>
      </c>
      <c r="H177" t="s">
        <v>624</v>
      </c>
      <c r="I177">
        <v>21.419999999999998</v>
      </c>
    </row>
    <row r="178" spans="1:9">
      <c r="A178">
        <v>1</v>
      </c>
      <c r="B178" t="s">
        <v>628</v>
      </c>
      <c r="D178" t="s">
        <v>616</v>
      </c>
      <c r="E178">
        <v>2</v>
      </c>
      <c r="F178" t="s">
        <v>617</v>
      </c>
      <c r="G178">
        <v>25.2</v>
      </c>
    </row>
    <row r="179" spans="1:9">
      <c r="A179">
        <v>2</v>
      </c>
      <c r="B179" t="s">
        <v>628</v>
      </c>
      <c r="C179" t="s">
        <v>299</v>
      </c>
      <c r="D179" t="s">
        <v>618</v>
      </c>
      <c r="E179">
        <v>1</v>
      </c>
    </row>
    <row r="180" spans="1:9">
      <c r="A180">
        <v>3</v>
      </c>
      <c r="B180" t="s">
        <v>628</v>
      </c>
      <c r="C180" t="s">
        <v>299</v>
      </c>
      <c r="D180" t="s">
        <v>619</v>
      </c>
      <c r="E180">
        <v>25.2</v>
      </c>
      <c r="F180" t="s">
        <v>620</v>
      </c>
      <c r="H180" t="s">
        <v>621</v>
      </c>
      <c r="I180">
        <v>21.419999999999998</v>
      </c>
    </row>
    <row r="181" spans="1:9">
      <c r="A181">
        <v>4</v>
      </c>
      <c r="B181" t="s">
        <v>628</v>
      </c>
      <c r="C181" t="s">
        <v>299</v>
      </c>
      <c r="D181" t="s">
        <v>622</v>
      </c>
      <c r="E181" t="s">
        <v>168</v>
      </c>
      <c r="F181" t="s">
        <v>623</v>
      </c>
      <c r="G181">
        <v>21.419999999999998</v>
      </c>
      <c r="H181" t="s">
        <v>624</v>
      </c>
      <c r="I181">
        <v>21.419999999999998</v>
      </c>
    </row>
    <row r="182" spans="1:9">
      <c r="A182">
        <v>1</v>
      </c>
      <c r="B182" t="s">
        <v>629</v>
      </c>
      <c r="D182" t="s">
        <v>616</v>
      </c>
      <c r="E182">
        <v>1</v>
      </c>
      <c r="F182" t="s">
        <v>617</v>
      </c>
      <c r="G182">
        <v>88.2</v>
      </c>
    </row>
    <row r="183" spans="1:9">
      <c r="A183">
        <v>1</v>
      </c>
      <c r="B183" t="s">
        <v>629</v>
      </c>
      <c r="D183" t="s">
        <v>616</v>
      </c>
      <c r="E183">
        <v>2</v>
      </c>
      <c r="F183" t="s">
        <v>617</v>
      </c>
      <c r="G183">
        <v>88.2</v>
      </c>
    </row>
    <row r="184" spans="1:9">
      <c r="A184">
        <v>1</v>
      </c>
      <c r="B184" t="s">
        <v>770</v>
      </c>
      <c r="D184" t="s">
        <v>616</v>
      </c>
      <c r="E184">
        <v>1</v>
      </c>
      <c r="F184" t="s">
        <v>617</v>
      </c>
      <c r="G184">
        <v>25.2</v>
      </c>
    </row>
    <row r="186" spans="1:9">
      <c r="A186">
        <v>3</v>
      </c>
      <c r="B186" t="s">
        <v>770</v>
      </c>
      <c r="C186" t="s">
        <v>309</v>
      </c>
      <c r="D186" t="s">
        <v>619</v>
      </c>
      <c r="E186">
        <v>25.2</v>
      </c>
      <c r="F186" t="s">
        <v>620</v>
      </c>
      <c r="H186" t="s">
        <v>621</v>
      </c>
      <c r="I186">
        <v>5.04</v>
      </c>
    </row>
    <row r="187" spans="1:9">
      <c r="A187">
        <v>4</v>
      </c>
      <c r="B187" t="s">
        <v>770</v>
      </c>
      <c r="C187" t="s">
        <v>309</v>
      </c>
      <c r="D187" t="s">
        <v>622</v>
      </c>
      <c r="E187" t="s">
        <v>221</v>
      </c>
      <c r="F187" t="s">
        <v>623</v>
      </c>
      <c r="G187">
        <v>5.04</v>
      </c>
      <c r="H187" t="s">
        <v>624</v>
      </c>
      <c r="I187">
        <v>6.4322651933701653</v>
      </c>
    </row>
    <row r="188" spans="1:9">
      <c r="A188">
        <v>1</v>
      </c>
      <c r="B188" t="s">
        <v>770</v>
      </c>
      <c r="D188" t="s">
        <v>616</v>
      </c>
      <c r="E188">
        <v>2</v>
      </c>
      <c r="F188" t="s">
        <v>617</v>
      </c>
      <c r="G188">
        <v>25.2</v>
      </c>
    </row>
    <row r="189" spans="1:9">
      <c r="A189">
        <v>2</v>
      </c>
      <c r="B189" t="s">
        <v>770</v>
      </c>
      <c r="C189" t="s">
        <v>309</v>
      </c>
      <c r="D189" t="s">
        <v>618</v>
      </c>
      <c r="E189">
        <v>1</v>
      </c>
    </row>
    <row r="190" spans="1:9">
      <c r="A190">
        <v>3</v>
      </c>
      <c r="B190" t="s">
        <v>770</v>
      </c>
      <c r="C190" t="s">
        <v>309</v>
      </c>
      <c r="D190" t="s">
        <v>619</v>
      </c>
      <c r="E190">
        <v>25.2</v>
      </c>
      <c r="F190" t="s">
        <v>620</v>
      </c>
      <c r="H190" t="s">
        <v>621</v>
      </c>
      <c r="I190">
        <v>5.04</v>
      </c>
    </row>
    <row r="191" spans="1:9">
      <c r="A191">
        <v>4</v>
      </c>
      <c r="B191" t="s">
        <v>770</v>
      </c>
      <c r="C191" t="s">
        <v>309</v>
      </c>
      <c r="D191" t="s">
        <v>622</v>
      </c>
      <c r="E191" t="s">
        <v>221</v>
      </c>
      <c r="F191" t="s">
        <v>623</v>
      </c>
      <c r="G191">
        <v>5.04</v>
      </c>
      <c r="H191" t="s">
        <v>624</v>
      </c>
      <c r="I191">
        <v>6.4322651933701653</v>
      </c>
    </row>
    <row r="192" spans="1:9">
      <c r="A192">
        <v>1</v>
      </c>
      <c r="B192" t="s">
        <v>631</v>
      </c>
      <c r="D192" t="s">
        <v>616</v>
      </c>
      <c r="E192">
        <v>1</v>
      </c>
      <c r="F192" t="s">
        <v>617</v>
      </c>
      <c r="G192">
        <v>210</v>
      </c>
    </row>
    <row r="193" spans="1:9">
      <c r="A193">
        <v>1</v>
      </c>
      <c r="B193" t="s">
        <v>631</v>
      </c>
      <c r="D193" t="s">
        <v>616</v>
      </c>
      <c r="E193">
        <v>2</v>
      </c>
      <c r="F193" t="s">
        <v>617</v>
      </c>
      <c r="G193">
        <v>210</v>
      </c>
    </row>
    <row r="194" spans="1:9">
      <c r="A194">
        <v>1</v>
      </c>
      <c r="B194" t="s">
        <v>632</v>
      </c>
      <c r="D194" t="s">
        <v>616</v>
      </c>
      <c r="E194">
        <v>1</v>
      </c>
      <c r="F194" t="s">
        <v>617</v>
      </c>
      <c r="G194">
        <v>31.5</v>
      </c>
    </row>
    <row r="195" spans="1:9">
      <c r="A195">
        <v>2</v>
      </c>
      <c r="B195" t="s">
        <v>632</v>
      </c>
      <c r="C195" t="s">
        <v>377</v>
      </c>
      <c r="D195" t="s">
        <v>618</v>
      </c>
      <c r="E195">
        <v>0.94017094017094016</v>
      </c>
    </row>
    <row r="196" spans="1:9">
      <c r="A196">
        <v>3</v>
      </c>
      <c r="B196" t="s">
        <v>632</v>
      </c>
      <c r="C196" t="s">
        <v>377</v>
      </c>
      <c r="D196" t="s">
        <v>619</v>
      </c>
      <c r="E196">
        <v>31.5</v>
      </c>
      <c r="F196" t="s">
        <v>620</v>
      </c>
      <c r="H196" t="s">
        <v>621</v>
      </c>
      <c r="I196">
        <v>29.615384615384617</v>
      </c>
    </row>
    <row r="197" spans="1:9">
      <c r="A197">
        <v>2</v>
      </c>
      <c r="B197" t="s">
        <v>632</v>
      </c>
      <c r="C197" t="s">
        <v>378</v>
      </c>
      <c r="D197" t="s">
        <v>618</v>
      </c>
      <c r="E197">
        <v>4.2735042735042739E-3</v>
      </c>
    </row>
    <row r="199" spans="1:9">
      <c r="A199">
        <v>2</v>
      </c>
      <c r="B199" t="s">
        <v>632</v>
      </c>
      <c r="C199" t="s">
        <v>392</v>
      </c>
      <c r="D199" t="s">
        <v>618</v>
      </c>
      <c r="E199">
        <v>4.2735042735042739E-3</v>
      </c>
    </row>
    <row r="200" spans="1:9">
      <c r="A200">
        <v>2</v>
      </c>
      <c r="B200" t="s">
        <v>632</v>
      </c>
      <c r="C200" t="s">
        <v>393</v>
      </c>
      <c r="D200" t="s">
        <v>618</v>
      </c>
      <c r="E200">
        <v>4.2735042735042739E-3</v>
      </c>
    </row>
    <row r="201" spans="1:9">
      <c r="A201">
        <v>2</v>
      </c>
      <c r="B201" t="s">
        <v>632</v>
      </c>
      <c r="C201" t="s">
        <v>394</v>
      </c>
      <c r="D201" t="s">
        <v>618</v>
      </c>
      <c r="E201">
        <v>4.2735042735042739E-3</v>
      </c>
    </row>
    <row r="202" spans="1:9">
      <c r="A202">
        <v>2</v>
      </c>
      <c r="B202" t="s">
        <v>632</v>
      </c>
      <c r="C202" t="s">
        <v>736</v>
      </c>
      <c r="D202" t="s">
        <v>618</v>
      </c>
      <c r="E202">
        <v>4.2735042735042739E-3</v>
      </c>
    </row>
    <row r="203" spans="1:9">
      <c r="A203">
        <v>2</v>
      </c>
      <c r="B203" t="s">
        <v>632</v>
      </c>
      <c r="C203" t="s">
        <v>396</v>
      </c>
      <c r="D203" t="s">
        <v>618</v>
      </c>
      <c r="E203">
        <v>4.2735042735042739E-3</v>
      </c>
    </row>
    <row r="204" spans="1:9">
      <c r="A204">
        <v>2</v>
      </c>
      <c r="B204" t="s">
        <v>632</v>
      </c>
      <c r="C204" t="s">
        <v>737</v>
      </c>
      <c r="D204" t="s">
        <v>618</v>
      </c>
      <c r="E204">
        <v>4.2735042735042739E-3</v>
      </c>
    </row>
    <row r="205" spans="1:9">
      <c r="A205">
        <v>2</v>
      </c>
      <c r="B205" t="s">
        <v>632</v>
      </c>
      <c r="C205" t="s">
        <v>398</v>
      </c>
      <c r="D205" t="s">
        <v>618</v>
      </c>
      <c r="E205">
        <v>4.2735042735042739E-3</v>
      </c>
    </row>
    <row r="206" spans="1:9">
      <c r="A206">
        <v>2</v>
      </c>
      <c r="B206" t="s">
        <v>632</v>
      </c>
      <c r="C206" t="s">
        <v>399</v>
      </c>
      <c r="D206" t="s">
        <v>618</v>
      </c>
      <c r="E206">
        <v>4.2735042735042739E-3</v>
      </c>
    </row>
    <row r="207" spans="1:9">
      <c r="A207">
        <v>2</v>
      </c>
      <c r="B207" t="s">
        <v>632</v>
      </c>
      <c r="C207" t="s">
        <v>735</v>
      </c>
      <c r="D207" t="s">
        <v>618</v>
      </c>
      <c r="E207">
        <v>4.2735042735042739E-3</v>
      </c>
    </row>
    <row r="208" spans="1:9">
      <c r="A208">
        <v>2</v>
      </c>
      <c r="B208" t="s">
        <v>632</v>
      </c>
      <c r="C208" t="s">
        <v>400</v>
      </c>
      <c r="D208" t="s">
        <v>618</v>
      </c>
      <c r="E208">
        <v>4.2735042735042739E-3</v>
      </c>
    </row>
    <row r="209" spans="1:9">
      <c r="A209">
        <v>2</v>
      </c>
      <c r="B209" t="s">
        <v>632</v>
      </c>
      <c r="C209" t="s">
        <v>401</v>
      </c>
      <c r="D209" t="s">
        <v>618</v>
      </c>
      <c r="E209">
        <v>4.2735042735042739E-3</v>
      </c>
    </row>
    <row r="210" spans="1:9">
      <c r="A210">
        <v>2</v>
      </c>
      <c r="B210" t="s">
        <v>632</v>
      </c>
      <c r="C210" t="s">
        <v>402</v>
      </c>
      <c r="D210" t="s">
        <v>618</v>
      </c>
      <c r="E210">
        <v>4.2735042735042739E-3</v>
      </c>
    </row>
    <row r="211" spans="1:9">
      <c r="A211">
        <v>1</v>
      </c>
      <c r="B211" t="s">
        <v>632</v>
      </c>
      <c r="D211" t="s">
        <v>616</v>
      </c>
      <c r="E211">
        <v>2</v>
      </c>
      <c r="F211" t="s">
        <v>617</v>
      </c>
      <c r="G211">
        <v>31.5</v>
      </c>
    </row>
    <row r="212" spans="1:9">
      <c r="A212">
        <v>2</v>
      </c>
      <c r="B212" t="s">
        <v>632</v>
      </c>
      <c r="C212" t="s">
        <v>377</v>
      </c>
      <c r="D212" t="s">
        <v>618</v>
      </c>
      <c r="E212">
        <v>0.94017094017094016</v>
      </c>
    </row>
    <row r="213" spans="1:9">
      <c r="A213">
        <v>3</v>
      </c>
      <c r="B213" t="s">
        <v>632</v>
      </c>
      <c r="C213" t="s">
        <v>377</v>
      </c>
      <c r="D213" t="s">
        <v>619</v>
      </c>
      <c r="E213">
        <v>31.5</v>
      </c>
      <c r="F213" t="s">
        <v>620</v>
      </c>
      <c r="H213" t="s">
        <v>621</v>
      </c>
      <c r="I213">
        <v>29.615384615384617</v>
      </c>
    </row>
    <row r="214" spans="1:9">
      <c r="A214">
        <v>2</v>
      </c>
      <c r="B214" t="s">
        <v>632</v>
      </c>
      <c r="C214" t="s">
        <v>378</v>
      </c>
      <c r="D214" t="s">
        <v>618</v>
      </c>
      <c r="E214">
        <v>4.2735042735042739E-3</v>
      </c>
    </row>
    <row r="215" spans="1:9">
      <c r="A215">
        <v>2</v>
      </c>
      <c r="B215" t="s">
        <v>632</v>
      </c>
      <c r="C215" t="s">
        <v>379</v>
      </c>
      <c r="D215" t="s">
        <v>618</v>
      </c>
      <c r="E215">
        <v>4.2735042735042739E-3</v>
      </c>
    </row>
    <row r="216" spans="1:9">
      <c r="A216">
        <v>2</v>
      </c>
      <c r="B216" t="s">
        <v>632</v>
      </c>
      <c r="C216" t="s">
        <v>392</v>
      </c>
      <c r="D216" t="s">
        <v>618</v>
      </c>
      <c r="E216">
        <v>4.2735042735042739E-3</v>
      </c>
    </row>
    <row r="217" spans="1:9">
      <c r="A217">
        <v>2</v>
      </c>
      <c r="B217" t="s">
        <v>632</v>
      </c>
      <c r="C217" t="s">
        <v>393</v>
      </c>
      <c r="D217" t="s">
        <v>618</v>
      </c>
      <c r="E217">
        <v>4.2735042735042739E-3</v>
      </c>
    </row>
    <row r="218" spans="1:9">
      <c r="A218">
        <v>2</v>
      </c>
      <c r="B218" t="s">
        <v>632</v>
      </c>
      <c r="C218" t="s">
        <v>394</v>
      </c>
      <c r="D218" t="s">
        <v>618</v>
      </c>
      <c r="E218">
        <v>4.2735042735042739E-3</v>
      </c>
    </row>
    <row r="219" spans="1:9">
      <c r="A219">
        <v>2</v>
      </c>
      <c r="B219" t="s">
        <v>632</v>
      </c>
      <c r="C219" t="s">
        <v>736</v>
      </c>
      <c r="D219" t="s">
        <v>618</v>
      </c>
      <c r="E219">
        <v>4.2735042735042739E-3</v>
      </c>
    </row>
    <row r="221" spans="1:9">
      <c r="A221">
        <v>2</v>
      </c>
      <c r="B221" t="s">
        <v>632</v>
      </c>
      <c r="C221" t="s">
        <v>737</v>
      </c>
      <c r="D221" t="s">
        <v>618</v>
      </c>
      <c r="E221">
        <v>4.2735042735042739E-3</v>
      </c>
    </row>
    <row r="222" spans="1:9">
      <c r="A222">
        <v>2</v>
      </c>
      <c r="B222" t="s">
        <v>632</v>
      </c>
      <c r="C222" t="s">
        <v>398</v>
      </c>
      <c r="D222" t="s">
        <v>618</v>
      </c>
      <c r="E222">
        <v>4.2735042735042739E-3</v>
      </c>
    </row>
    <row r="223" spans="1:9">
      <c r="A223">
        <v>2</v>
      </c>
      <c r="B223" t="s">
        <v>632</v>
      </c>
      <c r="C223" t="s">
        <v>399</v>
      </c>
      <c r="D223" t="s">
        <v>618</v>
      </c>
      <c r="E223">
        <v>4.2735042735042739E-3</v>
      </c>
    </row>
    <row r="224" spans="1:9">
      <c r="A224">
        <v>2</v>
      </c>
      <c r="B224" t="s">
        <v>632</v>
      </c>
      <c r="C224" t="s">
        <v>735</v>
      </c>
      <c r="D224" t="s">
        <v>618</v>
      </c>
      <c r="E224">
        <v>4.2735042735042739E-3</v>
      </c>
    </row>
    <row r="225" spans="1:9">
      <c r="A225">
        <v>2</v>
      </c>
      <c r="B225" t="s">
        <v>632</v>
      </c>
      <c r="C225" t="s">
        <v>400</v>
      </c>
      <c r="D225" t="s">
        <v>618</v>
      </c>
      <c r="E225">
        <v>4.2735042735042739E-3</v>
      </c>
    </row>
    <row r="226" spans="1:9">
      <c r="A226">
        <v>2</v>
      </c>
      <c r="B226" t="s">
        <v>632</v>
      </c>
      <c r="C226" t="s">
        <v>401</v>
      </c>
      <c r="D226" t="s">
        <v>618</v>
      </c>
      <c r="E226">
        <v>4.2735042735042739E-3</v>
      </c>
    </row>
    <row r="227" spans="1:9">
      <c r="A227">
        <v>2</v>
      </c>
      <c r="B227" t="s">
        <v>632</v>
      </c>
      <c r="C227" t="s">
        <v>402</v>
      </c>
      <c r="D227" t="s">
        <v>618</v>
      </c>
      <c r="E227">
        <v>4.2735042735042739E-3</v>
      </c>
    </row>
    <row r="228" spans="1:9">
      <c r="A228">
        <v>1</v>
      </c>
      <c r="B228" t="s">
        <v>627</v>
      </c>
      <c r="D228" t="s">
        <v>616</v>
      </c>
      <c r="E228">
        <v>1</v>
      </c>
      <c r="F228" t="s">
        <v>617</v>
      </c>
      <c r="G228">
        <v>27.3</v>
      </c>
    </row>
    <row r="229" spans="1:9">
      <c r="A229">
        <v>2</v>
      </c>
      <c r="B229" t="s">
        <v>627</v>
      </c>
      <c r="C229" t="s">
        <v>289</v>
      </c>
      <c r="D229" t="s">
        <v>618</v>
      </c>
      <c r="E229">
        <v>3.4090909090909088E-2</v>
      </c>
    </row>
    <row r="230" spans="1:9">
      <c r="A230">
        <v>3</v>
      </c>
      <c r="B230" t="s">
        <v>627</v>
      </c>
      <c r="C230" t="s">
        <v>289</v>
      </c>
      <c r="D230" t="s">
        <v>619</v>
      </c>
      <c r="E230">
        <v>27.3</v>
      </c>
      <c r="F230" t="s">
        <v>620</v>
      </c>
      <c r="H230" t="s">
        <v>621</v>
      </c>
      <c r="I230">
        <v>0.65147727272727263</v>
      </c>
    </row>
    <row r="231" spans="1:9">
      <c r="A231">
        <v>4</v>
      </c>
      <c r="B231" t="s">
        <v>627</v>
      </c>
      <c r="C231" t="s">
        <v>289</v>
      </c>
      <c r="D231" t="s">
        <v>622</v>
      </c>
      <c r="E231" t="s">
        <v>149</v>
      </c>
      <c r="F231" t="s">
        <v>623</v>
      </c>
      <c r="G231">
        <v>0.65147727272727263</v>
      </c>
      <c r="H231" t="s">
        <v>624</v>
      </c>
      <c r="I231">
        <v>1.7444153128828845</v>
      </c>
    </row>
    <row r="232" spans="1:9">
      <c r="A232">
        <v>2</v>
      </c>
      <c r="B232" t="s">
        <v>627</v>
      </c>
      <c r="C232" t="s">
        <v>304</v>
      </c>
      <c r="D232" t="s">
        <v>618</v>
      </c>
      <c r="E232">
        <v>4.5454545454545456E-2</v>
      </c>
    </row>
    <row r="233" spans="1:9">
      <c r="A233">
        <v>3</v>
      </c>
      <c r="B233" t="s">
        <v>627</v>
      </c>
      <c r="C233" t="s">
        <v>304</v>
      </c>
      <c r="D233" t="s">
        <v>619</v>
      </c>
      <c r="E233">
        <v>27.3</v>
      </c>
      <c r="F233" t="s">
        <v>620</v>
      </c>
      <c r="H233" t="s">
        <v>621</v>
      </c>
      <c r="I233">
        <v>1.0547727272727272</v>
      </c>
    </row>
    <row r="234" spans="1:9">
      <c r="A234">
        <v>4</v>
      </c>
      <c r="B234" t="s">
        <v>627</v>
      </c>
      <c r="C234" t="s">
        <v>304</v>
      </c>
      <c r="D234" t="s">
        <v>622</v>
      </c>
      <c r="E234" t="s">
        <v>155</v>
      </c>
      <c r="F234" t="s">
        <v>623</v>
      </c>
      <c r="G234">
        <v>1.0547727272727272</v>
      </c>
      <c r="H234" t="s">
        <v>624</v>
      </c>
      <c r="I234">
        <v>1.0547727272727272</v>
      </c>
    </row>
    <row r="235" spans="1:9">
      <c r="A235">
        <v>2</v>
      </c>
      <c r="B235" t="s">
        <v>627</v>
      </c>
      <c r="C235" t="s">
        <v>305</v>
      </c>
      <c r="D235" t="s">
        <v>618</v>
      </c>
      <c r="E235">
        <v>2.2727272727272728E-2</v>
      </c>
    </row>
    <row r="236" spans="1:9">
      <c r="A236">
        <v>3</v>
      </c>
      <c r="B236" t="s">
        <v>627</v>
      </c>
      <c r="C236" t="s">
        <v>305</v>
      </c>
      <c r="D236" t="s">
        <v>619</v>
      </c>
      <c r="E236">
        <v>27.3</v>
      </c>
      <c r="F236" t="s">
        <v>620</v>
      </c>
      <c r="H236" t="s">
        <v>621</v>
      </c>
      <c r="I236">
        <v>0.43431818181818183</v>
      </c>
    </row>
    <row r="237" spans="1:9">
      <c r="A237">
        <v>4</v>
      </c>
      <c r="B237" t="s">
        <v>627</v>
      </c>
      <c r="C237" t="s">
        <v>305</v>
      </c>
      <c r="D237" t="s">
        <v>622</v>
      </c>
      <c r="E237" t="s">
        <v>176</v>
      </c>
      <c r="F237" t="s">
        <v>623</v>
      </c>
      <c r="G237">
        <v>0.43431818181818183</v>
      </c>
      <c r="H237" t="s">
        <v>624</v>
      </c>
      <c r="I237">
        <v>11.402969397980991</v>
      </c>
    </row>
    <row r="238" spans="1:9">
      <c r="A238">
        <v>2</v>
      </c>
      <c r="B238" t="s">
        <v>627</v>
      </c>
      <c r="C238" t="s">
        <v>290</v>
      </c>
      <c r="D238" t="s">
        <v>618</v>
      </c>
      <c r="E238">
        <v>2.2727272727272728E-2</v>
      </c>
    </row>
    <row r="240" spans="1:9">
      <c r="A240">
        <v>4</v>
      </c>
      <c r="B240" t="s">
        <v>627</v>
      </c>
      <c r="C240" t="s">
        <v>290</v>
      </c>
      <c r="D240" t="s">
        <v>622</v>
      </c>
      <c r="E240" t="s">
        <v>151</v>
      </c>
      <c r="F240" t="s">
        <v>623</v>
      </c>
      <c r="G240">
        <v>0.43431818181818183</v>
      </c>
      <c r="H240" t="s">
        <v>624</v>
      </c>
      <c r="I240">
        <v>28.518627574083375</v>
      </c>
    </row>
    <row r="241" spans="1:9">
      <c r="A241">
        <v>2</v>
      </c>
      <c r="B241" t="s">
        <v>627</v>
      </c>
      <c r="C241" t="s">
        <v>303</v>
      </c>
      <c r="D241" t="s">
        <v>618</v>
      </c>
      <c r="E241">
        <v>4.5454545454545456E-2</v>
      </c>
    </row>
    <row r="242" spans="1:9">
      <c r="A242">
        <v>3</v>
      </c>
      <c r="B242" t="s">
        <v>627</v>
      </c>
      <c r="C242" t="s">
        <v>303</v>
      </c>
      <c r="D242" t="s">
        <v>619</v>
      </c>
      <c r="E242">
        <v>27.3</v>
      </c>
      <c r="F242" t="s">
        <v>620</v>
      </c>
      <c r="H242" t="s">
        <v>621</v>
      </c>
      <c r="I242">
        <v>1.240909090909091</v>
      </c>
    </row>
    <row r="243" spans="1:9">
      <c r="A243">
        <v>4</v>
      </c>
      <c r="B243" t="s">
        <v>627</v>
      </c>
      <c r="C243" t="s">
        <v>303</v>
      </c>
      <c r="D243" t="s">
        <v>622</v>
      </c>
      <c r="E243" t="s">
        <v>252</v>
      </c>
      <c r="F243" t="s">
        <v>623</v>
      </c>
      <c r="G243">
        <v>1.240909090909091</v>
      </c>
      <c r="H243" t="s">
        <v>624</v>
      </c>
      <c r="I243">
        <v>29.088566848419511</v>
      </c>
    </row>
    <row r="244" spans="1:9">
      <c r="A244">
        <v>2</v>
      </c>
      <c r="B244" t="s">
        <v>627</v>
      </c>
      <c r="C244" t="s">
        <v>287</v>
      </c>
      <c r="D244" t="s">
        <v>618</v>
      </c>
      <c r="E244">
        <v>3.4090909090909088E-2</v>
      </c>
    </row>
    <row r="245" spans="1:9">
      <c r="A245">
        <v>3</v>
      </c>
      <c r="B245" t="s">
        <v>627</v>
      </c>
      <c r="C245" t="s">
        <v>287</v>
      </c>
      <c r="D245" t="s">
        <v>619</v>
      </c>
      <c r="E245">
        <v>27.3</v>
      </c>
      <c r="F245" t="s">
        <v>620</v>
      </c>
      <c r="H245" t="s">
        <v>621</v>
      </c>
      <c r="I245">
        <v>0.18613636363636363</v>
      </c>
    </row>
    <row r="246" spans="1:9">
      <c r="A246">
        <v>4</v>
      </c>
      <c r="B246" t="s">
        <v>627</v>
      </c>
      <c r="C246" t="s">
        <v>287</v>
      </c>
      <c r="D246" t="s">
        <v>622</v>
      </c>
      <c r="E246" t="s">
        <v>242</v>
      </c>
      <c r="F246" t="s">
        <v>623</v>
      </c>
      <c r="G246">
        <v>0.18613636363636363</v>
      </c>
      <c r="H246" t="s">
        <v>624</v>
      </c>
      <c r="I246">
        <v>0.18613636363636363</v>
      </c>
    </row>
    <row r="247" spans="1:9">
      <c r="A247">
        <v>2</v>
      </c>
      <c r="B247" t="s">
        <v>627</v>
      </c>
      <c r="C247" t="s">
        <v>299</v>
      </c>
      <c r="D247" t="s">
        <v>618</v>
      </c>
      <c r="E247">
        <v>2.2727272727272728E-2</v>
      </c>
    </row>
    <row r="248" spans="1:9">
      <c r="A248">
        <v>3</v>
      </c>
      <c r="B248" t="s">
        <v>627</v>
      </c>
      <c r="C248" t="s">
        <v>299</v>
      </c>
      <c r="D248" t="s">
        <v>619</v>
      </c>
      <c r="E248">
        <v>27.3</v>
      </c>
      <c r="F248" t="s">
        <v>620</v>
      </c>
      <c r="H248" t="s">
        <v>621</v>
      </c>
      <c r="I248">
        <v>0.5273863636363636</v>
      </c>
    </row>
    <row r="249" spans="1:9">
      <c r="A249">
        <v>4</v>
      </c>
      <c r="B249" t="s">
        <v>627</v>
      </c>
      <c r="C249" t="s">
        <v>299</v>
      </c>
      <c r="D249" t="s">
        <v>622</v>
      </c>
      <c r="E249" t="s">
        <v>168</v>
      </c>
      <c r="F249" t="s">
        <v>623</v>
      </c>
      <c r="G249">
        <v>0.5273863636363636</v>
      </c>
      <c r="H249" t="s">
        <v>624</v>
      </c>
      <c r="I249">
        <v>21.947386363636362</v>
      </c>
    </row>
    <row r="250" spans="1:9">
      <c r="A250">
        <v>2</v>
      </c>
      <c r="B250" t="s">
        <v>627</v>
      </c>
      <c r="C250" t="s">
        <v>304</v>
      </c>
      <c r="D250" t="s">
        <v>618</v>
      </c>
      <c r="E250">
        <v>0.13636363636363635</v>
      </c>
    </row>
    <row r="251" spans="1:9">
      <c r="A251">
        <v>3</v>
      </c>
      <c r="B251" t="s">
        <v>627</v>
      </c>
      <c r="C251" t="s">
        <v>304</v>
      </c>
      <c r="D251" t="s">
        <v>619</v>
      </c>
      <c r="E251">
        <v>27.3</v>
      </c>
      <c r="F251" t="s">
        <v>620</v>
      </c>
      <c r="H251" t="s">
        <v>621</v>
      </c>
      <c r="I251">
        <v>3.1643181818181816</v>
      </c>
    </row>
    <row r="253" spans="1:9">
      <c r="A253">
        <v>2</v>
      </c>
      <c r="B253" t="s">
        <v>627</v>
      </c>
      <c r="C253" t="s">
        <v>290</v>
      </c>
      <c r="D253" t="s">
        <v>618</v>
      </c>
      <c r="E253">
        <v>0.27272727272727271</v>
      </c>
    </row>
    <row r="254" spans="1:9">
      <c r="A254">
        <v>3</v>
      </c>
      <c r="B254" t="s">
        <v>627</v>
      </c>
      <c r="C254" t="s">
        <v>290</v>
      </c>
      <c r="D254" t="s">
        <v>619</v>
      </c>
      <c r="E254">
        <v>27.3</v>
      </c>
      <c r="F254" t="s">
        <v>620</v>
      </c>
      <c r="H254" t="s">
        <v>621</v>
      </c>
      <c r="I254">
        <v>5.211818181818181</v>
      </c>
    </row>
    <row r="255" spans="1:9">
      <c r="A255">
        <v>4</v>
      </c>
      <c r="B255" t="s">
        <v>627</v>
      </c>
      <c r="C255" t="s">
        <v>290</v>
      </c>
      <c r="D255" t="s">
        <v>622</v>
      </c>
      <c r="E255" t="s">
        <v>151</v>
      </c>
      <c r="F255" t="s">
        <v>623</v>
      </c>
      <c r="G255">
        <v>5.211818181818181</v>
      </c>
      <c r="H255" t="s">
        <v>624</v>
      </c>
      <c r="I255">
        <v>33.730445755901556</v>
      </c>
    </row>
    <row r="256" spans="1:9">
      <c r="A256">
        <v>2</v>
      </c>
      <c r="B256" t="s">
        <v>627</v>
      </c>
      <c r="C256" t="s">
        <v>311</v>
      </c>
      <c r="D256" t="s">
        <v>618</v>
      </c>
      <c r="E256">
        <v>0.27272727272727271</v>
      </c>
    </row>
    <row r="257" spans="1:9">
      <c r="A257">
        <v>3</v>
      </c>
      <c r="B257" t="s">
        <v>627</v>
      </c>
      <c r="C257" t="s">
        <v>311</v>
      </c>
      <c r="D257" t="s">
        <v>619</v>
      </c>
      <c r="E257">
        <v>27.3</v>
      </c>
      <c r="F257" t="s">
        <v>620</v>
      </c>
      <c r="H257" t="s">
        <v>621</v>
      </c>
      <c r="I257">
        <v>7.4454545454545453</v>
      </c>
    </row>
    <row r="258" spans="1:9">
      <c r="A258">
        <v>4</v>
      </c>
      <c r="B258" t="s">
        <v>627</v>
      </c>
      <c r="C258" t="s">
        <v>311</v>
      </c>
      <c r="D258" t="s">
        <v>622</v>
      </c>
      <c r="E258" t="s">
        <v>149</v>
      </c>
      <c r="F258" t="s">
        <v>623</v>
      </c>
      <c r="G258">
        <v>7.4454545454545453</v>
      </c>
      <c r="H258" t="s">
        <v>624</v>
      </c>
      <c r="I258">
        <v>9.1898698583374294</v>
      </c>
    </row>
    <row r="259" spans="1:9">
      <c r="A259">
        <v>2</v>
      </c>
      <c r="B259" t="s">
        <v>627</v>
      </c>
      <c r="C259" t="s">
        <v>305</v>
      </c>
      <c r="D259" t="s">
        <v>618</v>
      </c>
      <c r="E259">
        <v>2.2727272727272728E-2</v>
      </c>
    </row>
    <row r="260" spans="1:9">
      <c r="A260">
        <v>3</v>
      </c>
      <c r="B260" t="s">
        <v>627</v>
      </c>
      <c r="C260" t="s">
        <v>305</v>
      </c>
      <c r="D260" t="s">
        <v>619</v>
      </c>
      <c r="E260">
        <v>27.3</v>
      </c>
      <c r="F260" t="s">
        <v>620</v>
      </c>
      <c r="H260" t="s">
        <v>621</v>
      </c>
      <c r="I260">
        <v>0.43431818181818183</v>
      </c>
    </row>
    <row r="261" spans="1:9">
      <c r="A261">
        <v>4</v>
      </c>
      <c r="B261" t="s">
        <v>627</v>
      </c>
      <c r="C261" t="s">
        <v>305</v>
      </c>
      <c r="D261" t="s">
        <v>622</v>
      </c>
      <c r="E261" t="s">
        <v>176</v>
      </c>
      <c r="F261" t="s">
        <v>623</v>
      </c>
      <c r="G261">
        <v>0.43431818181818183</v>
      </c>
      <c r="H261" t="s">
        <v>624</v>
      </c>
      <c r="I261">
        <v>11.837287579799172</v>
      </c>
    </row>
    <row r="262" spans="1:9">
      <c r="A262">
        <v>2</v>
      </c>
      <c r="B262" t="s">
        <v>627</v>
      </c>
      <c r="C262" t="s">
        <v>299</v>
      </c>
      <c r="D262" t="s">
        <v>618</v>
      </c>
      <c r="E262">
        <v>2.2727272727272728E-2</v>
      </c>
    </row>
    <row r="263" spans="1:9">
      <c r="A263">
        <v>3</v>
      </c>
      <c r="B263" t="s">
        <v>627</v>
      </c>
      <c r="C263" t="s">
        <v>299</v>
      </c>
      <c r="D263" t="s">
        <v>619</v>
      </c>
      <c r="E263">
        <v>27.3</v>
      </c>
      <c r="F263" t="s">
        <v>620</v>
      </c>
      <c r="H263" t="s">
        <v>621</v>
      </c>
      <c r="I263">
        <v>0.5273863636363636</v>
      </c>
    </row>
    <row r="264" spans="1:9">
      <c r="A264">
        <v>4</v>
      </c>
      <c r="B264" t="s">
        <v>627</v>
      </c>
      <c r="C264" t="s">
        <v>299</v>
      </c>
      <c r="D264" t="s">
        <v>622</v>
      </c>
      <c r="E264" t="s">
        <v>168</v>
      </c>
      <c r="F264" t="s">
        <v>623</v>
      </c>
      <c r="G264">
        <v>0.5273863636363636</v>
      </c>
      <c r="H264" t="s">
        <v>624</v>
      </c>
      <c r="I264">
        <v>22.474772727272725</v>
      </c>
    </row>
    <row r="265" spans="1:9">
      <c r="A265">
        <v>2</v>
      </c>
      <c r="B265" t="s">
        <v>627</v>
      </c>
      <c r="C265" t="s">
        <v>312</v>
      </c>
      <c r="D265" t="s">
        <v>618</v>
      </c>
      <c r="E265">
        <v>1.1363636363636364E-2</v>
      </c>
    </row>
    <row r="266" spans="1:9">
      <c r="A266">
        <v>3</v>
      </c>
      <c r="B266" t="s">
        <v>627</v>
      </c>
      <c r="C266" t="s">
        <v>312</v>
      </c>
      <c r="D266" t="s">
        <v>619</v>
      </c>
      <c r="E266">
        <v>27.3</v>
      </c>
      <c r="F266" t="s">
        <v>620</v>
      </c>
      <c r="H266" t="s">
        <v>621</v>
      </c>
      <c r="I266">
        <v>6.2045454545454549E-2</v>
      </c>
    </row>
    <row r="267" spans="1:9">
      <c r="A267">
        <v>4</v>
      </c>
      <c r="B267" t="s">
        <v>627</v>
      </c>
      <c r="C267" t="s">
        <v>312</v>
      </c>
      <c r="D267" t="s">
        <v>622</v>
      </c>
      <c r="E267" t="s">
        <v>221</v>
      </c>
      <c r="F267" t="s">
        <v>623</v>
      </c>
      <c r="G267">
        <v>6.2045454545454549E-2</v>
      </c>
      <c r="H267" t="s">
        <v>624</v>
      </c>
      <c r="I267">
        <v>6.4943106479156203</v>
      </c>
    </row>
    <row r="269" spans="1:9">
      <c r="A269">
        <v>3</v>
      </c>
      <c r="B269" t="s">
        <v>627</v>
      </c>
      <c r="C269" t="s">
        <v>309</v>
      </c>
      <c r="D269" t="s">
        <v>619</v>
      </c>
      <c r="E269">
        <v>27.3</v>
      </c>
      <c r="F269" t="s">
        <v>620</v>
      </c>
      <c r="H269" t="s">
        <v>621</v>
      </c>
      <c r="I269">
        <v>0.18613636363636363</v>
      </c>
    </row>
    <row r="270" spans="1:9">
      <c r="A270">
        <v>4</v>
      </c>
      <c r="B270" t="s">
        <v>627</v>
      </c>
      <c r="C270" t="s">
        <v>309</v>
      </c>
      <c r="D270" t="s">
        <v>622</v>
      </c>
      <c r="E270" t="s">
        <v>221</v>
      </c>
      <c r="F270" t="s">
        <v>623</v>
      </c>
      <c r="G270">
        <v>0.18613636363636363</v>
      </c>
      <c r="H270" t="s">
        <v>624</v>
      </c>
      <c r="I270">
        <v>6.6804470115519843</v>
      </c>
    </row>
    <row r="271" spans="1:9">
      <c r="A271">
        <v>1</v>
      </c>
      <c r="B271" t="s">
        <v>627</v>
      </c>
      <c r="D271" t="s">
        <v>616</v>
      </c>
      <c r="E271">
        <v>2</v>
      </c>
      <c r="F271" t="s">
        <v>617</v>
      </c>
      <c r="G271">
        <v>27.3</v>
      </c>
    </row>
    <row r="272" spans="1:9">
      <c r="A272">
        <v>2</v>
      </c>
      <c r="B272" t="s">
        <v>627</v>
      </c>
      <c r="C272" t="s">
        <v>289</v>
      </c>
      <c r="D272" t="s">
        <v>618</v>
      </c>
      <c r="E272">
        <v>3.4090909090909088E-2</v>
      </c>
    </row>
    <row r="273" spans="1:9">
      <c r="A273">
        <v>3</v>
      </c>
      <c r="B273" t="s">
        <v>627</v>
      </c>
      <c r="C273" t="s">
        <v>289</v>
      </c>
      <c r="D273" t="s">
        <v>619</v>
      </c>
      <c r="E273">
        <v>27.3</v>
      </c>
      <c r="F273" t="s">
        <v>620</v>
      </c>
      <c r="H273" t="s">
        <v>621</v>
      </c>
      <c r="I273">
        <v>0.65147727272727263</v>
      </c>
    </row>
    <row r="274" spans="1:9">
      <c r="A274">
        <v>4</v>
      </c>
      <c r="B274" t="s">
        <v>627</v>
      </c>
      <c r="C274" t="s">
        <v>289</v>
      </c>
      <c r="D274" t="s">
        <v>622</v>
      </c>
      <c r="E274" t="s">
        <v>149</v>
      </c>
      <c r="F274" t="s">
        <v>623</v>
      </c>
      <c r="G274">
        <v>0.65147727272727263</v>
      </c>
      <c r="H274" t="s">
        <v>624</v>
      </c>
      <c r="I274">
        <v>1.7444153128828845</v>
      </c>
    </row>
    <row r="275" spans="1:9">
      <c r="A275">
        <v>2</v>
      </c>
      <c r="B275" t="s">
        <v>627</v>
      </c>
      <c r="C275" t="s">
        <v>304</v>
      </c>
      <c r="D275" t="s">
        <v>618</v>
      </c>
      <c r="E275">
        <v>4.5454545454545456E-2</v>
      </c>
    </row>
    <row r="276" spans="1:9">
      <c r="A276">
        <v>3</v>
      </c>
      <c r="B276" t="s">
        <v>627</v>
      </c>
      <c r="C276" t="s">
        <v>304</v>
      </c>
      <c r="D276" t="s">
        <v>619</v>
      </c>
      <c r="E276">
        <v>27.3</v>
      </c>
      <c r="F276" t="s">
        <v>620</v>
      </c>
      <c r="H276" t="s">
        <v>621</v>
      </c>
      <c r="I276">
        <v>1.0547727272727272</v>
      </c>
    </row>
    <row r="277" spans="1:9">
      <c r="A277">
        <v>4</v>
      </c>
      <c r="B277" t="s">
        <v>627</v>
      </c>
      <c r="C277" t="s">
        <v>304</v>
      </c>
      <c r="D277" t="s">
        <v>622</v>
      </c>
      <c r="E277" t="s">
        <v>155</v>
      </c>
      <c r="F277" t="s">
        <v>623</v>
      </c>
      <c r="G277">
        <v>1.0547727272727272</v>
      </c>
      <c r="H277" t="s">
        <v>624</v>
      </c>
      <c r="I277">
        <v>1.0547727272727272</v>
      </c>
    </row>
    <row r="278" spans="1:9">
      <c r="A278">
        <v>2</v>
      </c>
      <c r="B278" t="s">
        <v>627</v>
      </c>
      <c r="C278" t="s">
        <v>305</v>
      </c>
      <c r="D278" t="s">
        <v>618</v>
      </c>
      <c r="E278">
        <v>2.2727272727272728E-2</v>
      </c>
    </row>
    <row r="279" spans="1:9">
      <c r="A279">
        <v>3</v>
      </c>
      <c r="B279" t="s">
        <v>627</v>
      </c>
      <c r="C279" t="s">
        <v>305</v>
      </c>
      <c r="D279" t="s">
        <v>619</v>
      </c>
      <c r="E279">
        <v>27.3</v>
      </c>
      <c r="F279" t="s">
        <v>620</v>
      </c>
      <c r="H279" t="s">
        <v>621</v>
      </c>
      <c r="I279">
        <v>0.43431818181818183</v>
      </c>
    </row>
    <row r="280" spans="1:9">
      <c r="A280">
        <v>4</v>
      </c>
      <c r="B280" t="s">
        <v>627</v>
      </c>
      <c r="C280" t="s">
        <v>305</v>
      </c>
      <c r="D280" t="s">
        <v>622</v>
      </c>
      <c r="E280" t="s">
        <v>176</v>
      </c>
      <c r="F280" t="s">
        <v>623</v>
      </c>
      <c r="G280">
        <v>0.43431818181818183</v>
      </c>
      <c r="H280" t="s">
        <v>624</v>
      </c>
      <c r="I280">
        <v>11.402969397980991</v>
      </c>
    </row>
    <row r="281" spans="1:9">
      <c r="A281">
        <v>2</v>
      </c>
      <c r="B281" t="s">
        <v>627</v>
      </c>
      <c r="C281" t="s">
        <v>290</v>
      </c>
      <c r="D281" t="s">
        <v>618</v>
      </c>
      <c r="E281">
        <v>2.2727272727272728E-2</v>
      </c>
    </row>
    <row r="282" spans="1:9">
      <c r="A282">
        <v>3</v>
      </c>
      <c r="B282" t="s">
        <v>627</v>
      </c>
      <c r="C282" t="s">
        <v>290</v>
      </c>
      <c r="D282" t="s">
        <v>619</v>
      </c>
      <c r="E282">
        <v>27.3</v>
      </c>
      <c r="F282" t="s">
        <v>620</v>
      </c>
      <c r="H282" t="s">
        <v>621</v>
      </c>
      <c r="I282">
        <v>0.43431818181818183</v>
      </c>
    </row>
    <row r="283" spans="1:9">
      <c r="A283">
        <v>4</v>
      </c>
      <c r="B283" t="s">
        <v>627</v>
      </c>
      <c r="C283" t="s">
        <v>290</v>
      </c>
      <c r="D283" t="s">
        <v>622</v>
      </c>
      <c r="E283" t="s">
        <v>151</v>
      </c>
      <c r="F283" t="s">
        <v>623</v>
      </c>
      <c r="G283">
        <v>0.43431818181818183</v>
      </c>
      <c r="H283" t="s">
        <v>624</v>
      </c>
      <c r="I283">
        <v>28.518627574083375</v>
      </c>
    </row>
    <row r="284" spans="1:9">
      <c r="A284">
        <v>2</v>
      </c>
      <c r="B284" t="s">
        <v>627</v>
      </c>
      <c r="C284" t="s">
        <v>303</v>
      </c>
      <c r="D284" t="s">
        <v>618</v>
      </c>
      <c r="E284">
        <v>4.5454545454545456E-2</v>
      </c>
    </row>
    <row r="285" spans="1:9">
      <c r="A285">
        <v>3</v>
      </c>
      <c r="B285" t="s">
        <v>627</v>
      </c>
      <c r="C285" t="s">
        <v>303</v>
      </c>
      <c r="D285" t="s">
        <v>619</v>
      </c>
      <c r="E285">
        <v>27.3</v>
      </c>
      <c r="F285" t="s">
        <v>620</v>
      </c>
      <c r="H285" t="s">
        <v>621</v>
      </c>
      <c r="I285">
        <v>1.240909090909091</v>
      </c>
    </row>
    <row r="286" spans="1:9">
      <c r="A286">
        <v>4</v>
      </c>
      <c r="B286" t="s">
        <v>627</v>
      </c>
      <c r="C286" t="s">
        <v>303</v>
      </c>
      <c r="D286" t="s">
        <v>622</v>
      </c>
      <c r="E286" t="s">
        <v>252</v>
      </c>
      <c r="F286" t="s">
        <v>623</v>
      </c>
      <c r="G286">
        <v>1.240909090909091</v>
      </c>
      <c r="H286" t="s">
        <v>624</v>
      </c>
      <c r="I286">
        <v>29.088566848419511</v>
      </c>
    </row>
    <row r="287" spans="1:9">
      <c r="A287">
        <v>2</v>
      </c>
      <c r="B287" t="s">
        <v>627</v>
      </c>
      <c r="C287" t="s">
        <v>287</v>
      </c>
      <c r="D287" t="s">
        <v>618</v>
      </c>
      <c r="E287">
        <v>3.4090909090909088E-2</v>
      </c>
    </row>
    <row r="288" spans="1:9">
      <c r="A288">
        <v>3</v>
      </c>
      <c r="B288" t="s">
        <v>627</v>
      </c>
      <c r="C288" t="s">
        <v>287</v>
      </c>
      <c r="D288" t="s">
        <v>619</v>
      </c>
      <c r="E288">
        <v>27.3</v>
      </c>
      <c r="F288" t="s">
        <v>620</v>
      </c>
      <c r="H288" t="s">
        <v>621</v>
      </c>
      <c r="I288">
        <v>0.18613636363636363</v>
      </c>
    </row>
    <row r="289" spans="1:9">
      <c r="A289">
        <v>4</v>
      </c>
      <c r="B289" t="s">
        <v>627</v>
      </c>
      <c r="C289" t="s">
        <v>287</v>
      </c>
      <c r="D289" t="s">
        <v>622</v>
      </c>
      <c r="E289" t="s">
        <v>242</v>
      </c>
      <c r="F289" t="s">
        <v>623</v>
      </c>
      <c r="G289">
        <v>0.18613636363636363</v>
      </c>
      <c r="H289" t="s">
        <v>624</v>
      </c>
      <c r="I289">
        <v>0.18613636363636363</v>
      </c>
    </row>
    <row r="290" spans="1:9">
      <c r="A290">
        <v>2</v>
      </c>
      <c r="B290" t="s">
        <v>627</v>
      </c>
      <c r="C290" t="s">
        <v>299</v>
      </c>
      <c r="D290" t="s">
        <v>618</v>
      </c>
      <c r="E290">
        <v>2.2727272727272728E-2</v>
      </c>
    </row>
    <row r="291" spans="1:9">
      <c r="A291">
        <v>3</v>
      </c>
      <c r="B291" t="s">
        <v>627</v>
      </c>
      <c r="C291" t="s">
        <v>299</v>
      </c>
      <c r="D291" t="s">
        <v>619</v>
      </c>
      <c r="E291">
        <v>27.3</v>
      </c>
      <c r="F291" t="s">
        <v>620</v>
      </c>
      <c r="H291" t="s">
        <v>621</v>
      </c>
      <c r="I291">
        <v>0.5273863636363636</v>
      </c>
    </row>
    <row r="292" spans="1:9">
      <c r="A292">
        <v>4</v>
      </c>
      <c r="B292" t="s">
        <v>627</v>
      </c>
      <c r="C292" t="s">
        <v>299</v>
      </c>
      <c r="D292" t="s">
        <v>622</v>
      </c>
      <c r="E292" t="s">
        <v>168</v>
      </c>
      <c r="F292" t="s">
        <v>623</v>
      </c>
      <c r="G292">
        <v>0.5273863636363636</v>
      </c>
      <c r="H292" t="s">
        <v>624</v>
      </c>
      <c r="I292">
        <v>21.947386363636362</v>
      </c>
    </row>
    <row r="293" spans="1:9">
      <c r="A293">
        <v>2</v>
      </c>
      <c r="B293" t="s">
        <v>627</v>
      </c>
      <c r="C293" t="s">
        <v>304</v>
      </c>
      <c r="D293" t="s">
        <v>618</v>
      </c>
      <c r="E293">
        <v>0.13636363636363635</v>
      </c>
    </row>
    <row r="294" spans="1:9">
      <c r="A294">
        <v>3</v>
      </c>
      <c r="B294" t="s">
        <v>627</v>
      </c>
      <c r="C294" t="s">
        <v>304</v>
      </c>
      <c r="D294" t="s">
        <v>619</v>
      </c>
      <c r="E294">
        <v>27.3</v>
      </c>
      <c r="F294" t="s">
        <v>620</v>
      </c>
      <c r="H294" t="s">
        <v>621</v>
      </c>
      <c r="I294">
        <v>3.1643181818181816</v>
      </c>
    </row>
    <row r="295" spans="1:9">
      <c r="A295">
        <v>4</v>
      </c>
      <c r="B295" t="s">
        <v>627</v>
      </c>
      <c r="C295" t="s">
        <v>304</v>
      </c>
      <c r="D295" t="s">
        <v>622</v>
      </c>
      <c r="E295" t="s">
        <v>155</v>
      </c>
      <c r="F295" t="s">
        <v>623</v>
      </c>
      <c r="G295">
        <v>3.1643181818181816</v>
      </c>
      <c r="H295" t="s">
        <v>624</v>
      </c>
      <c r="I295">
        <v>4.2190909090909088</v>
      </c>
    </row>
    <row r="296" spans="1:9">
      <c r="A296">
        <v>2</v>
      </c>
      <c r="B296" t="s">
        <v>627</v>
      </c>
      <c r="C296" t="s">
        <v>290</v>
      </c>
      <c r="D296" t="s">
        <v>618</v>
      </c>
      <c r="E296">
        <v>0.27272727272727271</v>
      </c>
    </row>
    <row r="297" spans="1:9">
      <c r="A297">
        <v>3</v>
      </c>
      <c r="B297" t="s">
        <v>627</v>
      </c>
      <c r="C297" t="s">
        <v>290</v>
      </c>
      <c r="D297" t="s">
        <v>619</v>
      </c>
      <c r="E297">
        <v>27.3</v>
      </c>
      <c r="F297" t="s">
        <v>620</v>
      </c>
      <c r="H297" t="s">
        <v>621</v>
      </c>
      <c r="I297">
        <v>5.211818181818181</v>
      </c>
    </row>
    <row r="298" spans="1:9">
      <c r="A298">
        <v>4</v>
      </c>
      <c r="B298" t="s">
        <v>627</v>
      </c>
      <c r="C298" t="s">
        <v>290</v>
      </c>
      <c r="D298" t="s">
        <v>622</v>
      </c>
      <c r="E298" t="s">
        <v>151</v>
      </c>
      <c r="F298" t="s">
        <v>623</v>
      </c>
      <c r="G298">
        <v>5.211818181818181</v>
      </c>
      <c r="H298" t="s">
        <v>624</v>
      </c>
      <c r="I298">
        <v>33.730445755901556</v>
      </c>
    </row>
    <row r="299" spans="1:9">
      <c r="A299">
        <v>2</v>
      </c>
      <c r="B299" t="s">
        <v>627</v>
      </c>
      <c r="C299" t="s">
        <v>311</v>
      </c>
      <c r="D299" t="s">
        <v>618</v>
      </c>
      <c r="E299">
        <v>0.27272727272727271</v>
      </c>
    </row>
    <row r="300" spans="1:9">
      <c r="A300">
        <v>3</v>
      </c>
      <c r="B300" t="s">
        <v>627</v>
      </c>
      <c r="C300" t="s">
        <v>311</v>
      </c>
      <c r="D300" t="s">
        <v>619</v>
      </c>
      <c r="E300">
        <v>27.3</v>
      </c>
      <c r="F300" t="s">
        <v>620</v>
      </c>
      <c r="H300" t="s">
        <v>621</v>
      </c>
      <c r="I300">
        <v>7.4454545454545453</v>
      </c>
    </row>
    <row r="301" spans="1:9">
      <c r="A301">
        <v>4</v>
      </c>
      <c r="B301" t="s">
        <v>627</v>
      </c>
      <c r="C301" t="s">
        <v>311</v>
      </c>
      <c r="D301" t="s">
        <v>622</v>
      </c>
      <c r="E301" t="s">
        <v>149</v>
      </c>
      <c r="F301" t="s">
        <v>623</v>
      </c>
      <c r="G301">
        <v>7.4454545454545453</v>
      </c>
      <c r="H301" t="s">
        <v>624</v>
      </c>
      <c r="I301">
        <v>9.1898698583374294</v>
      </c>
    </row>
    <row r="302" spans="1:9">
      <c r="A302">
        <v>2</v>
      </c>
      <c r="B302" t="s">
        <v>627</v>
      </c>
      <c r="C302" t="s">
        <v>305</v>
      </c>
      <c r="D302" t="s">
        <v>618</v>
      </c>
      <c r="E302">
        <v>2.2727272727272728E-2</v>
      </c>
    </row>
    <row r="303" spans="1:9">
      <c r="A303">
        <v>3</v>
      </c>
      <c r="B303" t="s">
        <v>627</v>
      </c>
      <c r="C303" t="s">
        <v>305</v>
      </c>
      <c r="D303" t="s">
        <v>619</v>
      </c>
      <c r="E303">
        <v>27.3</v>
      </c>
      <c r="F303" t="s">
        <v>620</v>
      </c>
      <c r="H303" t="s">
        <v>621</v>
      </c>
      <c r="I303">
        <v>0.43431818181818183</v>
      </c>
    </row>
    <row r="304" spans="1:9">
      <c r="A304">
        <v>4</v>
      </c>
      <c r="B304" t="s">
        <v>627</v>
      </c>
      <c r="C304" t="s">
        <v>305</v>
      </c>
      <c r="D304" t="s">
        <v>622</v>
      </c>
      <c r="E304" t="s">
        <v>176</v>
      </c>
      <c r="F304" t="s">
        <v>623</v>
      </c>
      <c r="G304">
        <v>0.43431818181818183</v>
      </c>
      <c r="H304" t="s">
        <v>624</v>
      </c>
      <c r="I304">
        <v>11.837287579799172</v>
      </c>
    </row>
    <row r="305" spans="1:9">
      <c r="A305">
        <v>2</v>
      </c>
      <c r="B305" t="s">
        <v>627</v>
      </c>
      <c r="C305" t="s">
        <v>299</v>
      </c>
      <c r="D305" t="s">
        <v>618</v>
      </c>
      <c r="E305">
        <v>2.2727272727272728E-2</v>
      </c>
    </row>
    <row r="306" spans="1:9">
      <c r="A306">
        <v>3</v>
      </c>
      <c r="B306" t="s">
        <v>627</v>
      </c>
      <c r="C306" t="s">
        <v>299</v>
      </c>
      <c r="D306" t="s">
        <v>619</v>
      </c>
      <c r="E306">
        <v>27.3</v>
      </c>
      <c r="F306" t="s">
        <v>620</v>
      </c>
      <c r="H306" t="s">
        <v>621</v>
      </c>
      <c r="I306">
        <v>0.5273863636363636</v>
      </c>
    </row>
    <row r="307" spans="1:9">
      <c r="A307">
        <v>4</v>
      </c>
      <c r="B307" t="s">
        <v>627</v>
      </c>
      <c r="C307" t="s">
        <v>299</v>
      </c>
      <c r="D307" t="s">
        <v>622</v>
      </c>
      <c r="E307" t="s">
        <v>168</v>
      </c>
      <c r="F307" t="s">
        <v>623</v>
      </c>
      <c r="G307">
        <v>0.5273863636363636</v>
      </c>
      <c r="H307" t="s">
        <v>624</v>
      </c>
      <c r="I307">
        <v>22.474772727272725</v>
      </c>
    </row>
    <row r="308" spans="1:9">
      <c r="A308">
        <v>2</v>
      </c>
      <c r="B308" t="s">
        <v>627</v>
      </c>
      <c r="C308" t="s">
        <v>312</v>
      </c>
      <c r="D308" t="s">
        <v>618</v>
      </c>
      <c r="E308">
        <v>1.1363636363636364E-2</v>
      </c>
    </row>
    <row r="309" spans="1:9">
      <c r="A309">
        <v>3</v>
      </c>
      <c r="B309" t="s">
        <v>627</v>
      </c>
      <c r="C309" t="s">
        <v>312</v>
      </c>
      <c r="D309" t="s">
        <v>619</v>
      </c>
      <c r="E309">
        <v>27.3</v>
      </c>
      <c r="F309" t="s">
        <v>620</v>
      </c>
      <c r="H309" t="s">
        <v>621</v>
      </c>
      <c r="I309">
        <v>6.2045454545454549E-2</v>
      </c>
    </row>
    <row r="310" spans="1:9">
      <c r="A310">
        <v>4</v>
      </c>
      <c r="B310" t="s">
        <v>627</v>
      </c>
      <c r="C310" t="s">
        <v>312</v>
      </c>
      <c r="D310" t="s">
        <v>622</v>
      </c>
      <c r="E310" t="s">
        <v>221</v>
      </c>
      <c r="F310" t="s">
        <v>623</v>
      </c>
      <c r="G310">
        <v>6.2045454545454549E-2</v>
      </c>
      <c r="H310" t="s">
        <v>624</v>
      </c>
      <c r="I310">
        <v>6.4943106479156203</v>
      </c>
    </row>
    <row r="311" spans="1:9">
      <c r="A311">
        <v>2</v>
      </c>
      <c r="B311" t="s">
        <v>627</v>
      </c>
      <c r="C311" t="s">
        <v>309</v>
      </c>
      <c r="D311" t="s">
        <v>618</v>
      </c>
      <c r="E311">
        <v>3.4090909090909088E-2</v>
      </c>
    </row>
    <row r="312" spans="1:9">
      <c r="A312">
        <v>3</v>
      </c>
      <c r="B312" t="s">
        <v>627</v>
      </c>
      <c r="C312" t="s">
        <v>309</v>
      </c>
      <c r="D312" t="s">
        <v>619</v>
      </c>
      <c r="E312">
        <v>27.3</v>
      </c>
      <c r="F312" t="s">
        <v>620</v>
      </c>
      <c r="H312" t="s">
        <v>621</v>
      </c>
      <c r="I312">
        <v>0.18613636363636363</v>
      </c>
    </row>
    <row r="313" spans="1:9">
      <c r="A313">
        <v>4</v>
      </c>
      <c r="B313" t="s">
        <v>627</v>
      </c>
      <c r="C313" t="s">
        <v>309</v>
      </c>
      <c r="D313" t="s">
        <v>622</v>
      </c>
      <c r="E313" t="s">
        <v>221</v>
      </c>
      <c r="F313" t="s">
        <v>623</v>
      </c>
      <c r="G313">
        <v>0.18613636363636363</v>
      </c>
      <c r="H313" t="s">
        <v>624</v>
      </c>
      <c r="I313">
        <v>6.6804470115519843</v>
      </c>
    </row>
    <row r="314" spans="1:9">
      <c r="A314">
        <v>1</v>
      </c>
      <c r="B314" t="s">
        <v>671</v>
      </c>
      <c r="D314" t="s">
        <v>616</v>
      </c>
      <c r="E314">
        <v>1</v>
      </c>
      <c r="F314" t="s">
        <v>617</v>
      </c>
      <c r="G314">
        <v>9</v>
      </c>
    </row>
    <row r="315" spans="1:9">
      <c r="A315">
        <v>2</v>
      </c>
      <c r="B315" t="s">
        <v>671</v>
      </c>
      <c r="C315" t="s">
        <v>64</v>
      </c>
      <c r="D315" t="s">
        <v>618</v>
      </c>
      <c r="E315">
        <v>1</v>
      </c>
    </row>
    <row r="316" spans="1:9">
      <c r="A316">
        <v>1</v>
      </c>
      <c r="B316" t="s">
        <v>671</v>
      </c>
      <c r="D316" t="s">
        <v>616</v>
      </c>
      <c r="E316">
        <v>2</v>
      </c>
      <c r="F316" t="s">
        <v>617</v>
      </c>
      <c r="G316">
        <v>9</v>
      </c>
    </row>
    <row r="317" spans="1:9">
      <c r="A317">
        <v>2</v>
      </c>
      <c r="B317" t="s">
        <v>671</v>
      </c>
      <c r="C317" t="s">
        <v>64</v>
      </c>
      <c r="D317" t="s">
        <v>618</v>
      </c>
      <c r="E317">
        <v>1</v>
      </c>
    </row>
    <row r="319" spans="1:9">
      <c r="A319">
        <v>2</v>
      </c>
      <c r="B319" t="s">
        <v>634</v>
      </c>
      <c r="C319" t="s">
        <v>296</v>
      </c>
      <c r="D319" t="s">
        <v>618</v>
      </c>
      <c r="E319">
        <v>1</v>
      </c>
    </row>
    <row r="320" spans="1:9">
      <c r="A320">
        <v>3</v>
      </c>
      <c r="B320" t="s">
        <v>634</v>
      </c>
      <c r="C320" t="s">
        <v>296</v>
      </c>
      <c r="D320" t="s">
        <v>619</v>
      </c>
      <c r="E320">
        <v>8.1</v>
      </c>
      <c r="F320" t="s">
        <v>620</v>
      </c>
      <c r="H320" t="s">
        <v>621</v>
      </c>
      <c r="I320">
        <v>5.669999999999999</v>
      </c>
    </row>
    <row r="321" spans="1:9">
      <c r="A321">
        <v>4</v>
      </c>
      <c r="B321" t="s">
        <v>634</v>
      </c>
      <c r="C321" t="s">
        <v>296</v>
      </c>
      <c r="D321" t="s">
        <v>622</v>
      </c>
      <c r="E321" t="s">
        <v>136</v>
      </c>
      <c r="F321" t="s">
        <v>623</v>
      </c>
      <c r="G321">
        <v>5.669999999999999</v>
      </c>
      <c r="H321" t="s">
        <v>624</v>
      </c>
      <c r="I321">
        <v>5.669999999999999</v>
      </c>
    </row>
    <row r="322" spans="1:9">
      <c r="A322">
        <v>1</v>
      </c>
      <c r="B322" t="s">
        <v>634</v>
      </c>
      <c r="D322" t="s">
        <v>616</v>
      </c>
      <c r="E322">
        <v>2</v>
      </c>
      <c r="F322" t="s">
        <v>617</v>
      </c>
      <c r="G322">
        <v>8.1</v>
      </c>
    </row>
    <row r="323" spans="1:9">
      <c r="A323">
        <v>2</v>
      </c>
      <c r="B323" t="s">
        <v>634</v>
      </c>
      <c r="C323" t="s">
        <v>296</v>
      </c>
      <c r="D323" t="s">
        <v>618</v>
      </c>
      <c r="E323">
        <v>1</v>
      </c>
    </row>
    <row r="324" spans="1:9">
      <c r="A324">
        <v>3</v>
      </c>
      <c r="B324" t="s">
        <v>634</v>
      </c>
      <c r="C324" t="s">
        <v>296</v>
      </c>
      <c r="D324" t="s">
        <v>619</v>
      </c>
      <c r="E324">
        <v>8.1</v>
      </c>
      <c r="F324" t="s">
        <v>620</v>
      </c>
      <c r="H324" t="s">
        <v>621</v>
      </c>
      <c r="I324">
        <v>5.669999999999999</v>
      </c>
    </row>
    <row r="325" spans="1:9">
      <c r="A325">
        <v>4</v>
      </c>
      <c r="B325" t="s">
        <v>634</v>
      </c>
      <c r="C325" t="s">
        <v>296</v>
      </c>
      <c r="D325" t="s">
        <v>622</v>
      </c>
      <c r="E325" t="s">
        <v>136</v>
      </c>
      <c r="F325" t="s">
        <v>623</v>
      </c>
      <c r="G325">
        <v>5.669999999999999</v>
      </c>
      <c r="H325" t="s">
        <v>624</v>
      </c>
      <c r="I325">
        <v>5.669999999999999</v>
      </c>
    </row>
    <row r="326" spans="1:9">
      <c r="A326">
        <v>1</v>
      </c>
      <c r="B326" t="s">
        <v>635</v>
      </c>
      <c r="D326" t="s">
        <v>616</v>
      </c>
      <c r="E326">
        <v>1</v>
      </c>
      <c r="F326" t="s">
        <v>617</v>
      </c>
      <c r="G326">
        <v>10.8</v>
      </c>
    </row>
    <row r="327" spans="1:9">
      <c r="A327">
        <v>2</v>
      </c>
      <c r="B327" t="s">
        <v>635</v>
      </c>
      <c r="C327" t="s">
        <v>304</v>
      </c>
      <c r="D327" t="s">
        <v>618</v>
      </c>
      <c r="E327">
        <v>1</v>
      </c>
    </row>
    <row r="328" spans="1:9">
      <c r="A328">
        <v>3</v>
      </c>
      <c r="B328" t="s">
        <v>635</v>
      </c>
      <c r="C328" t="s">
        <v>304</v>
      </c>
      <c r="D328" t="s">
        <v>619</v>
      </c>
      <c r="E328">
        <v>10.8</v>
      </c>
      <c r="F328" t="s">
        <v>620</v>
      </c>
      <c r="H328" t="s">
        <v>621</v>
      </c>
      <c r="I328">
        <v>9.18</v>
      </c>
    </row>
    <row r="329" spans="1:9">
      <c r="A329">
        <v>4</v>
      </c>
      <c r="B329" t="s">
        <v>635</v>
      </c>
      <c r="C329" t="s">
        <v>304</v>
      </c>
      <c r="D329" t="s">
        <v>622</v>
      </c>
      <c r="E329" t="s">
        <v>155</v>
      </c>
      <c r="F329" t="s">
        <v>623</v>
      </c>
      <c r="G329">
        <v>9.18</v>
      </c>
      <c r="H329" t="s">
        <v>624</v>
      </c>
      <c r="I329">
        <v>13.399090909090908</v>
      </c>
    </row>
    <row r="330" spans="1:9">
      <c r="A330">
        <v>1</v>
      </c>
      <c r="B330" t="s">
        <v>635</v>
      </c>
      <c r="D330" t="s">
        <v>616</v>
      </c>
      <c r="E330">
        <v>2</v>
      </c>
      <c r="F330" t="s">
        <v>617</v>
      </c>
      <c r="G330">
        <v>10.8</v>
      </c>
    </row>
    <row r="331" spans="1:9">
      <c r="A331">
        <v>2</v>
      </c>
      <c r="B331" t="s">
        <v>635</v>
      </c>
      <c r="C331" t="s">
        <v>304</v>
      </c>
      <c r="D331" t="s">
        <v>618</v>
      </c>
      <c r="E331">
        <v>1</v>
      </c>
    </row>
    <row r="332" spans="1:9">
      <c r="A332">
        <v>3</v>
      </c>
      <c r="B332" t="s">
        <v>635</v>
      </c>
      <c r="C332" t="s">
        <v>304</v>
      </c>
      <c r="D332" t="s">
        <v>619</v>
      </c>
      <c r="E332">
        <v>10.8</v>
      </c>
      <c r="F332" t="s">
        <v>620</v>
      </c>
      <c r="H332" t="s">
        <v>621</v>
      </c>
      <c r="I332">
        <v>9.18</v>
      </c>
    </row>
    <row r="333" spans="1:9">
      <c r="A333">
        <v>4</v>
      </c>
      <c r="B333" t="s">
        <v>635</v>
      </c>
      <c r="C333" t="s">
        <v>304</v>
      </c>
      <c r="D333" t="s">
        <v>622</v>
      </c>
      <c r="E333" t="s">
        <v>155</v>
      </c>
      <c r="F333" t="s">
        <v>623</v>
      </c>
      <c r="G333">
        <v>9.18</v>
      </c>
      <c r="H333" t="s">
        <v>624</v>
      </c>
      <c r="I333">
        <v>13.399090909090908</v>
      </c>
    </row>
    <row r="334" spans="1:9">
      <c r="A334">
        <v>1</v>
      </c>
      <c r="B334" t="s">
        <v>637</v>
      </c>
      <c r="D334" t="s">
        <v>616</v>
      </c>
      <c r="E334">
        <v>1</v>
      </c>
      <c r="F334" t="s">
        <v>617</v>
      </c>
      <c r="G334">
        <v>10.8</v>
      </c>
    </row>
    <row r="335" spans="1:9">
      <c r="A335">
        <v>2</v>
      </c>
      <c r="B335" t="s">
        <v>637</v>
      </c>
      <c r="C335" t="s">
        <v>309</v>
      </c>
      <c r="D335" t="s">
        <v>618</v>
      </c>
      <c r="E335">
        <v>1</v>
      </c>
    </row>
    <row r="336" spans="1:9">
      <c r="A336">
        <v>3</v>
      </c>
      <c r="B336" t="s">
        <v>637</v>
      </c>
      <c r="C336" t="s">
        <v>309</v>
      </c>
      <c r="D336" t="s">
        <v>619</v>
      </c>
      <c r="E336">
        <v>10.8</v>
      </c>
      <c r="F336" t="s">
        <v>620</v>
      </c>
      <c r="H336" t="s">
        <v>621</v>
      </c>
      <c r="I336">
        <v>2.16</v>
      </c>
    </row>
    <row r="337" spans="1:9">
      <c r="A337">
        <v>4</v>
      </c>
      <c r="B337" t="s">
        <v>637</v>
      </c>
      <c r="C337" t="s">
        <v>309</v>
      </c>
      <c r="D337" t="s">
        <v>622</v>
      </c>
      <c r="E337" t="s">
        <v>221</v>
      </c>
      <c r="F337" t="s">
        <v>623</v>
      </c>
      <c r="G337">
        <v>2.16</v>
      </c>
      <c r="H337" t="s">
        <v>624</v>
      </c>
      <c r="I337">
        <v>8.8404470115519835</v>
      </c>
    </row>
    <row r="338" spans="1:9">
      <c r="A338">
        <v>1</v>
      </c>
      <c r="B338" t="s">
        <v>637</v>
      </c>
      <c r="D338" t="s">
        <v>616</v>
      </c>
      <c r="E338">
        <v>2</v>
      </c>
      <c r="F338" t="s">
        <v>617</v>
      </c>
      <c r="G338">
        <v>10.8</v>
      </c>
    </row>
    <row r="339" spans="1:9">
      <c r="A339">
        <v>2</v>
      </c>
      <c r="B339" t="s">
        <v>637</v>
      </c>
      <c r="C339" t="s">
        <v>309</v>
      </c>
      <c r="D339" t="s">
        <v>618</v>
      </c>
      <c r="E339">
        <v>1</v>
      </c>
    </row>
    <row r="340" spans="1:9">
      <c r="A340">
        <v>3</v>
      </c>
      <c r="B340" t="s">
        <v>637</v>
      </c>
      <c r="C340" t="s">
        <v>309</v>
      </c>
      <c r="D340" t="s">
        <v>619</v>
      </c>
      <c r="E340">
        <v>10.8</v>
      </c>
      <c r="F340" t="s">
        <v>620</v>
      </c>
      <c r="H340" t="s">
        <v>621</v>
      </c>
      <c r="I340">
        <v>2.16</v>
      </c>
    </row>
    <row r="341" spans="1:9">
      <c r="A341">
        <v>4</v>
      </c>
      <c r="B341" t="s">
        <v>637</v>
      </c>
      <c r="C341" t="s">
        <v>309</v>
      </c>
      <c r="D341" t="s">
        <v>622</v>
      </c>
      <c r="E341" t="s">
        <v>221</v>
      </c>
      <c r="F341" t="s">
        <v>623</v>
      </c>
      <c r="G341">
        <v>2.16</v>
      </c>
      <c r="H341" t="s">
        <v>624</v>
      </c>
      <c r="I341">
        <v>8.8404470115519835</v>
      </c>
    </row>
    <row r="342" spans="1:9">
      <c r="A342">
        <v>1</v>
      </c>
      <c r="B342" t="s">
        <v>638</v>
      </c>
      <c r="D342" t="s">
        <v>616</v>
      </c>
      <c r="E342">
        <v>1</v>
      </c>
      <c r="F342" t="s">
        <v>617</v>
      </c>
      <c r="G342">
        <v>90</v>
      </c>
    </row>
    <row r="343" spans="1:9">
      <c r="A343">
        <v>1</v>
      </c>
      <c r="B343" t="s">
        <v>638</v>
      </c>
      <c r="D343" t="s">
        <v>616</v>
      </c>
      <c r="E343">
        <v>2</v>
      </c>
      <c r="F343" t="s">
        <v>617</v>
      </c>
      <c r="G343">
        <v>90</v>
      </c>
    </row>
    <row r="344" spans="1:9">
      <c r="A344">
        <v>1</v>
      </c>
      <c r="B344" t="s">
        <v>639</v>
      </c>
      <c r="D344" t="s">
        <v>616</v>
      </c>
      <c r="E344">
        <v>1</v>
      </c>
      <c r="F344" t="s">
        <v>617</v>
      </c>
      <c r="G344">
        <v>90</v>
      </c>
    </row>
    <row r="345" spans="1:9">
      <c r="A345">
        <v>1</v>
      </c>
      <c r="B345" t="s">
        <v>639</v>
      </c>
      <c r="D345" t="s">
        <v>616</v>
      </c>
      <c r="E345">
        <v>2</v>
      </c>
      <c r="F345" t="s">
        <v>617</v>
      </c>
      <c r="G345">
        <v>90</v>
      </c>
    </row>
    <row r="346" spans="1:9">
      <c r="A346">
        <v>1</v>
      </c>
      <c r="B346" t="s">
        <v>640</v>
      </c>
      <c r="D346" t="s">
        <v>616</v>
      </c>
      <c r="E346">
        <v>1</v>
      </c>
      <c r="F346" t="s">
        <v>617</v>
      </c>
      <c r="G346">
        <v>90</v>
      </c>
    </row>
    <row r="347" spans="1:9">
      <c r="A347">
        <v>1</v>
      </c>
      <c r="B347" t="s">
        <v>640</v>
      </c>
      <c r="D347" t="s">
        <v>616</v>
      </c>
      <c r="E347">
        <v>2</v>
      </c>
      <c r="F347" t="s">
        <v>617</v>
      </c>
      <c r="G347">
        <v>90</v>
      </c>
    </row>
    <row r="348" spans="1:9">
      <c r="A348">
        <v>1</v>
      </c>
      <c r="B348" t="s">
        <v>641</v>
      </c>
      <c r="D348" t="s">
        <v>616</v>
      </c>
      <c r="E348">
        <v>1</v>
      </c>
      <c r="F348" t="s">
        <v>617</v>
      </c>
      <c r="G348">
        <v>36</v>
      </c>
    </row>
    <row r="349" spans="1:9">
      <c r="A349">
        <v>1</v>
      </c>
      <c r="B349" t="s">
        <v>641</v>
      </c>
      <c r="D349" t="s">
        <v>616</v>
      </c>
      <c r="E349">
        <v>2</v>
      </c>
      <c r="F349" t="s">
        <v>617</v>
      </c>
      <c r="G349">
        <v>36</v>
      </c>
    </row>
    <row r="350" spans="1:9">
      <c r="A350">
        <v>1</v>
      </c>
      <c r="B350" t="s">
        <v>645</v>
      </c>
      <c r="D350" t="s">
        <v>616</v>
      </c>
      <c r="E350">
        <v>1</v>
      </c>
      <c r="F350" t="s">
        <v>617</v>
      </c>
      <c r="G350">
        <v>45</v>
      </c>
    </row>
    <row r="351" spans="1:9">
      <c r="A351">
        <v>2</v>
      </c>
      <c r="B351" t="s">
        <v>645</v>
      </c>
      <c r="C351" t="s">
        <v>358</v>
      </c>
      <c r="D351" t="s">
        <v>618</v>
      </c>
      <c r="E351">
        <v>0.97</v>
      </c>
    </row>
    <row r="352" spans="1:9">
      <c r="A352">
        <v>3</v>
      </c>
      <c r="B352" t="s">
        <v>645</v>
      </c>
      <c r="C352" t="s">
        <v>358</v>
      </c>
      <c r="D352" t="s">
        <v>619</v>
      </c>
      <c r="E352">
        <v>45</v>
      </c>
      <c r="F352" t="s">
        <v>620</v>
      </c>
      <c r="H352" t="s">
        <v>621</v>
      </c>
      <c r="I352">
        <v>43.65</v>
      </c>
    </row>
    <row r="353" spans="1:9">
      <c r="A353">
        <v>4</v>
      </c>
      <c r="B353" t="s">
        <v>645</v>
      </c>
      <c r="C353" t="s">
        <v>358</v>
      </c>
      <c r="D353" t="s">
        <v>622</v>
      </c>
      <c r="E353" t="s">
        <v>263</v>
      </c>
      <c r="F353" t="s">
        <v>623</v>
      </c>
      <c r="G353">
        <v>43.65</v>
      </c>
      <c r="H353" t="s">
        <v>624</v>
      </c>
      <c r="I353">
        <v>160.75050430238701</v>
      </c>
    </row>
    <row r="354" spans="1:9">
      <c r="A354">
        <v>2</v>
      </c>
      <c r="B354" t="s">
        <v>645</v>
      </c>
      <c r="C354" t="s">
        <v>396</v>
      </c>
      <c r="D354" t="s">
        <v>618</v>
      </c>
      <c r="E354">
        <v>0.02</v>
      </c>
    </row>
    <row r="355" spans="1:9">
      <c r="A355">
        <v>2</v>
      </c>
      <c r="B355" t="s">
        <v>645</v>
      </c>
      <c r="C355" t="s">
        <v>326</v>
      </c>
      <c r="D355" t="s">
        <v>618</v>
      </c>
      <c r="E355">
        <v>0.01</v>
      </c>
    </row>
    <row r="356" spans="1:9">
      <c r="A356">
        <v>3</v>
      </c>
      <c r="B356" t="s">
        <v>645</v>
      </c>
      <c r="C356" t="s">
        <v>326</v>
      </c>
      <c r="D356" t="s">
        <v>619</v>
      </c>
      <c r="E356">
        <v>45</v>
      </c>
      <c r="F356" t="s">
        <v>620</v>
      </c>
      <c r="H356" t="s">
        <v>621</v>
      </c>
      <c r="I356">
        <v>9.0000000000000011E-2</v>
      </c>
    </row>
    <row r="357" spans="1:9">
      <c r="A357">
        <v>4</v>
      </c>
      <c r="B357" t="s">
        <v>645</v>
      </c>
      <c r="C357" t="s">
        <v>326</v>
      </c>
      <c r="D357" t="s">
        <v>622</v>
      </c>
      <c r="E357" t="s">
        <v>219</v>
      </c>
      <c r="F357" t="s">
        <v>623</v>
      </c>
      <c r="G357">
        <v>9.0000000000000011E-2</v>
      </c>
      <c r="H357" t="s">
        <v>624</v>
      </c>
      <c r="I357">
        <v>0.55408839779005525</v>
      </c>
    </row>
    <row r="359" spans="1:9">
      <c r="A359">
        <v>2</v>
      </c>
      <c r="B359" t="s">
        <v>645</v>
      </c>
      <c r="C359" t="s">
        <v>358</v>
      </c>
      <c r="D359" t="s">
        <v>618</v>
      </c>
      <c r="E359">
        <v>0.97</v>
      </c>
    </row>
    <row r="360" spans="1:9">
      <c r="A360">
        <v>3</v>
      </c>
      <c r="B360" t="s">
        <v>645</v>
      </c>
      <c r="C360" t="s">
        <v>358</v>
      </c>
      <c r="D360" t="s">
        <v>619</v>
      </c>
      <c r="E360">
        <v>45</v>
      </c>
      <c r="F360" t="s">
        <v>620</v>
      </c>
      <c r="H360" t="s">
        <v>621</v>
      </c>
      <c r="I360">
        <v>43.65</v>
      </c>
    </row>
    <row r="361" spans="1:9">
      <c r="A361">
        <v>4</v>
      </c>
      <c r="B361" t="s">
        <v>645</v>
      </c>
      <c r="C361" t="s">
        <v>358</v>
      </c>
      <c r="D361" t="s">
        <v>622</v>
      </c>
      <c r="E361" t="s">
        <v>263</v>
      </c>
      <c r="F361" t="s">
        <v>623</v>
      </c>
      <c r="G361">
        <v>43.65</v>
      </c>
      <c r="H361" t="s">
        <v>624</v>
      </c>
      <c r="I361">
        <v>160.75050430238701</v>
      </c>
    </row>
    <row r="362" spans="1:9">
      <c r="A362">
        <v>2</v>
      </c>
      <c r="B362" t="s">
        <v>645</v>
      </c>
      <c r="C362" t="s">
        <v>396</v>
      </c>
      <c r="D362" t="s">
        <v>618</v>
      </c>
      <c r="E362">
        <v>0.02</v>
      </c>
    </row>
    <row r="363" spans="1:9">
      <c r="A363">
        <v>2</v>
      </c>
      <c r="B363" t="s">
        <v>645</v>
      </c>
      <c r="C363" t="s">
        <v>326</v>
      </c>
      <c r="D363" t="s">
        <v>618</v>
      </c>
      <c r="E363">
        <v>0.01</v>
      </c>
    </row>
    <row r="364" spans="1:9">
      <c r="A364">
        <v>3</v>
      </c>
      <c r="B364" t="s">
        <v>645</v>
      </c>
      <c r="C364" t="s">
        <v>326</v>
      </c>
      <c r="D364" t="s">
        <v>619</v>
      </c>
      <c r="E364">
        <v>45</v>
      </c>
      <c r="F364" t="s">
        <v>620</v>
      </c>
      <c r="H364" t="s">
        <v>621</v>
      </c>
      <c r="I364">
        <v>9.0000000000000011E-2</v>
      </c>
    </row>
    <row r="365" spans="1:9">
      <c r="A365">
        <v>4</v>
      </c>
      <c r="B365" t="s">
        <v>645</v>
      </c>
      <c r="C365" t="s">
        <v>326</v>
      </c>
      <c r="D365" t="s">
        <v>622</v>
      </c>
      <c r="E365" t="s">
        <v>219</v>
      </c>
      <c r="F365" t="s">
        <v>623</v>
      </c>
      <c r="G365">
        <v>9.0000000000000011E-2</v>
      </c>
      <c r="H365" t="s">
        <v>624</v>
      </c>
      <c r="I365">
        <v>0.55408839779005525</v>
      </c>
    </row>
    <row r="366" spans="1:9">
      <c r="A366">
        <v>1</v>
      </c>
      <c r="B366" t="s">
        <v>646</v>
      </c>
      <c r="D366" t="s">
        <v>616</v>
      </c>
      <c r="E366">
        <v>1</v>
      </c>
      <c r="F366" t="s">
        <v>617</v>
      </c>
      <c r="G366">
        <v>45</v>
      </c>
    </row>
    <row r="367" spans="1:9">
      <c r="A367">
        <v>2</v>
      </c>
      <c r="B367" t="s">
        <v>646</v>
      </c>
      <c r="C367" t="s">
        <v>358</v>
      </c>
      <c r="D367" t="s">
        <v>618</v>
      </c>
      <c r="E367">
        <v>0.92</v>
      </c>
    </row>
    <row r="368" spans="1:9">
      <c r="A368">
        <v>3</v>
      </c>
      <c r="B368" t="s">
        <v>646</v>
      </c>
      <c r="C368" t="s">
        <v>358</v>
      </c>
      <c r="D368" t="s">
        <v>619</v>
      </c>
      <c r="E368">
        <v>45</v>
      </c>
      <c r="F368" t="s">
        <v>620</v>
      </c>
      <c r="H368" t="s">
        <v>621</v>
      </c>
      <c r="I368">
        <v>41.4</v>
      </c>
    </row>
    <row r="369" spans="1:9">
      <c r="A369">
        <v>4</v>
      </c>
      <c r="B369" t="s">
        <v>646</v>
      </c>
      <c r="C369" t="s">
        <v>358</v>
      </c>
      <c r="D369" t="s">
        <v>622</v>
      </c>
      <c r="E369" t="s">
        <v>263</v>
      </c>
      <c r="F369" t="s">
        <v>623</v>
      </c>
      <c r="G369">
        <v>41.4</v>
      </c>
      <c r="H369" t="s">
        <v>624</v>
      </c>
      <c r="I369">
        <v>202.15050430238702</v>
      </c>
    </row>
    <row r="370" spans="1:9">
      <c r="A370">
        <v>2</v>
      </c>
      <c r="B370" t="s">
        <v>646</v>
      </c>
      <c r="C370" t="s">
        <v>392</v>
      </c>
      <c r="D370" t="s">
        <v>618</v>
      </c>
      <c r="E370">
        <v>0.03</v>
      </c>
    </row>
    <row r="371" spans="1:9">
      <c r="A371">
        <v>2</v>
      </c>
      <c r="B371" t="s">
        <v>646</v>
      </c>
      <c r="C371" t="s">
        <v>377</v>
      </c>
      <c r="D371" t="s">
        <v>618</v>
      </c>
      <c r="E371">
        <v>0.05</v>
      </c>
    </row>
    <row r="372" spans="1:9">
      <c r="A372">
        <v>3</v>
      </c>
      <c r="B372" t="s">
        <v>646</v>
      </c>
      <c r="C372" t="s">
        <v>377</v>
      </c>
      <c r="D372" t="s">
        <v>619</v>
      </c>
      <c r="E372">
        <v>45</v>
      </c>
      <c r="F372" t="s">
        <v>620</v>
      </c>
      <c r="H372" t="s">
        <v>621</v>
      </c>
      <c r="I372">
        <v>2.25</v>
      </c>
    </row>
    <row r="374" spans="1:9">
      <c r="A374">
        <v>2</v>
      </c>
      <c r="B374" t="s">
        <v>646</v>
      </c>
      <c r="C374" t="s">
        <v>358</v>
      </c>
      <c r="D374" t="s">
        <v>618</v>
      </c>
      <c r="E374">
        <v>0.92</v>
      </c>
    </row>
    <row r="375" spans="1:9">
      <c r="A375">
        <v>3</v>
      </c>
      <c r="B375" t="s">
        <v>646</v>
      </c>
      <c r="C375" t="s">
        <v>358</v>
      </c>
      <c r="D375" t="s">
        <v>619</v>
      </c>
      <c r="E375">
        <v>45</v>
      </c>
      <c r="F375" t="s">
        <v>620</v>
      </c>
      <c r="H375" t="s">
        <v>621</v>
      </c>
      <c r="I375">
        <v>41.4</v>
      </c>
    </row>
    <row r="376" spans="1:9">
      <c r="A376">
        <v>4</v>
      </c>
      <c r="B376" t="s">
        <v>646</v>
      </c>
      <c r="C376" t="s">
        <v>358</v>
      </c>
      <c r="D376" t="s">
        <v>622</v>
      </c>
      <c r="E376" t="s">
        <v>263</v>
      </c>
      <c r="F376" t="s">
        <v>623</v>
      </c>
      <c r="G376">
        <v>41.4</v>
      </c>
      <c r="H376" t="s">
        <v>624</v>
      </c>
      <c r="I376">
        <v>202.15050430238702</v>
      </c>
    </row>
    <row r="377" spans="1:9">
      <c r="A377">
        <v>2</v>
      </c>
      <c r="B377" t="s">
        <v>646</v>
      </c>
      <c r="C377" t="s">
        <v>392</v>
      </c>
      <c r="D377" t="s">
        <v>618</v>
      </c>
      <c r="E377">
        <v>0.03</v>
      </c>
    </row>
    <row r="378" spans="1:9">
      <c r="A378">
        <v>2</v>
      </c>
      <c r="B378" t="s">
        <v>646</v>
      </c>
      <c r="C378" t="s">
        <v>377</v>
      </c>
      <c r="D378" t="s">
        <v>618</v>
      </c>
      <c r="E378">
        <v>0.05</v>
      </c>
    </row>
    <row r="379" spans="1:9">
      <c r="A379">
        <v>3</v>
      </c>
      <c r="B379" t="s">
        <v>646</v>
      </c>
      <c r="C379" t="s">
        <v>377</v>
      </c>
      <c r="D379" t="s">
        <v>619</v>
      </c>
      <c r="E379">
        <v>45</v>
      </c>
      <c r="F379" t="s">
        <v>620</v>
      </c>
      <c r="H379" t="s">
        <v>621</v>
      </c>
      <c r="I379">
        <v>2.25</v>
      </c>
    </row>
    <row r="380" spans="1:9">
      <c r="A380">
        <v>1</v>
      </c>
      <c r="B380" t="s">
        <v>647</v>
      </c>
      <c r="D380" t="s">
        <v>616</v>
      </c>
      <c r="E380">
        <v>1</v>
      </c>
      <c r="F380" t="s">
        <v>617</v>
      </c>
      <c r="G380">
        <v>9</v>
      </c>
    </row>
    <row r="381" spans="1:9">
      <c r="A381">
        <v>2</v>
      </c>
      <c r="B381" t="s">
        <v>647</v>
      </c>
      <c r="C381" t="s">
        <v>290</v>
      </c>
      <c r="D381" t="s">
        <v>618</v>
      </c>
      <c r="E381">
        <v>0.22222222222222221</v>
      </c>
    </row>
    <row r="382" spans="1:9">
      <c r="A382">
        <v>3</v>
      </c>
      <c r="B382" t="s">
        <v>647</v>
      </c>
      <c r="C382" t="s">
        <v>290</v>
      </c>
      <c r="D382" t="s">
        <v>619</v>
      </c>
      <c r="E382">
        <v>9</v>
      </c>
      <c r="F382" t="s">
        <v>620</v>
      </c>
      <c r="H382" t="s">
        <v>621</v>
      </c>
      <c r="I382">
        <v>1.4</v>
      </c>
    </row>
    <row r="383" spans="1:9">
      <c r="A383">
        <v>4</v>
      </c>
      <c r="B383" t="s">
        <v>647</v>
      </c>
      <c r="C383" t="s">
        <v>290</v>
      </c>
      <c r="D383" t="s">
        <v>622</v>
      </c>
      <c r="E383" t="s">
        <v>151</v>
      </c>
      <c r="F383" t="s">
        <v>623</v>
      </c>
      <c r="G383">
        <v>1.4</v>
      </c>
      <c r="H383" t="s">
        <v>624</v>
      </c>
      <c r="I383">
        <v>35.130445755901555</v>
      </c>
    </row>
    <row r="384" spans="1:9">
      <c r="A384">
        <v>2</v>
      </c>
      <c r="B384" t="s">
        <v>647</v>
      </c>
      <c r="C384" t="s">
        <v>303</v>
      </c>
      <c r="D384" t="s">
        <v>618</v>
      </c>
      <c r="E384">
        <v>0.1111111111111111</v>
      </c>
    </row>
    <row r="385" spans="1:9">
      <c r="A385">
        <v>3</v>
      </c>
      <c r="B385" t="s">
        <v>647</v>
      </c>
      <c r="C385" t="s">
        <v>303</v>
      </c>
      <c r="D385" t="s">
        <v>619</v>
      </c>
      <c r="E385">
        <v>9</v>
      </c>
      <c r="F385" t="s">
        <v>620</v>
      </c>
      <c r="H385" t="s">
        <v>621</v>
      </c>
      <c r="I385">
        <v>1</v>
      </c>
    </row>
    <row r="386" spans="1:9">
      <c r="A386">
        <v>4</v>
      </c>
      <c r="B386" t="s">
        <v>647</v>
      </c>
      <c r="C386" t="s">
        <v>303</v>
      </c>
      <c r="D386" t="s">
        <v>622</v>
      </c>
      <c r="E386" t="s">
        <v>252</v>
      </c>
      <c r="F386" t="s">
        <v>623</v>
      </c>
      <c r="G386">
        <v>1</v>
      </c>
      <c r="H386" t="s">
        <v>624</v>
      </c>
      <c r="I386">
        <v>30.088566848419511</v>
      </c>
    </row>
    <row r="387" spans="1:9">
      <c r="A387">
        <v>2</v>
      </c>
      <c r="B387" t="s">
        <v>647</v>
      </c>
      <c r="C387" t="s">
        <v>734</v>
      </c>
      <c r="D387" t="s">
        <v>618</v>
      </c>
      <c r="E387">
        <v>0.22222222222222221</v>
      </c>
    </row>
    <row r="388" spans="1:9">
      <c r="A388">
        <v>2</v>
      </c>
      <c r="B388" t="s">
        <v>647</v>
      </c>
      <c r="C388" t="s">
        <v>326</v>
      </c>
      <c r="D388" t="s">
        <v>618</v>
      </c>
      <c r="E388">
        <v>0.22222222222222221</v>
      </c>
    </row>
    <row r="389" spans="1:9">
      <c r="A389">
        <v>3</v>
      </c>
      <c r="B389" t="s">
        <v>647</v>
      </c>
      <c r="C389" t="s">
        <v>326</v>
      </c>
      <c r="D389" t="s">
        <v>619</v>
      </c>
      <c r="E389">
        <v>9</v>
      </c>
      <c r="F389" t="s">
        <v>620</v>
      </c>
      <c r="H389" t="s">
        <v>621</v>
      </c>
      <c r="I389">
        <v>0.4</v>
      </c>
    </row>
    <row r="391" spans="1:9">
      <c r="A391">
        <v>2</v>
      </c>
      <c r="B391" t="s">
        <v>647</v>
      </c>
      <c r="C391" t="s">
        <v>371</v>
      </c>
      <c r="D391" t="s">
        <v>618</v>
      </c>
      <c r="E391">
        <v>0.22222222222222221</v>
      </c>
    </row>
    <row r="392" spans="1:9">
      <c r="A392">
        <v>3</v>
      </c>
      <c r="B392" t="s">
        <v>647</v>
      </c>
      <c r="C392" t="s">
        <v>371</v>
      </c>
      <c r="D392" t="s">
        <v>619</v>
      </c>
      <c r="E392">
        <v>9</v>
      </c>
      <c r="F392" t="s">
        <v>620</v>
      </c>
      <c r="H392" t="s">
        <v>621</v>
      </c>
      <c r="I392">
        <v>1.8</v>
      </c>
    </row>
    <row r="393" spans="1:9">
      <c r="A393">
        <v>4</v>
      </c>
      <c r="B393" t="s">
        <v>647</v>
      </c>
      <c r="C393" t="s">
        <v>371</v>
      </c>
      <c r="D393" t="s">
        <v>622</v>
      </c>
      <c r="E393" t="s">
        <v>259</v>
      </c>
      <c r="F393" t="s">
        <v>623</v>
      </c>
      <c r="G393">
        <v>1.8</v>
      </c>
      <c r="H393" t="s">
        <v>624</v>
      </c>
      <c r="I393">
        <v>1.8</v>
      </c>
    </row>
    <row r="394" spans="1:9">
      <c r="A394">
        <v>1</v>
      </c>
      <c r="B394" t="s">
        <v>647</v>
      </c>
      <c r="D394" t="s">
        <v>616</v>
      </c>
      <c r="E394">
        <v>2</v>
      </c>
      <c r="F394" t="s">
        <v>617</v>
      </c>
      <c r="G394">
        <v>9</v>
      </c>
    </row>
    <row r="395" spans="1:9">
      <c r="A395">
        <v>2</v>
      </c>
      <c r="B395" t="s">
        <v>647</v>
      </c>
      <c r="C395" t="s">
        <v>290</v>
      </c>
      <c r="D395" t="s">
        <v>618</v>
      </c>
      <c r="E395">
        <v>0.22222222222222221</v>
      </c>
    </row>
    <row r="396" spans="1:9">
      <c r="A396">
        <v>3</v>
      </c>
      <c r="B396" t="s">
        <v>647</v>
      </c>
      <c r="C396" t="s">
        <v>290</v>
      </c>
      <c r="D396" t="s">
        <v>619</v>
      </c>
      <c r="E396">
        <v>9</v>
      </c>
      <c r="F396" t="s">
        <v>620</v>
      </c>
      <c r="H396" t="s">
        <v>621</v>
      </c>
      <c r="I396">
        <v>1.4</v>
      </c>
    </row>
    <row r="397" spans="1:9">
      <c r="A397">
        <v>4</v>
      </c>
      <c r="B397" t="s">
        <v>647</v>
      </c>
      <c r="C397" t="s">
        <v>290</v>
      </c>
      <c r="D397" t="s">
        <v>622</v>
      </c>
      <c r="E397" t="s">
        <v>151</v>
      </c>
      <c r="F397" t="s">
        <v>623</v>
      </c>
      <c r="G397">
        <v>1.4</v>
      </c>
      <c r="H397" t="s">
        <v>624</v>
      </c>
      <c r="I397">
        <v>35.130445755901555</v>
      </c>
    </row>
    <row r="398" spans="1:9">
      <c r="A398">
        <v>2</v>
      </c>
      <c r="B398" t="s">
        <v>647</v>
      </c>
      <c r="C398" t="s">
        <v>303</v>
      </c>
      <c r="D398" t="s">
        <v>618</v>
      </c>
      <c r="E398">
        <v>0.1111111111111111</v>
      </c>
    </row>
    <row r="399" spans="1:9">
      <c r="A399">
        <v>3</v>
      </c>
      <c r="B399" t="s">
        <v>647</v>
      </c>
      <c r="C399" t="s">
        <v>303</v>
      </c>
      <c r="D399" t="s">
        <v>619</v>
      </c>
      <c r="E399">
        <v>9</v>
      </c>
      <c r="F399" t="s">
        <v>620</v>
      </c>
      <c r="H399" t="s">
        <v>621</v>
      </c>
      <c r="I399">
        <v>1</v>
      </c>
    </row>
    <row r="400" spans="1:9">
      <c r="A400">
        <v>4</v>
      </c>
      <c r="B400" t="s">
        <v>647</v>
      </c>
      <c r="C400" t="s">
        <v>303</v>
      </c>
      <c r="D400" t="s">
        <v>622</v>
      </c>
      <c r="E400" t="s">
        <v>252</v>
      </c>
      <c r="F400" t="s">
        <v>623</v>
      </c>
      <c r="G400">
        <v>1</v>
      </c>
      <c r="H400" t="s">
        <v>624</v>
      </c>
      <c r="I400">
        <v>30.088566848419511</v>
      </c>
    </row>
    <row r="401" spans="1:9">
      <c r="A401">
        <v>2</v>
      </c>
      <c r="B401" t="s">
        <v>647</v>
      </c>
      <c r="C401" t="s">
        <v>734</v>
      </c>
      <c r="D401" t="s">
        <v>618</v>
      </c>
      <c r="E401">
        <v>0.22222222222222221</v>
      </c>
    </row>
    <row r="402" spans="1:9">
      <c r="A402">
        <v>2</v>
      </c>
      <c r="B402" t="s">
        <v>647</v>
      </c>
      <c r="C402" t="s">
        <v>326</v>
      </c>
      <c r="D402" t="s">
        <v>618</v>
      </c>
      <c r="E402">
        <v>0.22222222222222221</v>
      </c>
    </row>
    <row r="403" spans="1:9">
      <c r="A403">
        <v>3</v>
      </c>
      <c r="B403" t="s">
        <v>647</v>
      </c>
      <c r="C403" t="s">
        <v>326</v>
      </c>
      <c r="D403" t="s">
        <v>619</v>
      </c>
      <c r="E403">
        <v>9</v>
      </c>
      <c r="F403" t="s">
        <v>620</v>
      </c>
      <c r="H403" t="s">
        <v>621</v>
      </c>
      <c r="I403">
        <v>0.4</v>
      </c>
    </row>
    <row r="404" spans="1:9">
      <c r="A404">
        <v>4</v>
      </c>
      <c r="B404" t="s">
        <v>647</v>
      </c>
      <c r="C404" t="s">
        <v>326</v>
      </c>
      <c r="D404" t="s">
        <v>622</v>
      </c>
      <c r="E404" t="s">
        <v>219</v>
      </c>
      <c r="F404" t="s">
        <v>623</v>
      </c>
      <c r="G404">
        <v>0.4</v>
      </c>
      <c r="H404" t="s">
        <v>624</v>
      </c>
      <c r="I404">
        <v>0.95408839779005528</v>
      </c>
    </row>
    <row r="405" spans="1:9">
      <c r="A405">
        <v>2</v>
      </c>
      <c r="B405" t="s">
        <v>647</v>
      </c>
      <c r="C405" t="s">
        <v>371</v>
      </c>
      <c r="D405" t="s">
        <v>618</v>
      </c>
      <c r="E405">
        <v>0.22222222222222221</v>
      </c>
    </row>
    <row r="406" spans="1:9">
      <c r="A406">
        <v>3</v>
      </c>
      <c r="B406" t="s">
        <v>647</v>
      </c>
      <c r="C406" t="s">
        <v>371</v>
      </c>
      <c r="D406" t="s">
        <v>619</v>
      </c>
      <c r="E406">
        <v>9</v>
      </c>
      <c r="F406" t="s">
        <v>620</v>
      </c>
      <c r="H406" t="s">
        <v>621</v>
      </c>
      <c r="I406">
        <v>1.8</v>
      </c>
    </row>
    <row r="407" spans="1:9">
      <c r="A407">
        <v>4</v>
      </c>
      <c r="B407" t="s">
        <v>647</v>
      </c>
      <c r="C407" t="s">
        <v>371</v>
      </c>
      <c r="D407" t="s">
        <v>622</v>
      </c>
      <c r="E407" t="s">
        <v>259</v>
      </c>
      <c r="F407" t="s">
        <v>623</v>
      </c>
      <c r="G407">
        <v>1.8</v>
      </c>
      <c r="H407" t="s">
        <v>624</v>
      </c>
      <c r="I407">
        <v>1.8</v>
      </c>
    </row>
    <row r="408" spans="1:9">
      <c r="A408">
        <v>1</v>
      </c>
      <c r="B408" t="s">
        <v>644</v>
      </c>
      <c r="D408" t="s">
        <v>616</v>
      </c>
      <c r="E408">
        <v>1</v>
      </c>
      <c r="F408" t="s">
        <v>617</v>
      </c>
      <c r="G408">
        <v>9</v>
      </c>
    </row>
    <row r="409" spans="1:9">
      <c r="A409">
        <v>2</v>
      </c>
      <c r="B409" t="s">
        <v>644</v>
      </c>
      <c r="C409" t="s">
        <v>339</v>
      </c>
      <c r="D409" t="s">
        <v>618</v>
      </c>
      <c r="E409">
        <v>4.2253521126760563E-2</v>
      </c>
    </row>
    <row r="410" spans="1:9">
      <c r="A410">
        <v>3</v>
      </c>
      <c r="B410" t="s">
        <v>644</v>
      </c>
      <c r="C410" t="s">
        <v>339</v>
      </c>
      <c r="D410" t="s">
        <v>619</v>
      </c>
      <c r="E410">
        <v>9</v>
      </c>
      <c r="F410" t="s">
        <v>620</v>
      </c>
      <c r="H410" t="s">
        <v>621</v>
      </c>
      <c r="I410">
        <v>0.38028169014084506</v>
      </c>
    </row>
    <row r="411" spans="1:9">
      <c r="A411">
        <v>4</v>
      </c>
      <c r="B411" t="s">
        <v>644</v>
      </c>
      <c r="C411" t="s">
        <v>339</v>
      </c>
      <c r="D411" t="s">
        <v>622</v>
      </c>
      <c r="E411" t="s">
        <v>119</v>
      </c>
      <c r="F411" t="s">
        <v>623</v>
      </c>
      <c r="G411">
        <v>0.38028169014084506</v>
      </c>
      <c r="H411" t="s">
        <v>624</v>
      </c>
      <c r="I411">
        <v>0.38028169014084506</v>
      </c>
    </row>
    <row r="412" spans="1:9">
      <c r="A412">
        <v>2</v>
      </c>
      <c r="B412" t="s">
        <v>644</v>
      </c>
      <c r="C412" t="s">
        <v>383</v>
      </c>
      <c r="D412" t="s">
        <v>618</v>
      </c>
      <c r="E412">
        <v>0.70422535211267601</v>
      </c>
    </row>
    <row r="413" spans="1:9">
      <c r="A413">
        <v>3</v>
      </c>
      <c r="B413" t="s">
        <v>644</v>
      </c>
      <c r="C413" t="s">
        <v>383</v>
      </c>
      <c r="D413" t="s">
        <v>619</v>
      </c>
      <c r="E413">
        <v>9</v>
      </c>
      <c r="F413" t="s">
        <v>620</v>
      </c>
      <c r="H413" t="s">
        <v>621</v>
      </c>
      <c r="I413">
        <v>6.3380281690140841</v>
      </c>
    </row>
    <row r="414" spans="1:9">
      <c r="A414">
        <v>4</v>
      </c>
      <c r="B414" t="s">
        <v>644</v>
      </c>
      <c r="C414" t="s">
        <v>383</v>
      </c>
      <c r="D414" t="s">
        <v>622</v>
      </c>
      <c r="E414" t="s">
        <v>204</v>
      </c>
      <c r="F414" t="s">
        <v>623</v>
      </c>
      <c r="G414">
        <v>6.3380281690140841</v>
      </c>
      <c r="H414" t="s">
        <v>624</v>
      </c>
      <c r="I414">
        <v>6.3380281690140841</v>
      </c>
    </row>
    <row r="415" spans="1:9">
      <c r="A415">
        <v>2</v>
      </c>
      <c r="B415" t="s">
        <v>644</v>
      </c>
      <c r="C415" t="s">
        <v>357</v>
      </c>
      <c r="D415" t="s">
        <v>618</v>
      </c>
      <c r="E415">
        <v>7.0422535211267609E-2</v>
      </c>
    </row>
    <row r="416" spans="1:9">
      <c r="A416">
        <v>3</v>
      </c>
      <c r="B416" t="s">
        <v>644</v>
      </c>
      <c r="C416" t="s">
        <v>357</v>
      </c>
      <c r="D416" t="s">
        <v>619</v>
      </c>
      <c r="E416">
        <v>9</v>
      </c>
      <c r="F416" t="s">
        <v>620</v>
      </c>
      <c r="H416" t="s">
        <v>621</v>
      </c>
      <c r="I416">
        <v>0.63380281690140849</v>
      </c>
    </row>
    <row r="417" spans="1:9">
      <c r="A417">
        <v>4</v>
      </c>
      <c r="B417" t="s">
        <v>644</v>
      </c>
      <c r="C417" t="s">
        <v>357</v>
      </c>
      <c r="D417" t="s">
        <v>622</v>
      </c>
      <c r="E417" t="s">
        <v>218</v>
      </c>
      <c r="F417" t="s">
        <v>623</v>
      </c>
      <c r="G417">
        <v>0.63380281690140849</v>
      </c>
      <c r="H417" t="s">
        <v>624</v>
      </c>
      <c r="I417">
        <v>0.63380281690140849</v>
      </c>
    </row>
    <row r="418" spans="1:9">
      <c r="A418">
        <v>2</v>
      </c>
      <c r="B418" t="s">
        <v>644</v>
      </c>
      <c r="C418" t="s">
        <v>303</v>
      </c>
      <c r="D418" t="s">
        <v>618</v>
      </c>
      <c r="E418">
        <v>7.0422535211267609E-2</v>
      </c>
    </row>
    <row r="420" spans="1:9">
      <c r="A420">
        <v>4</v>
      </c>
      <c r="B420" t="s">
        <v>644</v>
      </c>
      <c r="C420" t="s">
        <v>303</v>
      </c>
      <c r="D420" t="s">
        <v>622</v>
      </c>
      <c r="E420" t="s">
        <v>252</v>
      </c>
      <c r="F420" t="s">
        <v>623</v>
      </c>
      <c r="G420">
        <v>0.63380281690140849</v>
      </c>
      <c r="H420" t="s">
        <v>624</v>
      </c>
      <c r="I420">
        <v>30.722369665320919</v>
      </c>
    </row>
    <row r="421" spans="1:9">
      <c r="A421">
        <v>2</v>
      </c>
      <c r="B421" t="s">
        <v>644</v>
      </c>
      <c r="C421" t="s">
        <v>358</v>
      </c>
      <c r="D421" t="s">
        <v>618</v>
      </c>
      <c r="E421">
        <v>4.2253521126760563E-2</v>
      </c>
    </row>
    <row r="422" spans="1:9">
      <c r="A422">
        <v>3</v>
      </c>
      <c r="B422" t="s">
        <v>644</v>
      </c>
      <c r="C422" t="s">
        <v>358</v>
      </c>
      <c r="D422" t="s">
        <v>619</v>
      </c>
      <c r="E422">
        <v>9</v>
      </c>
      <c r="F422" t="s">
        <v>620</v>
      </c>
      <c r="H422" t="s">
        <v>621</v>
      </c>
      <c r="I422">
        <v>0.38028169014084506</v>
      </c>
    </row>
    <row r="423" spans="1:9">
      <c r="A423">
        <v>4</v>
      </c>
      <c r="B423" t="s">
        <v>644</v>
      </c>
      <c r="C423" t="s">
        <v>358</v>
      </c>
      <c r="D423" t="s">
        <v>622</v>
      </c>
      <c r="E423" t="s">
        <v>263</v>
      </c>
      <c r="F423" t="s">
        <v>623</v>
      </c>
      <c r="G423">
        <v>0.38028169014084506</v>
      </c>
      <c r="H423" t="s">
        <v>624</v>
      </c>
      <c r="I423">
        <v>202.53078599252785</v>
      </c>
    </row>
    <row r="424" spans="1:9">
      <c r="A424">
        <v>2</v>
      </c>
      <c r="B424" t="s">
        <v>644</v>
      </c>
      <c r="C424" t="s">
        <v>359</v>
      </c>
      <c r="D424" t="s">
        <v>618</v>
      </c>
      <c r="E424">
        <v>7.0422535211267609E-2</v>
      </c>
    </row>
    <row r="425" spans="1:9">
      <c r="A425">
        <v>3</v>
      </c>
      <c r="B425" t="s">
        <v>644</v>
      </c>
      <c r="C425" t="s">
        <v>359</v>
      </c>
      <c r="D425" t="s">
        <v>619</v>
      </c>
      <c r="E425">
        <v>9</v>
      </c>
      <c r="F425" t="s">
        <v>620</v>
      </c>
      <c r="H425" t="s">
        <v>621</v>
      </c>
      <c r="I425">
        <v>0.63380281690140849</v>
      </c>
    </row>
    <row r="426" spans="1:9">
      <c r="A426">
        <v>4</v>
      </c>
      <c r="B426" t="s">
        <v>644</v>
      </c>
      <c r="C426" t="s">
        <v>359</v>
      </c>
      <c r="D426" t="s">
        <v>622</v>
      </c>
      <c r="E426" t="s">
        <v>165</v>
      </c>
      <c r="F426" t="s">
        <v>623</v>
      </c>
      <c r="G426">
        <v>0.63380281690140849</v>
      </c>
      <c r="H426" t="s">
        <v>624</v>
      </c>
      <c r="I426">
        <v>0.63380281690140849</v>
      </c>
    </row>
    <row r="427" spans="1:9">
      <c r="A427">
        <v>1</v>
      </c>
      <c r="B427" t="s">
        <v>644</v>
      </c>
      <c r="D427" t="s">
        <v>616</v>
      </c>
      <c r="E427">
        <v>2</v>
      </c>
      <c r="F427" t="s">
        <v>617</v>
      </c>
      <c r="G427">
        <v>9</v>
      </c>
    </row>
    <row r="428" spans="1:9">
      <c r="A428">
        <v>2</v>
      </c>
      <c r="B428" t="s">
        <v>644</v>
      </c>
      <c r="C428" t="s">
        <v>339</v>
      </c>
      <c r="D428" t="s">
        <v>618</v>
      </c>
      <c r="E428">
        <v>4.2253521126760563E-2</v>
      </c>
    </row>
    <row r="429" spans="1:9">
      <c r="A429">
        <v>3</v>
      </c>
      <c r="B429" t="s">
        <v>644</v>
      </c>
      <c r="C429" t="s">
        <v>339</v>
      </c>
      <c r="D429" t="s">
        <v>619</v>
      </c>
      <c r="E429">
        <v>9</v>
      </c>
      <c r="F429" t="s">
        <v>620</v>
      </c>
      <c r="H429" t="s">
        <v>621</v>
      </c>
      <c r="I429">
        <v>0.38028169014084506</v>
      </c>
    </row>
    <row r="430" spans="1:9">
      <c r="A430">
        <v>4</v>
      </c>
      <c r="B430" t="s">
        <v>644</v>
      </c>
      <c r="C430" t="s">
        <v>339</v>
      </c>
      <c r="D430" t="s">
        <v>622</v>
      </c>
      <c r="E430" t="s">
        <v>119</v>
      </c>
      <c r="F430" t="s">
        <v>623</v>
      </c>
      <c r="G430">
        <v>0.38028169014084506</v>
      </c>
      <c r="H430" t="s">
        <v>624</v>
      </c>
      <c r="I430">
        <v>0.38028169014084506</v>
      </c>
    </row>
    <row r="431" spans="1:9">
      <c r="A431">
        <v>2</v>
      </c>
      <c r="B431" t="s">
        <v>644</v>
      </c>
      <c r="C431" t="s">
        <v>383</v>
      </c>
      <c r="D431" t="s">
        <v>618</v>
      </c>
      <c r="E431">
        <v>0.70422535211267601</v>
      </c>
    </row>
    <row r="432" spans="1:9">
      <c r="A432">
        <v>3</v>
      </c>
      <c r="B432" t="s">
        <v>644</v>
      </c>
      <c r="C432" t="s">
        <v>383</v>
      </c>
      <c r="D432" t="s">
        <v>619</v>
      </c>
      <c r="E432">
        <v>9</v>
      </c>
      <c r="F432" t="s">
        <v>620</v>
      </c>
      <c r="H432" t="s">
        <v>621</v>
      </c>
      <c r="I432">
        <v>6.3380281690140841</v>
      </c>
    </row>
    <row r="433" spans="1:9">
      <c r="A433">
        <v>4</v>
      </c>
      <c r="B433" t="s">
        <v>644</v>
      </c>
      <c r="C433" t="s">
        <v>383</v>
      </c>
      <c r="D433" t="s">
        <v>622</v>
      </c>
      <c r="E433" t="s">
        <v>204</v>
      </c>
      <c r="F433" t="s">
        <v>623</v>
      </c>
      <c r="G433">
        <v>6.3380281690140841</v>
      </c>
      <c r="H433" t="s">
        <v>624</v>
      </c>
      <c r="I433">
        <v>6.3380281690140841</v>
      </c>
    </row>
    <row r="434" spans="1:9">
      <c r="A434">
        <v>2</v>
      </c>
      <c r="B434" t="s">
        <v>644</v>
      </c>
      <c r="C434" t="s">
        <v>357</v>
      </c>
      <c r="D434" t="s">
        <v>618</v>
      </c>
      <c r="E434">
        <v>7.0422535211267609E-2</v>
      </c>
    </row>
    <row r="435" spans="1:9">
      <c r="A435">
        <v>3</v>
      </c>
      <c r="B435" t="s">
        <v>644</v>
      </c>
      <c r="C435" t="s">
        <v>357</v>
      </c>
      <c r="D435" t="s">
        <v>619</v>
      </c>
      <c r="E435">
        <v>9</v>
      </c>
      <c r="F435" t="s">
        <v>620</v>
      </c>
      <c r="H435" t="s">
        <v>621</v>
      </c>
      <c r="I435">
        <v>0.63380281690140849</v>
      </c>
    </row>
    <row r="436" spans="1:9">
      <c r="A436">
        <v>4</v>
      </c>
      <c r="B436" t="s">
        <v>644</v>
      </c>
      <c r="C436" t="s">
        <v>357</v>
      </c>
      <c r="D436" t="s">
        <v>622</v>
      </c>
      <c r="E436" t="s">
        <v>218</v>
      </c>
      <c r="F436" t="s">
        <v>623</v>
      </c>
      <c r="G436">
        <v>0.63380281690140849</v>
      </c>
      <c r="H436" t="s">
        <v>624</v>
      </c>
      <c r="I436">
        <v>0.63380281690140849</v>
      </c>
    </row>
    <row r="437" spans="1:9">
      <c r="A437">
        <v>2</v>
      </c>
      <c r="B437" t="s">
        <v>644</v>
      </c>
      <c r="C437" t="s">
        <v>303</v>
      </c>
      <c r="D437" t="s">
        <v>618</v>
      </c>
      <c r="E437">
        <v>7.0422535211267609E-2</v>
      </c>
    </row>
    <row r="438" spans="1:9">
      <c r="A438">
        <v>3</v>
      </c>
      <c r="B438" t="s">
        <v>644</v>
      </c>
      <c r="C438" t="s">
        <v>303</v>
      </c>
      <c r="D438" t="s">
        <v>619</v>
      </c>
      <c r="E438">
        <v>9</v>
      </c>
      <c r="F438" t="s">
        <v>620</v>
      </c>
      <c r="H438" t="s">
        <v>621</v>
      </c>
      <c r="I438">
        <v>0.63380281690140849</v>
      </c>
    </row>
    <row r="439" spans="1:9">
      <c r="A439">
        <v>4</v>
      </c>
      <c r="B439" t="s">
        <v>644</v>
      </c>
      <c r="C439" t="s">
        <v>303</v>
      </c>
      <c r="D439" t="s">
        <v>622</v>
      </c>
      <c r="E439" t="s">
        <v>252</v>
      </c>
      <c r="F439" t="s">
        <v>623</v>
      </c>
      <c r="G439">
        <v>0.63380281690140849</v>
      </c>
      <c r="H439" t="s">
        <v>624</v>
      </c>
      <c r="I439">
        <v>30.722369665320919</v>
      </c>
    </row>
    <row r="440" spans="1:9">
      <c r="A440">
        <v>2</v>
      </c>
      <c r="B440" t="s">
        <v>644</v>
      </c>
      <c r="C440" t="s">
        <v>358</v>
      </c>
      <c r="D440" t="s">
        <v>618</v>
      </c>
      <c r="E440">
        <v>4.2253521126760563E-2</v>
      </c>
    </row>
    <row r="441" spans="1:9">
      <c r="A441">
        <v>3</v>
      </c>
      <c r="B441" t="s">
        <v>644</v>
      </c>
      <c r="C441" t="s">
        <v>358</v>
      </c>
      <c r="D441" t="s">
        <v>619</v>
      </c>
      <c r="E441">
        <v>9</v>
      </c>
      <c r="F441" t="s">
        <v>620</v>
      </c>
      <c r="H441" t="s">
        <v>621</v>
      </c>
      <c r="I441">
        <v>0.38028169014084506</v>
      </c>
    </row>
    <row r="442" spans="1:9">
      <c r="A442">
        <v>4</v>
      </c>
      <c r="B442" t="s">
        <v>644</v>
      </c>
      <c r="C442" t="s">
        <v>358</v>
      </c>
      <c r="D442" t="s">
        <v>622</v>
      </c>
      <c r="E442" t="s">
        <v>263</v>
      </c>
      <c r="F442" t="s">
        <v>623</v>
      </c>
      <c r="G442">
        <v>0.38028169014084506</v>
      </c>
      <c r="H442" t="s">
        <v>624</v>
      </c>
      <c r="I442">
        <v>202.53078599252785</v>
      </c>
    </row>
    <row r="443" spans="1:9">
      <c r="A443">
        <v>2</v>
      </c>
      <c r="B443" t="s">
        <v>644</v>
      </c>
      <c r="C443" t="s">
        <v>359</v>
      </c>
      <c r="D443" t="s">
        <v>618</v>
      </c>
      <c r="E443">
        <v>7.0422535211267609E-2</v>
      </c>
    </row>
    <row r="444" spans="1:9">
      <c r="A444">
        <v>3</v>
      </c>
      <c r="B444" t="s">
        <v>644</v>
      </c>
      <c r="C444" t="s">
        <v>359</v>
      </c>
      <c r="D444" t="s">
        <v>619</v>
      </c>
      <c r="E444">
        <v>9</v>
      </c>
      <c r="F444" t="s">
        <v>620</v>
      </c>
      <c r="H444" t="s">
        <v>621</v>
      </c>
      <c r="I444">
        <v>0.63380281690140849</v>
      </c>
    </row>
    <row r="445" spans="1:9">
      <c r="A445">
        <v>4</v>
      </c>
      <c r="B445" t="s">
        <v>644</v>
      </c>
      <c r="C445" t="s">
        <v>359</v>
      </c>
      <c r="D445" t="s">
        <v>622</v>
      </c>
      <c r="E445" t="s">
        <v>165</v>
      </c>
      <c r="F445" t="s">
        <v>623</v>
      </c>
      <c r="G445">
        <v>0.63380281690140849</v>
      </c>
      <c r="H445" t="s">
        <v>624</v>
      </c>
      <c r="I445">
        <v>0.63380281690140849</v>
      </c>
    </row>
    <row r="446" spans="1:9">
      <c r="A446">
        <v>1</v>
      </c>
      <c r="B446" t="s">
        <v>643</v>
      </c>
      <c r="D446" t="s">
        <v>616</v>
      </c>
      <c r="E446">
        <v>1</v>
      </c>
      <c r="F446" t="s">
        <v>617</v>
      </c>
      <c r="G446">
        <v>18</v>
      </c>
    </row>
    <row r="447" spans="1:9">
      <c r="A447">
        <v>2</v>
      </c>
      <c r="B447" t="s">
        <v>643</v>
      </c>
      <c r="C447" t="s">
        <v>407</v>
      </c>
      <c r="D447" t="s">
        <v>618</v>
      </c>
      <c r="E447">
        <v>0.70921985815602839</v>
      </c>
    </row>
    <row r="448" spans="1:9">
      <c r="A448">
        <v>3</v>
      </c>
      <c r="B448" t="s">
        <v>643</v>
      </c>
      <c r="C448" t="s">
        <v>407</v>
      </c>
      <c r="D448" t="s">
        <v>619</v>
      </c>
      <c r="E448">
        <v>18</v>
      </c>
      <c r="F448" t="s">
        <v>620</v>
      </c>
      <c r="H448" t="s">
        <v>621</v>
      </c>
      <c r="I448">
        <v>12.76595744680851</v>
      </c>
    </row>
    <row r="450" spans="1:9">
      <c r="A450">
        <v>2</v>
      </c>
      <c r="B450" t="s">
        <v>643</v>
      </c>
      <c r="C450" t="s">
        <v>303</v>
      </c>
      <c r="D450" t="s">
        <v>618</v>
      </c>
      <c r="E450">
        <v>7.0921985815602842E-2</v>
      </c>
    </row>
    <row r="451" spans="1:9">
      <c r="A451">
        <v>3</v>
      </c>
      <c r="B451" t="s">
        <v>643</v>
      </c>
      <c r="C451" t="s">
        <v>303</v>
      </c>
      <c r="D451" t="s">
        <v>619</v>
      </c>
      <c r="E451">
        <v>18</v>
      </c>
      <c r="F451" t="s">
        <v>620</v>
      </c>
      <c r="H451" t="s">
        <v>621</v>
      </c>
      <c r="I451">
        <v>1.2765957446808511</v>
      </c>
    </row>
    <row r="452" spans="1:9">
      <c r="A452">
        <v>4</v>
      </c>
      <c r="B452" t="s">
        <v>643</v>
      </c>
      <c r="C452" t="s">
        <v>303</v>
      </c>
      <c r="D452" t="s">
        <v>622</v>
      </c>
      <c r="E452" t="s">
        <v>252</v>
      </c>
      <c r="F452" t="s">
        <v>623</v>
      </c>
      <c r="G452">
        <v>1.2765957446808511</v>
      </c>
      <c r="H452" t="s">
        <v>624</v>
      </c>
      <c r="I452">
        <v>31.99896541000177</v>
      </c>
    </row>
    <row r="453" spans="1:9">
      <c r="A453">
        <v>2</v>
      </c>
      <c r="B453" t="s">
        <v>643</v>
      </c>
      <c r="C453" t="s">
        <v>358</v>
      </c>
      <c r="D453" t="s">
        <v>618</v>
      </c>
      <c r="E453">
        <v>4.2553191489361701E-2</v>
      </c>
    </row>
    <row r="454" spans="1:9">
      <c r="A454">
        <v>3</v>
      </c>
      <c r="B454" t="s">
        <v>643</v>
      </c>
      <c r="C454" t="s">
        <v>358</v>
      </c>
      <c r="D454" t="s">
        <v>619</v>
      </c>
      <c r="E454">
        <v>18</v>
      </c>
      <c r="F454" t="s">
        <v>620</v>
      </c>
      <c r="H454" t="s">
        <v>621</v>
      </c>
      <c r="I454">
        <v>0.76595744680851063</v>
      </c>
    </row>
    <row r="455" spans="1:9">
      <c r="A455">
        <v>4</v>
      </c>
      <c r="B455" t="s">
        <v>643</v>
      </c>
      <c r="C455" t="s">
        <v>358</v>
      </c>
      <c r="D455" t="s">
        <v>622</v>
      </c>
      <c r="E455" t="s">
        <v>263</v>
      </c>
      <c r="F455" t="s">
        <v>623</v>
      </c>
      <c r="G455">
        <v>0.76595744680851063</v>
      </c>
      <c r="H455" t="s">
        <v>624</v>
      </c>
      <c r="I455">
        <v>203.29674343933635</v>
      </c>
    </row>
    <row r="456" spans="1:9">
      <c r="A456">
        <v>2</v>
      </c>
      <c r="B456" t="s">
        <v>643</v>
      </c>
      <c r="C456" t="s">
        <v>381</v>
      </c>
      <c r="D456" t="s">
        <v>618</v>
      </c>
      <c r="E456">
        <v>9.2198581560283682E-2</v>
      </c>
    </row>
    <row r="457" spans="1:9">
      <c r="A457">
        <v>3</v>
      </c>
      <c r="B457" t="s">
        <v>643</v>
      </c>
      <c r="C457" t="s">
        <v>381</v>
      </c>
      <c r="D457" t="s">
        <v>619</v>
      </c>
      <c r="E457">
        <v>18</v>
      </c>
      <c r="F457" t="s">
        <v>620</v>
      </c>
      <c r="H457" t="s">
        <v>621</v>
      </c>
      <c r="I457">
        <v>1.6595744680851063</v>
      </c>
    </row>
    <row r="458" spans="1:9">
      <c r="A458">
        <v>4</v>
      </c>
      <c r="B458" t="s">
        <v>643</v>
      </c>
      <c r="C458" t="s">
        <v>381</v>
      </c>
      <c r="D458" t="s">
        <v>622</v>
      </c>
      <c r="E458" t="s">
        <v>128</v>
      </c>
      <c r="F458" t="s">
        <v>623</v>
      </c>
      <c r="G458">
        <v>1.6595744680851063</v>
      </c>
      <c r="H458" t="s">
        <v>624</v>
      </c>
      <c r="I458">
        <v>1.6595744680851063</v>
      </c>
    </row>
    <row r="459" spans="1:9">
      <c r="A459">
        <v>2</v>
      </c>
      <c r="B459" t="s">
        <v>643</v>
      </c>
      <c r="C459" t="s">
        <v>357</v>
      </c>
      <c r="D459" t="s">
        <v>618</v>
      </c>
      <c r="E459">
        <v>8.5106382978723402E-2</v>
      </c>
    </row>
    <row r="460" spans="1:9">
      <c r="A460">
        <v>3</v>
      </c>
      <c r="B460" t="s">
        <v>643</v>
      </c>
      <c r="C460" t="s">
        <v>357</v>
      </c>
      <c r="D460" t="s">
        <v>619</v>
      </c>
      <c r="E460">
        <v>18</v>
      </c>
      <c r="F460" t="s">
        <v>620</v>
      </c>
      <c r="H460" t="s">
        <v>621</v>
      </c>
      <c r="I460">
        <v>1.5319148936170213</v>
      </c>
    </row>
    <row r="461" spans="1:9">
      <c r="A461">
        <v>4</v>
      </c>
      <c r="B461" t="s">
        <v>643</v>
      </c>
      <c r="C461" t="s">
        <v>357</v>
      </c>
      <c r="D461" t="s">
        <v>622</v>
      </c>
      <c r="E461" t="s">
        <v>218</v>
      </c>
      <c r="F461" t="s">
        <v>623</v>
      </c>
      <c r="G461">
        <v>1.5319148936170213</v>
      </c>
      <c r="H461" t="s">
        <v>624</v>
      </c>
      <c r="I461">
        <v>2.1657177105184298</v>
      </c>
    </row>
    <row r="462" spans="1:9">
      <c r="A462">
        <v>2</v>
      </c>
      <c r="B462" t="s">
        <v>643</v>
      </c>
      <c r="C462" t="s">
        <v>359</v>
      </c>
      <c r="D462" t="s">
        <v>618</v>
      </c>
      <c r="E462">
        <v>0</v>
      </c>
    </row>
    <row r="463" spans="1:9">
      <c r="A463">
        <v>3</v>
      </c>
      <c r="B463" t="s">
        <v>643</v>
      </c>
      <c r="C463" t="s">
        <v>359</v>
      </c>
      <c r="D463" t="s">
        <v>619</v>
      </c>
      <c r="E463">
        <v>18</v>
      </c>
      <c r="F463" t="s">
        <v>620</v>
      </c>
      <c r="H463" t="s">
        <v>621</v>
      </c>
      <c r="I463">
        <v>0</v>
      </c>
    </row>
    <row r="464" spans="1:9">
      <c r="A464">
        <v>4</v>
      </c>
      <c r="B464" t="s">
        <v>643</v>
      </c>
      <c r="C464" t="s">
        <v>359</v>
      </c>
      <c r="D464" t="s">
        <v>622</v>
      </c>
      <c r="E464" t="s">
        <v>165</v>
      </c>
      <c r="F464" t="s">
        <v>623</v>
      </c>
      <c r="G464">
        <v>0</v>
      </c>
      <c r="H464" t="s">
        <v>624</v>
      </c>
      <c r="I464">
        <v>0.63380281690140849</v>
      </c>
    </row>
    <row r="465" spans="1:9">
      <c r="A465">
        <v>1</v>
      </c>
      <c r="B465" t="s">
        <v>643</v>
      </c>
      <c r="D465" t="s">
        <v>616</v>
      </c>
      <c r="E465">
        <v>2</v>
      </c>
      <c r="F465" t="s">
        <v>617</v>
      </c>
      <c r="G465">
        <v>18</v>
      </c>
    </row>
    <row r="466" spans="1:9">
      <c r="A466">
        <v>2</v>
      </c>
      <c r="B466" t="s">
        <v>643</v>
      </c>
      <c r="C466" t="s">
        <v>407</v>
      </c>
      <c r="D466" t="s">
        <v>618</v>
      </c>
      <c r="E466">
        <v>0.70921985815602839</v>
      </c>
    </row>
    <row r="467" spans="1:9">
      <c r="A467">
        <v>3</v>
      </c>
      <c r="B467" t="s">
        <v>643</v>
      </c>
      <c r="C467" t="s">
        <v>407</v>
      </c>
      <c r="D467" t="s">
        <v>619</v>
      </c>
      <c r="E467">
        <v>18</v>
      </c>
      <c r="F467" t="s">
        <v>620</v>
      </c>
      <c r="H467" t="s">
        <v>621</v>
      </c>
      <c r="I467">
        <v>12.76595744680851</v>
      </c>
    </row>
    <row r="468" spans="1:9">
      <c r="A468">
        <v>4</v>
      </c>
      <c r="B468" t="s">
        <v>643</v>
      </c>
      <c r="C468" t="s">
        <v>407</v>
      </c>
      <c r="D468" t="s">
        <v>622</v>
      </c>
      <c r="E468" t="s">
        <v>231</v>
      </c>
      <c r="F468" t="s">
        <v>623</v>
      </c>
      <c r="G468">
        <v>12.76595744680851</v>
      </c>
      <c r="H468" t="s">
        <v>624</v>
      </c>
      <c r="I468">
        <v>12.76595744680851</v>
      </c>
    </row>
    <row r="470" spans="1:9">
      <c r="A470">
        <v>3</v>
      </c>
      <c r="B470" t="s">
        <v>643</v>
      </c>
      <c r="C470" t="s">
        <v>303</v>
      </c>
      <c r="D470" t="s">
        <v>619</v>
      </c>
      <c r="E470">
        <v>18</v>
      </c>
      <c r="F470" t="s">
        <v>620</v>
      </c>
      <c r="H470" t="s">
        <v>621</v>
      </c>
      <c r="I470">
        <v>1.2765957446808511</v>
      </c>
    </row>
    <row r="471" spans="1:9">
      <c r="A471">
        <v>4</v>
      </c>
      <c r="B471" t="s">
        <v>643</v>
      </c>
      <c r="C471" t="s">
        <v>303</v>
      </c>
      <c r="D471" t="s">
        <v>622</v>
      </c>
      <c r="E471" t="s">
        <v>252</v>
      </c>
      <c r="F471" t="s">
        <v>623</v>
      </c>
      <c r="G471">
        <v>1.2765957446808511</v>
      </c>
      <c r="H471" t="s">
        <v>624</v>
      </c>
      <c r="I471">
        <v>31.99896541000177</v>
      </c>
    </row>
    <row r="472" spans="1:9">
      <c r="A472">
        <v>2</v>
      </c>
      <c r="B472" t="s">
        <v>643</v>
      </c>
      <c r="C472" t="s">
        <v>358</v>
      </c>
      <c r="D472" t="s">
        <v>618</v>
      </c>
      <c r="E472">
        <v>4.2553191489361701E-2</v>
      </c>
    </row>
    <row r="473" spans="1:9">
      <c r="A473">
        <v>3</v>
      </c>
      <c r="B473" t="s">
        <v>643</v>
      </c>
      <c r="C473" t="s">
        <v>358</v>
      </c>
      <c r="D473" t="s">
        <v>619</v>
      </c>
      <c r="E473">
        <v>18</v>
      </c>
      <c r="F473" t="s">
        <v>620</v>
      </c>
      <c r="H473" t="s">
        <v>621</v>
      </c>
      <c r="I473">
        <v>0.76595744680851063</v>
      </c>
    </row>
    <row r="474" spans="1:9">
      <c r="A474">
        <v>4</v>
      </c>
      <c r="B474" t="s">
        <v>643</v>
      </c>
      <c r="C474" t="s">
        <v>358</v>
      </c>
      <c r="D474" t="s">
        <v>622</v>
      </c>
      <c r="E474" t="s">
        <v>263</v>
      </c>
      <c r="F474" t="s">
        <v>623</v>
      </c>
      <c r="G474">
        <v>0.76595744680851063</v>
      </c>
      <c r="H474" t="s">
        <v>624</v>
      </c>
      <c r="I474">
        <v>203.29674343933635</v>
      </c>
    </row>
    <row r="475" spans="1:9">
      <c r="A475">
        <v>2</v>
      </c>
      <c r="B475" t="s">
        <v>643</v>
      </c>
      <c r="C475" t="s">
        <v>381</v>
      </c>
      <c r="D475" t="s">
        <v>618</v>
      </c>
      <c r="E475">
        <v>9.2198581560283682E-2</v>
      </c>
    </row>
    <row r="476" spans="1:9">
      <c r="A476">
        <v>3</v>
      </c>
      <c r="B476" t="s">
        <v>643</v>
      </c>
      <c r="C476" t="s">
        <v>381</v>
      </c>
      <c r="D476" t="s">
        <v>619</v>
      </c>
      <c r="E476">
        <v>18</v>
      </c>
      <c r="F476" t="s">
        <v>620</v>
      </c>
      <c r="H476" t="s">
        <v>621</v>
      </c>
      <c r="I476">
        <v>1.6595744680851063</v>
      </c>
    </row>
    <row r="477" spans="1:9">
      <c r="A477">
        <v>4</v>
      </c>
      <c r="B477" t="s">
        <v>643</v>
      </c>
      <c r="C477" t="s">
        <v>381</v>
      </c>
      <c r="D477" t="s">
        <v>622</v>
      </c>
      <c r="E477" t="s">
        <v>128</v>
      </c>
      <c r="F477" t="s">
        <v>623</v>
      </c>
      <c r="G477">
        <v>1.6595744680851063</v>
      </c>
      <c r="H477" t="s">
        <v>624</v>
      </c>
      <c r="I477">
        <v>1.6595744680851063</v>
      </c>
    </row>
    <row r="478" spans="1:9">
      <c r="A478">
        <v>2</v>
      </c>
      <c r="B478" t="s">
        <v>643</v>
      </c>
      <c r="C478" t="s">
        <v>357</v>
      </c>
      <c r="D478" t="s">
        <v>618</v>
      </c>
      <c r="E478">
        <v>8.5106382978723402E-2</v>
      </c>
    </row>
    <row r="479" spans="1:9">
      <c r="A479">
        <v>3</v>
      </c>
      <c r="B479" t="s">
        <v>643</v>
      </c>
      <c r="C479" t="s">
        <v>357</v>
      </c>
      <c r="D479" t="s">
        <v>619</v>
      </c>
      <c r="E479">
        <v>18</v>
      </c>
      <c r="F479" t="s">
        <v>620</v>
      </c>
      <c r="H479" t="s">
        <v>621</v>
      </c>
      <c r="I479">
        <v>1.5319148936170213</v>
      </c>
    </row>
    <row r="480" spans="1:9">
      <c r="A480">
        <v>4</v>
      </c>
      <c r="B480" t="s">
        <v>643</v>
      </c>
      <c r="C480" t="s">
        <v>357</v>
      </c>
      <c r="D480" t="s">
        <v>622</v>
      </c>
      <c r="E480" t="s">
        <v>218</v>
      </c>
      <c r="F480" t="s">
        <v>623</v>
      </c>
      <c r="G480">
        <v>1.5319148936170213</v>
      </c>
      <c r="H480" t="s">
        <v>624</v>
      </c>
      <c r="I480">
        <v>2.1657177105184298</v>
      </c>
    </row>
    <row r="481" spans="1:9">
      <c r="A481">
        <v>2</v>
      </c>
      <c r="B481" t="s">
        <v>643</v>
      </c>
      <c r="C481" t="s">
        <v>359</v>
      </c>
      <c r="D481" t="s">
        <v>618</v>
      </c>
      <c r="E481">
        <v>0</v>
      </c>
    </row>
    <row r="482" spans="1:9">
      <c r="A482">
        <v>3</v>
      </c>
      <c r="B482" t="s">
        <v>643</v>
      </c>
      <c r="C482" t="s">
        <v>359</v>
      </c>
      <c r="D482" t="s">
        <v>619</v>
      </c>
      <c r="E482">
        <v>18</v>
      </c>
      <c r="F482" t="s">
        <v>620</v>
      </c>
      <c r="H482" t="s">
        <v>621</v>
      </c>
      <c r="I482">
        <v>0</v>
      </c>
    </row>
    <row r="483" spans="1:9">
      <c r="A483">
        <v>4</v>
      </c>
      <c r="B483" t="s">
        <v>643</v>
      </c>
      <c r="C483" t="s">
        <v>359</v>
      </c>
      <c r="D483" t="s">
        <v>622</v>
      </c>
      <c r="E483" t="s">
        <v>165</v>
      </c>
      <c r="F483" t="s">
        <v>623</v>
      </c>
      <c r="G483">
        <v>0</v>
      </c>
      <c r="H483" t="s">
        <v>624</v>
      </c>
      <c r="I483">
        <v>0.63380281690140849</v>
      </c>
    </row>
    <row r="484" spans="1:9">
      <c r="A484">
        <v>1</v>
      </c>
      <c r="B484" t="s">
        <v>642</v>
      </c>
      <c r="D484" t="s">
        <v>616</v>
      </c>
      <c r="E484">
        <v>1</v>
      </c>
      <c r="F484" t="s">
        <v>617</v>
      </c>
      <c r="G484">
        <v>9</v>
      </c>
    </row>
    <row r="485" spans="1:9">
      <c r="A485">
        <v>2</v>
      </c>
      <c r="B485" t="s">
        <v>642</v>
      </c>
      <c r="C485" t="s">
        <v>339</v>
      </c>
      <c r="D485" t="s">
        <v>618</v>
      </c>
      <c r="E485">
        <v>4.4776119402985072E-2</v>
      </c>
    </row>
    <row r="486" spans="1:9">
      <c r="A486">
        <v>3</v>
      </c>
      <c r="B486" t="s">
        <v>642</v>
      </c>
      <c r="C486" t="s">
        <v>339</v>
      </c>
      <c r="D486" t="s">
        <v>619</v>
      </c>
      <c r="E486">
        <v>9</v>
      </c>
      <c r="F486" t="s">
        <v>620</v>
      </c>
      <c r="H486" t="s">
        <v>621</v>
      </c>
      <c r="I486">
        <v>0.40298507462686567</v>
      </c>
    </row>
    <row r="487" spans="1:9">
      <c r="A487">
        <v>4</v>
      </c>
      <c r="B487" t="s">
        <v>642</v>
      </c>
      <c r="C487" t="s">
        <v>339</v>
      </c>
      <c r="D487" t="s">
        <v>622</v>
      </c>
      <c r="E487" t="s">
        <v>119</v>
      </c>
      <c r="F487" t="s">
        <v>623</v>
      </c>
      <c r="G487">
        <v>0.40298507462686567</v>
      </c>
      <c r="H487" t="s">
        <v>624</v>
      </c>
      <c r="I487">
        <v>0.78326676476771073</v>
      </c>
    </row>
    <row r="488" spans="1:9">
      <c r="A488">
        <v>2</v>
      </c>
      <c r="B488" t="s">
        <v>642</v>
      </c>
      <c r="C488" t="s">
        <v>325</v>
      </c>
      <c r="D488" t="s">
        <v>618</v>
      </c>
      <c r="E488">
        <v>0.74626865671641796</v>
      </c>
    </row>
    <row r="489" spans="1:9">
      <c r="A489">
        <v>3</v>
      </c>
      <c r="B489" t="s">
        <v>642</v>
      </c>
      <c r="C489" t="s">
        <v>325</v>
      </c>
      <c r="D489" t="s">
        <v>619</v>
      </c>
      <c r="E489">
        <v>9</v>
      </c>
      <c r="F489" t="s">
        <v>620</v>
      </c>
      <c r="H489" t="s">
        <v>621</v>
      </c>
      <c r="I489">
        <v>6.7164179104477615</v>
      </c>
    </row>
    <row r="490" spans="1:9">
      <c r="A490">
        <v>4</v>
      </c>
      <c r="B490" t="s">
        <v>642</v>
      </c>
      <c r="C490" t="s">
        <v>325</v>
      </c>
      <c r="D490" t="s">
        <v>622</v>
      </c>
      <c r="E490" t="s">
        <v>226</v>
      </c>
      <c r="F490" t="s">
        <v>623</v>
      </c>
      <c r="G490">
        <v>6.7164179104477615</v>
      </c>
      <c r="H490" t="s">
        <v>624</v>
      </c>
      <c r="I490">
        <v>6.7164179104477615</v>
      </c>
    </row>
    <row r="491" spans="1:9">
      <c r="A491">
        <v>2</v>
      </c>
      <c r="B491" t="s">
        <v>642</v>
      </c>
      <c r="C491" t="s">
        <v>303</v>
      </c>
      <c r="D491" t="s">
        <v>618</v>
      </c>
      <c r="E491">
        <v>7.4626865671641784E-2</v>
      </c>
    </row>
    <row r="492" spans="1:9">
      <c r="A492">
        <v>3</v>
      </c>
      <c r="B492" t="s">
        <v>642</v>
      </c>
      <c r="C492" t="s">
        <v>303</v>
      </c>
      <c r="D492" t="s">
        <v>619</v>
      </c>
      <c r="E492">
        <v>9</v>
      </c>
      <c r="F492" t="s">
        <v>620</v>
      </c>
      <c r="H492" t="s">
        <v>621</v>
      </c>
      <c r="I492">
        <v>0.67164179104477606</v>
      </c>
    </row>
    <row r="493" spans="1:9">
      <c r="A493">
        <v>4</v>
      </c>
      <c r="B493" t="s">
        <v>642</v>
      </c>
      <c r="C493" t="s">
        <v>303</v>
      </c>
      <c r="D493" t="s">
        <v>622</v>
      </c>
      <c r="E493" t="s">
        <v>252</v>
      </c>
      <c r="F493" t="s">
        <v>623</v>
      </c>
      <c r="G493">
        <v>0.67164179104477606</v>
      </c>
      <c r="H493" t="s">
        <v>624</v>
      </c>
      <c r="I493">
        <v>32.670607201046543</v>
      </c>
    </row>
    <row r="494" spans="1:9">
      <c r="A494">
        <v>2</v>
      </c>
      <c r="B494" t="s">
        <v>642</v>
      </c>
      <c r="C494" t="s">
        <v>358</v>
      </c>
      <c r="D494" t="s">
        <v>618</v>
      </c>
      <c r="E494">
        <v>4.4776119402985072E-2</v>
      </c>
    </row>
    <row r="495" spans="1:9">
      <c r="A495">
        <v>3</v>
      </c>
      <c r="B495" t="s">
        <v>642</v>
      </c>
      <c r="C495" t="s">
        <v>358</v>
      </c>
      <c r="D495" t="s">
        <v>619</v>
      </c>
      <c r="E495">
        <v>9</v>
      </c>
      <c r="F495" t="s">
        <v>620</v>
      </c>
      <c r="H495" t="s">
        <v>621</v>
      </c>
      <c r="I495">
        <v>0.40298507462686567</v>
      </c>
    </row>
    <row r="496" spans="1:9">
      <c r="A496">
        <v>4</v>
      </c>
      <c r="B496" t="s">
        <v>642</v>
      </c>
      <c r="C496" t="s">
        <v>358</v>
      </c>
      <c r="D496" t="s">
        <v>622</v>
      </c>
      <c r="E496" t="s">
        <v>263</v>
      </c>
      <c r="F496" t="s">
        <v>623</v>
      </c>
      <c r="G496">
        <v>0.40298507462686567</v>
      </c>
      <c r="H496" t="s">
        <v>624</v>
      </c>
      <c r="I496">
        <v>203.69972851396321</v>
      </c>
    </row>
    <row r="497" spans="1:9">
      <c r="A497">
        <v>2</v>
      </c>
      <c r="B497" t="s">
        <v>642</v>
      </c>
      <c r="C497" t="s">
        <v>357</v>
      </c>
      <c r="D497" t="s">
        <v>618</v>
      </c>
      <c r="E497">
        <v>8.9552238805970144E-2</v>
      </c>
    </row>
    <row r="498" spans="1:9">
      <c r="A498">
        <v>3</v>
      </c>
      <c r="B498" t="s">
        <v>642</v>
      </c>
      <c r="C498" t="s">
        <v>357</v>
      </c>
      <c r="D498" t="s">
        <v>619</v>
      </c>
      <c r="E498">
        <v>9</v>
      </c>
      <c r="F498" t="s">
        <v>620</v>
      </c>
      <c r="H498" t="s">
        <v>621</v>
      </c>
      <c r="I498">
        <v>0.80597014925373134</v>
      </c>
    </row>
    <row r="499" spans="1:9">
      <c r="A499">
        <v>4</v>
      </c>
      <c r="B499" t="s">
        <v>642</v>
      </c>
      <c r="C499" t="s">
        <v>357</v>
      </c>
      <c r="D499" t="s">
        <v>622</v>
      </c>
      <c r="E499" t="s">
        <v>218</v>
      </c>
      <c r="F499" t="s">
        <v>623</v>
      </c>
      <c r="G499">
        <v>0.80597014925373134</v>
      </c>
      <c r="H499" t="s">
        <v>624</v>
      </c>
      <c r="I499">
        <v>2.9716878597721612</v>
      </c>
    </row>
    <row r="500" spans="1:9">
      <c r="A500">
        <v>1</v>
      </c>
      <c r="B500" t="s">
        <v>642</v>
      </c>
      <c r="D500" t="s">
        <v>616</v>
      </c>
      <c r="E500">
        <v>2</v>
      </c>
      <c r="F500" t="s">
        <v>617</v>
      </c>
      <c r="G500">
        <v>9</v>
      </c>
    </row>
    <row r="501" spans="1:9">
      <c r="A501">
        <v>2</v>
      </c>
      <c r="B501" t="s">
        <v>642</v>
      </c>
      <c r="C501" t="s">
        <v>339</v>
      </c>
      <c r="D501" t="s">
        <v>618</v>
      </c>
      <c r="E501">
        <v>4.4776119402985072E-2</v>
      </c>
    </row>
    <row r="502" spans="1:9">
      <c r="A502">
        <v>3</v>
      </c>
      <c r="B502" t="s">
        <v>642</v>
      </c>
      <c r="C502" t="s">
        <v>339</v>
      </c>
      <c r="D502" t="s">
        <v>619</v>
      </c>
      <c r="E502">
        <v>9</v>
      </c>
      <c r="F502" t="s">
        <v>620</v>
      </c>
      <c r="H502" t="s">
        <v>621</v>
      </c>
      <c r="I502">
        <v>0.40298507462686567</v>
      </c>
    </row>
    <row r="503" spans="1:9">
      <c r="A503">
        <v>4</v>
      </c>
      <c r="B503" t="s">
        <v>642</v>
      </c>
      <c r="C503" t="s">
        <v>339</v>
      </c>
      <c r="D503" t="s">
        <v>622</v>
      </c>
      <c r="E503" t="s">
        <v>119</v>
      </c>
      <c r="F503" t="s">
        <v>623</v>
      </c>
      <c r="G503">
        <v>0.40298507462686567</v>
      </c>
      <c r="H503" t="s">
        <v>624</v>
      </c>
      <c r="I503">
        <v>0.78326676476771073</v>
      </c>
    </row>
    <row r="504" spans="1:9">
      <c r="A504">
        <v>2</v>
      </c>
      <c r="B504" t="s">
        <v>642</v>
      </c>
      <c r="C504" t="s">
        <v>325</v>
      </c>
      <c r="D504" t="s">
        <v>618</v>
      </c>
      <c r="E504">
        <v>0.74626865671641796</v>
      </c>
    </row>
    <row r="505" spans="1:9">
      <c r="A505">
        <v>3</v>
      </c>
      <c r="B505" t="s">
        <v>642</v>
      </c>
      <c r="C505" t="s">
        <v>325</v>
      </c>
      <c r="D505" t="s">
        <v>619</v>
      </c>
      <c r="E505">
        <v>9</v>
      </c>
      <c r="F505" t="s">
        <v>620</v>
      </c>
      <c r="H505" t="s">
        <v>621</v>
      </c>
      <c r="I505">
        <v>6.7164179104477615</v>
      </c>
    </row>
    <row r="506" spans="1:9">
      <c r="A506">
        <v>4</v>
      </c>
      <c r="B506" t="s">
        <v>642</v>
      </c>
      <c r="C506" t="s">
        <v>325</v>
      </c>
      <c r="D506" t="s">
        <v>622</v>
      </c>
      <c r="E506" t="s">
        <v>226</v>
      </c>
      <c r="F506" t="s">
        <v>623</v>
      </c>
      <c r="G506">
        <v>6.7164179104477615</v>
      </c>
      <c r="H506" t="s">
        <v>624</v>
      </c>
      <c r="I506">
        <v>6.7164179104477615</v>
      </c>
    </row>
    <row r="507" spans="1:9">
      <c r="A507">
        <v>2</v>
      </c>
      <c r="B507" t="s">
        <v>642</v>
      </c>
      <c r="C507" t="s">
        <v>303</v>
      </c>
      <c r="D507" t="s">
        <v>618</v>
      </c>
      <c r="E507">
        <v>7.4626865671641784E-2</v>
      </c>
    </row>
    <row r="508" spans="1:9">
      <c r="A508">
        <v>3</v>
      </c>
      <c r="B508" t="s">
        <v>642</v>
      </c>
      <c r="C508" t="s">
        <v>303</v>
      </c>
      <c r="D508" t="s">
        <v>619</v>
      </c>
      <c r="E508">
        <v>9</v>
      </c>
      <c r="F508" t="s">
        <v>620</v>
      </c>
      <c r="H508" t="s">
        <v>621</v>
      </c>
      <c r="I508">
        <v>0.67164179104477606</v>
      </c>
    </row>
    <row r="509" spans="1:9">
      <c r="A509">
        <v>4</v>
      </c>
      <c r="B509" t="s">
        <v>642</v>
      </c>
      <c r="C509" t="s">
        <v>303</v>
      </c>
      <c r="D509" t="s">
        <v>622</v>
      </c>
      <c r="E509" t="s">
        <v>252</v>
      </c>
      <c r="F509" t="s">
        <v>623</v>
      </c>
      <c r="G509">
        <v>0.67164179104477606</v>
      </c>
      <c r="H509" t="s">
        <v>624</v>
      </c>
      <c r="I509">
        <v>32.670607201046543</v>
      </c>
    </row>
    <row r="510" spans="1:9">
      <c r="A510">
        <v>2</v>
      </c>
      <c r="B510" t="s">
        <v>642</v>
      </c>
      <c r="C510" t="s">
        <v>358</v>
      </c>
      <c r="D510" t="s">
        <v>618</v>
      </c>
      <c r="E510">
        <v>4.4776119402985072E-2</v>
      </c>
    </row>
    <row r="511" spans="1:9">
      <c r="A511">
        <v>3</v>
      </c>
      <c r="B511" t="s">
        <v>642</v>
      </c>
      <c r="C511" t="s">
        <v>358</v>
      </c>
      <c r="D511" t="s">
        <v>619</v>
      </c>
      <c r="E511">
        <v>9</v>
      </c>
      <c r="F511" t="s">
        <v>620</v>
      </c>
      <c r="H511" t="s">
        <v>621</v>
      </c>
      <c r="I511">
        <v>0.40298507462686567</v>
      </c>
    </row>
    <row r="512" spans="1:9">
      <c r="A512">
        <v>4</v>
      </c>
      <c r="B512" t="s">
        <v>642</v>
      </c>
      <c r="C512" t="s">
        <v>358</v>
      </c>
      <c r="D512" t="s">
        <v>622</v>
      </c>
      <c r="E512" t="s">
        <v>263</v>
      </c>
      <c r="F512" t="s">
        <v>623</v>
      </c>
      <c r="G512">
        <v>0.40298507462686567</v>
      </c>
      <c r="H512" t="s">
        <v>624</v>
      </c>
      <c r="I512">
        <v>203.69972851396321</v>
      </c>
    </row>
    <row r="513" spans="1:9">
      <c r="A513">
        <v>2</v>
      </c>
      <c r="B513" t="s">
        <v>642</v>
      </c>
      <c r="C513" t="s">
        <v>357</v>
      </c>
      <c r="D513" t="s">
        <v>618</v>
      </c>
      <c r="E513">
        <v>8.9552238805970144E-2</v>
      </c>
    </row>
    <row r="514" spans="1:9">
      <c r="A514">
        <v>3</v>
      </c>
      <c r="B514" t="s">
        <v>642</v>
      </c>
      <c r="C514" t="s">
        <v>357</v>
      </c>
      <c r="D514" t="s">
        <v>619</v>
      </c>
      <c r="E514">
        <v>9</v>
      </c>
      <c r="F514" t="s">
        <v>620</v>
      </c>
      <c r="H514" t="s">
        <v>621</v>
      </c>
      <c r="I514">
        <v>0.80597014925373134</v>
      </c>
    </row>
    <row r="515" spans="1:9">
      <c r="A515">
        <v>4</v>
      </c>
      <c r="B515" t="s">
        <v>642</v>
      </c>
      <c r="C515" t="s">
        <v>357</v>
      </c>
      <c r="D515" t="s">
        <v>622</v>
      </c>
      <c r="E515" t="s">
        <v>218</v>
      </c>
      <c r="F515" t="s">
        <v>623</v>
      </c>
      <c r="G515">
        <v>0.80597014925373134</v>
      </c>
      <c r="H515" t="s">
        <v>624</v>
      </c>
      <c r="I515">
        <v>2.9716878597721612</v>
      </c>
    </row>
    <row r="516" spans="1:9">
      <c r="A516">
        <v>1</v>
      </c>
      <c r="B516" t="s">
        <v>771</v>
      </c>
      <c r="D516" t="s">
        <v>616</v>
      </c>
      <c r="E516">
        <v>1</v>
      </c>
      <c r="F516" t="s">
        <v>617</v>
      </c>
      <c r="G516">
        <v>9</v>
      </c>
    </row>
    <row r="517" spans="1:9">
      <c r="A517">
        <v>2</v>
      </c>
      <c r="B517" t="s">
        <v>771</v>
      </c>
      <c r="C517" t="s">
        <v>67</v>
      </c>
      <c r="D517" t="s">
        <v>618</v>
      </c>
      <c r="E517">
        <v>6.4377682403433487E-2</v>
      </c>
    </row>
    <row r="518" spans="1:9">
      <c r="A518">
        <v>3</v>
      </c>
      <c r="B518" t="s">
        <v>771</v>
      </c>
      <c r="C518" t="s">
        <v>67</v>
      </c>
      <c r="D518" t="s">
        <v>619</v>
      </c>
      <c r="E518">
        <v>9</v>
      </c>
      <c r="F518" t="s">
        <v>620</v>
      </c>
      <c r="H518" t="s">
        <v>621</v>
      </c>
      <c r="I518">
        <v>0.11587982832618028</v>
      </c>
    </row>
    <row r="519" spans="1:9">
      <c r="A519">
        <v>4</v>
      </c>
      <c r="B519" t="s">
        <v>771</v>
      </c>
      <c r="C519" t="s">
        <v>67</v>
      </c>
      <c r="D519" t="s">
        <v>622</v>
      </c>
      <c r="E519" t="s">
        <v>221</v>
      </c>
      <c r="F519" t="s">
        <v>623</v>
      </c>
      <c r="G519">
        <v>0.11587982832618028</v>
      </c>
      <c r="H519" t="s">
        <v>624</v>
      </c>
      <c r="I519">
        <v>8.9563268398781641</v>
      </c>
    </row>
    <row r="520" spans="1:9">
      <c r="A520">
        <v>2</v>
      </c>
      <c r="B520" t="s">
        <v>771</v>
      </c>
      <c r="C520" t="s">
        <v>284</v>
      </c>
      <c r="D520" t="s">
        <v>618</v>
      </c>
      <c r="E520">
        <v>0.32188841201716745</v>
      </c>
    </row>
    <row r="521" spans="1:9">
      <c r="A521">
        <v>3</v>
      </c>
      <c r="B521" t="s">
        <v>771</v>
      </c>
      <c r="C521" t="s">
        <v>284</v>
      </c>
      <c r="D521" t="s">
        <v>619</v>
      </c>
      <c r="E521">
        <v>9</v>
      </c>
      <c r="F521" t="s">
        <v>620</v>
      </c>
      <c r="H521" t="s">
        <v>621</v>
      </c>
      <c r="I521">
        <v>2.0278969957081547</v>
      </c>
    </row>
    <row r="522" spans="1:9">
      <c r="A522">
        <v>4</v>
      </c>
      <c r="B522" t="s">
        <v>771</v>
      </c>
      <c r="C522" t="s">
        <v>284</v>
      </c>
      <c r="D522" t="s">
        <v>622</v>
      </c>
      <c r="E522" t="s">
        <v>151</v>
      </c>
      <c r="F522" t="s">
        <v>623</v>
      </c>
      <c r="G522">
        <v>2.0278969957081547</v>
      </c>
      <c r="H522" t="s">
        <v>624</v>
      </c>
      <c r="I522">
        <v>37.158342751609709</v>
      </c>
    </row>
    <row r="523" spans="1:9">
      <c r="A523">
        <v>2</v>
      </c>
      <c r="B523" t="s">
        <v>771</v>
      </c>
      <c r="C523" t="s">
        <v>289</v>
      </c>
      <c r="D523" t="s">
        <v>618</v>
      </c>
      <c r="E523">
        <v>0.32188841201716745</v>
      </c>
    </row>
    <row r="524" spans="1:9">
      <c r="A524">
        <v>3</v>
      </c>
      <c r="B524" t="s">
        <v>771</v>
      </c>
      <c r="C524" t="s">
        <v>289</v>
      </c>
      <c r="D524" t="s">
        <v>619</v>
      </c>
      <c r="E524">
        <v>9</v>
      </c>
      <c r="F524" t="s">
        <v>620</v>
      </c>
      <c r="H524" t="s">
        <v>621</v>
      </c>
      <c r="I524">
        <v>2.0278969957081547</v>
      </c>
    </row>
    <row r="525" spans="1:9">
      <c r="A525">
        <v>4</v>
      </c>
      <c r="B525" t="s">
        <v>771</v>
      </c>
      <c r="C525" t="s">
        <v>289</v>
      </c>
      <c r="D525" t="s">
        <v>622</v>
      </c>
      <c r="E525" t="s">
        <v>149</v>
      </c>
      <c r="F525" t="s">
        <v>623</v>
      </c>
      <c r="G525">
        <v>2.0278969957081547</v>
      </c>
      <c r="H525" t="s">
        <v>624</v>
      </c>
      <c r="I525">
        <v>11.217766854045584</v>
      </c>
    </row>
    <row r="526" spans="1:9">
      <c r="A526">
        <v>2</v>
      </c>
      <c r="B526" t="s">
        <v>771</v>
      </c>
      <c r="C526" t="s">
        <v>299</v>
      </c>
      <c r="D526" t="s">
        <v>618</v>
      </c>
      <c r="E526">
        <v>6.4377682403433487E-2</v>
      </c>
    </row>
    <row r="527" spans="1:9">
      <c r="A527">
        <v>3</v>
      </c>
      <c r="B527" t="s">
        <v>771</v>
      </c>
      <c r="C527" t="s">
        <v>299</v>
      </c>
      <c r="D527" t="s">
        <v>619</v>
      </c>
      <c r="E527">
        <v>9</v>
      </c>
      <c r="F527" t="s">
        <v>620</v>
      </c>
      <c r="H527" t="s">
        <v>621</v>
      </c>
      <c r="I527">
        <v>0.49248927038626616</v>
      </c>
    </row>
    <row r="528" spans="1:9">
      <c r="A528">
        <v>4</v>
      </c>
      <c r="B528" t="s">
        <v>771</v>
      </c>
      <c r="C528" t="s">
        <v>299</v>
      </c>
      <c r="D528" t="s">
        <v>622</v>
      </c>
      <c r="E528" t="s">
        <v>168</v>
      </c>
      <c r="F528" t="s">
        <v>623</v>
      </c>
      <c r="G528">
        <v>0.49248927038626616</v>
      </c>
      <c r="H528" t="s">
        <v>624</v>
      </c>
      <c r="I528">
        <v>22.967261997658991</v>
      </c>
    </row>
    <row r="529" spans="1:9">
      <c r="A529">
        <v>2</v>
      </c>
      <c r="B529" t="s">
        <v>771</v>
      </c>
      <c r="C529" t="s">
        <v>304</v>
      </c>
      <c r="D529" t="s">
        <v>618</v>
      </c>
      <c r="E529">
        <v>6.4377682403433487E-2</v>
      </c>
    </row>
    <row r="530" spans="1:9">
      <c r="A530">
        <v>3</v>
      </c>
      <c r="B530" t="s">
        <v>771</v>
      </c>
      <c r="C530" t="s">
        <v>304</v>
      </c>
      <c r="D530" t="s">
        <v>619</v>
      </c>
      <c r="E530">
        <v>9</v>
      </c>
      <c r="F530" t="s">
        <v>620</v>
      </c>
      <c r="H530" t="s">
        <v>621</v>
      </c>
      <c r="I530">
        <v>0.49248927038626616</v>
      </c>
    </row>
    <row r="531" spans="1:9">
      <c r="A531">
        <v>4</v>
      </c>
      <c r="B531" t="s">
        <v>771</v>
      </c>
      <c r="C531" t="s">
        <v>304</v>
      </c>
      <c r="D531" t="s">
        <v>622</v>
      </c>
      <c r="E531" t="s">
        <v>155</v>
      </c>
      <c r="F531" t="s">
        <v>623</v>
      </c>
      <c r="G531">
        <v>0.49248927038626616</v>
      </c>
      <c r="H531" t="s">
        <v>624</v>
      </c>
      <c r="I531">
        <v>13.891580179477174</v>
      </c>
    </row>
    <row r="532" spans="1:9">
      <c r="A532">
        <v>2</v>
      </c>
      <c r="B532" t="s">
        <v>771</v>
      </c>
      <c r="C532" t="s">
        <v>288</v>
      </c>
      <c r="D532" t="s">
        <v>618</v>
      </c>
      <c r="E532">
        <v>1.0729613733905581E-2</v>
      </c>
    </row>
    <row r="533" spans="1:9">
      <c r="A533">
        <v>3</v>
      </c>
      <c r="B533" t="s">
        <v>771</v>
      </c>
      <c r="C533" t="s">
        <v>288</v>
      </c>
      <c r="D533" t="s">
        <v>619</v>
      </c>
      <c r="E533">
        <v>9</v>
      </c>
      <c r="F533" t="s">
        <v>620</v>
      </c>
      <c r="H533" t="s">
        <v>621</v>
      </c>
      <c r="I533">
        <v>1.9313304721030048E-2</v>
      </c>
    </row>
    <row r="534" spans="1:9">
      <c r="A534">
        <v>4</v>
      </c>
      <c r="B534" t="s">
        <v>771</v>
      </c>
      <c r="C534" t="s">
        <v>288</v>
      </c>
      <c r="D534" t="s">
        <v>622</v>
      </c>
      <c r="E534" t="s">
        <v>145</v>
      </c>
      <c r="F534" t="s">
        <v>623</v>
      </c>
      <c r="G534">
        <v>1.9313304721030048E-2</v>
      </c>
      <c r="H534" t="s">
        <v>624</v>
      </c>
      <c r="I534">
        <v>1.9313304721030048E-2</v>
      </c>
    </row>
    <row r="535" spans="1:9">
      <c r="A535">
        <v>2</v>
      </c>
      <c r="B535" t="s">
        <v>771</v>
      </c>
      <c r="C535" t="s">
        <v>285</v>
      </c>
      <c r="D535" t="s">
        <v>618</v>
      </c>
      <c r="E535">
        <v>2.1459227467811162E-2</v>
      </c>
    </row>
    <row r="536" spans="1:9">
      <c r="A536">
        <v>3</v>
      </c>
      <c r="B536" t="s">
        <v>771</v>
      </c>
      <c r="C536" t="s">
        <v>285</v>
      </c>
      <c r="D536" t="s">
        <v>619</v>
      </c>
      <c r="E536">
        <v>9</v>
      </c>
      <c r="F536" t="s">
        <v>620</v>
      </c>
      <c r="H536" t="s">
        <v>621</v>
      </c>
      <c r="I536">
        <v>3.8626609442060096E-2</v>
      </c>
    </row>
    <row r="537" spans="1:9">
      <c r="A537">
        <v>4</v>
      </c>
      <c r="B537" t="s">
        <v>771</v>
      </c>
      <c r="C537" t="s">
        <v>285</v>
      </c>
      <c r="D537" t="s">
        <v>622</v>
      </c>
      <c r="E537" t="s">
        <v>129</v>
      </c>
      <c r="F537" t="s">
        <v>623</v>
      </c>
      <c r="G537">
        <v>3.8626609442060096E-2</v>
      </c>
      <c r="H537" t="s">
        <v>624</v>
      </c>
      <c r="I537">
        <v>3.8626609442060096E-2</v>
      </c>
    </row>
    <row r="538" spans="1:9">
      <c r="A538">
        <v>2</v>
      </c>
      <c r="B538" t="s">
        <v>771</v>
      </c>
      <c r="C538" t="s">
        <v>283</v>
      </c>
      <c r="D538" t="s">
        <v>618</v>
      </c>
      <c r="E538">
        <v>1.716738197424893E-2</v>
      </c>
    </row>
    <row r="539" spans="1:9">
      <c r="A539">
        <v>3</v>
      </c>
      <c r="B539" t="s">
        <v>771</v>
      </c>
      <c r="C539" t="s">
        <v>283</v>
      </c>
      <c r="D539" t="s">
        <v>619</v>
      </c>
      <c r="E539">
        <v>9</v>
      </c>
      <c r="F539" t="s">
        <v>620</v>
      </c>
      <c r="H539" t="s">
        <v>621</v>
      </c>
      <c r="I539">
        <v>3.0901287553648075E-2</v>
      </c>
    </row>
    <row r="540" spans="1:9">
      <c r="A540">
        <v>4</v>
      </c>
      <c r="B540" t="s">
        <v>771</v>
      </c>
      <c r="C540" t="s">
        <v>283</v>
      </c>
      <c r="D540" t="s">
        <v>622</v>
      </c>
      <c r="E540" t="s">
        <v>170</v>
      </c>
      <c r="F540" t="s">
        <v>623</v>
      </c>
      <c r="G540">
        <v>3.0901287553648075E-2</v>
      </c>
      <c r="H540" t="s">
        <v>624</v>
      </c>
      <c r="I540">
        <v>3.0901287553648075E-2</v>
      </c>
    </row>
    <row r="541" spans="1:9">
      <c r="A541">
        <v>2</v>
      </c>
      <c r="B541" t="s">
        <v>771</v>
      </c>
      <c r="C541" t="s">
        <v>287</v>
      </c>
      <c r="D541" t="s">
        <v>618</v>
      </c>
      <c r="E541">
        <v>2.1459227467811162E-2</v>
      </c>
    </row>
    <row r="542" spans="1:9">
      <c r="A542">
        <v>3</v>
      </c>
      <c r="B542" t="s">
        <v>771</v>
      </c>
      <c r="C542" t="s">
        <v>287</v>
      </c>
      <c r="D542" t="s">
        <v>619</v>
      </c>
      <c r="E542">
        <v>9</v>
      </c>
      <c r="F542" t="s">
        <v>620</v>
      </c>
      <c r="H542" t="s">
        <v>621</v>
      </c>
      <c r="I542">
        <v>3.8626609442060096E-2</v>
      </c>
    </row>
    <row r="543" spans="1:9">
      <c r="A543">
        <v>4</v>
      </c>
      <c r="B543" t="s">
        <v>771</v>
      </c>
      <c r="C543" t="s">
        <v>287</v>
      </c>
      <c r="D543" t="s">
        <v>622</v>
      </c>
      <c r="E543" t="s">
        <v>242</v>
      </c>
      <c r="F543" t="s">
        <v>623</v>
      </c>
      <c r="G543">
        <v>3.8626609442060096E-2</v>
      </c>
      <c r="H543" t="s">
        <v>624</v>
      </c>
      <c r="I543">
        <v>0.22476297307842372</v>
      </c>
    </row>
    <row r="545" spans="1:9">
      <c r="A545">
        <v>3</v>
      </c>
      <c r="B545" t="s">
        <v>771</v>
      </c>
      <c r="C545" t="s">
        <v>303</v>
      </c>
      <c r="D545" t="s">
        <v>619</v>
      </c>
      <c r="E545">
        <v>9</v>
      </c>
      <c r="F545" t="s">
        <v>620</v>
      </c>
      <c r="H545" t="s">
        <v>621</v>
      </c>
      <c r="I545">
        <v>0.19313304721030045</v>
      </c>
    </row>
    <row r="546" spans="1:9">
      <c r="A546">
        <v>4</v>
      </c>
      <c r="B546" t="s">
        <v>771</v>
      </c>
      <c r="C546" t="s">
        <v>303</v>
      </c>
      <c r="D546" t="s">
        <v>622</v>
      </c>
      <c r="E546" t="s">
        <v>252</v>
      </c>
      <c r="F546" t="s">
        <v>623</v>
      </c>
      <c r="G546">
        <v>0.19313304721030045</v>
      </c>
      <c r="H546" t="s">
        <v>624</v>
      </c>
      <c r="I546">
        <v>32.863740248256846</v>
      </c>
    </row>
    <row r="547" spans="1:9">
      <c r="A547">
        <v>2</v>
      </c>
      <c r="B547" t="s">
        <v>771</v>
      </c>
      <c r="C547" t="s">
        <v>732</v>
      </c>
      <c r="D547" t="s">
        <v>618</v>
      </c>
      <c r="E547">
        <v>6.4377682403433485E-3</v>
      </c>
    </row>
    <row r="548" spans="1:9">
      <c r="A548">
        <v>2</v>
      </c>
      <c r="B548" t="s">
        <v>771</v>
      </c>
      <c r="C548" t="s">
        <v>64</v>
      </c>
      <c r="D548" t="s">
        <v>618</v>
      </c>
      <c r="E548">
        <v>6.4377682403433487E-2</v>
      </c>
    </row>
    <row r="549" spans="1:9">
      <c r="A549">
        <v>1</v>
      </c>
      <c r="B549" t="s">
        <v>771</v>
      </c>
      <c r="D549" t="s">
        <v>616</v>
      </c>
      <c r="E549">
        <v>2</v>
      </c>
      <c r="F549" t="s">
        <v>617</v>
      </c>
      <c r="G549">
        <v>9</v>
      </c>
    </row>
    <row r="550" spans="1:9">
      <c r="A550">
        <v>2</v>
      </c>
      <c r="B550" t="s">
        <v>771</v>
      </c>
      <c r="C550" t="s">
        <v>67</v>
      </c>
      <c r="D550" t="s">
        <v>618</v>
      </c>
      <c r="E550">
        <v>6.4377682403433487E-2</v>
      </c>
    </row>
    <row r="551" spans="1:9">
      <c r="A551">
        <v>3</v>
      </c>
      <c r="B551" t="s">
        <v>771</v>
      </c>
      <c r="C551" t="s">
        <v>67</v>
      </c>
      <c r="D551" t="s">
        <v>619</v>
      </c>
      <c r="E551">
        <v>9</v>
      </c>
      <c r="F551" t="s">
        <v>620</v>
      </c>
      <c r="H551" t="s">
        <v>621</v>
      </c>
      <c r="I551">
        <v>0.11587982832618028</v>
      </c>
    </row>
    <row r="552" spans="1:9">
      <c r="A552">
        <v>4</v>
      </c>
      <c r="B552" t="s">
        <v>771</v>
      </c>
      <c r="C552" t="s">
        <v>67</v>
      </c>
      <c r="D552" t="s">
        <v>622</v>
      </c>
      <c r="E552" t="s">
        <v>221</v>
      </c>
      <c r="F552" t="s">
        <v>623</v>
      </c>
      <c r="G552">
        <v>0.11587982832618028</v>
      </c>
      <c r="H552" t="s">
        <v>624</v>
      </c>
      <c r="I552">
        <v>8.9563268398781641</v>
      </c>
    </row>
    <row r="553" spans="1:9">
      <c r="A553">
        <v>2</v>
      </c>
      <c r="B553" t="s">
        <v>771</v>
      </c>
      <c r="C553" t="s">
        <v>284</v>
      </c>
      <c r="D553" t="s">
        <v>618</v>
      </c>
      <c r="E553">
        <v>0.32188841201716745</v>
      </c>
    </row>
    <row r="554" spans="1:9">
      <c r="A554">
        <v>3</v>
      </c>
      <c r="B554" t="s">
        <v>771</v>
      </c>
      <c r="C554" t="s">
        <v>284</v>
      </c>
      <c r="D554" t="s">
        <v>619</v>
      </c>
      <c r="E554">
        <v>9</v>
      </c>
      <c r="F554" t="s">
        <v>620</v>
      </c>
      <c r="H554" t="s">
        <v>621</v>
      </c>
      <c r="I554">
        <v>2.0278969957081547</v>
      </c>
    </row>
    <row r="555" spans="1:9">
      <c r="A555">
        <v>4</v>
      </c>
      <c r="B555" t="s">
        <v>771</v>
      </c>
      <c r="C555" t="s">
        <v>284</v>
      </c>
      <c r="D555" t="s">
        <v>622</v>
      </c>
      <c r="E555" t="s">
        <v>151</v>
      </c>
      <c r="F555" t="s">
        <v>623</v>
      </c>
      <c r="G555">
        <v>2.0278969957081547</v>
      </c>
      <c r="H555" t="s">
        <v>624</v>
      </c>
      <c r="I555">
        <v>37.158342751609709</v>
      </c>
    </row>
    <row r="556" spans="1:9">
      <c r="A556">
        <v>2</v>
      </c>
      <c r="B556" t="s">
        <v>771</v>
      </c>
      <c r="C556" t="s">
        <v>289</v>
      </c>
      <c r="D556" t="s">
        <v>618</v>
      </c>
      <c r="E556">
        <v>0.32188841201716745</v>
      </c>
    </row>
    <row r="557" spans="1:9">
      <c r="A557">
        <v>3</v>
      </c>
      <c r="B557" t="s">
        <v>771</v>
      </c>
      <c r="C557" t="s">
        <v>289</v>
      </c>
      <c r="D557" t="s">
        <v>619</v>
      </c>
      <c r="E557">
        <v>9</v>
      </c>
      <c r="F557" t="s">
        <v>620</v>
      </c>
      <c r="H557" t="s">
        <v>621</v>
      </c>
      <c r="I557">
        <v>2.0278969957081547</v>
      </c>
    </row>
    <row r="558" spans="1:9">
      <c r="A558">
        <v>4</v>
      </c>
      <c r="B558" t="s">
        <v>771</v>
      </c>
      <c r="C558" t="s">
        <v>289</v>
      </c>
      <c r="D558" t="s">
        <v>622</v>
      </c>
      <c r="E558" t="s">
        <v>149</v>
      </c>
      <c r="F558" t="s">
        <v>623</v>
      </c>
      <c r="G558">
        <v>2.0278969957081547</v>
      </c>
      <c r="H558" t="s">
        <v>624</v>
      </c>
      <c r="I558">
        <v>11.217766854045584</v>
      </c>
    </row>
    <row r="559" spans="1:9">
      <c r="A559">
        <v>2</v>
      </c>
      <c r="B559" t="s">
        <v>771</v>
      </c>
      <c r="C559" t="s">
        <v>299</v>
      </c>
      <c r="D559" t="s">
        <v>618</v>
      </c>
      <c r="E559">
        <v>6.4377682403433487E-2</v>
      </c>
    </row>
    <row r="560" spans="1:9">
      <c r="A560">
        <v>3</v>
      </c>
      <c r="B560" t="s">
        <v>771</v>
      </c>
      <c r="C560" t="s">
        <v>299</v>
      </c>
      <c r="D560" t="s">
        <v>619</v>
      </c>
      <c r="E560">
        <v>9</v>
      </c>
      <c r="F560" t="s">
        <v>620</v>
      </c>
      <c r="H560" t="s">
        <v>621</v>
      </c>
      <c r="I560">
        <v>0.49248927038626616</v>
      </c>
    </row>
    <row r="561" spans="1:9">
      <c r="A561">
        <v>4</v>
      </c>
      <c r="B561" t="s">
        <v>771</v>
      </c>
      <c r="C561" t="s">
        <v>299</v>
      </c>
      <c r="D561" t="s">
        <v>622</v>
      </c>
      <c r="E561" t="s">
        <v>168</v>
      </c>
      <c r="F561" t="s">
        <v>623</v>
      </c>
      <c r="G561">
        <v>0.49248927038626616</v>
      </c>
      <c r="H561" t="s">
        <v>624</v>
      </c>
      <c r="I561">
        <v>22.967261997658991</v>
      </c>
    </row>
    <row r="562" spans="1:9">
      <c r="A562">
        <v>2</v>
      </c>
      <c r="B562" t="s">
        <v>771</v>
      </c>
      <c r="C562" t="s">
        <v>304</v>
      </c>
      <c r="D562" t="s">
        <v>618</v>
      </c>
      <c r="E562">
        <v>6.4377682403433487E-2</v>
      </c>
    </row>
    <row r="563" spans="1:9">
      <c r="A563">
        <v>3</v>
      </c>
      <c r="B563" t="s">
        <v>771</v>
      </c>
      <c r="C563" t="s">
        <v>304</v>
      </c>
      <c r="D563" t="s">
        <v>619</v>
      </c>
      <c r="E563">
        <v>9</v>
      </c>
      <c r="F563" t="s">
        <v>620</v>
      </c>
      <c r="H563" t="s">
        <v>621</v>
      </c>
      <c r="I563">
        <v>0.49248927038626616</v>
      </c>
    </row>
    <row r="564" spans="1:9">
      <c r="A564">
        <v>4</v>
      </c>
      <c r="B564" t="s">
        <v>771</v>
      </c>
      <c r="C564" t="s">
        <v>304</v>
      </c>
      <c r="D564" t="s">
        <v>622</v>
      </c>
      <c r="E564" t="s">
        <v>155</v>
      </c>
      <c r="F564" t="s">
        <v>623</v>
      </c>
      <c r="G564">
        <v>0.49248927038626616</v>
      </c>
      <c r="H564" t="s">
        <v>624</v>
      </c>
      <c r="I564">
        <v>13.891580179477174</v>
      </c>
    </row>
    <row r="565" spans="1:9">
      <c r="A565">
        <v>2</v>
      </c>
      <c r="B565" t="s">
        <v>771</v>
      </c>
      <c r="C565" t="s">
        <v>288</v>
      </c>
      <c r="D565" t="s">
        <v>618</v>
      </c>
      <c r="E565">
        <v>1.0729613733905581E-2</v>
      </c>
    </row>
    <row r="566" spans="1:9">
      <c r="A566">
        <v>3</v>
      </c>
      <c r="B566" t="s">
        <v>771</v>
      </c>
      <c r="C566" t="s">
        <v>288</v>
      </c>
      <c r="D566" t="s">
        <v>619</v>
      </c>
      <c r="E566">
        <v>9</v>
      </c>
      <c r="F566" t="s">
        <v>620</v>
      </c>
      <c r="H566" t="s">
        <v>621</v>
      </c>
      <c r="I566">
        <v>1.9313304721030048E-2</v>
      </c>
    </row>
    <row r="567" spans="1:9">
      <c r="A567">
        <v>4</v>
      </c>
      <c r="B567" t="s">
        <v>771</v>
      </c>
      <c r="C567" t="s">
        <v>288</v>
      </c>
      <c r="D567" t="s">
        <v>622</v>
      </c>
      <c r="E567" t="s">
        <v>145</v>
      </c>
      <c r="F567" t="s">
        <v>623</v>
      </c>
      <c r="G567">
        <v>1.9313304721030048E-2</v>
      </c>
      <c r="H567" t="s">
        <v>624</v>
      </c>
      <c r="I567">
        <v>1.9313304721030048E-2</v>
      </c>
    </row>
    <row r="568" spans="1:9">
      <c r="A568">
        <v>2</v>
      </c>
      <c r="B568" t="s">
        <v>771</v>
      </c>
      <c r="C568" t="s">
        <v>285</v>
      </c>
      <c r="D568" t="s">
        <v>618</v>
      </c>
      <c r="E568">
        <v>2.1459227467811162E-2</v>
      </c>
    </row>
    <row r="569" spans="1:9">
      <c r="A569">
        <v>3</v>
      </c>
      <c r="B569" t="s">
        <v>771</v>
      </c>
      <c r="C569" t="s">
        <v>285</v>
      </c>
      <c r="D569" t="s">
        <v>619</v>
      </c>
      <c r="E569">
        <v>9</v>
      </c>
      <c r="F569" t="s">
        <v>620</v>
      </c>
      <c r="H569" t="s">
        <v>621</v>
      </c>
      <c r="I569">
        <v>3.8626609442060096E-2</v>
      </c>
    </row>
    <row r="570" spans="1:9">
      <c r="A570">
        <v>4</v>
      </c>
      <c r="B570" t="s">
        <v>771</v>
      </c>
      <c r="C570" t="s">
        <v>285</v>
      </c>
      <c r="D570" t="s">
        <v>622</v>
      </c>
      <c r="E570" t="s">
        <v>129</v>
      </c>
      <c r="F570" t="s">
        <v>623</v>
      </c>
      <c r="G570">
        <v>3.8626609442060096E-2</v>
      </c>
      <c r="H570" t="s">
        <v>624</v>
      </c>
      <c r="I570">
        <v>3.8626609442060096E-2</v>
      </c>
    </row>
    <row r="571" spans="1:9">
      <c r="A571">
        <v>2</v>
      </c>
      <c r="B571" t="s">
        <v>771</v>
      </c>
      <c r="C571" t="s">
        <v>283</v>
      </c>
      <c r="D571" t="s">
        <v>618</v>
      </c>
      <c r="E571">
        <v>1.716738197424893E-2</v>
      </c>
    </row>
    <row r="572" spans="1:9">
      <c r="A572">
        <v>3</v>
      </c>
      <c r="B572" t="s">
        <v>771</v>
      </c>
      <c r="C572" t="s">
        <v>283</v>
      </c>
      <c r="D572" t="s">
        <v>619</v>
      </c>
      <c r="E572">
        <v>9</v>
      </c>
      <c r="F572" t="s">
        <v>620</v>
      </c>
      <c r="H572" t="s">
        <v>621</v>
      </c>
      <c r="I572">
        <v>3.0901287553648075E-2</v>
      </c>
    </row>
    <row r="573" spans="1:9">
      <c r="A573">
        <v>4</v>
      </c>
      <c r="B573" t="s">
        <v>771</v>
      </c>
      <c r="C573" t="s">
        <v>283</v>
      </c>
      <c r="D573" t="s">
        <v>622</v>
      </c>
      <c r="E573" t="s">
        <v>170</v>
      </c>
      <c r="F573" t="s">
        <v>623</v>
      </c>
      <c r="G573">
        <v>3.0901287553648075E-2</v>
      </c>
      <c r="H573" t="s">
        <v>624</v>
      </c>
      <c r="I573">
        <v>3.0901287553648075E-2</v>
      </c>
    </row>
    <row r="574" spans="1:9">
      <c r="A574">
        <v>2</v>
      </c>
      <c r="B574" t="s">
        <v>771</v>
      </c>
      <c r="C574" t="s">
        <v>287</v>
      </c>
      <c r="D574" t="s">
        <v>618</v>
      </c>
      <c r="E574">
        <v>2.1459227467811162E-2</v>
      </c>
    </row>
    <row r="575" spans="1:9">
      <c r="A575">
        <v>3</v>
      </c>
      <c r="B575" t="s">
        <v>771</v>
      </c>
      <c r="C575" t="s">
        <v>287</v>
      </c>
      <c r="D575" t="s">
        <v>619</v>
      </c>
      <c r="E575">
        <v>9</v>
      </c>
      <c r="F575" t="s">
        <v>620</v>
      </c>
      <c r="H575" t="s">
        <v>621</v>
      </c>
      <c r="I575">
        <v>3.8626609442060096E-2</v>
      </c>
    </row>
    <row r="576" spans="1:9">
      <c r="A576">
        <v>4</v>
      </c>
      <c r="B576" t="s">
        <v>771</v>
      </c>
      <c r="C576" t="s">
        <v>287</v>
      </c>
      <c r="D576" t="s">
        <v>622</v>
      </c>
      <c r="E576" t="s">
        <v>242</v>
      </c>
      <c r="F576" t="s">
        <v>623</v>
      </c>
      <c r="G576">
        <v>3.8626609442060096E-2</v>
      </c>
      <c r="H576" t="s">
        <v>624</v>
      </c>
      <c r="I576">
        <v>0.22476297307842372</v>
      </c>
    </row>
    <row r="577" spans="1:9">
      <c r="A577">
        <v>2</v>
      </c>
      <c r="B577" t="s">
        <v>771</v>
      </c>
      <c r="C577" t="s">
        <v>303</v>
      </c>
      <c r="D577" t="s">
        <v>618</v>
      </c>
      <c r="E577">
        <v>2.1459227467811162E-2</v>
      </c>
    </row>
    <row r="578" spans="1:9">
      <c r="A578">
        <v>3</v>
      </c>
      <c r="B578" t="s">
        <v>771</v>
      </c>
      <c r="C578" t="s">
        <v>303</v>
      </c>
      <c r="D578" t="s">
        <v>619</v>
      </c>
      <c r="E578">
        <v>9</v>
      </c>
      <c r="F578" t="s">
        <v>620</v>
      </c>
      <c r="H578" t="s">
        <v>621</v>
      </c>
      <c r="I578">
        <v>0.19313304721030045</v>
      </c>
    </row>
    <row r="579" spans="1:9">
      <c r="A579">
        <v>4</v>
      </c>
      <c r="B579" t="s">
        <v>771</v>
      </c>
      <c r="C579" t="s">
        <v>303</v>
      </c>
      <c r="D579" t="s">
        <v>622</v>
      </c>
      <c r="E579" t="s">
        <v>252</v>
      </c>
      <c r="F579" t="s">
        <v>623</v>
      </c>
      <c r="G579">
        <v>0.19313304721030045</v>
      </c>
      <c r="H579" t="s">
        <v>624</v>
      </c>
      <c r="I579">
        <v>32.863740248256846</v>
      </c>
    </row>
    <row r="580" spans="1:9">
      <c r="A580">
        <v>2</v>
      </c>
      <c r="B580" t="s">
        <v>771</v>
      </c>
      <c r="C580" t="s">
        <v>732</v>
      </c>
      <c r="D580" t="s">
        <v>618</v>
      </c>
      <c r="E580">
        <v>6.4377682403433485E-3</v>
      </c>
    </row>
    <row r="581" spans="1:9">
      <c r="A581">
        <v>2</v>
      </c>
      <c r="B581" t="s">
        <v>771</v>
      </c>
      <c r="C581" t="s">
        <v>64</v>
      </c>
      <c r="D581" t="s">
        <v>618</v>
      </c>
      <c r="E581">
        <v>6.4377682403433487E-2</v>
      </c>
    </row>
    <row r="583" spans="1:9">
      <c r="A583">
        <v>2</v>
      </c>
      <c r="B583" t="s">
        <v>636</v>
      </c>
      <c r="C583" t="s">
        <v>289</v>
      </c>
      <c r="D583" t="s">
        <v>618</v>
      </c>
      <c r="E583">
        <v>0.10714285714285714</v>
      </c>
    </row>
    <row r="584" spans="1:9">
      <c r="A584">
        <v>3</v>
      </c>
      <c r="B584" t="s">
        <v>636</v>
      </c>
      <c r="C584" t="s">
        <v>289</v>
      </c>
      <c r="D584" t="s">
        <v>619</v>
      </c>
      <c r="E584">
        <v>9</v>
      </c>
      <c r="F584" t="s">
        <v>620</v>
      </c>
      <c r="H584" t="s">
        <v>621</v>
      </c>
      <c r="I584">
        <v>0.67499999999999993</v>
      </c>
    </row>
    <row r="585" spans="1:9">
      <c r="A585">
        <v>4</v>
      </c>
      <c r="B585" t="s">
        <v>636</v>
      </c>
      <c r="C585" t="s">
        <v>289</v>
      </c>
      <c r="D585" t="s">
        <v>622</v>
      </c>
      <c r="E585" t="s">
        <v>149</v>
      </c>
      <c r="F585" t="s">
        <v>623</v>
      </c>
      <c r="G585">
        <v>0.67499999999999993</v>
      </c>
      <c r="H585" t="s">
        <v>624</v>
      </c>
      <c r="I585">
        <v>11.892766854045584</v>
      </c>
    </row>
    <row r="586" spans="1:9">
      <c r="A586">
        <v>2</v>
      </c>
      <c r="B586" t="s">
        <v>636</v>
      </c>
      <c r="C586" t="s">
        <v>304</v>
      </c>
      <c r="D586" t="s">
        <v>618</v>
      </c>
      <c r="E586">
        <v>0.14285714285714285</v>
      </c>
    </row>
    <row r="587" spans="1:9">
      <c r="A587">
        <v>3</v>
      </c>
      <c r="B587" t="s">
        <v>636</v>
      </c>
      <c r="C587" t="s">
        <v>304</v>
      </c>
      <c r="D587" t="s">
        <v>619</v>
      </c>
      <c r="E587">
        <v>9</v>
      </c>
      <c r="F587" t="s">
        <v>620</v>
      </c>
      <c r="H587" t="s">
        <v>621</v>
      </c>
      <c r="I587">
        <v>1.0928571428571427</v>
      </c>
    </row>
    <row r="588" spans="1:9">
      <c r="A588">
        <v>4</v>
      </c>
      <c r="B588" t="s">
        <v>636</v>
      </c>
      <c r="C588" t="s">
        <v>304</v>
      </c>
      <c r="D588" t="s">
        <v>622</v>
      </c>
      <c r="E588" t="s">
        <v>155</v>
      </c>
      <c r="F588" t="s">
        <v>623</v>
      </c>
      <c r="G588">
        <v>1.0928571428571427</v>
      </c>
      <c r="H588" t="s">
        <v>624</v>
      </c>
      <c r="I588">
        <v>14.984437322334317</v>
      </c>
    </row>
    <row r="589" spans="1:9">
      <c r="A589">
        <v>2</v>
      </c>
      <c r="B589" t="s">
        <v>636</v>
      </c>
      <c r="C589" t="s">
        <v>305</v>
      </c>
      <c r="D589" t="s">
        <v>618</v>
      </c>
      <c r="E589">
        <v>7.1428571428571425E-2</v>
      </c>
    </row>
    <row r="590" spans="1:9">
      <c r="A590">
        <v>3</v>
      </c>
      <c r="B590" t="s">
        <v>636</v>
      </c>
      <c r="C590" t="s">
        <v>305</v>
      </c>
      <c r="D590" t="s">
        <v>619</v>
      </c>
      <c r="E590">
        <v>9</v>
      </c>
      <c r="F590" t="s">
        <v>620</v>
      </c>
      <c r="H590" t="s">
        <v>621</v>
      </c>
      <c r="I590">
        <v>0.44999999999999996</v>
      </c>
    </row>
    <row r="591" spans="1:9">
      <c r="A591">
        <v>4</v>
      </c>
      <c r="B591" t="s">
        <v>636</v>
      </c>
      <c r="C591" t="s">
        <v>305</v>
      </c>
      <c r="D591" t="s">
        <v>622</v>
      </c>
      <c r="E591" t="s">
        <v>176</v>
      </c>
      <c r="F591" t="s">
        <v>623</v>
      </c>
      <c r="G591">
        <v>0.44999999999999996</v>
      </c>
      <c r="H591" t="s">
        <v>624</v>
      </c>
      <c r="I591">
        <v>12.287287579799171</v>
      </c>
    </row>
    <row r="592" spans="1:9">
      <c r="A592">
        <v>2</v>
      </c>
      <c r="B592" t="s">
        <v>636</v>
      </c>
      <c r="C592" t="s">
        <v>290</v>
      </c>
      <c r="D592" t="s">
        <v>618</v>
      </c>
      <c r="E592">
        <v>7.1428571428571425E-2</v>
      </c>
    </row>
    <row r="593" spans="1:9">
      <c r="A593">
        <v>3</v>
      </c>
      <c r="B593" t="s">
        <v>636</v>
      </c>
      <c r="C593" t="s">
        <v>290</v>
      </c>
      <c r="D593" t="s">
        <v>619</v>
      </c>
      <c r="E593">
        <v>9</v>
      </c>
      <c r="F593" t="s">
        <v>620</v>
      </c>
      <c r="H593" t="s">
        <v>621</v>
      </c>
      <c r="I593">
        <v>0.44999999999999996</v>
      </c>
    </row>
    <row r="594" spans="1:9">
      <c r="A594">
        <v>4</v>
      </c>
      <c r="B594" t="s">
        <v>636</v>
      </c>
      <c r="C594" t="s">
        <v>290</v>
      </c>
      <c r="D594" t="s">
        <v>622</v>
      </c>
      <c r="E594" t="s">
        <v>151</v>
      </c>
      <c r="F594" t="s">
        <v>623</v>
      </c>
      <c r="G594">
        <v>0.44999999999999996</v>
      </c>
      <c r="H594" t="s">
        <v>624</v>
      </c>
      <c r="I594">
        <v>37.608342751609712</v>
      </c>
    </row>
    <row r="595" spans="1:9">
      <c r="A595">
        <v>2</v>
      </c>
      <c r="B595" t="s">
        <v>636</v>
      </c>
      <c r="C595" t="s">
        <v>303</v>
      </c>
      <c r="D595" t="s">
        <v>618</v>
      </c>
      <c r="E595">
        <v>0.14285714285714285</v>
      </c>
    </row>
    <row r="596" spans="1:9">
      <c r="A596">
        <v>3</v>
      </c>
      <c r="B596" t="s">
        <v>636</v>
      </c>
      <c r="C596" t="s">
        <v>303</v>
      </c>
      <c r="D596" t="s">
        <v>619</v>
      </c>
      <c r="E596">
        <v>9</v>
      </c>
      <c r="F596" t="s">
        <v>620</v>
      </c>
      <c r="H596" t="s">
        <v>621</v>
      </c>
      <c r="I596">
        <v>1.2857142857142856</v>
      </c>
    </row>
    <row r="597" spans="1:9">
      <c r="A597">
        <v>4</v>
      </c>
      <c r="B597" t="s">
        <v>636</v>
      </c>
      <c r="C597" t="s">
        <v>303</v>
      </c>
      <c r="D597" t="s">
        <v>622</v>
      </c>
      <c r="E597" t="s">
        <v>252</v>
      </c>
      <c r="F597" t="s">
        <v>623</v>
      </c>
      <c r="G597">
        <v>1.2857142857142856</v>
      </c>
      <c r="H597" t="s">
        <v>624</v>
      </c>
      <c r="I597">
        <v>34.149454533971131</v>
      </c>
    </row>
    <row r="598" spans="1:9">
      <c r="A598">
        <v>2</v>
      </c>
      <c r="B598" t="s">
        <v>636</v>
      </c>
      <c r="C598" t="s">
        <v>287</v>
      </c>
      <c r="D598" t="s">
        <v>618</v>
      </c>
      <c r="E598">
        <v>0.10714285714285714</v>
      </c>
    </row>
    <row r="599" spans="1:9">
      <c r="A599">
        <v>3</v>
      </c>
      <c r="B599" t="s">
        <v>636</v>
      </c>
      <c r="C599" t="s">
        <v>287</v>
      </c>
      <c r="D599" t="s">
        <v>619</v>
      </c>
      <c r="E599">
        <v>9</v>
      </c>
      <c r="F599" t="s">
        <v>620</v>
      </c>
      <c r="H599" t="s">
        <v>621</v>
      </c>
      <c r="I599">
        <v>0.19285714285714287</v>
      </c>
    </row>
    <row r="600" spans="1:9">
      <c r="A600">
        <v>4</v>
      </c>
      <c r="B600" t="s">
        <v>636</v>
      </c>
      <c r="C600" t="s">
        <v>287</v>
      </c>
      <c r="D600" t="s">
        <v>622</v>
      </c>
      <c r="E600" t="s">
        <v>242</v>
      </c>
      <c r="F600" t="s">
        <v>623</v>
      </c>
      <c r="G600">
        <v>0.19285714285714287</v>
      </c>
      <c r="H600" t="s">
        <v>624</v>
      </c>
      <c r="I600">
        <v>0.41762011593556658</v>
      </c>
    </row>
    <row r="601" spans="1:9">
      <c r="A601">
        <v>2</v>
      </c>
      <c r="B601" t="s">
        <v>636</v>
      </c>
      <c r="C601" t="s">
        <v>299</v>
      </c>
      <c r="D601" t="s">
        <v>618</v>
      </c>
      <c r="E601">
        <v>7.1428571428571425E-2</v>
      </c>
    </row>
    <row r="602" spans="1:9">
      <c r="A602">
        <v>3</v>
      </c>
      <c r="B602" t="s">
        <v>636</v>
      </c>
      <c r="C602" t="s">
        <v>299</v>
      </c>
      <c r="D602" t="s">
        <v>619</v>
      </c>
      <c r="E602">
        <v>9</v>
      </c>
      <c r="F602" t="s">
        <v>620</v>
      </c>
      <c r="H602" t="s">
        <v>621</v>
      </c>
      <c r="I602">
        <v>0.54642857142857137</v>
      </c>
    </row>
    <row r="603" spans="1:9">
      <c r="A603">
        <v>4</v>
      </c>
      <c r="B603" t="s">
        <v>636</v>
      </c>
      <c r="C603" t="s">
        <v>299</v>
      </c>
      <c r="D603" t="s">
        <v>622</v>
      </c>
      <c r="E603" t="s">
        <v>168</v>
      </c>
      <c r="F603" t="s">
        <v>623</v>
      </c>
      <c r="G603">
        <v>0.54642857142857137</v>
      </c>
      <c r="H603" t="s">
        <v>624</v>
      </c>
      <c r="I603">
        <v>23.513690569087561</v>
      </c>
    </row>
    <row r="604" spans="1:9">
      <c r="A604">
        <v>2</v>
      </c>
      <c r="B604" t="s">
        <v>636</v>
      </c>
      <c r="C604" t="s">
        <v>731</v>
      </c>
      <c r="D604" t="s">
        <v>618</v>
      </c>
      <c r="E604">
        <v>3.5714285714285712E-2</v>
      </c>
    </row>
    <row r="605" spans="1:9">
      <c r="A605">
        <v>2</v>
      </c>
      <c r="B605" t="s">
        <v>636</v>
      </c>
      <c r="C605" t="s">
        <v>313</v>
      </c>
      <c r="D605" t="s">
        <v>618</v>
      </c>
      <c r="E605">
        <v>3.5714285714285712E-2</v>
      </c>
    </row>
    <row r="606" spans="1:9">
      <c r="A606">
        <v>3</v>
      </c>
      <c r="B606" t="s">
        <v>636</v>
      </c>
      <c r="C606" t="s">
        <v>313</v>
      </c>
      <c r="D606" t="s">
        <v>619</v>
      </c>
      <c r="E606">
        <v>9</v>
      </c>
      <c r="F606" t="s">
        <v>620</v>
      </c>
      <c r="H606" t="s">
        <v>621</v>
      </c>
      <c r="I606">
        <v>0.28928571428571426</v>
      </c>
    </row>
    <row r="607" spans="1:9">
      <c r="A607">
        <v>4</v>
      </c>
      <c r="B607" t="s">
        <v>636</v>
      </c>
      <c r="C607" t="s">
        <v>313</v>
      </c>
      <c r="D607" t="s">
        <v>622</v>
      </c>
      <c r="E607" t="s">
        <v>158</v>
      </c>
      <c r="F607" t="s">
        <v>623</v>
      </c>
      <c r="G607">
        <v>0.28928571428571426</v>
      </c>
      <c r="H607" t="s">
        <v>624</v>
      </c>
      <c r="I607">
        <v>0.28928571428571426</v>
      </c>
    </row>
    <row r="608" spans="1:9">
      <c r="A608">
        <v>2</v>
      </c>
      <c r="B608" t="s">
        <v>636</v>
      </c>
      <c r="C608" t="s">
        <v>320</v>
      </c>
      <c r="D608" t="s">
        <v>618</v>
      </c>
      <c r="E608">
        <v>3.5714285714285712E-2</v>
      </c>
    </row>
    <row r="609" spans="1:9">
      <c r="A609">
        <v>3</v>
      </c>
      <c r="B609" t="s">
        <v>636</v>
      </c>
      <c r="C609" t="s">
        <v>320</v>
      </c>
      <c r="D609" t="s">
        <v>619</v>
      </c>
      <c r="E609">
        <v>9</v>
      </c>
      <c r="F609" t="s">
        <v>620</v>
      </c>
      <c r="H609" t="s">
        <v>621</v>
      </c>
      <c r="I609">
        <v>0.3214285714285714</v>
      </c>
    </row>
    <row r="610" spans="1:9">
      <c r="A610">
        <v>4</v>
      </c>
      <c r="B610" t="s">
        <v>636</v>
      </c>
      <c r="C610" t="s">
        <v>320</v>
      </c>
      <c r="D610" t="s">
        <v>622</v>
      </c>
      <c r="E610" t="s">
        <v>233</v>
      </c>
      <c r="F610" t="s">
        <v>623</v>
      </c>
      <c r="G610">
        <v>0.3214285714285714</v>
      </c>
      <c r="H610" t="s">
        <v>624</v>
      </c>
      <c r="I610">
        <v>0.3214285714285714</v>
      </c>
    </row>
    <row r="611" spans="1:9">
      <c r="A611">
        <v>2</v>
      </c>
      <c r="B611" t="s">
        <v>636</v>
      </c>
      <c r="C611" t="s">
        <v>312</v>
      </c>
      <c r="D611" t="s">
        <v>618</v>
      </c>
      <c r="E611">
        <v>3.5714285714285712E-2</v>
      </c>
    </row>
    <row r="612" spans="1:9">
      <c r="A612">
        <v>3</v>
      </c>
      <c r="B612" t="s">
        <v>636</v>
      </c>
      <c r="C612" t="s">
        <v>312</v>
      </c>
      <c r="D612" t="s">
        <v>619</v>
      </c>
      <c r="E612">
        <v>9</v>
      </c>
      <c r="F612" t="s">
        <v>620</v>
      </c>
      <c r="H612" t="s">
        <v>621</v>
      </c>
      <c r="I612">
        <v>6.4285714285714279E-2</v>
      </c>
    </row>
    <row r="613" spans="1:9">
      <c r="A613">
        <v>4</v>
      </c>
      <c r="B613" t="s">
        <v>636</v>
      </c>
      <c r="C613" t="s">
        <v>312</v>
      </c>
      <c r="D613" t="s">
        <v>622</v>
      </c>
      <c r="E613" t="s">
        <v>221</v>
      </c>
      <c r="F613" t="s">
        <v>623</v>
      </c>
      <c r="G613">
        <v>6.4285714285714279E-2</v>
      </c>
      <c r="H613" t="s">
        <v>624</v>
      </c>
      <c r="I613">
        <v>9.0206125541638791</v>
      </c>
    </row>
    <row r="614" spans="1:9">
      <c r="A614">
        <v>2</v>
      </c>
      <c r="B614" t="s">
        <v>636</v>
      </c>
      <c r="C614" t="s">
        <v>309</v>
      </c>
      <c r="D614" t="s">
        <v>618</v>
      </c>
      <c r="E614">
        <v>0.10714285714285714</v>
      </c>
    </row>
    <row r="615" spans="1:9">
      <c r="A615">
        <v>3</v>
      </c>
      <c r="B615" t="s">
        <v>636</v>
      </c>
      <c r="C615" t="s">
        <v>309</v>
      </c>
      <c r="D615" t="s">
        <v>619</v>
      </c>
      <c r="E615">
        <v>9</v>
      </c>
      <c r="F615" t="s">
        <v>620</v>
      </c>
      <c r="H615" t="s">
        <v>621</v>
      </c>
      <c r="I615">
        <v>0.19285714285714287</v>
      </c>
    </row>
    <row r="616" spans="1:9">
      <c r="A616">
        <v>4</v>
      </c>
      <c r="B616" t="s">
        <v>636</v>
      </c>
      <c r="C616" t="s">
        <v>309</v>
      </c>
      <c r="D616" t="s">
        <v>622</v>
      </c>
      <c r="E616" t="s">
        <v>221</v>
      </c>
      <c r="F616" t="s">
        <v>623</v>
      </c>
      <c r="G616">
        <v>0.19285714285714287</v>
      </c>
      <c r="H616" t="s">
        <v>624</v>
      </c>
      <c r="I616">
        <v>9.2134696970210221</v>
      </c>
    </row>
    <row r="617" spans="1:9">
      <c r="A617">
        <v>2</v>
      </c>
      <c r="B617" t="s">
        <v>636</v>
      </c>
      <c r="C617" t="s">
        <v>64</v>
      </c>
      <c r="D617" t="s">
        <v>618</v>
      </c>
      <c r="E617">
        <v>3.5714285714285712E-2</v>
      </c>
    </row>
    <row r="618" spans="1:9">
      <c r="A618">
        <v>1</v>
      </c>
      <c r="B618" t="s">
        <v>636</v>
      </c>
      <c r="D618" t="s">
        <v>616</v>
      </c>
      <c r="E618">
        <v>2</v>
      </c>
      <c r="F618" t="s">
        <v>617</v>
      </c>
      <c r="G618">
        <v>9</v>
      </c>
    </row>
    <row r="619" spans="1:9">
      <c r="A619">
        <v>2</v>
      </c>
      <c r="B619" t="s">
        <v>636</v>
      </c>
      <c r="C619" t="s">
        <v>289</v>
      </c>
      <c r="D619" t="s">
        <v>618</v>
      </c>
      <c r="E619">
        <v>0.10714285714285714</v>
      </c>
    </row>
    <row r="620" spans="1:9">
      <c r="A620">
        <v>3</v>
      </c>
      <c r="B620" t="s">
        <v>636</v>
      </c>
      <c r="C620" t="s">
        <v>289</v>
      </c>
      <c r="D620" t="s">
        <v>619</v>
      </c>
      <c r="E620">
        <v>9</v>
      </c>
      <c r="F620" t="s">
        <v>620</v>
      </c>
      <c r="H620" t="s">
        <v>621</v>
      </c>
      <c r="I620">
        <v>0.67499999999999993</v>
      </c>
    </row>
    <row r="621" spans="1:9">
      <c r="A621">
        <v>4</v>
      </c>
      <c r="B621" t="s">
        <v>636</v>
      </c>
      <c r="C621" t="s">
        <v>289</v>
      </c>
      <c r="D621" t="s">
        <v>622</v>
      </c>
      <c r="E621" t="s">
        <v>149</v>
      </c>
      <c r="F621" t="s">
        <v>623</v>
      </c>
      <c r="G621">
        <v>0.67499999999999993</v>
      </c>
      <c r="H621" t="s">
        <v>624</v>
      </c>
      <c r="I621">
        <v>11.892766854045584</v>
      </c>
    </row>
    <row r="622" spans="1:9">
      <c r="A622">
        <v>2</v>
      </c>
      <c r="B622" t="s">
        <v>636</v>
      </c>
      <c r="C622" t="s">
        <v>304</v>
      </c>
      <c r="D622" t="s">
        <v>618</v>
      </c>
      <c r="E622">
        <v>0.14285714285714285</v>
      </c>
    </row>
    <row r="623" spans="1:9">
      <c r="A623">
        <v>3</v>
      </c>
      <c r="B623" t="s">
        <v>636</v>
      </c>
      <c r="C623" t="s">
        <v>304</v>
      </c>
      <c r="D623" t="s">
        <v>619</v>
      </c>
      <c r="E623">
        <v>9</v>
      </c>
      <c r="F623" t="s">
        <v>620</v>
      </c>
      <c r="H623" t="s">
        <v>621</v>
      </c>
      <c r="I623">
        <v>1.0928571428571427</v>
      </c>
    </row>
    <row r="624" spans="1:9">
      <c r="A624">
        <v>4</v>
      </c>
      <c r="B624" t="s">
        <v>636</v>
      </c>
      <c r="C624" t="s">
        <v>304</v>
      </c>
      <c r="D624" t="s">
        <v>622</v>
      </c>
      <c r="E624" t="s">
        <v>155</v>
      </c>
      <c r="F624" t="s">
        <v>623</v>
      </c>
      <c r="G624">
        <v>1.0928571428571427</v>
      </c>
      <c r="H624" t="s">
        <v>624</v>
      </c>
      <c r="I624">
        <v>14.984437322334317</v>
      </c>
    </row>
    <row r="625" spans="1:9">
      <c r="A625">
        <v>2</v>
      </c>
      <c r="B625" t="s">
        <v>636</v>
      </c>
      <c r="C625" t="s">
        <v>305</v>
      </c>
      <c r="D625" t="s">
        <v>618</v>
      </c>
      <c r="E625">
        <v>7.1428571428571425E-2</v>
      </c>
    </row>
    <row r="626" spans="1:9">
      <c r="A626">
        <v>3</v>
      </c>
      <c r="B626" t="s">
        <v>636</v>
      </c>
      <c r="C626" t="s">
        <v>305</v>
      </c>
      <c r="D626" t="s">
        <v>619</v>
      </c>
      <c r="E626">
        <v>9</v>
      </c>
      <c r="F626" t="s">
        <v>620</v>
      </c>
      <c r="H626" t="s">
        <v>621</v>
      </c>
      <c r="I626">
        <v>0.44999999999999996</v>
      </c>
    </row>
    <row r="627" spans="1:9">
      <c r="A627">
        <v>4</v>
      </c>
      <c r="B627" t="s">
        <v>636</v>
      </c>
      <c r="C627" t="s">
        <v>305</v>
      </c>
      <c r="D627" t="s">
        <v>622</v>
      </c>
      <c r="E627" t="s">
        <v>176</v>
      </c>
      <c r="F627" t="s">
        <v>623</v>
      </c>
      <c r="G627">
        <v>0.44999999999999996</v>
      </c>
      <c r="H627" t="s">
        <v>624</v>
      </c>
      <c r="I627">
        <v>12.287287579799171</v>
      </c>
    </row>
    <row r="628" spans="1:9">
      <c r="A628">
        <v>2</v>
      </c>
      <c r="B628" t="s">
        <v>636</v>
      </c>
      <c r="C628" t="s">
        <v>290</v>
      </c>
      <c r="D628" t="s">
        <v>618</v>
      </c>
      <c r="E628">
        <v>7.1428571428571425E-2</v>
      </c>
    </row>
    <row r="629" spans="1:9">
      <c r="A629">
        <v>3</v>
      </c>
      <c r="B629" t="s">
        <v>636</v>
      </c>
      <c r="C629" t="s">
        <v>290</v>
      </c>
      <c r="D629" t="s">
        <v>619</v>
      </c>
      <c r="E629">
        <v>9</v>
      </c>
      <c r="F629" t="s">
        <v>620</v>
      </c>
      <c r="H629" t="s">
        <v>621</v>
      </c>
      <c r="I629">
        <v>0.44999999999999996</v>
      </c>
    </row>
    <row r="630" spans="1:9">
      <c r="A630">
        <v>4</v>
      </c>
      <c r="B630" t="s">
        <v>636</v>
      </c>
      <c r="C630" t="s">
        <v>290</v>
      </c>
      <c r="D630" t="s">
        <v>622</v>
      </c>
      <c r="E630" t="s">
        <v>151</v>
      </c>
      <c r="F630" t="s">
        <v>623</v>
      </c>
      <c r="G630">
        <v>0.44999999999999996</v>
      </c>
      <c r="H630" t="s">
        <v>624</v>
      </c>
      <c r="I630">
        <v>37.608342751609712</v>
      </c>
    </row>
    <row r="631" spans="1:9">
      <c r="A631">
        <v>2</v>
      </c>
      <c r="B631" t="s">
        <v>636</v>
      </c>
      <c r="C631" t="s">
        <v>303</v>
      </c>
      <c r="D631" t="s">
        <v>618</v>
      </c>
      <c r="E631">
        <v>0.14285714285714285</v>
      </c>
    </row>
    <row r="632" spans="1:9">
      <c r="A632">
        <v>3</v>
      </c>
      <c r="B632" t="s">
        <v>636</v>
      </c>
      <c r="C632" t="s">
        <v>303</v>
      </c>
      <c r="D632" t="s">
        <v>619</v>
      </c>
      <c r="E632">
        <v>9</v>
      </c>
      <c r="F632" t="s">
        <v>620</v>
      </c>
      <c r="H632" t="s">
        <v>621</v>
      </c>
      <c r="I632">
        <v>1.2857142857142856</v>
      </c>
    </row>
    <row r="633" spans="1:9">
      <c r="A633">
        <v>4</v>
      </c>
      <c r="B633" t="s">
        <v>636</v>
      </c>
      <c r="C633" t="s">
        <v>303</v>
      </c>
      <c r="D633" t="s">
        <v>622</v>
      </c>
      <c r="E633" t="s">
        <v>252</v>
      </c>
      <c r="F633" t="s">
        <v>623</v>
      </c>
      <c r="G633">
        <v>1.2857142857142856</v>
      </c>
      <c r="H633" t="s">
        <v>624</v>
      </c>
      <c r="I633">
        <v>34.149454533971131</v>
      </c>
    </row>
    <row r="634" spans="1:9">
      <c r="A634">
        <v>2</v>
      </c>
      <c r="B634" t="s">
        <v>636</v>
      </c>
      <c r="C634" t="s">
        <v>287</v>
      </c>
      <c r="D634" t="s">
        <v>618</v>
      </c>
      <c r="E634">
        <v>0.10714285714285714</v>
      </c>
    </row>
    <row r="635" spans="1:9">
      <c r="A635">
        <v>3</v>
      </c>
      <c r="B635" t="s">
        <v>636</v>
      </c>
      <c r="C635" t="s">
        <v>287</v>
      </c>
      <c r="D635" t="s">
        <v>619</v>
      </c>
      <c r="E635">
        <v>9</v>
      </c>
      <c r="F635" t="s">
        <v>620</v>
      </c>
      <c r="H635" t="s">
        <v>621</v>
      </c>
      <c r="I635">
        <v>0.19285714285714287</v>
      </c>
    </row>
    <row r="636" spans="1:9">
      <c r="A636">
        <v>4</v>
      </c>
      <c r="B636" t="s">
        <v>636</v>
      </c>
      <c r="C636" t="s">
        <v>287</v>
      </c>
      <c r="D636" t="s">
        <v>622</v>
      </c>
      <c r="E636" t="s">
        <v>242</v>
      </c>
      <c r="F636" t="s">
        <v>623</v>
      </c>
      <c r="G636">
        <v>0.19285714285714287</v>
      </c>
      <c r="H636" t="s">
        <v>624</v>
      </c>
      <c r="I636">
        <v>0.41762011593556658</v>
      </c>
    </row>
    <row r="637" spans="1:9">
      <c r="A637">
        <v>2</v>
      </c>
      <c r="B637" t="s">
        <v>636</v>
      </c>
      <c r="C637" t="s">
        <v>299</v>
      </c>
      <c r="D637" t="s">
        <v>618</v>
      </c>
      <c r="E637">
        <v>7.1428571428571425E-2</v>
      </c>
    </row>
    <row r="638" spans="1:9">
      <c r="A638">
        <v>3</v>
      </c>
      <c r="B638" t="s">
        <v>636</v>
      </c>
      <c r="C638" t="s">
        <v>299</v>
      </c>
      <c r="D638" t="s">
        <v>619</v>
      </c>
      <c r="E638">
        <v>9</v>
      </c>
      <c r="F638" t="s">
        <v>620</v>
      </c>
      <c r="H638" t="s">
        <v>621</v>
      </c>
      <c r="I638">
        <v>0.54642857142857137</v>
      </c>
    </row>
    <row r="639" spans="1:9">
      <c r="A639">
        <v>4</v>
      </c>
      <c r="B639" t="s">
        <v>636</v>
      </c>
      <c r="C639" t="s">
        <v>299</v>
      </c>
      <c r="D639" t="s">
        <v>622</v>
      </c>
      <c r="E639" t="s">
        <v>168</v>
      </c>
      <c r="F639" t="s">
        <v>623</v>
      </c>
      <c r="G639">
        <v>0.54642857142857137</v>
      </c>
      <c r="H639" t="s">
        <v>624</v>
      </c>
      <c r="I639">
        <v>23.513690569087561</v>
      </c>
    </row>
    <row r="640" spans="1:9">
      <c r="A640">
        <v>2</v>
      </c>
      <c r="B640" t="s">
        <v>636</v>
      </c>
      <c r="C640" t="s">
        <v>731</v>
      </c>
      <c r="D640" t="s">
        <v>618</v>
      </c>
      <c r="E640">
        <v>3.5714285714285712E-2</v>
      </c>
    </row>
    <row r="641" spans="1:9">
      <c r="A641">
        <v>2</v>
      </c>
      <c r="B641" t="s">
        <v>636</v>
      </c>
      <c r="C641" t="s">
        <v>313</v>
      </c>
      <c r="D641" t="s">
        <v>618</v>
      </c>
      <c r="E641">
        <v>3.5714285714285712E-2</v>
      </c>
    </row>
    <row r="642" spans="1:9">
      <c r="A642">
        <v>3</v>
      </c>
      <c r="B642" t="s">
        <v>636</v>
      </c>
      <c r="C642" t="s">
        <v>313</v>
      </c>
      <c r="D642" t="s">
        <v>619</v>
      </c>
      <c r="E642">
        <v>9</v>
      </c>
      <c r="F642" t="s">
        <v>620</v>
      </c>
      <c r="H642" t="s">
        <v>621</v>
      </c>
      <c r="I642">
        <v>0.28928571428571426</v>
      </c>
    </row>
    <row r="643" spans="1:9">
      <c r="A643">
        <v>4</v>
      </c>
      <c r="B643" t="s">
        <v>636</v>
      </c>
      <c r="C643" t="s">
        <v>313</v>
      </c>
      <c r="D643" t="s">
        <v>622</v>
      </c>
      <c r="E643" t="s">
        <v>158</v>
      </c>
      <c r="F643" t="s">
        <v>623</v>
      </c>
      <c r="G643">
        <v>0.28928571428571426</v>
      </c>
      <c r="H643" t="s">
        <v>624</v>
      </c>
      <c r="I643">
        <v>0.28928571428571426</v>
      </c>
    </row>
    <row r="644" spans="1:9">
      <c r="A644">
        <v>2</v>
      </c>
      <c r="B644" t="s">
        <v>636</v>
      </c>
      <c r="C644" t="s">
        <v>320</v>
      </c>
      <c r="D644" t="s">
        <v>618</v>
      </c>
      <c r="E644">
        <v>3.5714285714285712E-2</v>
      </c>
    </row>
    <row r="645" spans="1:9">
      <c r="A645">
        <v>3</v>
      </c>
      <c r="B645" t="s">
        <v>636</v>
      </c>
      <c r="C645" t="s">
        <v>320</v>
      </c>
      <c r="D645" t="s">
        <v>619</v>
      </c>
      <c r="E645">
        <v>9</v>
      </c>
      <c r="F645" t="s">
        <v>620</v>
      </c>
      <c r="H645" t="s">
        <v>621</v>
      </c>
      <c r="I645">
        <v>0.3214285714285714</v>
      </c>
    </row>
    <row r="646" spans="1:9">
      <c r="A646">
        <v>4</v>
      </c>
      <c r="B646" t="s">
        <v>636</v>
      </c>
      <c r="C646" t="s">
        <v>320</v>
      </c>
      <c r="D646" t="s">
        <v>622</v>
      </c>
      <c r="E646" t="s">
        <v>233</v>
      </c>
      <c r="F646" t="s">
        <v>623</v>
      </c>
      <c r="G646">
        <v>0.3214285714285714</v>
      </c>
      <c r="H646" t="s">
        <v>624</v>
      </c>
      <c r="I646">
        <v>0.3214285714285714</v>
      </c>
    </row>
    <row r="647" spans="1:9">
      <c r="A647">
        <v>2</v>
      </c>
      <c r="B647" t="s">
        <v>636</v>
      </c>
      <c r="C647" t="s">
        <v>312</v>
      </c>
      <c r="D647" t="s">
        <v>618</v>
      </c>
      <c r="E647">
        <v>3.5714285714285712E-2</v>
      </c>
    </row>
    <row r="648" spans="1:9">
      <c r="A648">
        <v>3</v>
      </c>
      <c r="B648" t="s">
        <v>636</v>
      </c>
      <c r="C648" t="s">
        <v>312</v>
      </c>
      <c r="D648" t="s">
        <v>619</v>
      </c>
      <c r="E648">
        <v>9</v>
      </c>
      <c r="F648" t="s">
        <v>620</v>
      </c>
      <c r="H648" t="s">
        <v>621</v>
      </c>
      <c r="I648">
        <v>6.4285714285714279E-2</v>
      </c>
    </row>
    <row r="649" spans="1:9">
      <c r="A649">
        <v>4</v>
      </c>
      <c r="B649" t="s">
        <v>636</v>
      </c>
      <c r="C649" t="s">
        <v>312</v>
      </c>
      <c r="D649" t="s">
        <v>622</v>
      </c>
      <c r="E649" t="s">
        <v>221</v>
      </c>
      <c r="F649" t="s">
        <v>623</v>
      </c>
      <c r="G649">
        <v>6.4285714285714279E-2</v>
      </c>
      <c r="H649" t="s">
        <v>624</v>
      </c>
      <c r="I649">
        <v>9.0206125541638791</v>
      </c>
    </row>
    <row r="650" spans="1:9">
      <c r="A650">
        <v>2</v>
      </c>
      <c r="B650" t="s">
        <v>636</v>
      </c>
      <c r="C650" t="s">
        <v>309</v>
      </c>
      <c r="D650" t="s">
        <v>618</v>
      </c>
      <c r="E650">
        <v>0.10714285714285714</v>
      </c>
    </row>
    <row r="651" spans="1:9">
      <c r="A651">
        <v>3</v>
      </c>
      <c r="B651" t="s">
        <v>636</v>
      </c>
      <c r="C651" t="s">
        <v>309</v>
      </c>
      <c r="D651" t="s">
        <v>619</v>
      </c>
      <c r="E651">
        <v>9</v>
      </c>
      <c r="F651" t="s">
        <v>620</v>
      </c>
      <c r="H651" t="s">
        <v>621</v>
      </c>
      <c r="I651">
        <v>0.19285714285714287</v>
      </c>
    </row>
    <row r="652" spans="1:9">
      <c r="A652">
        <v>4</v>
      </c>
      <c r="B652" t="s">
        <v>636</v>
      </c>
      <c r="C652" t="s">
        <v>309</v>
      </c>
      <c r="D652" t="s">
        <v>622</v>
      </c>
      <c r="E652" t="s">
        <v>221</v>
      </c>
      <c r="F652" t="s">
        <v>623</v>
      </c>
      <c r="G652">
        <v>0.19285714285714287</v>
      </c>
      <c r="H652" t="s">
        <v>624</v>
      </c>
      <c r="I652">
        <v>9.2134696970210221</v>
      </c>
    </row>
    <row r="653" spans="1:9">
      <c r="A653">
        <v>2</v>
      </c>
      <c r="B653" t="s">
        <v>636</v>
      </c>
      <c r="C653" t="s">
        <v>64</v>
      </c>
      <c r="D653" t="s">
        <v>618</v>
      </c>
      <c r="E653">
        <v>3.5714285714285712E-2</v>
      </c>
    </row>
    <row r="654" spans="1:9">
      <c r="A654">
        <v>1</v>
      </c>
      <c r="B654" t="s">
        <v>648</v>
      </c>
      <c r="D654" t="s">
        <v>616</v>
      </c>
      <c r="E654">
        <v>1</v>
      </c>
      <c r="F654" t="s">
        <v>617</v>
      </c>
      <c r="G654">
        <v>1.8</v>
      </c>
    </row>
    <row r="655" spans="1:9">
      <c r="A655">
        <v>2</v>
      </c>
      <c r="B655" t="s">
        <v>648</v>
      </c>
      <c r="C655" t="s">
        <v>339</v>
      </c>
      <c r="D655" t="s">
        <v>618</v>
      </c>
      <c r="E655">
        <v>4.2253521126760563E-2</v>
      </c>
    </row>
    <row r="656" spans="1:9">
      <c r="A656">
        <v>3</v>
      </c>
      <c r="B656" t="s">
        <v>648</v>
      </c>
      <c r="C656" t="s">
        <v>339</v>
      </c>
      <c r="D656" t="s">
        <v>619</v>
      </c>
      <c r="E656">
        <v>1.8</v>
      </c>
      <c r="F656" t="s">
        <v>620</v>
      </c>
      <c r="H656" t="s">
        <v>621</v>
      </c>
      <c r="I656">
        <v>7.605633802816901E-2</v>
      </c>
    </row>
    <row r="657" spans="1:9">
      <c r="A657">
        <v>4</v>
      </c>
      <c r="B657" t="s">
        <v>648</v>
      </c>
      <c r="C657" t="s">
        <v>339</v>
      </c>
      <c r="D657" t="s">
        <v>622</v>
      </c>
      <c r="E657" t="s">
        <v>119</v>
      </c>
      <c r="F657" t="s">
        <v>623</v>
      </c>
      <c r="G657">
        <v>7.605633802816901E-2</v>
      </c>
      <c r="H657" t="s">
        <v>624</v>
      </c>
      <c r="I657">
        <v>0.85932310279587976</v>
      </c>
    </row>
    <row r="658" spans="1:9">
      <c r="A658">
        <v>2</v>
      </c>
      <c r="B658" t="s">
        <v>648</v>
      </c>
      <c r="C658" t="s">
        <v>408</v>
      </c>
      <c r="D658" t="s">
        <v>618</v>
      </c>
      <c r="E658">
        <v>0.63380281690140849</v>
      </c>
    </row>
    <row r="659" spans="1:9">
      <c r="A659">
        <v>3</v>
      </c>
      <c r="B659" t="s">
        <v>648</v>
      </c>
      <c r="C659" t="s">
        <v>408</v>
      </c>
      <c r="D659" t="s">
        <v>619</v>
      </c>
      <c r="E659">
        <v>1.8</v>
      </c>
      <c r="F659" t="s">
        <v>620</v>
      </c>
      <c r="H659" t="s">
        <v>621</v>
      </c>
      <c r="I659">
        <v>1.1408450704225352</v>
      </c>
    </row>
    <row r="660" spans="1:9">
      <c r="A660">
        <v>4</v>
      </c>
      <c r="B660" t="s">
        <v>648</v>
      </c>
      <c r="C660" t="s">
        <v>408</v>
      </c>
      <c r="D660" t="s">
        <v>622</v>
      </c>
      <c r="E660" t="s">
        <v>229</v>
      </c>
      <c r="F660" t="s">
        <v>623</v>
      </c>
      <c r="G660">
        <v>1.1408450704225352</v>
      </c>
      <c r="H660" t="s">
        <v>624</v>
      </c>
      <c r="I660">
        <v>1.1408450704225352</v>
      </c>
    </row>
    <row r="661" spans="1:9">
      <c r="A661">
        <v>2</v>
      </c>
      <c r="B661" t="s">
        <v>648</v>
      </c>
      <c r="C661" t="s">
        <v>409</v>
      </c>
      <c r="D661" t="s">
        <v>618</v>
      </c>
      <c r="E661">
        <v>7.0422535211267609E-2</v>
      </c>
    </row>
    <row r="662" spans="1:9">
      <c r="A662">
        <v>3</v>
      </c>
      <c r="B662" t="s">
        <v>648</v>
      </c>
      <c r="C662" t="s">
        <v>409</v>
      </c>
      <c r="D662" t="s">
        <v>619</v>
      </c>
      <c r="E662">
        <v>1.8</v>
      </c>
      <c r="F662" t="s">
        <v>620</v>
      </c>
      <c r="H662" t="s">
        <v>621</v>
      </c>
      <c r="I662">
        <v>0.12676056338028169</v>
      </c>
    </row>
    <row r="663" spans="1:9">
      <c r="A663">
        <v>4</v>
      </c>
      <c r="B663" t="s">
        <v>648</v>
      </c>
      <c r="C663" t="s">
        <v>409</v>
      </c>
      <c r="D663" t="s">
        <v>622</v>
      </c>
      <c r="E663" t="s">
        <v>234</v>
      </c>
      <c r="F663" t="s">
        <v>623</v>
      </c>
      <c r="G663">
        <v>0.12676056338028169</v>
      </c>
      <c r="H663" t="s">
        <v>624</v>
      </c>
      <c r="I663">
        <v>0.12676056338028169</v>
      </c>
    </row>
    <row r="664" spans="1:9">
      <c r="A664">
        <v>2</v>
      </c>
      <c r="B664" t="s">
        <v>648</v>
      </c>
      <c r="C664" t="s">
        <v>357</v>
      </c>
      <c r="D664" t="s">
        <v>618</v>
      </c>
      <c r="E664">
        <v>7.0422535211267609E-2</v>
      </c>
    </row>
    <row r="665" spans="1:9">
      <c r="A665">
        <v>3</v>
      </c>
      <c r="B665" t="s">
        <v>648</v>
      </c>
      <c r="C665" t="s">
        <v>357</v>
      </c>
      <c r="D665" t="s">
        <v>619</v>
      </c>
      <c r="E665">
        <v>1.8</v>
      </c>
      <c r="F665" t="s">
        <v>620</v>
      </c>
      <c r="H665" t="s">
        <v>621</v>
      </c>
      <c r="I665">
        <v>0.12676056338028169</v>
      </c>
    </row>
    <row r="666" spans="1:9">
      <c r="A666">
        <v>4</v>
      </c>
      <c r="B666" t="s">
        <v>648</v>
      </c>
      <c r="C666" t="s">
        <v>357</v>
      </c>
      <c r="D666" t="s">
        <v>622</v>
      </c>
      <c r="E666" t="s">
        <v>218</v>
      </c>
      <c r="F666" t="s">
        <v>623</v>
      </c>
      <c r="G666">
        <v>0.12676056338028169</v>
      </c>
      <c r="H666" t="s">
        <v>624</v>
      </c>
      <c r="I666">
        <v>3.0984484231524427</v>
      </c>
    </row>
    <row r="667" spans="1:9">
      <c r="A667">
        <v>2</v>
      </c>
      <c r="B667" t="s">
        <v>648</v>
      </c>
      <c r="C667" t="s">
        <v>303</v>
      </c>
      <c r="D667" t="s">
        <v>618</v>
      </c>
      <c r="E667">
        <v>7.0422535211267609E-2</v>
      </c>
    </row>
    <row r="668" spans="1:9">
      <c r="A668">
        <v>3</v>
      </c>
      <c r="B668" t="s">
        <v>648</v>
      </c>
      <c r="C668" t="s">
        <v>303</v>
      </c>
      <c r="D668" t="s">
        <v>619</v>
      </c>
      <c r="E668">
        <v>1.8</v>
      </c>
      <c r="F668" t="s">
        <v>620</v>
      </c>
      <c r="H668" t="s">
        <v>621</v>
      </c>
      <c r="I668">
        <v>0.12676056338028169</v>
      </c>
    </row>
    <row r="669" spans="1:9">
      <c r="A669">
        <v>4</v>
      </c>
      <c r="B669" t="s">
        <v>648</v>
      </c>
      <c r="C669" t="s">
        <v>303</v>
      </c>
      <c r="D669" t="s">
        <v>622</v>
      </c>
      <c r="E669" t="s">
        <v>252</v>
      </c>
      <c r="F669" t="s">
        <v>623</v>
      </c>
      <c r="G669">
        <v>0.12676056338028169</v>
      </c>
      <c r="H669" t="s">
        <v>624</v>
      </c>
      <c r="I669">
        <v>34.276215097351411</v>
      </c>
    </row>
    <row r="670" spans="1:9">
      <c r="A670">
        <v>2</v>
      </c>
      <c r="B670" t="s">
        <v>648</v>
      </c>
      <c r="C670" t="s">
        <v>359</v>
      </c>
      <c r="D670" t="s">
        <v>618</v>
      </c>
      <c r="E670">
        <v>7.0422535211267609E-2</v>
      </c>
    </row>
    <row r="671" spans="1:9">
      <c r="A671">
        <v>3</v>
      </c>
      <c r="B671" t="s">
        <v>648</v>
      </c>
      <c r="C671" t="s">
        <v>359</v>
      </c>
      <c r="D671" t="s">
        <v>619</v>
      </c>
      <c r="E671">
        <v>1.8</v>
      </c>
      <c r="F671" t="s">
        <v>620</v>
      </c>
      <c r="H671" t="s">
        <v>621</v>
      </c>
      <c r="I671">
        <v>0.12676056338028169</v>
      </c>
    </row>
    <row r="672" spans="1:9">
      <c r="A672">
        <v>4</v>
      </c>
      <c r="B672" t="s">
        <v>648</v>
      </c>
      <c r="C672" t="s">
        <v>359</v>
      </c>
      <c r="D672" t="s">
        <v>622</v>
      </c>
      <c r="E672" t="s">
        <v>165</v>
      </c>
      <c r="F672" t="s">
        <v>623</v>
      </c>
      <c r="G672">
        <v>0.12676056338028169</v>
      </c>
      <c r="H672" t="s">
        <v>624</v>
      </c>
      <c r="I672">
        <v>0.76056338028169024</v>
      </c>
    </row>
    <row r="673" spans="1:9">
      <c r="A673">
        <v>2</v>
      </c>
      <c r="B673" t="s">
        <v>648</v>
      </c>
      <c r="C673" t="s">
        <v>358</v>
      </c>
      <c r="D673" t="s">
        <v>618</v>
      </c>
      <c r="E673">
        <v>4.2253521126760563E-2</v>
      </c>
    </row>
    <row r="674" spans="1:9">
      <c r="A674">
        <v>3</v>
      </c>
      <c r="B674" t="s">
        <v>648</v>
      </c>
      <c r="C674" t="s">
        <v>358</v>
      </c>
      <c r="D674" t="s">
        <v>619</v>
      </c>
      <c r="E674">
        <v>1.8</v>
      </c>
      <c r="F674" t="s">
        <v>620</v>
      </c>
      <c r="H674" t="s">
        <v>621</v>
      </c>
      <c r="I674">
        <v>7.605633802816901E-2</v>
      </c>
    </row>
    <row r="675" spans="1:9">
      <c r="A675">
        <v>4</v>
      </c>
      <c r="B675" t="s">
        <v>648</v>
      </c>
      <c r="C675" t="s">
        <v>358</v>
      </c>
      <c r="D675" t="s">
        <v>622</v>
      </c>
      <c r="E675" t="s">
        <v>263</v>
      </c>
      <c r="F675" t="s">
        <v>623</v>
      </c>
      <c r="G675">
        <v>7.605633802816901E-2</v>
      </c>
      <c r="H675" t="s">
        <v>624</v>
      </c>
      <c r="I675">
        <v>203.77578485199138</v>
      </c>
    </row>
    <row r="676" spans="1:9">
      <c r="A676">
        <v>1</v>
      </c>
      <c r="B676" t="s">
        <v>648</v>
      </c>
      <c r="D676" t="s">
        <v>616</v>
      </c>
      <c r="E676">
        <v>2</v>
      </c>
      <c r="F676" t="s">
        <v>617</v>
      </c>
      <c r="G676">
        <v>1.8</v>
      </c>
    </row>
    <row r="677" spans="1:9">
      <c r="A677">
        <v>2</v>
      </c>
      <c r="B677" t="s">
        <v>648</v>
      </c>
      <c r="C677" t="s">
        <v>339</v>
      </c>
      <c r="D677" t="s">
        <v>618</v>
      </c>
      <c r="E677">
        <v>4.2253521126760563E-2</v>
      </c>
    </row>
    <row r="678" spans="1:9">
      <c r="A678">
        <v>3</v>
      </c>
      <c r="B678" t="s">
        <v>648</v>
      </c>
      <c r="C678" t="s">
        <v>339</v>
      </c>
      <c r="D678" t="s">
        <v>619</v>
      </c>
      <c r="E678">
        <v>1.8</v>
      </c>
      <c r="F678" t="s">
        <v>620</v>
      </c>
      <c r="H678" t="s">
        <v>621</v>
      </c>
      <c r="I678">
        <v>7.605633802816901E-2</v>
      </c>
    </row>
    <row r="679" spans="1:9">
      <c r="A679">
        <v>4</v>
      </c>
      <c r="B679" t="s">
        <v>648</v>
      </c>
      <c r="C679" t="s">
        <v>339</v>
      </c>
      <c r="D679" t="s">
        <v>622</v>
      </c>
      <c r="E679" t="s">
        <v>119</v>
      </c>
      <c r="F679" t="s">
        <v>623</v>
      </c>
      <c r="G679">
        <v>7.605633802816901E-2</v>
      </c>
      <c r="H679" t="s">
        <v>624</v>
      </c>
      <c r="I679">
        <v>0.85932310279587976</v>
      </c>
    </row>
    <row r="680" spans="1:9">
      <c r="A680">
        <v>2</v>
      </c>
      <c r="B680" t="s">
        <v>648</v>
      </c>
      <c r="C680" t="s">
        <v>408</v>
      </c>
      <c r="D680" t="s">
        <v>618</v>
      </c>
      <c r="E680">
        <v>0.63380281690140849</v>
      </c>
    </row>
    <row r="681" spans="1:9">
      <c r="A681">
        <v>3</v>
      </c>
      <c r="B681" t="s">
        <v>648</v>
      </c>
      <c r="C681" t="s">
        <v>408</v>
      </c>
      <c r="D681" t="s">
        <v>619</v>
      </c>
      <c r="E681">
        <v>1.8</v>
      </c>
      <c r="F681" t="s">
        <v>620</v>
      </c>
      <c r="H681" t="s">
        <v>621</v>
      </c>
      <c r="I681">
        <v>1.1408450704225352</v>
      </c>
    </row>
    <row r="682" spans="1:9">
      <c r="A682">
        <v>4</v>
      </c>
      <c r="B682" t="s">
        <v>648</v>
      </c>
      <c r="C682" t="s">
        <v>408</v>
      </c>
      <c r="D682" t="s">
        <v>622</v>
      </c>
      <c r="E682" t="s">
        <v>229</v>
      </c>
      <c r="F682" t="s">
        <v>623</v>
      </c>
      <c r="G682">
        <v>1.1408450704225352</v>
      </c>
      <c r="H682" t="s">
        <v>624</v>
      </c>
      <c r="I682">
        <v>1.1408450704225352</v>
      </c>
    </row>
    <row r="683" spans="1:9">
      <c r="A683">
        <v>2</v>
      </c>
      <c r="B683" t="s">
        <v>648</v>
      </c>
      <c r="C683" t="s">
        <v>409</v>
      </c>
      <c r="D683" t="s">
        <v>618</v>
      </c>
      <c r="E683">
        <v>7.0422535211267609E-2</v>
      </c>
    </row>
    <row r="684" spans="1:9">
      <c r="A684">
        <v>3</v>
      </c>
      <c r="B684" t="s">
        <v>648</v>
      </c>
      <c r="C684" t="s">
        <v>409</v>
      </c>
      <c r="D684" t="s">
        <v>619</v>
      </c>
      <c r="E684">
        <v>1.8</v>
      </c>
      <c r="F684" t="s">
        <v>620</v>
      </c>
      <c r="H684" t="s">
        <v>621</v>
      </c>
      <c r="I684">
        <v>0.12676056338028169</v>
      </c>
    </row>
    <row r="685" spans="1:9">
      <c r="A685">
        <v>4</v>
      </c>
      <c r="B685" t="s">
        <v>648</v>
      </c>
      <c r="C685" t="s">
        <v>409</v>
      </c>
      <c r="D685" t="s">
        <v>622</v>
      </c>
      <c r="E685" t="s">
        <v>234</v>
      </c>
      <c r="F685" t="s">
        <v>623</v>
      </c>
      <c r="G685">
        <v>0.12676056338028169</v>
      </c>
      <c r="H685" t="s">
        <v>624</v>
      </c>
      <c r="I685">
        <v>0.12676056338028169</v>
      </c>
    </row>
    <row r="686" spans="1:9">
      <c r="A686">
        <v>2</v>
      </c>
      <c r="B686" t="s">
        <v>648</v>
      </c>
      <c r="C686" t="s">
        <v>357</v>
      </c>
      <c r="D686" t="s">
        <v>618</v>
      </c>
      <c r="E686">
        <v>7.0422535211267609E-2</v>
      </c>
    </row>
    <row r="687" spans="1:9">
      <c r="A687">
        <v>3</v>
      </c>
      <c r="B687" t="s">
        <v>648</v>
      </c>
      <c r="C687" t="s">
        <v>357</v>
      </c>
      <c r="D687" t="s">
        <v>619</v>
      </c>
      <c r="E687">
        <v>1.8</v>
      </c>
      <c r="F687" t="s">
        <v>620</v>
      </c>
      <c r="H687" t="s">
        <v>621</v>
      </c>
      <c r="I687">
        <v>0.12676056338028169</v>
      </c>
    </row>
    <row r="688" spans="1:9">
      <c r="A688">
        <v>4</v>
      </c>
      <c r="B688" t="s">
        <v>648</v>
      </c>
      <c r="C688" t="s">
        <v>357</v>
      </c>
      <c r="D688" t="s">
        <v>622</v>
      </c>
      <c r="E688" t="s">
        <v>218</v>
      </c>
      <c r="F688" t="s">
        <v>623</v>
      </c>
      <c r="G688">
        <v>0.12676056338028169</v>
      </c>
      <c r="H688" t="s">
        <v>624</v>
      </c>
      <c r="I688">
        <v>3.0984484231524427</v>
      </c>
    </row>
    <row r="689" spans="1:9">
      <c r="A689">
        <v>2</v>
      </c>
      <c r="B689" t="s">
        <v>648</v>
      </c>
      <c r="C689" t="s">
        <v>303</v>
      </c>
      <c r="D689" t="s">
        <v>618</v>
      </c>
      <c r="E689">
        <v>7.0422535211267609E-2</v>
      </c>
    </row>
    <row r="690" spans="1:9">
      <c r="A690">
        <v>3</v>
      </c>
      <c r="B690" t="s">
        <v>648</v>
      </c>
      <c r="C690" t="s">
        <v>303</v>
      </c>
      <c r="D690" t="s">
        <v>619</v>
      </c>
      <c r="E690">
        <v>1.8</v>
      </c>
      <c r="F690" t="s">
        <v>620</v>
      </c>
      <c r="H690" t="s">
        <v>621</v>
      </c>
      <c r="I690">
        <v>0.12676056338028169</v>
      </c>
    </row>
    <row r="691" spans="1:9">
      <c r="A691">
        <v>4</v>
      </c>
      <c r="B691" t="s">
        <v>648</v>
      </c>
      <c r="C691" t="s">
        <v>303</v>
      </c>
      <c r="D691" t="s">
        <v>622</v>
      </c>
      <c r="E691" t="s">
        <v>252</v>
      </c>
      <c r="F691" t="s">
        <v>623</v>
      </c>
      <c r="G691">
        <v>0.12676056338028169</v>
      </c>
      <c r="H691" t="s">
        <v>624</v>
      </c>
      <c r="I691">
        <v>34.276215097351411</v>
      </c>
    </row>
    <row r="692" spans="1:9">
      <c r="A692">
        <v>2</v>
      </c>
      <c r="B692" t="s">
        <v>648</v>
      </c>
      <c r="C692" t="s">
        <v>359</v>
      </c>
      <c r="D692" t="s">
        <v>618</v>
      </c>
      <c r="E692">
        <v>7.0422535211267609E-2</v>
      </c>
    </row>
    <row r="693" spans="1:9">
      <c r="A693">
        <v>3</v>
      </c>
      <c r="B693" t="s">
        <v>648</v>
      </c>
      <c r="C693" t="s">
        <v>359</v>
      </c>
      <c r="D693" t="s">
        <v>619</v>
      </c>
      <c r="E693">
        <v>1.8</v>
      </c>
      <c r="F693" t="s">
        <v>620</v>
      </c>
      <c r="H693" t="s">
        <v>621</v>
      </c>
      <c r="I693">
        <v>0.12676056338028169</v>
      </c>
    </row>
    <row r="694" spans="1:9">
      <c r="A694">
        <v>4</v>
      </c>
      <c r="B694" t="s">
        <v>648</v>
      </c>
      <c r="C694" t="s">
        <v>359</v>
      </c>
      <c r="D694" t="s">
        <v>622</v>
      </c>
      <c r="E694" t="s">
        <v>165</v>
      </c>
      <c r="F694" t="s">
        <v>623</v>
      </c>
      <c r="G694">
        <v>0.12676056338028169</v>
      </c>
      <c r="H694" t="s">
        <v>624</v>
      </c>
      <c r="I694">
        <v>0.76056338028169024</v>
      </c>
    </row>
    <row r="695" spans="1:9">
      <c r="A695">
        <v>2</v>
      </c>
      <c r="B695" t="s">
        <v>648</v>
      </c>
      <c r="C695" t="s">
        <v>358</v>
      </c>
      <c r="D695" t="s">
        <v>618</v>
      </c>
      <c r="E695">
        <v>4.2253521126760563E-2</v>
      </c>
    </row>
    <row r="696" spans="1:9">
      <c r="A696">
        <v>3</v>
      </c>
      <c r="B696" t="s">
        <v>648</v>
      </c>
      <c r="C696" t="s">
        <v>358</v>
      </c>
      <c r="D696" t="s">
        <v>619</v>
      </c>
      <c r="E696">
        <v>1.8</v>
      </c>
      <c r="F696" t="s">
        <v>620</v>
      </c>
      <c r="H696" t="s">
        <v>621</v>
      </c>
      <c r="I696">
        <v>7.605633802816901E-2</v>
      </c>
    </row>
    <row r="697" spans="1:9">
      <c r="A697">
        <v>4</v>
      </c>
      <c r="B697" t="s">
        <v>648</v>
      </c>
      <c r="C697" t="s">
        <v>358</v>
      </c>
      <c r="D697" t="s">
        <v>622</v>
      </c>
      <c r="E697" t="s">
        <v>263</v>
      </c>
      <c r="F697" t="s">
        <v>623</v>
      </c>
      <c r="G697">
        <v>7.605633802816901E-2</v>
      </c>
      <c r="H697" t="s">
        <v>624</v>
      </c>
      <c r="I697">
        <v>203.77578485199138</v>
      </c>
    </row>
    <row r="698" spans="1:9">
      <c r="A698">
        <v>2</v>
      </c>
      <c r="B698" t="s">
        <v>648</v>
      </c>
      <c r="C698" t="s">
        <v>357</v>
      </c>
      <c r="D698" t="s">
        <v>618</v>
      </c>
      <c r="E698">
        <v>7.0422535211267609E-2</v>
      </c>
    </row>
    <row r="699" spans="1:9">
      <c r="A699">
        <v>3</v>
      </c>
      <c r="B699" t="s">
        <v>648</v>
      </c>
      <c r="C699" t="s">
        <v>357</v>
      </c>
      <c r="D699" t="s">
        <v>619</v>
      </c>
      <c r="E699">
        <v>1.8</v>
      </c>
      <c r="F699" t="s">
        <v>620</v>
      </c>
      <c r="H699" t="s">
        <v>621</v>
      </c>
      <c r="I699">
        <v>0.12676056338028169</v>
      </c>
    </row>
    <row r="700" spans="1:9">
      <c r="A700">
        <v>4</v>
      </c>
      <c r="B700" t="s">
        <v>648</v>
      </c>
      <c r="C700" t="s">
        <v>357</v>
      </c>
      <c r="D700" t="s">
        <v>622</v>
      </c>
      <c r="E700" t="s">
        <v>218</v>
      </c>
      <c r="F700" t="s">
        <v>623</v>
      </c>
      <c r="G700">
        <v>0.12676056338028169</v>
      </c>
      <c r="H700" t="s">
        <v>624</v>
      </c>
      <c r="I700">
        <v>3.1627341374381568</v>
      </c>
    </row>
    <row r="701" spans="1:9">
      <c r="A701">
        <v>2</v>
      </c>
      <c r="B701" t="s">
        <v>648</v>
      </c>
      <c r="C701" t="s">
        <v>303</v>
      </c>
      <c r="D701" t="s">
        <v>618</v>
      </c>
      <c r="E701">
        <v>7.0422535211267609E-2</v>
      </c>
    </row>
    <row r="702" spans="1:9">
      <c r="A702">
        <v>3</v>
      </c>
      <c r="B702" t="s">
        <v>648</v>
      </c>
      <c r="C702" t="s">
        <v>303</v>
      </c>
      <c r="D702" t="s">
        <v>619</v>
      </c>
      <c r="E702">
        <v>1.8</v>
      </c>
      <c r="F702" t="s">
        <v>620</v>
      </c>
      <c r="H702" t="s">
        <v>621</v>
      </c>
      <c r="I702">
        <v>0.12676056338028169</v>
      </c>
    </row>
    <row r="703" spans="1:9">
      <c r="A703">
        <v>4</v>
      </c>
      <c r="B703" t="s">
        <v>648</v>
      </c>
      <c r="C703" t="s">
        <v>303</v>
      </c>
      <c r="D703" t="s">
        <v>622</v>
      </c>
      <c r="E703" t="s">
        <v>252</v>
      </c>
      <c r="F703" t="s">
        <v>623</v>
      </c>
      <c r="G703">
        <v>0.12676056338028169</v>
      </c>
      <c r="H703" t="s">
        <v>624</v>
      </c>
      <c r="I703">
        <v>17.815618793503269</v>
      </c>
    </row>
    <row r="704" spans="1:9">
      <c r="A704">
        <v>2</v>
      </c>
      <c r="B704" t="s">
        <v>648</v>
      </c>
      <c r="C704" t="s">
        <v>359</v>
      </c>
      <c r="D704" t="s">
        <v>618</v>
      </c>
      <c r="E704">
        <v>7.0422535211267609E-2</v>
      </c>
    </row>
    <row r="705" spans="1:9">
      <c r="A705">
        <v>3</v>
      </c>
      <c r="B705" t="s">
        <v>648</v>
      </c>
      <c r="C705" t="s">
        <v>359</v>
      </c>
      <c r="D705" t="s">
        <v>619</v>
      </c>
      <c r="E705">
        <v>1.8</v>
      </c>
      <c r="F705" t="s">
        <v>620</v>
      </c>
      <c r="H705" t="s">
        <v>621</v>
      </c>
      <c r="I705">
        <v>0.12676056338028169</v>
      </c>
    </row>
    <row r="706" spans="1:9">
      <c r="A706">
        <v>4</v>
      </c>
      <c r="B706" t="s">
        <v>648</v>
      </c>
      <c r="C706" t="s">
        <v>359</v>
      </c>
      <c r="D706" t="s">
        <v>622</v>
      </c>
      <c r="E706" t="s">
        <v>165</v>
      </c>
      <c r="F706" t="s">
        <v>623</v>
      </c>
      <c r="G706">
        <v>0.12676056338028169</v>
      </c>
      <c r="H706" t="s">
        <v>624</v>
      </c>
      <c r="I706">
        <v>0.76056338028169024</v>
      </c>
    </row>
    <row r="707" spans="1:9">
      <c r="A707">
        <v>2</v>
      </c>
      <c r="B707" t="s">
        <v>648</v>
      </c>
      <c r="C707" t="s">
        <v>358</v>
      </c>
      <c r="D707" t="s">
        <v>618</v>
      </c>
      <c r="E707">
        <v>4.2253521126760563E-2</v>
      </c>
    </row>
    <row r="708" spans="1:9">
      <c r="A708">
        <v>3</v>
      </c>
      <c r="B708" t="s">
        <v>648</v>
      </c>
      <c r="C708" t="s">
        <v>358</v>
      </c>
      <c r="D708" t="s">
        <v>619</v>
      </c>
      <c r="E708">
        <v>1.8</v>
      </c>
      <c r="F708" t="s">
        <v>620</v>
      </c>
      <c r="H708" t="s">
        <v>621</v>
      </c>
      <c r="I708">
        <v>7.605633802816901E-2</v>
      </c>
    </row>
    <row r="709" spans="1:9">
      <c r="A709">
        <v>4</v>
      </c>
      <c r="B709" t="s">
        <v>648</v>
      </c>
      <c r="C709" t="s">
        <v>358</v>
      </c>
      <c r="D709" t="s">
        <v>622</v>
      </c>
      <c r="E709" t="s">
        <v>263</v>
      </c>
      <c r="F709" t="s">
        <v>623</v>
      </c>
      <c r="G709">
        <v>7.605633802816901E-2</v>
      </c>
      <c r="H709" t="s">
        <v>624</v>
      </c>
      <c r="I709">
        <v>179.12202592294722</v>
      </c>
    </row>
    <row r="710" spans="1:9">
      <c r="A710">
        <v>3</v>
      </c>
      <c r="B710" t="s">
        <v>650</v>
      </c>
      <c r="C710" t="s">
        <v>365</v>
      </c>
      <c r="D710" t="s">
        <v>619</v>
      </c>
      <c r="E710">
        <v>0</v>
      </c>
      <c r="F710" t="s">
        <v>620</v>
      </c>
      <c r="H710" t="s">
        <v>621</v>
      </c>
      <c r="I710">
        <v>0</v>
      </c>
    </row>
    <row r="711" spans="1:9">
      <c r="A711">
        <v>4</v>
      </c>
      <c r="B711" t="s">
        <v>650</v>
      </c>
      <c r="C711" t="s">
        <v>365</v>
      </c>
      <c r="D711" t="s">
        <v>622</v>
      </c>
      <c r="E711" t="s">
        <v>215</v>
      </c>
      <c r="F711" t="s">
        <v>623</v>
      </c>
      <c r="G711">
        <v>0</v>
      </c>
      <c r="H711" t="s">
        <v>624</v>
      </c>
      <c r="I711">
        <v>0</v>
      </c>
    </row>
    <row r="712" spans="1:9">
      <c r="A712">
        <v>1</v>
      </c>
      <c r="B712" t="s">
        <v>651</v>
      </c>
      <c r="D712" t="s">
        <v>616</v>
      </c>
      <c r="E712">
        <v>1</v>
      </c>
      <c r="F712" t="s">
        <v>617</v>
      </c>
      <c r="G712">
        <v>0</v>
      </c>
    </row>
    <row r="713" spans="1:9">
      <c r="A713">
        <v>2</v>
      </c>
      <c r="B713" t="s">
        <v>651</v>
      </c>
      <c r="C713" t="s">
        <v>284</v>
      </c>
      <c r="D713" t="s">
        <v>618</v>
      </c>
      <c r="E713">
        <v>0.25</v>
      </c>
    </row>
    <row r="714" spans="1:9">
      <c r="A714">
        <v>3</v>
      </c>
      <c r="B714" t="s">
        <v>651</v>
      </c>
      <c r="C714" t="s">
        <v>284</v>
      </c>
      <c r="D714" t="s">
        <v>619</v>
      </c>
      <c r="E714">
        <v>0</v>
      </c>
      <c r="F714" t="s">
        <v>620</v>
      </c>
      <c r="H714" t="s">
        <v>621</v>
      </c>
      <c r="I714">
        <v>0</v>
      </c>
    </row>
    <row r="715" spans="1:9">
      <c r="A715">
        <v>4</v>
      </c>
      <c r="B715" t="s">
        <v>651</v>
      </c>
      <c r="C715" t="s">
        <v>284</v>
      </c>
      <c r="D715" t="s">
        <v>622</v>
      </c>
      <c r="E715" t="s">
        <v>151</v>
      </c>
      <c r="F715" t="s">
        <v>623</v>
      </c>
      <c r="G715">
        <v>0</v>
      </c>
      <c r="H715" t="s">
        <v>624</v>
      </c>
      <c r="I715">
        <v>57.471816171699686</v>
      </c>
    </row>
    <row r="716" spans="1:9">
      <c r="A716">
        <v>2</v>
      </c>
      <c r="B716" t="s">
        <v>651</v>
      </c>
      <c r="C716" t="s">
        <v>305</v>
      </c>
      <c r="D716" t="s">
        <v>618</v>
      </c>
      <c r="E716">
        <v>0.25</v>
      </c>
    </row>
    <row r="717" spans="1:9">
      <c r="A717">
        <v>3</v>
      </c>
      <c r="B717" t="s">
        <v>651</v>
      </c>
      <c r="C717" t="s">
        <v>305</v>
      </c>
      <c r="D717" t="s">
        <v>619</v>
      </c>
      <c r="E717">
        <v>0</v>
      </c>
      <c r="F717" t="s">
        <v>620</v>
      </c>
      <c r="H717" t="s">
        <v>621</v>
      </c>
      <c r="I717">
        <v>0</v>
      </c>
    </row>
    <row r="718" spans="1:9">
      <c r="A718">
        <v>4</v>
      </c>
      <c r="B718" t="s">
        <v>651</v>
      </c>
      <c r="C718" t="s">
        <v>305</v>
      </c>
      <c r="D718" t="s">
        <v>622</v>
      </c>
      <c r="E718" t="s">
        <v>176</v>
      </c>
      <c r="F718" t="s">
        <v>623</v>
      </c>
      <c r="G718">
        <v>0</v>
      </c>
      <c r="H718" t="s">
        <v>624</v>
      </c>
      <c r="I718">
        <v>262.7270518258087</v>
      </c>
    </row>
    <row r="719" spans="1:9">
      <c r="A719">
        <v>2</v>
      </c>
      <c r="B719" t="s">
        <v>651</v>
      </c>
      <c r="C719" t="s">
        <v>307</v>
      </c>
      <c r="D719" t="s">
        <v>618</v>
      </c>
      <c r="E719">
        <v>0.25</v>
      </c>
    </row>
    <row r="720" spans="1:9">
      <c r="A720">
        <v>3</v>
      </c>
      <c r="B720" t="s">
        <v>651</v>
      </c>
      <c r="C720" t="s">
        <v>307</v>
      </c>
      <c r="D720" t="s">
        <v>619</v>
      </c>
      <c r="E720">
        <v>0</v>
      </c>
      <c r="F720" t="s">
        <v>620</v>
      </c>
      <c r="H720" t="s">
        <v>621</v>
      </c>
      <c r="I720">
        <v>0</v>
      </c>
    </row>
    <row r="721" spans="1:9">
      <c r="A721">
        <v>4</v>
      </c>
      <c r="B721" t="s">
        <v>651</v>
      </c>
      <c r="C721" t="s">
        <v>307</v>
      </c>
      <c r="D721" t="s">
        <v>622</v>
      </c>
      <c r="E721" t="s">
        <v>173</v>
      </c>
      <c r="F721" t="s">
        <v>623</v>
      </c>
      <c r="G721">
        <v>0</v>
      </c>
      <c r="H721" t="s">
        <v>624</v>
      </c>
      <c r="I721">
        <v>0</v>
      </c>
    </row>
    <row r="722" spans="1:9">
      <c r="A722">
        <v>2</v>
      </c>
      <c r="B722" t="s">
        <v>651</v>
      </c>
      <c r="C722" t="s">
        <v>366</v>
      </c>
      <c r="D722" t="s">
        <v>618</v>
      </c>
      <c r="E722">
        <v>0.125</v>
      </c>
    </row>
    <row r="723" spans="1:9">
      <c r="A723">
        <v>3</v>
      </c>
      <c r="B723" t="s">
        <v>651</v>
      </c>
      <c r="C723" t="s">
        <v>366</v>
      </c>
      <c r="D723" t="s">
        <v>619</v>
      </c>
      <c r="E723">
        <v>0</v>
      </c>
      <c r="F723" t="s">
        <v>620</v>
      </c>
      <c r="H723" t="s">
        <v>621</v>
      </c>
      <c r="I723">
        <v>0</v>
      </c>
    </row>
    <row r="724" spans="1:9">
      <c r="A724">
        <v>4</v>
      </c>
      <c r="B724" t="s">
        <v>651</v>
      </c>
      <c r="C724" t="s">
        <v>366</v>
      </c>
      <c r="D724" t="s">
        <v>622</v>
      </c>
      <c r="E724" t="s">
        <v>180</v>
      </c>
      <c r="F724" t="s">
        <v>623</v>
      </c>
      <c r="G724">
        <v>0</v>
      </c>
      <c r="H724" t="s">
        <v>624</v>
      </c>
      <c r="I724">
        <v>0</v>
      </c>
    </row>
    <row r="725" spans="1:9">
      <c r="A725">
        <v>2</v>
      </c>
      <c r="B725" t="s">
        <v>651</v>
      </c>
      <c r="C725" t="s">
        <v>306</v>
      </c>
      <c r="D725" t="s">
        <v>618</v>
      </c>
      <c r="E725">
        <v>0.125</v>
      </c>
    </row>
    <row r="726" spans="1:9">
      <c r="A726">
        <v>3</v>
      </c>
      <c r="B726" t="s">
        <v>651</v>
      </c>
      <c r="C726" t="s">
        <v>306</v>
      </c>
      <c r="D726" t="s">
        <v>619</v>
      </c>
      <c r="E726">
        <v>0</v>
      </c>
      <c r="F726" t="s">
        <v>620</v>
      </c>
      <c r="H726" t="s">
        <v>621</v>
      </c>
      <c r="I726">
        <v>0</v>
      </c>
    </row>
    <row r="728" spans="1:9">
      <c r="A728">
        <v>1</v>
      </c>
      <c r="B728" t="s">
        <v>637</v>
      </c>
      <c r="D728" t="s">
        <v>616</v>
      </c>
      <c r="E728">
        <v>1</v>
      </c>
      <c r="F728" t="s">
        <v>617</v>
      </c>
      <c r="G728">
        <v>15</v>
      </c>
    </row>
    <row r="729" spans="1:9">
      <c r="A729">
        <v>2</v>
      </c>
      <c r="B729" t="s">
        <v>637</v>
      </c>
      <c r="C729" t="s">
        <v>309</v>
      </c>
      <c r="D729" t="s">
        <v>618</v>
      </c>
      <c r="E729">
        <v>1</v>
      </c>
    </row>
    <row r="730" spans="1:9">
      <c r="A730">
        <v>3</v>
      </c>
      <c r="B730" t="s">
        <v>637</v>
      </c>
      <c r="C730" t="s">
        <v>309</v>
      </c>
      <c r="D730" t="s">
        <v>619</v>
      </c>
      <c r="E730">
        <v>15</v>
      </c>
      <c r="F730" t="s">
        <v>620</v>
      </c>
      <c r="H730" t="s">
        <v>621</v>
      </c>
      <c r="I730">
        <v>3</v>
      </c>
    </row>
    <row r="731" spans="1:9">
      <c r="A731">
        <v>4</v>
      </c>
      <c r="B731" t="s">
        <v>637</v>
      </c>
      <c r="C731" t="s">
        <v>309</v>
      </c>
      <c r="D731" t="s">
        <v>622</v>
      </c>
      <c r="E731" t="s">
        <v>221</v>
      </c>
      <c r="F731" t="s">
        <v>623</v>
      </c>
      <c r="G731">
        <v>3</v>
      </c>
      <c r="H731" t="s">
        <v>624</v>
      </c>
      <c r="I731">
        <v>5.3995716007133261</v>
      </c>
    </row>
    <row r="732" spans="1:9">
      <c r="A732">
        <v>1</v>
      </c>
      <c r="B732" t="s">
        <v>630</v>
      </c>
      <c r="D732" t="s">
        <v>616</v>
      </c>
      <c r="E732">
        <v>1</v>
      </c>
      <c r="F732" t="s">
        <v>617</v>
      </c>
      <c r="G732">
        <v>32.5</v>
      </c>
    </row>
    <row r="733" spans="1:9">
      <c r="A733">
        <v>2</v>
      </c>
      <c r="B733" t="s">
        <v>630</v>
      </c>
      <c r="C733" t="s">
        <v>309</v>
      </c>
      <c r="D733" t="s">
        <v>618</v>
      </c>
      <c r="E733">
        <v>1</v>
      </c>
    </row>
    <row r="734" spans="1:9">
      <c r="A734">
        <v>3</v>
      </c>
      <c r="B734" t="s">
        <v>630</v>
      </c>
      <c r="C734" t="s">
        <v>309</v>
      </c>
      <c r="D734" t="s">
        <v>619</v>
      </c>
      <c r="E734">
        <v>32.5</v>
      </c>
      <c r="F734" t="s">
        <v>620</v>
      </c>
      <c r="H734" t="s">
        <v>621</v>
      </c>
      <c r="I734">
        <v>6.5</v>
      </c>
    </row>
    <row r="735" spans="1:9">
      <c r="A735">
        <v>4</v>
      </c>
      <c r="B735" t="s">
        <v>630</v>
      </c>
      <c r="C735" t="s">
        <v>309</v>
      </c>
      <c r="D735" t="s">
        <v>622</v>
      </c>
      <c r="E735" t="s">
        <v>221</v>
      </c>
      <c r="F735" t="s">
        <v>623</v>
      </c>
      <c r="G735">
        <v>6.5</v>
      </c>
      <c r="H735" t="s">
        <v>624</v>
      </c>
      <c r="I735">
        <v>11.899571600713326</v>
      </c>
    </row>
    <row r="736" spans="1:9">
      <c r="A736">
        <v>1</v>
      </c>
      <c r="B736" t="s">
        <v>652</v>
      </c>
      <c r="D736" t="s">
        <v>616</v>
      </c>
      <c r="E736">
        <v>1</v>
      </c>
      <c r="F736" t="s">
        <v>617</v>
      </c>
      <c r="G736">
        <v>0</v>
      </c>
    </row>
    <row r="737" spans="1:9">
      <c r="A737">
        <v>2</v>
      </c>
      <c r="B737" t="s">
        <v>652</v>
      </c>
      <c r="C737" t="s">
        <v>284</v>
      </c>
      <c r="D737" t="s">
        <v>618</v>
      </c>
      <c r="E737">
        <v>8.3333333333333329E-2</v>
      </c>
    </row>
    <row r="738" spans="1:9">
      <c r="A738">
        <v>3</v>
      </c>
      <c r="B738" t="s">
        <v>652</v>
      </c>
      <c r="C738" t="s">
        <v>284</v>
      </c>
      <c r="D738" t="s">
        <v>619</v>
      </c>
      <c r="E738">
        <v>0</v>
      </c>
      <c r="F738" t="s">
        <v>620</v>
      </c>
      <c r="H738" t="s">
        <v>621</v>
      </c>
      <c r="I738">
        <v>0</v>
      </c>
    </row>
    <row r="739" spans="1:9">
      <c r="A739">
        <v>4</v>
      </c>
      <c r="B739" t="s">
        <v>652</v>
      </c>
      <c r="C739" t="s">
        <v>284</v>
      </c>
      <c r="D739" t="s">
        <v>622</v>
      </c>
      <c r="E739" t="s">
        <v>151</v>
      </c>
      <c r="F739" t="s">
        <v>623</v>
      </c>
      <c r="G739">
        <v>0</v>
      </c>
      <c r="H739" t="s">
        <v>624</v>
      </c>
      <c r="I739">
        <v>57.471816171699686</v>
      </c>
    </row>
    <row r="740" spans="1:9">
      <c r="A740">
        <v>2</v>
      </c>
      <c r="B740" t="s">
        <v>652</v>
      </c>
      <c r="C740" t="s">
        <v>367</v>
      </c>
      <c r="D740" t="s">
        <v>618</v>
      </c>
      <c r="E740">
        <v>8.3333333333333329E-2</v>
      </c>
    </row>
    <row r="741" spans="1:9">
      <c r="A741">
        <v>3</v>
      </c>
      <c r="B741" t="s">
        <v>652</v>
      </c>
      <c r="C741" t="s">
        <v>367</v>
      </c>
      <c r="D741" t="s">
        <v>619</v>
      </c>
      <c r="E741">
        <v>0</v>
      </c>
      <c r="F741" t="s">
        <v>620</v>
      </c>
      <c r="H741" t="s">
        <v>621</v>
      </c>
      <c r="I741">
        <v>0</v>
      </c>
    </row>
    <row r="742" spans="1:9">
      <c r="A742">
        <v>4</v>
      </c>
      <c r="B742" t="s">
        <v>652</v>
      </c>
      <c r="C742" t="s">
        <v>367</v>
      </c>
      <c r="D742" t="s">
        <v>622</v>
      </c>
      <c r="E742" t="s">
        <v>235</v>
      </c>
      <c r="F742" t="s">
        <v>623</v>
      </c>
      <c r="G742">
        <v>0</v>
      </c>
      <c r="H742" t="s">
        <v>624</v>
      </c>
      <c r="I742">
        <v>0</v>
      </c>
    </row>
    <row r="743" spans="1:9">
      <c r="A743">
        <v>2</v>
      </c>
      <c r="B743" t="s">
        <v>652</v>
      </c>
      <c r="C743" t="s">
        <v>287</v>
      </c>
      <c r="D743" t="s">
        <v>618</v>
      </c>
      <c r="E743">
        <v>8.3333333333333329E-2</v>
      </c>
    </row>
    <row r="744" spans="1:9">
      <c r="A744">
        <v>3</v>
      </c>
      <c r="B744" t="s">
        <v>652</v>
      </c>
      <c r="C744" t="s">
        <v>287</v>
      </c>
      <c r="D744" t="s">
        <v>619</v>
      </c>
      <c r="E744">
        <v>0</v>
      </c>
      <c r="F744" t="s">
        <v>620</v>
      </c>
      <c r="H744" t="s">
        <v>621</v>
      </c>
      <c r="I744">
        <v>0</v>
      </c>
    </row>
    <row r="745" spans="1:9">
      <c r="A745">
        <v>4</v>
      </c>
      <c r="B745" t="s">
        <v>652</v>
      </c>
      <c r="C745" t="s">
        <v>287</v>
      </c>
      <c r="D745" t="s">
        <v>622</v>
      </c>
      <c r="E745" t="s">
        <v>242</v>
      </c>
      <c r="F745" t="s">
        <v>623</v>
      </c>
      <c r="G745">
        <v>0</v>
      </c>
      <c r="H745" t="s">
        <v>624</v>
      </c>
      <c r="I745">
        <v>0.48952469204615129</v>
      </c>
    </row>
    <row r="746" spans="1:9">
      <c r="A746">
        <v>2</v>
      </c>
      <c r="B746" t="s">
        <v>652</v>
      </c>
      <c r="C746" t="s">
        <v>368</v>
      </c>
      <c r="D746" t="s">
        <v>618</v>
      </c>
      <c r="E746">
        <v>8.3333333333333329E-2</v>
      </c>
    </row>
    <row r="747" spans="1:9">
      <c r="A747">
        <v>3</v>
      </c>
      <c r="B747" t="s">
        <v>652</v>
      </c>
      <c r="C747" t="s">
        <v>368</v>
      </c>
      <c r="D747" t="s">
        <v>619</v>
      </c>
      <c r="E747">
        <v>0</v>
      </c>
      <c r="F747" t="s">
        <v>620</v>
      </c>
      <c r="H747" t="s">
        <v>621</v>
      </c>
      <c r="I747">
        <v>0</v>
      </c>
    </row>
    <row r="748" spans="1:9">
      <c r="A748">
        <v>4</v>
      </c>
      <c r="B748" t="s">
        <v>652</v>
      </c>
      <c r="C748" t="s">
        <v>368</v>
      </c>
      <c r="D748" t="s">
        <v>622</v>
      </c>
      <c r="E748" t="s">
        <v>178</v>
      </c>
      <c r="F748" t="s">
        <v>623</v>
      </c>
      <c r="G748">
        <v>0</v>
      </c>
      <c r="H748" t="s">
        <v>624</v>
      </c>
      <c r="I748">
        <v>0</v>
      </c>
    </row>
    <row r="749" spans="1:9">
      <c r="A749">
        <v>2</v>
      </c>
      <c r="B749" t="s">
        <v>652</v>
      </c>
      <c r="C749" t="s">
        <v>306</v>
      </c>
      <c r="D749" t="s">
        <v>618</v>
      </c>
      <c r="E749">
        <v>8.3333333333333329E-2</v>
      </c>
    </row>
    <row r="750" spans="1:9">
      <c r="A750">
        <v>3</v>
      </c>
      <c r="B750" t="s">
        <v>652</v>
      </c>
      <c r="C750" t="s">
        <v>306</v>
      </c>
      <c r="D750" t="s">
        <v>619</v>
      </c>
      <c r="E750">
        <v>0</v>
      </c>
      <c r="F750" t="s">
        <v>620</v>
      </c>
      <c r="H750" t="s">
        <v>621</v>
      </c>
      <c r="I750">
        <v>0</v>
      </c>
    </row>
    <row r="751" spans="1:9">
      <c r="A751">
        <v>4</v>
      </c>
      <c r="B751" t="s">
        <v>652</v>
      </c>
      <c r="C751" t="s">
        <v>306</v>
      </c>
      <c r="D751" t="s">
        <v>622</v>
      </c>
      <c r="E751" t="s">
        <v>158</v>
      </c>
      <c r="F751" t="s">
        <v>623</v>
      </c>
      <c r="G751">
        <v>0</v>
      </c>
      <c r="H751" t="s">
        <v>624</v>
      </c>
      <c r="I751">
        <v>0.3214285714285714</v>
      </c>
    </row>
    <row r="752" spans="1:9">
      <c r="A752">
        <v>2</v>
      </c>
      <c r="B752" t="s">
        <v>652</v>
      </c>
      <c r="C752" t="s">
        <v>288</v>
      </c>
      <c r="D752" t="s">
        <v>618</v>
      </c>
      <c r="E752">
        <v>8.3333333333333329E-2</v>
      </c>
    </row>
    <row r="753" spans="1:9">
      <c r="A753">
        <v>3</v>
      </c>
      <c r="B753" t="s">
        <v>652</v>
      </c>
      <c r="C753" t="s">
        <v>288</v>
      </c>
      <c r="D753" t="s">
        <v>619</v>
      </c>
      <c r="E753">
        <v>0</v>
      </c>
      <c r="F753" t="s">
        <v>620</v>
      </c>
      <c r="H753" t="s">
        <v>621</v>
      </c>
      <c r="I753">
        <v>0</v>
      </c>
    </row>
    <row r="754" spans="1:9">
      <c r="A754">
        <v>4</v>
      </c>
      <c r="B754" t="s">
        <v>652</v>
      </c>
      <c r="C754" t="s">
        <v>288</v>
      </c>
      <c r="D754" t="s">
        <v>622</v>
      </c>
      <c r="E754" t="s">
        <v>145</v>
      </c>
      <c r="F754" t="s">
        <v>623</v>
      </c>
      <c r="G754">
        <v>0</v>
      </c>
      <c r="H754" t="s">
        <v>624</v>
      </c>
      <c r="I754">
        <v>2.6824034334763953E-2</v>
      </c>
    </row>
    <row r="755" spans="1:9">
      <c r="A755">
        <v>2</v>
      </c>
      <c r="B755" t="s">
        <v>652</v>
      </c>
      <c r="C755" t="s">
        <v>283</v>
      </c>
      <c r="D755" t="s">
        <v>618</v>
      </c>
      <c r="E755">
        <v>8.3333333333333329E-2</v>
      </c>
    </row>
    <row r="756" spans="1:9">
      <c r="A756">
        <v>3</v>
      </c>
      <c r="B756" t="s">
        <v>652</v>
      </c>
      <c r="C756" t="s">
        <v>283</v>
      </c>
      <c r="D756" t="s">
        <v>619</v>
      </c>
      <c r="E756">
        <v>0</v>
      </c>
      <c r="F756" t="s">
        <v>620</v>
      </c>
      <c r="H756" t="s">
        <v>621</v>
      </c>
      <c r="I756">
        <v>0</v>
      </c>
    </row>
    <row r="757" spans="1:9">
      <c r="A757">
        <v>4</v>
      </c>
      <c r="B757" t="s">
        <v>652</v>
      </c>
      <c r="C757" t="s">
        <v>283</v>
      </c>
      <c r="D757" t="s">
        <v>622</v>
      </c>
      <c r="E757" t="s">
        <v>170</v>
      </c>
      <c r="F757" t="s">
        <v>623</v>
      </c>
      <c r="G757">
        <v>0</v>
      </c>
      <c r="H757" t="s">
        <v>624</v>
      </c>
      <c r="I757">
        <v>4.2918454935622331E-2</v>
      </c>
    </row>
    <row r="758" spans="1:9">
      <c r="A758">
        <v>2</v>
      </c>
      <c r="B758" t="s">
        <v>652</v>
      </c>
      <c r="C758" t="s">
        <v>332</v>
      </c>
      <c r="D758" t="s">
        <v>618</v>
      </c>
      <c r="E758">
        <v>8.3333333333333329E-2</v>
      </c>
    </row>
    <row r="759" spans="1:9">
      <c r="A759">
        <v>3</v>
      </c>
      <c r="B759" t="s">
        <v>652</v>
      </c>
      <c r="C759" t="s">
        <v>332</v>
      </c>
      <c r="D759" t="s">
        <v>619</v>
      </c>
      <c r="E759">
        <v>0</v>
      </c>
      <c r="F759" t="s">
        <v>620</v>
      </c>
      <c r="H759" t="s">
        <v>621</v>
      </c>
      <c r="I759">
        <v>0</v>
      </c>
    </row>
    <row r="760" spans="1:9">
      <c r="A760">
        <v>4</v>
      </c>
      <c r="B760" t="s">
        <v>652</v>
      </c>
      <c r="C760" t="s">
        <v>332</v>
      </c>
      <c r="D760" t="s">
        <v>622</v>
      </c>
      <c r="E760" t="s">
        <v>138</v>
      </c>
      <c r="F760" t="s">
        <v>623</v>
      </c>
      <c r="G760">
        <v>0</v>
      </c>
      <c r="H760" t="s">
        <v>624</v>
      </c>
      <c r="I760">
        <v>0</v>
      </c>
    </row>
    <row r="761" spans="1:9">
      <c r="A761">
        <v>2</v>
      </c>
      <c r="B761" t="s">
        <v>652</v>
      </c>
      <c r="C761" t="s">
        <v>308</v>
      </c>
      <c r="D761" t="s">
        <v>618</v>
      </c>
      <c r="E761">
        <v>8.3333333333333329E-2</v>
      </c>
    </row>
    <row r="762" spans="1:9">
      <c r="A762">
        <v>3</v>
      </c>
      <c r="B762" t="s">
        <v>652</v>
      </c>
      <c r="C762" t="s">
        <v>308</v>
      </c>
      <c r="D762" t="s">
        <v>619</v>
      </c>
      <c r="E762">
        <v>0</v>
      </c>
      <c r="F762" t="s">
        <v>620</v>
      </c>
      <c r="H762" t="s">
        <v>621</v>
      </c>
      <c r="I762">
        <v>0</v>
      </c>
    </row>
    <row r="763" spans="1:9">
      <c r="A763">
        <v>4</v>
      </c>
      <c r="B763" t="s">
        <v>652</v>
      </c>
      <c r="C763" t="s">
        <v>308</v>
      </c>
      <c r="D763" t="s">
        <v>622</v>
      </c>
      <c r="E763" t="s">
        <v>125</v>
      </c>
      <c r="F763" t="s">
        <v>623</v>
      </c>
      <c r="G763">
        <v>0</v>
      </c>
      <c r="H763" t="s">
        <v>624</v>
      </c>
      <c r="I763">
        <v>0</v>
      </c>
    </row>
    <row r="764" spans="1:9">
      <c r="A764">
        <v>2</v>
      </c>
      <c r="B764" t="s">
        <v>652</v>
      </c>
      <c r="C764" t="s">
        <v>358</v>
      </c>
      <c r="D764" t="s">
        <v>618</v>
      </c>
      <c r="E764">
        <v>8.3333333333333329E-2</v>
      </c>
    </row>
    <row r="765" spans="1:9">
      <c r="A765">
        <v>3</v>
      </c>
      <c r="B765" t="s">
        <v>652</v>
      </c>
      <c r="C765" t="s">
        <v>358</v>
      </c>
      <c r="D765" t="s">
        <v>619</v>
      </c>
      <c r="E765">
        <v>0</v>
      </c>
      <c r="F765" t="s">
        <v>620</v>
      </c>
      <c r="H765" t="s">
        <v>621</v>
      </c>
      <c r="I765">
        <v>0</v>
      </c>
    </row>
    <row r="766" spans="1:9">
      <c r="A766">
        <v>4</v>
      </c>
      <c r="B766" t="s">
        <v>652</v>
      </c>
      <c r="C766" t="s">
        <v>358</v>
      </c>
      <c r="D766" t="s">
        <v>622</v>
      </c>
      <c r="E766" t="s">
        <v>263</v>
      </c>
      <c r="F766" t="s">
        <v>623</v>
      </c>
      <c r="G766">
        <v>0</v>
      </c>
      <c r="H766" t="s">
        <v>624</v>
      </c>
      <c r="I766">
        <v>94.80696999952454</v>
      </c>
    </row>
    <row r="767" spans="1:9">
      <c r="A767">
        <v>2</v>
      </c>
      <c r="B767" t="s">
        <v>652</v>
      </c>
      <c r="C767" t="s">
        <v>303</v>
      </c>
      <c r="D767" t="s">
        <v>618</v>
      </c>
      <c r="E767">
        <v>8.3333333333333329E-2</v>
      </c>
    </row>
    <row r="768" spans="1:9">
      <c r="A768">
        <v>3</v>
      </c>
      <c r="B768" t="s">
        <v>652</v>
      </c>
      <c r="C768" t="s">
        <v>303</v>
      </c>
      <c r="D768" t="s">
        <v>619</v>
      </c>
      <c r="E768">
        <v>0</v>
      </c>
      <c r="F768" t="s">
        <v>620</v>
      </c>
      <c r="H768" t="s">
        <v>621</v>
      </c>
      <c r="I768">
        <v>0</v>
      </c>
    </row>
    <row r="769" spans="1:9">
      <c r="A769">
        <v>4</v>
      </c>
      <c r="B769" t="s">
        <v>652</v>
      </c>
      <c r="C769" t="s">
        <v>303</v>
      </c>
      <c r="D769" t="s">
        <v>622</v>
      </c>
      <c r="E769" t="s">
        <v>252</v>
      </c>
      <c r="F769" t="s">
        <v>623</v>
      </c>
      <c r="G769">
        <v>0</v>
      </c>
      <c r="H769" t="s">
        <v>624</v>
      </c>
      <c r="I769">
        <v>73.504279906409025</v>
      </c>
    </row>
    <row r="770" spans="1:9">
      <c r="A770">
        <v>2</v>
      </c>
      <c r="B770" t="s">
        <v>652</v>
      </c>
      <c r="C770" t="s">
        <v>369</v>
      </c>
      <c r="D770" t="s">
        <v>618</v>
      </c>
      <c r="E770">
        <v>8.3333333333333329E-2</v>
      </c>
    </row>
    <row r="771" spans="1:9">
      <c r="A771">
        <v>3</v>
      </c>
      <c r="B771" t="s">
        <v>652</v>
      </c>
      <c r="C771" t="s">
        <v>369</v>
      </c>
      <c r="D771" t="s">
        <v>619</v>
      </c>
      <c r="E771">
        <v>0</v>
      </c>
      <c r="F771" t="s">
        <v>620</v>
      </c>
      <c r="H771" t="s">
        <v>621</v>
      </c>
      <c r="I771">
        <v>0</v>
      </c>
    </row>
    <row r="772" spans="1:9">
      <c r="A772">
        <v>4</v>
      </c>
      <c r="B772" t="s">
        <v>652</v>
      </c>
      <c r="C772" t="s">
        <v>369</v>
      </c>
      <c r="D772" t="s">
        <v>622</v>
      </c>
      <c r="E772" t="s">
        <v>195</v>
      </c>
      <c r="F772" t="s">
        <v>623</v>
      </c>
      <c r="G772">
        <v>0</v>
      </c>
      <c r="H772" t="s">
        <v>624</v>
      </c>
      <c r="I772">
        <v>0</v>
      </c>
    </row>
    <row r="773" spans="1:9">
      <c r="A773">
        <v>1</v>
      </c>
      <c r="B773" t="s">
        <v>653</v>
      </c>
      <c r="D773" t="s">
        <v>616</v>
      </c>
      <c r="E773">
        <v>1</v>
      </c>
      <c r="F773" t="s">
        <v>617</v>
      </c>
      <c r="G773">
        <v>0</v>
      </c>
    </row>
    <row r="774" spans="1:9">
      <c r="A774">
        <v>2</v>
      </c>
      <c r="B774" t="s">
        <v>653</v>
      </c>
      <c r="C774" t="s">
        <v>287</v>
      </c>
      <c r="D774" t="s">
        <v>618</v>
      </c>
      <c r="E774">
        <v>0.45454545454545453</v>
      </c>
    </row>
    <row r="775" spans="1:9">
      <c r="A775">
        <v>3</v>
      </c>
      <c r="B775" t="s">
        <v>653</v>
      </c>
      <c r="C775" t="s">
        <v>287</v>
      </c>
      <c r="D775" t="s">
        <v>619</v>
      </c>
      <c r="E775">
        <v>0</v>
      </c>
      <c r="F775" t="s">
        <v>620</v>
      </c>
      <c r="H775" t="s">
        <v>621</v>
      </c>
      <c r="I775">
        <v>0</v>
      </c>
    </row>
    <row r="776" spans="1:9">
      <c r="A776">
        <v>4</v>
      </c>
      <c r="B776" t="s">
        <v>653</v>
      </c>
      <c r="C776" t="s">
        <v>287</v>
      </c>
      <c r="D776" t="s">
        <v>622</v>
      </c>
      <c r="E776" t="s">
        <v>242</v>
      </c>
      <c r="F776" t="s">
        <v>623</v>
      </c>
      <c r="G776">
        <v>0</v>
      </c>
      <c r="H776" t="s">
        <v>624</v>
      </c>
      <c r="I776">
        <v>0.48952469204615129</v>
      </c>
    </row>
    <row r="777" spans="1:9">
      <c r="A777">
        <v>2</v>
      </c>
      <c r="B777" t="s">
        <v>653</v>
      </c>
      <c r="C777" t="s">
        <v>331</v>
      </c>
      <c r="D777" t="s">
        <v>618</v>
      </c>
      <c r="E777">
        <v>0.13636363636363635</v>
      </c>
    </row>
    <row r="778" spans="1:9">
      <c r="A778">
        <v>3</v>
      </c>
      <c r="B778" t="s">
        <v>653</v>
      </c>
      <c r="C778" t="s">
        <v>331</v>
      </c>
      <c r="D778" t="s">
        <v>619</v>
      </c>
      <c r="E778">
        <v>0</v>
      </c>
      <c r="F778" t="s">
        <v>620</v>
      </c>
      <c r="H778" t="s">
        <v>621</v>
      </c>
      <c r="I778">
        <v>0</v>
      </c>
    </row>
    <row r="779" spans="1:9">
      <c r="A779">
        <v>4</v>
      </c>
      <c r="B779" t="s">
        <v>653</v>
      </c>
      <c r="C779" t="s">
        <v>331</v>
      </c>
      <c r="D779" t="s">
        <v>622</v>
      </c>
      <c r="E779" t="s">
        <v>211</v>
      </c>
      <c r="F779" t="s">
        <v>623</v>
      </c>
      <c r="G779">
        <v>0</v>
      </c>
      <c r="H779" t="s">
        <v>624</v>
      </c>
      <c r="I779">
        <v>0</v>
      </c>
    </row>
    <row r="780" spans="1:9">
      <c r="A780">
        <v>2</v>
      </c>
      <c r="B780" t="s">
        <v>653</v>
      </c>
      <c r="C780" t="s">
        <v>288</v>
      </c>
      <c r="D780" t="s">
        <v>618</v>
      </c>
      <c r="E780">
        <v>0.13636363636363635</v>
      </c>
    </row>
    <row r="781" spans="1:9">
      <c r="A781">
        <v>3</v>
      </c>
      <c r="B781" t="s">
        <v>653</v>
      </c>
      <c r="C781" t="s">
        <v>288</v>
      </c>
      <c r="D781" t="s">
        <v>619</v>
      </c>
      <c r="E781">
        <v>0</v>
      </c>
      <c r="F781" t="s">
        <v>620</v>
      </c>
      <c r="H781" t="s">
        <v>621</v>
      </c>
      <c r="I781">
        <v>0</v>
      </c>
    </row>
    <row r="782" spans="1:9">
      <c r="A782">
        <v>4</v>
      </c>
      <c r="B782" t="s">
        <v>653</v>
      </c>
      <c r="C782" t="s">
        <v>288</v>
      </c>
      <c r="D782" t="s">
        <v>622</v>
      </c>
      <c r="E782" t="s">
        <v>145</v>
      </c>
      <c r="F782" t="s">
        <v>623</v>
      </c>
      <c r="G782">
        <v>0</v>
      </c>
      <c r="H782" t="s">
        <v>624</v>
      </c>
      <c r="I782">
        <v>2.6824034334763953E-2</v>
      </c>
    </row>
    <row r="783" spans="1:9">
      <c r="A783">
        <v>2</v>
      </c>
      <c r="B783" t="s">
        <v>653</v>
      </c>
      <c r="C783" t="s">
        <v>285</v>
      </c>
      <c r="D783" t="s">
        <v>618</v>
      </c>
      <c r="E783">
        <v>0.13636363636363635</v>
      </c>
    </row>
    <row r="784" spans="1:9">
      <c r="A784">
        <v>3</v>
      </c>
      <c r="B784" t="s">
        <v>653</v>
      </c>
      <c r="C784" t="s">
        <v>285</v>
      </c>
      <c r="D784" t="s">
        <v>619</v>
      </c>
      <c r="E784">
        <v>0</v>
      </c>
      <c r="F784" t="s">
        <v>620</v>
      </c>
      <c r="H784" t="s">
        <v>621</v>
      </c>
      <c r="I784">
        <v>0</v>
      </c>
    </row>
    <row r="785" spans="1:9">
      <c r="A785">
        <v>4</v>
      </c>
      <c r="B785" t="s">
        <v>653</v>
      </c>
      <c r="C785" t="s">
        <v>285</v>
      </c>
      <c r="D785" t="s">
        <v>622</v>
      </c>
      <c r="E785" t="s">
        <v>129</v>
      </c>
      <c r="F785" t="s">
        <v>623</v>
      </c>
      <c r="G785">
        <v>0</v>
      </c>
      <c r="H785" t="s">
        <v>624</v>
      </c>
      <c r="I785">
        <v>5.3648068669527905E-2</v>
      </c>
    </row>
    <row r="786" spans="1:9">
      <c r="A786">
        <v>2</v>
      </c>
      <c r="B786" t="s">
        <v>653</v>
      </c>
      <c r="C786" t="s">
        <v>299</v>
      </c>
      <c r="D786" t="s">
        <v>618</v>
      </c>
      <c r="E786">
        <v>0.13636363636363635</v>
      </c>
    </row>
    <row r="787" spans="1:9">
      <c r="A787">
        <v>3</v>
      </c>
      <c r="B787" t="s">
        <v>653</v>
      </c>
      <c r="C787" t="s">
        <v>299</v>
      </c>
      <c r="D787" t="s">
        <v>619</v>
      </c>
      <c r="E787">
        <v>0</v>
      </c>
      <c r="F787" t="s">
        <v>620</v>
      </c>
      <c r="H787" t="s">
        <v>621</v>
      </c>
      <c r="I787">
        <v>0</v>
      </c>
    </row>
    <row r="788" spans="1:9">
      <c r="A788">
        <v>4</v>
      </c>
      <c r="B788" t="s">
        <v>653</v>
      </c>
      <c r="C788" t="s">
        <v>299</v>
      </c>
      <c r="D788" t="s">
        <v>622</v>
      </c>
      <c r="E788" t="s">
        <v>168</v>
      </c>
      <c r="F788" t="s">
        <v>623</v>
      </c>
      <c r="G788">
        <v>0</v>
      </c>
      <c r="H788" t="s">
        <v>624</v>
      </c>
      <c r="I788">
        <v>23.796837550861156</v>
      </c>
    </row>
    <row r="789" spans="1:9">
      <c r="A789">
        <v>1</v>
      </c>
      <c r="B789" t="s">
        <v>654</v>
      </c>
      <c r="D789" t="s">
        <v>616</v>
      </c>
      <c r="E789">
        <v>1</v>
      </c>
      <c r="F789" t="s">
        <v>617</v>
      </c>
      <c r="G789">
        <v>0</v>
      </c>
    </row>
    <row r="791" spans="1:9">
      <c r="A791">
        <v>3</v>
      </c>
      <c r="B791" t="s">
        <v>654</v>
      </c>
      <c r="C791" t="s">
        <v>303</v>
      </c>
      <c r="D791" t="s">
        <v>619</v>
      </c>
      <c r="E791">
        <v>0</v>
      </c>
      <c r="F791" t="s">
        <v>620</v>
      </c>
      <c r="H791" t="s">
        <v>621</v>
      </c>
      <c r="I791">
        <v>0</v>
      </c>
    </row>
    <row r="792" spans="1:9">
      <c r="A792">
        <v>4</v>
      </c>
      <c r="B792" t="s">
        <v>654</v>
      </c>
      <c r="C792" t="s">
        <v>303</v>
      </c>
      <c r="D792" t="s">
        <v>622</v>
      </c>
      <c r="E792" t="s">
        <v>252</v>
      </c>
      <c r="F792" t="s">
        <v>623</v>
      </c>
      <c r="G792">
        <v>0</v>
      </c>
      <c r="H792" t="s">
        <v>624</v>
      </c>
      <c r="I792">
        <v>73.504279906409025</v>
      </c>
    </row>
    <row r="793" spans="1:9">
      <c r="A793">
        <v>2</v>
      </c>
      <c r="B793" t="s">
        <v>654</v>
      </c>
      <c r="C793" t="s">
        <v>290</v>
      </c>
      <c r="D793" t="s">
        <v>618</v>
      </c>
      <c r="E793">
        <v>0.12121212121212122</v>
      </c>
    </row>
    <row r="794" spans="1:9">
      <c r="A794">
        <v>3</v>
      </c>
      <c r="B794" t="s">
        <v>654</v>
      </c>
      <c r="C794" t="s">
        <v>290</v>
      </c>
      <c r="D794" t="s">
        <v>619</v>
      </c>
      <c r="E794">
        <v>0</v>
      </c>
      <c r="F794" t="s">
        <v>620</v>
      </c>
      <c r="H794" t="s">
        <v>621</v>
      </c>
      <c r="I794">
        <v>0</v>
      </c>
    </row>
    <row r="795" spans="1:9">
      <c r="A795">
        <v>4</v>
      </c>
      <c r="B795" t="s">
        <v>654</v>
      </c>
      <c r="C795" t="s">
        <v>290</v>
      </c>
      <c r="D795" t="s">
        <v>622</v>
      </c>
      <c r="E795" t="s">
        <v>151</v>
      </c>
      <c r="F795" t="s">
        <v>623</v>
      </c>
      <c r="G795">
        <v>0</v>
      </c>
      <c r="H795" t="s">
        <v>624</v>
      </c>
      <c r="I795">
        <v>57.471816171699686</v>
      </c>
    </row>
    <row r="796" spans="1:9">
      <c r="A796">
        <v>2</v>
      </c>
      <c r="B796" t="s">
        <v>654</v>
      </c>
      <c r="C796" t="s">
        <v>299</v>
      </c>
      <c r="D796" t="s">
        <v>618</v>
      </c>
      <c r="E796">
        <v>0.12121212121212122</v>
      </c>
    </row>
    <row r="797" spans="1:9">
      <c r="A797">
        <v>3</v>
      </c>
      <c r="B797" t="s">
        <v>654</v>
      </c>
      <c r="C797" t="s">
        <v>299</v>
      </c>
      <c r="D797" t="s">
        <v>619</v>
      </c>
      <c r="E797">
        <v>0</v>
      </c>
      <c r="F797" t="s">
        <v>620</v>
      </c>
      <c r="H797" t="s">
        <v>621</v>
      </c>
      <c r="I797">
        <v>0</v>
      </c>
    </row>
    <row r="798" spans="1:9">
      <c r="A798">
        <v>4</v>
      </c>
      <c r="B798" t="s">
        <v>654</v>
      </c>
      <c r="C798" t="s">
        <v>299</v>
      </c>
      <c r="D798" t="s">
        <v>622</v>
      </c>
      <c r="E798" t="s">
        <v>168</v>
      </c>
      <c r="F798" t="s">
        <v>623</v>
      </c>
      <c r="G798">
        <v>0</v>
      </c>
      <c r="H798" t="s">
        <v>624</v>
      </c>
      <c r="I798">
        <v>23.796837550861156</v>
      </c>
    </row>
    <row r="799" spans="1:9">
      <c r="A799">
        <v>2</v>
      </c>
      <c r="B799" t="s">
        <v>654</v>
      </c>
      <c r="C799" t="s">
        <v>304</v>
      </c>
      <c r="D799" t="s">
        <v>618</v>
      </c>
      <c r="E799">
        <v>0.12121212121212122</v>
      </c>
    </row>
    <row r="800" spans="1:9">
      <c r="A800">
        <v>3</v>
      </c>
      <c r="B800" t="s">
        <v>654</v>
      </c>
      <c r="C800" t="s">
        <v>304</v>
      </c>
      <c r="D800" t="s">
        <v>619</v>
      </c>
      <c r="E800">
        <v>0</v>
      </c>
      <c r="F800" t="s">
        <v>620</v>
      </c>
      <c r="H800" t="s">
        <v>621</v>
      </c>
      <c r="I800">
        <v>0</v>
      </c>
    </row>
    <row r="801" spans="1:9">
      <c r="A801">
        <v>4</v>
      </c>
      <c r="B801" t="s">
        <v>654</v>
      </c>
      <c r="C801" t="s">
        <v>304</v>
      </c>
      <c r="D801" t="s">
        <v>622</v>
      </c>
      <c r="E801" t="s">
        <v>155</v>
      </c>
      <c r="F801" t="s">
        <v>623</v>
      </c>
      <c r="G801">
        <v>0</v>
      </c>
      <c r="H801" t="s">
        <v>624</v>
      </c>
      <c r="I801">
        <v>20.73352586254947</v>
      </c>
    </row>
    <row r="802" spans="1:9">
      <c r="A802">
        <v>2</v>
      </c>
      <c r="B802" t="s">
        <v>654</v>
      </c>
      <c r="C802" t="s">
        <v>285</v>
      </c>
      <c r="D802" t="s">
        <v>618</v>
      </c>
      <c r="E802">
        <v>9.0909090909090912E-2</v>
      </c>
    </row>
    <row r="803" spans="1:9">
      <c r="A803">
        <v>3</v>
      </c>
      <c r="B803" t="s">
        <v>654</v>
      </c>
      <c r="C803" t="s">
        <v>285</v>
      </c>
      <c r="D803" t="s">
        <v>619</v>
      </c>
      <c r="E803">
        <v>0</v>
      </c>
      <c r="F803" t="s">
        <v>620</v>
      </c>
      <c r="H803" t="s">
        <v>621</v>
      </c>
      <c r="I803">
        <v>0</v>
      </c>
    </row>
    <row r="804" spans="1:9">
      <c r="A804">
        <v>4</v>
      </c>
      <c r="B804" t="s">
        <v>654</v>
      </c>
      <c r="C804" t="s">
        <v>285</v>
      </c>
      <c r="D804" t="s">
        <v>622</v>
      </c>
      <c r="E804" t="s">
        <v>129</v>
      </c>
      <c r="F804" t="s">
        <v>623</v>
      </c>
      <c r="G804">
        <v>0</v>
      </c>
      <c r="H804" t="s">
        <v>624</v>
      </c>
      <c r="I804">
        <v>5.3648068669527905E-2</v>
      </c>
    </row>
    <row r="805" spans="1:9">
      <c r="A805">
        <v>2</v>
      </c>
      <c r="B805" t="s">
        <v>654</v>
      </c>
      <c r="C805" t="s">
        <v>287</v>
      </c>
      <c r="D805" t="s">
        <v>618</v>
      </c>
      <c r="E805">
        <v>9.0909090909090912E-2</v>
      </c>
    </row>
    <row r="806" spans="1:9">
      <c r="A806">
        <v>3</v>
      </c>
      <c r="B806" t="s">
        <v>654</v>
      </c>
      <c r="C806" t="s">
        <v>287</v>
      </c>
      <c r="D806" t="s">
        <v>619</v>
      </c>
      <c r="E806">
        <v>0</v>
      </c>
      <c r="F806" t="s">
        <v>620</v>
      </c>
      <c r="H806" t="s">
        <v>621</v>
      </c>
      <c r="I806">
        <v>0</v>
      </c>
    </row>
    <row r="807" spans="1:9">
      <c r="A807">
        <v>4</v>
      </c>
      <c r="B807" t="s">
        <v>654</v>
      </c>
      <c r="C807" t="s">
        <v>287</v>
      </c>
      <c r="D807" t="s">
        <v>622</v>
      </c>
      <c r="E807" t="s">
        <v>242</v>
      </c>
      <c r="F807" t="s">
        <v>623</v>
      </c>
      <c r="G807">
        <v>0</v>
      </c>
      <c r="H807" t="s">
        <v>624</v>
      </c>
      <c r="I807">
        <v>0.48952469204615129</v>
      </c>
    </row>
    <row r="808" spans="1:9">
      <c r="A808">
        <v>2</v>
      </c>
      <c r="B808" t="s">
        <v>654</v>
      </c>
      <c r="C808" t="s">
        <v>370</v>
      </c>
      <c r="D808" t="s">
        <v>618</v>
      </c>
      <c r="E808">
        <v>6.0606060606060608E-2</v>
      </c>
    </row>
    <row r="809" spans="1:9">
      <c r="A809">
        <v>3</v>
      </c>
      <c r="B809" t="s">
        <v>654</v>
      </c>
      <c r="C809" t="s">
        <v>370</v>
      </c>
      <c r="D809" t="s">
        <v>619</v>
      </c>
      <c r="E809">
        <v>0</v>
      </c>
      <c r="F809" t="s">
        <v>620</v>
      </c>
      <c r="H809" t="s">
        <v>621</v>
      </c>
      <c r="I809">
        <v>0</v>
      </c>
    </row>
    <row r="810" spans="1:9">
      <c r="A810">
        <v>4</v>
      </c>
      <c r="B810" t="s">
        <v>654</v>
      </c>
      <c r="C810" t="s">
        <v>370</v>
      </c>
      <c r="D810" t="s">
        <v>622</v>
      </c>
      <c r="E810" t="s">
        <v>237</v>
      </c>
      <c r="F810" t="s">
        <v>623</v>
      </c>
      <c r="G810">
        <v>0</v>
      </c>
      <c r="H810" t="s">
        <v>624</v>
      </c>
      <c r="I810">
        <v>0</v>
      </c>
    </row>
    <row r="811" spans="1:9">
      <c r="A811">
        <v>2</v>
      </c>
      <c r="B811" t="s">
        <v>654</v>
      </c>
      <c r="C811" t="s">
        <v>289</v>
      </c>
      <c r="D811" t="s">
        <v>618</v>
      </c>
      <c r="E811">
        <v>6.0606060606060608E-2</v>
      </c>
    </row>
    <row r="812" spans="1:9">
      <c r="A812">
        <v>3</v>
      </c>
      <c r="B812" t="s">
        <v>654</v>
      </c>
      <c r="C812" t="s">
        <v>289</v>
      </c>
      <c r="D812" t="s">
        <v>619</v>
      </c>
      <c r="E812">
        <v>0</v>
      </c>
      <c r="F812" t="s">
        <v>620</v>
      </c>
      <c r="H812" t="s">
        <v>621</v>
      </c>
      <c r="I812">
        <v>0</v>
      </c>
    </row>
    <row r="813" spans="1:9">
      <c r="A813">
        <v>4</v>
      </c>
      <c r="B813" t="s">
        <v>654</v>
      </c>
      <c r="C813" t="s">
        <v>289</v>
      </c>
      <c r="D813" t="s">
        <v>622</v>
      </c>
      <c r="E813" t="s">
        <v>149</v>
      </c>
      <c r="F813" t="s">
        <v>623</v>
      </c>
      <c r="G813">
        <v>0</v>
      </c>
      <c r="H813" t="s">
        <v>624</v>
      </c>
      <c r="I813">
        <v>13.205728150604759</v>
      </c>
    </row>
    <row r="814" spans="1:9">
      <c r="A814">
        <v>2</v>
      </c>
      <c r="B814" t="s">
        <v>654</v>
      </c>
      <c r="C814" t="s">
        <v>330</v>
      </c>
      <c r="D814" t="s">
        <v>618</v>
      </c>
      <c r="E814">
        <v>6.0606060606060608E-2</v>
      </c>
    </row>
    <row r="815" spans="1:9">
      <c r="A815">
        <v>2</v>
      </c>
      <c r="B815" t="s">
        <v>654</v>
      </c>
      <c r="C815" t="s">
        <v>328</v>
      </c>
      <c r="D815" t="s">
        <v>618</v>
      </c>
      <c r="E815">
        <v>6.0606060606060608E-2</v>
      </c>
    </row>
    <row r="816" spans="1:9">
      <c r="A816">
        <v>3</v>
      </c>
      <c r="B816" t="s">
        <v>654</v>
      </c>
      <c r="C816" t="s">
        <v>328</v>
      </c>
      <c r="D816" t="s">
        <v>619</v>
      </c>
      <c r="E816">
        <v>0</v>
      </c>
      <c r="F816" t="s">
        <v>620</v>
      </c>
      <c r="H816" t="s">
        <v>621</v>
      </c>
      <c r="I816">
        <v>0</v>
      </c>
    </row>
    <row r="817" spans="1:9">
      <c r="A817">
        <v>4</v>
      </c>
      <c r="B817" t="s">
        <v>654</v>
      </c>
      <c r="C817" t="s">
        <v>328</v>
      </c>
      <c r="D817" t="s">
        <v>622</v>
      </c>
      <c r="E817" t="s">
        <v>238</v>
      </c>
      <c r="F817" t="s">
        <v>623</v>
      </c>
      <c r="G817">
        <v>0</v>
      </c>
      <c r="H817" t="s">
        <v>624</v>
      </c>
      <c r="I817">
        <v>0</v>
      </c>
    </row>
    <row r="818" spans="1:9">
      <c r="A818">
        <v>2</v>
      </c>
      <c r="B818" t="s">
        <v>654</v>
      </c>
      <c r="C818" t="s">
        <v>331</v>
      </c>
      <c r="D818" t="s">
        <v>618</v>
      </c>
      <c r="E818">
        <v>6.0606060606060608E-2</v>
      </c>
    </row>
    <row r="819" spans="1:9">
      <c r="A819">
        <v>3</v>
      </c>
      <c r="B819" t="s">
        <v>654</v>
      </c>
      <c r="C819" t="s">
        <v>331</v>
      </c>
      <c r="D819" t="s">
        <v>619</v>
      </c>
      <c r="E819">
        <v>0</v>
      </c>
      <c r="F819" t="s">
        <v>620</v>
      </c>
      <c r="H819" t="s">
        <v>621</v>
      </c>
      <c r="I819">
        <v>0</v>
      </c>
    </row>
    <row r="820" spans="1:9">
      <c r="A820">
        <v>4</v>
      </c>
      <c r="B820" t="s">
        <v>654</v>
      </c>
      <c r="C820" t="s">
        <v>331</v>
      </c>
      <c r="D820" t="s">
        <v>622</v>
      </c>
      <c r="E820" t="s">
        <v>211</v>
      </c>
      <c r="F820" t="s">
        <v>623</v>
      </c>
      <c r="G820">
        <v>0</v>
      </c>
      <c r="H820" t="s">
        <v>624</v>
      </c>
      <c r="I820">
        <v>0</v>
      </c>
    </row>
    <row r="821" spans="1:9">
      <c r="A821">
        <v>2</v>
      </c>
      <c r="B821" t="s">
        <v>654</v>
      </c>
      <c r="C821" t="s">
        <v>288</v>
      </c>
      <c r="D821" t="s">
        <v>618</v>
      </c>
      <c r="E821">
        <v>3.0303030303030304E-2</v>
      </c>
    </row>
    <row r="822" spans="1:9">
      <c r="A822">
        <v>3</v>
      </c>
      <c r="B822" t="s">
        <v>654</v>
      </c>
      <c r="C822" t="s">
        <v>288</v>
      </c>
      <c r="D822" t="s">
        <v>619</v>
      </c>
      <c r="E822">
        <v>0</v>
      </c>
      <c r="F822" t="s">
        <v>620</v>
      </c>
      <c r="H822" t="s">
        <v>621</v>
      </c>
      <c r="I822">
        <v>0</v>
      </c>
    </row>
    <row r="824" spans="1:9">
      <c r="A824">
        <v>1</v>
      </c>
      <c r="B824" t="s">
        <v>655</v>
      </c>
      <c r="D824" t="s">
        <v>616</v>
      </c>
      <c r="E824">
        <v>1</v>
      </c>
      <c r="F824" t="s">
        <v>617</v>
      </c>
      <c r="G824">
        <v>0</v>
      </c>
    </row>
    <row r="825" spans="1:9">
      <c r="A825">
        <v>2</v>
      </c>
      <c r="B825" t="s">
        <v>655</v>
      </c>
      <c r="C825" t="s">
        <v>67</v>
      </c>
      <c r="D825" t="s">
        <v>618</v>
      </c>
      <c r="E825">
        <v>9.0909090909090912E-2</v>
      </c>
    </row>
    <row r="826" spans="1:9">
      <c r="A826">
        <v>3</v>
      </c>
      <c r="B826" t="s">
        <v>655</v>
      </c>
      <c r="C826" t="s">
        <v>67</v>
      </c>
      <c r="D826" t="s">
        <v>619</v>
      </c>
      <c r="E826">
        <v>0</v>
      </c>
      <c r="F826" t="s">
        <v>620</v>
      </c>
      <c r="H826" t="s">
        <v>621</v>
      </c>
      <c r="I826">
        <v>0</v>
      </c>
    </row>
    <row r="827" spans="1:9">
      <c r="A827">
        <v>4</v>
      </c>
      <c r="B827" t="s">
        <v>655</v>
      </c>
      <c r="C827" t="s">
        <v>67</v>
      </c>
      <c r="D827" t="s">
        <v>622</v>
      </c>
      <c r="E827" t="s">
        <v>221</v>
      </c>
      <c r="F827" t="s">
        <v>623</v>
      </c>
      <c r="G827">
        <v>0</v>
      </c>
      <c r="H827" t="s">
        <v>624</v>
      </c>
      <c r="I827">
        <v>11.899571600713326</v>
      </c>
    </row>
    <row r="828" spans="1:9">
      <c r="A828">
        <v>2</v>
      </c>
      <c r="B828" t="s">
        <v>655</v>
      </c>
      <c r="C828" t="s">
        <v>344</v>
      </c>
      <c r="D828" t="s">
        <v>618</v>
      </c>
      <c r="E828">
        <v>0.18181818181818182</v>
      </c>
    </row>
    <row r="829" spans="1:9">
      <c r="A829">
        <v>2</v>
      </c>
      <c r="B829" t="s">
        <v>655</v>
      </c>
      <c r="C829" t="s">
        <v>370</v>
      </c>
      <c r="D829" t="s">
        <v>618</v>
      </c>
      <c r="E829">
        <v>0.18181818181818182</v>
      </c>
    </row>
    <row r="830" spans="1:9">
      <c r="A830">
        <v>3</v>
      </c>
      <c r="B830" t="s">
        <v>655</v>
      </c>
      <c r="C830" t="s">
        <v>370</v>
      </c>
      <c r="D830" t="s">
        <v>619</v>
      </c>
      <c r="E830">
        <v>0</v>
      </c>
      <c r="F830" t="s">
        <v>620</v>
      </c>
      <c r="H830" t="s">
        <v>621</v>
      </c>
      <c r="I830">
        <v>0</v>
      </c>
    </row>
    <row r="831" spans="1:9">
      <c r="A831">
        <v>4</v>
      </c>
      <c r="B831" t="s">
        <v>655</v>
      </c>
      <c r="C831" t="s">
        <v>370</v>
      </c>
      <c r="D831" t="s">
        <v>622</v>
      </c>
      <c r="E831" t="s">
        <v>237</v>
      </c>
      <c r="F831" t="s">
        <v>623</v>
      </c>
      <c r="G831">
        <v>0</v>
      </c>
      <c r="H831" t="s">
        <v>624</v>
      </c>
      <c r="I831">
        <v>0</v>
      </c>
    </row>
    <row r="832" spans="1:9">
      <c r="A832">
        <v>2</v>
      </c>
      <c r="B832" t="s">
        <v>655</v>
      </c>
      <c r="C832" t="s">
        <v>371</v>
      </c>
      <c r="D832" t="s">
        <v>618</v>
      </c>
      <c r="E832">
        <v>9.0909090909090912E-2</v>
      </c>
    </row>
    <row r="833" spans="1:9">
      <c r="A833">
        <v>3</v>
      </c>
      <c r="B833" t="s">
        <v>655</v>
      </c>
      <c r="C833" t="s">
        <v>371</v>
      </c>
      <c r="D833" t="s">
        <v>619</v>
      </c>
      <c r="E833">
        <v>0</v>
      </c>
      <c r="F833" t="s">
        <v>620</v>
      </c>
      <c r="H833" t="s">
        <v>621</v>
      </c>
      <c r="I833">
        <v>0</v>
      </c>
    </row>
    <row r="834" spans="1:9">
      <c r="A834">
        <v>4</v>
      </c>
      <c r="B834" t="s">
        <v>655</v>
      </c>
      <c r="C834" t="s">
        <v>371</v>
      </c>
      <c r="D834" t="s">
        <v>622</v>
      </c>
      <c r="E834" t="s">
        <v>259</v>
      </c>
      <c r="F834" t="s">
        <v>623</v>
      </c>
      <c r="G834">
        <v>0</v>
      </c>
      <c r="H834" t="s">
        <v>624</v>
      </c>
      <c r="I834">
        <v>0</v>
      </c>
    </row>
    <row r="835" spans="1:9">
      <c r="A835">
        <v>2</v>
      </c>
      <c r="B835" t="s">
        <v>655</v>
      </c>
      <c r="C835" t="s">
        <v>319</v>
      </c>
      <c r="D835" t="s">
        <v>618</v>
      </c>
      <c r="E835">
        <v>0.18181818181818182</v>
      </c>
    </row>
    <row r="836" spans="1:9">
      <c r="A836">
        <v>3</v>
      </c>
      <c r="B836" t="s">
        <v>655</v>
      </c>
      <c r="C836" t="s">
        <v>319</v>
      </c>
      <c r="D836" t="s">
        <v>619</v>
      </c>
      <c r="E836">
        <v>0</v>
      </c>
      <c r="F836" t="s">
        <v>620</v>
      </c>
      <c r="H836" t="s">
        <v>621</v>
      </c>
      <c r="I836">
        <v>0</v>
      </c>
    </row>
    <row r="837" spans="1:9">
      <c r="A837">
        <v>4</v>
      </c>
      <c r="B837" t="s">
        <v>655</v>
      </c>
      <c r="C837" t="s">
        <v>319</v>
      </c>
      <c r="D837" t="s">
        <v>622</v>
      </c>
      <c r="E837" t="s">
        <v>218</v>
      </c>
      <c r="F837" t="s">
        <v>623</v>
      </c>
      <c r="G837">
        <v>0</v>
      </c>
      <c r="H837" t="s">
        <v>624</v>
      </c>
      <c r="I837">
        <v>20.738951036126902</v>
      </c>
    </row>
    <row r="838" spans="1:9">
      <c r="A838">
        <v>2</v>
      </c>
      <c r="B838" t="s">
        <v>655</v>
      </c>
      <c r="C838" t="s">
        <v>327</v>
      </c>
      <c r="D838" t="s">
        <v>618</v>
      </c>
      <c r="E838">
        <v>0.18181818181818182</v>
      </c>
    </row>
    <row r="839" spans="1:9">
      <c r="A839">
        <v>3</v>
      </c>
      <c r="B839" t="s">
        <v>655</v>
      </c>
      <c r="C839" t="s">
        <v>327</v>
      </c>
      <c r="D839" t="s">
        <v>619</v>
      </c>
      <c r="E839">
        <v>0</v>
      </c>
      <c r="F839" t="s">
        <v>620</v>
      </c>
      <c r="H839" t="s">
        <v>621</v>
      </c>
      <c r="I839">
        <v>0</v>
      </c>
    </row>
    <row r="840" spans="1:9">
      <c r="A840">
        <v>4</v>
      </c>
      <c r="B840" t="s">
        <v>655</v>
      </c>
      <c r="C840" t="s">
        <v>327</v>
      </c>
      <c r="D840" t="s">
        <v>622</v>
      </c>
      <c r="E840" t="s">
        <v>222</v>
      </c>
      <c r="F840" t="s">
        <v>623</v>
      </c>
      <c r="G840">
        <v>0</v>
      </c>
      <c r="H840" t="s">
        <v>624</v>
      </c>
      <c r="I840">
        <v>0</v>
      </c>
    </row>
    <row r="841" spans="1:9">
      <c r="A841">
        <v>2</v>
      </c>
      <c r="B841" t="s">
        <v>655</v>
      </c>
      <c r="C841" t="s">
        <v>633</v>
      </c>
      <c r="D841" t="s">
        <v>618</v>
      </c>
      <c r="E841">
        <v>9.0909090909090912E-2</v>
      </c>
    </row>
    <row r="842" spans="1:9">
      <c r="A842">
        <v>1</v>
      </c>
      <c r="B842" t="s">
        <v>656</v>
      </c>
      <c r="D842" t="s">
        <v>616</v>
      </c>
      <c r="E842">
        <v>1</v>
      </c>
      <c r="F842" t="s">
        <v>617</v>
      </c>
      <c r="G842">
        <v>0</v>
      </c>
    </row>
    <row r="843" spans="1:9">
      <c r="A843">
        <v>2</v>
      </c>
      <c r="B843" t="s">
        <v>656</v>
      </c>
      <c r="C843" t="s">
        <v>372</v>
      </c>
      <c r="D843" t="s">
        <v>618</v>
      </c>
      <c r="E843">
        <v>0</v>
      </c>
    </row>
    <row r="844" spans="1:9">
      <c r="A844">
        <v>2</v>
      </c>
      <c r="B844" t="s">
        <v>656</v>
      </c>
      <c r="C844" t="s">
        <v>325</v>
      </c>
      <c r="D844" t="s">
        <v>618</v>
      </c>
      <c r="E844">
        <v>0.3</v>
      </c>
    </row>
    <row r="845" spans="1:9">
      <c r="A845">
        <v>3</v>
      </c>
      <c r="B845" t="s">
        <v>656</v>
      </c>
      <c r="C845" t="s">
        <v>325</v>
      </c>
      <c r="D845" t="s">
        <v>619</v>
      </c>
      <c r="E845">
        <v>0</v>
      </c>
      <c r="F845" t="s">
        <v>620</v>
      </c>
      <c r="H845" t="s">
        <v>621</v>
      </c>
      <c r="I845">
        <v>0</v>
      </c>
    </row>
    <row r="846" spans="1:9">
      <c r="A846">
        <v>4</v>
      </c>
      <c r="B846" t="s">
        <v>656</v>
      </c>
      <c r="C846" t="s">
        <v>325</v>
      </c>
      <c r="D846" t="s">
        <v>622</v>
      </c>
      <c r="E846" t="s">
        <v>226</v>
      </c>
      <c r="F846" t="s">
        <v>623</v>
      </c>
      <c r="G846">
        <v>0</v>
      </c>
      <c r="H846" t="s">
        <v>624</v>
      </c>
      <c r="I846">
        <v>0</v>
      </c>
    </row>
    <row r="847" spans="1:9">
      <c r="A847">
        <v>2</v>
      </c>
      <c r="B847" t="s">
        <v>656</v>
      </c>
      <c r="C847" t="s">
        <v>373</v>
      </c>
      <c r="D847" t="s">
        <v>618</v>
      </c>
      <c r="E847">
        <v>0.15</v>
      </c>
    </row>
    <row r="848" spans="1:9">
      <c r="A848">
        <v>3</v>
      </c>
      <c r="B848" t="s">
        <v>656</v>
      </c>
      <c r="C848" t="s">
        <v>373</v>
      </c>
      <c r="D848" t="s">
        <v>619</v>
      </c>
      <c r="E848">
        <v>0</v>
      </c>
      <c r="F848" t="s">
        <v>620</v>
      </c>
      <c r="H848" t="s">
        <v>621</v>
      </c>
      <c r="I848">
        <v>0</v>
      </c>
    </row>
    <row r="849" spans="1:9">
      <c r="A849">
        <v>4</v>
      </c>
      <c r="B849" t="s">
        <v>656</v>
      </c>
      <c r="C849" t="s">
        <v>373</v>
      </c>
      <c r="D849" t="s">
        <v>622</v>
      </c>
      <c r="E849" t="s">
        <v>182</v>
      </c>
      <c r="F849" t="s">
        <v>623</v>
      </c>
      <c r="G849">
        <v>0</v>
      </c>
      <c r="H849" t="s">
        <v>624</v>
      </c>
      <c r="I849">
        <v>0</v>
      </c>
    </row>
    <row r="850" spans="1:9">
      <c r="A850">
        <v>2</v>
      </c>
      <c r="B850" t="s">
        <v>656</v>
      </c>
      <c r="C850" t="s">
        <v>374</v>
      </c>
      <c r="D850" t="s">
        <v>618</v>
      </c>
      <c r="E850">
        <v>7.4999999999999997E-2</v>
      </c>
    </row>
    <row r="851" spans="1:9">
      <c r="A851">
        <v>3</v>
      </c>
      <c r="B851" t="s">
        <v>656</v>
      </c>
      <c r="C851" t="s">
        <v>374</v>
      </c>
      <c r="D851" t="s">
        <v>619</v>
      </c>
      <c r="E851">
        <v>0</v>
      </c>
      <c r="F851" t="s">
        <v>620</v>
      </c>
      <c r="H851" t="s">
        <v>621</v>
      </c>
      <c r="I851">
        <v>0</v>
      </c>
    </row>
    <row r="852" spans="1:9">
      <c r="A852">
        <v>4</v>
      </c>
      <c r="B852" t="s">
        <v>656</v>
      </c>
      <c r="C852" t="s">
        <v>374</v>
      </c>
      <c r="D852" t="s">
        <v>622</v>
      </c>
      <c r="E852" t="s">
        <v>239</v>
      </c>
      <c r="F852" t="s">
        <v>623</v>
      </c>
      <c r="G852">
        <v>0</v>
      </c>
      <c r="H852" t="s">
        <v>624</v>
      </c>
      <c r="I852">
        <v>0</v>
      </c>
    </row>
    <row r="853" spans="1:9">
      <c r="A853">
        <v>2</v>
      </c>
      <c r="B853" t="s">
        <v>656</v>
      </c>
      <c r="C853" t="s">
        <v>355</v>
      </c>
      <c r="D853" t="s">
        <v>618</v>
      </c>
      <c r="E853">
        <v>7.4999999999999997E-2</v>
      </c>
    </row>
    <row r="854" spans="1:9">
      <c r="A854">
        <v>3</v>
      </c>
      <c r="B854" t="s">
        <v>656</v>
      </c>
      <c r="C854" t="s">
        <v>355</v>
      </c>
      <c r="D854" t="s">
        <v>619</v>
      </c>
      <c r="E854">
        <v>0</v>
      </c>
      <c r="F854" t="s">
        <v>620</v>
      </c>
      <c r="H854" t="s">
        <v>621</v>
      </c>
      <c r="I854">
        <v>0</v>
      </c>
    </row>
    <row r="855" spans="1:9">
      <c r="A855">
        <v>4</v>
      </c>
      <c r="B855" t="s">
        <v>656</v>
      </c>
      <c r="C855" t="s">
        <v>355</v>
      </c>
      <c r="D855" t="s">
        <v>622</v>
      </c>
      <c r="E855" t="s">
        <v>240</v>
      </c>
      <c r="F855" t="s">
        <v>623</v>
      </c>
      <c r="G855">
        <v>0</v>
      </c>
      <c r="H855" t="s">
        <v>624</v>
      </c>
      <c r="I855">
        <v>0.35430038510911427</v>
      </c>
    </row>
    <row r="856" spans="1:9">
      <c r="A856">
        <v>2</v>
      </c>
      <c r="B856" t="s">
        <v>656</v>
      </c>
      <c r="C856" t="s">
        <v>375</v>
      </c>
      <c r="D856" t="s">
        <v>618</v>
      </c>
      <c r="E856">
        <v>0.15</v>
      </c>
    </row>
    <row r="857" spans="1:9">
      <c r="A857">
        <v>3</v>
      </c>
      <c r="B857" t="s">
        <v>656</v>
      </c>
      <c r="C857" t="s">
        <v>375</v>
      </c>
      <c r="D857" t="s">
        <v>619</v>
      </c>
      <c r="E857">
        <v>0</v>
      </c>
      <c r="F857" t="s">
        <v>620</v>
      </c>
      <c r="H857" t="s">
        <v>621</v>
      </c>
      <c r="I857">
        <v>0</v>
      </c>
    </row>
    <row r="858" spans="1:9">
      <c r="A858">
        <v>4</v>
      </c>
      <c r="B858" t="s">
        <v>656</v>
      </c>
      <c r="C858" t="s">
        <v>375</v>
      </c>
      <c r="D858" t="s">
        <v>622</v>
      </c>
      <c r="E858" t="s">
        <v>265</v>
      </c>
      <c r="F858" t="s">
        <v>623</v>
      </c>
      <c r="G858">
        <v>0</v>
      </c>
      <c r="H858" t="s">
        <v>624</v>
      </c>
      <c r="I858">
        <v>0</v>
      </c>
    </row>
    <row r="859" spans="1:9">
      <c r="A859">
        <v>2</v>
      </c>
      <c r="B859" t="s">
        <v>656</v>
      </c>
      <c r="C859" t="s">
        <v>376</v>
      </c>
      <c r="D859" t="s">
        <v>618</v>
      </c>
      <c r="E859">
        <v>0.15</v>
      </c>
    </row>
    <row r="860" spans="1:9">
      <c r="A860">
        <v>3</v>
      </c>
      <c r="B860" t="s">
        <v>656</v>
      </c>
      <c r="C860" t="s">
        <v>376</v>
      </c>
      <c r="D860" t="s">
        <v>619</v>
      </c>
      <c r="E860">
        <v>0</v>
      </c>
      <c r="F860" t="s">
        <v>620</v>
      </c>
      <c r="H860" t="s">
        <v>621</v>
      </c>
      <c r="I860">
        <v>0</v>
      </c>
    </row>
    <row r="861" spans="1:9">
      <c r="A861">
        <v>4</v>
      </c>
      <c r="B861" t="s">
        <v>656</v>
      </c>
      <c r="C861" t="s">
        <v>376</v>
      </c>
      <c r="D861" t="s">
        <v>622</v>
      </c>
      <c r="E861" t="s">
        <v>254</v>
      </c>
      <c r="F861" t="s">
        <v>623</v>
      </c>
      <c r="G861">
        <v>0</v>
      </c>
      <c r="H861" t="s">
        <v>624</v>
      </c>
      <c r="I861">
        <v>0</v>
      </c>
    </row>
    <row r="862" spans="1:9">
      <c r="A862">
        <v>2</v>
      </c>
      <c r="B862" t="s">
        <v>656</v>
      </c>
      <c r="C862" t="s">
        <v>299</v>
      </c>
      <c r="D862" t="s">
        <v>618</v>
      </c>
      <c r="E862">
        <v>0.1</v>
      </c>
    </row>
    <row r="863" spans="1:9">
      <c r="A863">
        <v>3</v>
      </c>
      <c r="B863" t="s">
        <v>656</v>
      </c>
      <c r="C863" t="s">
        <v>299</v>
      </c>
      <c r="D863" t="s">
        <v>619</v>
      </c>
      <c r="E863">
        <v>0</v>
      </c>
      <c r="F863" t="s">
        <v>620</v>
      </c>
      <c r="H863" t="s">
        <v>621</v>
      </c>
      <c r="I863">
        <v>0</v>
      </c>
    </row>
    <row r="864" spans="1:9">
      <c r="A864">
        <v>4</v>
      </c>
      <c r="B864" t="s">
        <v>656</v>
      </c>
      <c r="C864" t="s">
        <v>299</v>
      </c>
      <c r="D864" t="s">
        <v>622</v>
      </c>
      <c r="E864" t="s">
        <v>168</v>
      </c>
      <c r="F864" t="s">
        <v>623</v>
      </c>
      <c r="G864">
        <v>0</v>
      </c>
      <c r="H864" t="s">
        <v>624</v>
      </c>
      <c r="I864">
        <v>23.796837550861156</v>
      </c>
    </row>
    <row r="865" spans="1:9">
      <c r="A865">
        <v>1</v>
      </c>
      <c r="B865" t="s">
        <v>657</v>
      </c>
      <c r="D865" t="s">
        <v>616</v>
      </c>
      <c r="E865">
        <v>1</v>
      </c>
      <c r="F865" t="s">
        <v>617</v>
      </c>
      <c r="G865">
        <v>0</v>
      </c>
    </row>
    <row r="866" spans="1:9">
      <c r="A866">
        <v>2</v>
      </c>
      <c r="B866" t="s">
        <v>657</v>
      </c>
      <c r="C866" t="s">
        <v>383</v>
      </c>
      <c r="D866" t="s">
        <v>618</v>
      </c>
      <c r="E866">
        <v>0.11392405063291139</v>
      </c>
    </row>
    <row r="867" spans="1:9">
      <c r="A867">
        <v>3</v>
      </c>
      <c r="B867" t="s">
        <v>657</v>
      </c>
      <c r="C867" t="s">
        <v>383</v>
      </c>
      <c r="D867" t="s">
        <v>619</v>
      </c>
      <c r="E867">
        <v>0</v>
      </c>
      <c r="F867" t="s">
        <v>620</v>
      </c>
      <c r="H867" t="s">
        <v>621</v>
      </c>
      <c r="I867">
        <v>0</v>
      </c>
    </row>
    <row r="868" spans="1:9">
      <c r="A868">
        <v>4</v>
      </c>
      <c r="B868" t="s">
        <v>657</v>
      </c>
      <c r="C868" t="s">
        <v>383</v>
      </c>
      <c r="D868" t="s">
        <v>622</v>
      </c>
      <c r="E868" t="s">
        <v>204</v>
      </c>
      <c r="F868" t="s">
        <v>623</v>
      </c>
      <c r="G868">
        <v>0</v>
      </c>
      <c r="H868" t="s">
        <v>624</v>
      </c>
      <c r="I868">
        <v>1.6094420600858372E-2</v>
      </c>
    </row>
    <row r="869" spans="1:9">
      <c r="A869">
        <v>2</v>
      </c>
      <c r="B869" t="s">
        <v>657</v>
      </c>
      <c r="C869" t="s">
        <v>384</v>
      </c>
      <c r="D869" t="s">
        <v>618</v>
      </c>
      <c r="E869">
        <v>3.7974683544303799E-2</v>
      </c>
    </row>
    <row r="870" spans="1:9">
      <c r="A870">
        <v>3</v>
      </c>
      <c r="B870" t="s">
        <v>657</v>
      </c>
      <c r="C870" t="s">
        <v>384</v>
      </c>
      <c r="D870" t="s">
        <v>619</v>
      </c>
      <c r="E870">
        <v>0</v>
      </c>
      <c r="F870" t="s">
        <v>620</v>
      </c>
      <c r="H870" t="s">
        <v>621</v>
      </c>
      <c r="I870">
        <v>0</v>
      </c>
    </row>
    <row r="871" spans="1:9">
      <c r="A871">
        <v>4</v>
      </c>
      <c r="B871" t="s">
        <v>657</v>
      </c>
      <c r="C871" t="s">
        <v>384</v>
      </c>
      <c r="D871" t="s">
        <v>622</v>
      </c>
      <c r="E871" t="s">
        <v>224</v>
      </c>
      <c r="F871" t="s">
        <v>623</v>
      </c>
      <c r="G871">
        <v>0</v>
      </c>
      <c r="H871" t="s">
        <v>624</v>
      </c>
      <c r="I871">
        <v>0</v>
      </c>
    </row>
    <row r="872" spans="1:9">
      <c r="A872">
        <v>2</v>
      </c>
      <c r="B872" t="s">
        <v>657</v>
      </c>
      <c r="C872" t="s">
        <v>359</v>
      </c>
      <c r="D872" t="s">
        <v>618</v>
      </c>
      <c r="E872">
        <v>0.10126582278481013</v>
      </c>
    </row>
    <row r="873" spans="1:9">
      <c r="A873">
        <v>3</v>
      </c>
      <c r="B873" t="s">
        <v>657</v>
      </c>
      <c r="C873" t="s">
        <v>359</v>
      </c>
      <c r="D873" t="s">
        <v>619</v>
      </c>
      <c r="E873">
        <v>0</v>
      </c>
      <c r="F873" t="s">
        <v>620</v>
      </c>
      <c r="H873" t="s">
        <v>621</v>
      </c>
      <c r="I873">
        <v>0</v>
      </c>
    </row>
    <row r="874" spans="1:9">
      <c r="A874">
        <v>4</v>
      </c>
      <c r="B874" t="s">
        <v>657</v>
      </c>
      <c r="C874" t="s">
        <v>359</v>
      </c>
      <c r="D874" t="s">
        <v>622</v>
      </c>
      <c r="E874" t="s">
        <v>165</v>
      </c>
      <c r="F874" t="s">
        <v>623</v>
      </c>
      <c r="G874">
        <v>0</v>
      </c>
      <c r="H874" t="s">
        <v>624</v>
      </c>
      <c r="I874">
        <v>22.14377406931964</v>
      </c>
    </row>
    <row r="875" spans="1:9">
      <c r="A875">
        <v>2</v>
      </c>
      <c r="B875" t="s">
        <v>657</v>
      </c>
      <c r="C875" t="s">
        <v>385</v>
      </c>
      <c r="D875" t="s">
        <v>618</v>
      </c>
      <c r="E875">
        <v>8.8607594936708861E-2</v>
      </c>
    </row>
    <row r="876" spans="1:9">
      <c r="A876">
        <v>3</v>
      </c>
      <c r="B876" t="s">
        <v>657</v>
      </c>
      <c r="C876" t="s">
        <v>385</v>
      </c>
      <c r="D876" t="s">
        <v>619</v>
      </c>
      <c r="E876">
        <v>0</v>
      </c>
      <c r="F876" t="s">
        <v>620</v>
      </c>
      <c r="H876" t="s">
        <v>621</v>
      </c>
      <c r="I876">
        <v>0</v>
      </c>
    </row>
    <row r="877" spans="1:9">
      <c r="A877">
        <v>4</v>
      </c>
      <c r="B877" t="s">
        <v>657</v>
      </c>
      <c r="C877" t="s">
        <v>385</v>
      </c>
      <c r="D877" t="s">
        <v>622</v>
      </c>
      <c r="E877" t="s">
        <v>147</v>
      </c>
      <c r="F877" t="s">
        <v>623</v>
      </c>
      <c r="G877">
        <v>0</v>
      </c>
      <c r="H877" t="s">
        <v>624</v>
      </c>
      <c r="I877">
        <v>295.25032092426187</v>
      </c>
    </row>
    <row r="878" spans="1:9">
      <c r="A878">
        <v>2</v>
      </c>
      <c r="B878" t="s">
        <v>657</v>
      </c>
      <c r="C878" t="s">
        <v>386</v>
      </c>
      <c r="D878" t="s">
        <v>618</v>
      </c>
      <c r="E878">
        <v>0.189873417721519</v>
      </c>
    </row>
    <row r="879" spans="1:9">
      <c r="A879">
        <v>3</v>
      </c>
      <c r="B879" t="s">
        <v>657</v>
      </c>
      <c r="C879" t="s">
        <v>386</v>
      </c>
      <c r="D879" t="s">
        <v>619</v>
      </c>
      <c r="E879">
        <v>0</v>
      </c>
      <c r="F879" t="s">
        <v>620</v>
      </c>
      <c r="H879" t="s">
        <v>621</v>
      </c>
      <c r="I879">
        <v>0</v>
      </c>
    </row>
    <row r="880" spans="1:9">
      <c r="A880">
        <v>4</v>
      </c>
      <c r="B880" t="s">
        <v>657</v>
      </c>
      <c r="C880" t="s">
        <v>386</v>
      </c>
      <c r="D880" t="s">
        <v>622</v>
      </c>
      <c r="E880" t="s">
        <v>193</v>
      </c>
      <c r="F880" t="s">
        <v>623</v>
      </c>
      <c r="G880">
        <v>0</v>
      </c>
      <c r="H880" t="s">
        <v>624</v>
      </c>
      <c r="I880">
        <v>0</v>
      </c>
    </row>
    <row r="881" spans="1:9">
      <c r="A881">
        <v>2</v>
      </c>
      <c r="B881" t="s">
        <v>657</v>
      </c>
      <c r="C881" t="s">
        <v>341</v>
      </c>
      <c r="D881" t="s">
        <v>618</v>
      </c>
      <c r="E881">
        <v>0.12658227848101267</v>
      </c>
    </row>
    <row r="882" spans="1:9">
      <c r="A882">
        <v>3</v>
      </c>
      <c r="B882" t="s">
        <v>657</v>
      </c>
      <c r="C882" t="s">
        <v>341</v>
      </c>
      <c r="D882" t="s">
        <v>619</v>
      </c>
      <c r="E882">
        <v>0</v>
      </c>
      <c r="F882" t="s">
        <v>620</v>
      </c>
      <c r="H882" t="s">
        <v>621</v>
      </c>
      <c r="I882">
        <v>0</v>
      </c>
    </row>
    <row r="883" spans="1:9">
      <c r="A883">
        <v>4</v>
      </c>
      <c r="B883" t="s">
        <v>657</v>
      </c>
      <c r="C883" t="s">
        <v>341</v>
      </c>
      <c r="D883" t="s">
        <v>622</v>
      </c>
      <c r="E883" t="s">
        <v>192</v>
      </c>
      <c r="F883" t="s">
        <v>623</v>
      </c>
      <c r="G883">
        <v>0</v>
      </c>
      <c r="H883" t="s">
        <v>624</v>
      </c>
      <c r="I883">
        <v>0</v>
      </c>
    </row>
    <row r="884" spans="1:9">
      <c r="A884">
        <v>2</v>
      </c>
      <c r="B884" t="s">
        <v>657</v>
      </c>
      <c r="C884" t="s">
        <v>358</v>
      </c>
      <c r="D884" t="s">
        <v>618</v>
      </c>
      <c r="E884">
        <v>0.189873417721519</v>
      </c>
    </row>
    <row r="885" spans="1:9">
      <c r="A885">
        <v>3</v>
      </c>
      <c r="B885" t="s">
        <v>657</v>
      </c>
      <c r="C885" t="s">
        <v>358</v>
      </c>
      <c r="D885" t="s">
        <v>619</v>
      </c>
      <c r="E885">
        <v>0</v>
      </c>
      <c r="F885" t="s">
        <v>620</v>
      </c>
      <c r="H885" t="s">
        <v>621</v>
      </c>
      <c r="I885">
        <v>0</v>
      </c>
    </row>
    <row r="886" spans="1:9">
      <c r="A886">
        <v>4</v>
      </c>
      <c r="B886" t="s">
        <v>657</v>
      </c>
      <c r="C886" t="s">
        <v>358</v>
      </c>
      <c r="D886" t="s">
        <v>622</v>
      </c>
      <c r="E886" t="s">
        <v>263</v>
      </c>
      <c r="F886" t="s">
        <v>623</v>
      </c>
      <c r="G886">
        <v>0</v>
      </c>
      <c r="H886" t="s">
        <v>624</v>
      </c>
      <c r="I886">
        <v>94.80696999952454</v>
      </c>
    </row>
    <row r="887" spans="1:9">
      <c r="A887">
        <v>2</v>
      </c>
      <c r="B887" t="s">
        <v>657</v>
      </c>
      <c r="C887" t="s">
        <v>387</v>
      </c>
      <c r="D887" t="s">
        <v>618</v>
      </c>
      <c r="E887">
        <v>6.3291139240506333E-2</v>
      </c>
    </row>
    <row r="888" spans="1:9">
      <c r="A888">
        <v>3</v>
      </c>
      <c r="B888" t="s">
        <v>657</v>
      </c>
      <c r="C888" t="s">
        <v>387</v>
      </c>
      <c r="D888" t="s">
        <v>619</v>
      </c>
      <c r="E888">
        <v>0</v>
      </c>
      <c r="F888" t="s">
        <v>620</v>
      </c>
      <c r="H888" t="s">
        <v>621</v>
      </c>
      <c r="I888">
        <v>0</v>
      </c>
    </row>
    <row r="889" spans="1:9">
      <c r="A889">
        <v>4</v>
      </c>
      <c r="B889" t="s">
        <v>657</v>
      </c>
      <c r="C889" t="s">
        <v>387</v>
      </c>
      <c r="D889" t="s">
        <v>622</v>
      </c>
      <c r="E889" t="s">
        <v>248</v>
      </c>
      <c r="F889" t="s">
        <v>623</v>
      </c>
      <c r="G889">
        <v>0</v>
      </c>
      <c r="H889" t="s">
        <v>624</v>
      </c>
      <c r="I889">
        <v>0</v>
      </c>
    </row>
    <row r="890" spans="1:9">
      <c r="A890">
        <v>2</v>
      </c>
      <c r="B890" t="s">
        <v>657</v>
      </c>
      <c r="C890" t="s">
        <v>388</v>
      </c>
      <c r="D890" t="s">
        <v>618</v>
      </c>
      <c r="E890">
        <v>8.8607594936708861E-2</v>
      </c>
    </row>
    <row r="891" spans="1:9">
      <c r="A891">
        <v>3</v>
      </c>
      <c r="B891" t="s">
        <v>657</v>
      </c>
      <c r="C891" t="s">
        <v>388</v>
      </c>
      <c r="D891" t="s">
        <v>619</v>
      </c>
      <c r="E891">
        <v>0</v>
      </c>
      <c r="F891" t="s">
        <v>620</v>
      </c>
      <c r="H891" t="s">
        <v>621</v>
      </c>
      <c r="I891">
        <v>0</v>
      </c>
    </row>
    <row r="892" spans="1:9">
      <c r="A892">
        <v>4</v>
      </c>
      <c r="B892" t="s">
        <v>657</v>
      </c>
      <c r="C892" t="s">
        <v>388</v>
      </c>
      <c r="D892" t="s">
        <v>622</v>
      </c>
      <c r="E892" t="s">
        <v>208</v>
      </c>
      <c r="F892" t="s">
        <v>623</v>
      </c>
      <c r="G892">
        <v>0</v>
      </c>
      <c r="H892" t="s">
        <v>624</v>
      </c>
      <c r="I892">
        <v>0</v>
      </c>
    </row>
    <row r="893" spans="1:9">
      <c r="A893">
        <v>1</v>
      </c>
      <c r="B893" t="s">
        <v>658</v>
      </c>
      <c r="D893" t="s">
        <v>616</v>
      </c>
      <c r="E893">
        <v>1</v>
      </c>
      <c r="F893" t="s">
        <v>617</v>
      </c>
      <c r="G893">
        <v>0</v>
      </c>
    </row>
    <row r="894" spans="1:9">
      <c r="A894">
        <v>2</v>
      </c>
      <c r="B894" t="s">
        <v>658</v>
      </c>
      <c r="C894" t="s">
        <v>67</v>
      </c>
      <c r="D894" t="s">
        <v>618</v>
      </c>
      <c r="E894">
        <v>4.9180327868852465E-2</v>
      </c>
    </row>
    <row r="895" spans="1:9">
      <c r="A895">
        <v>3</v>
      </c>
      <c r="B895" t="s">
        <v>658</v>
      </c>
      <c r="C895" t="s">
        <v>67</v>
      </c>
      <c r="D895" t="s">
        <v>619</v>
      </c>
      <c r="E895">
        <v>0</v>
      </c>
      <c r="F895" t="s">
        <v>620</v>
      </c>
      <c r="H895" t="s">
        <v>621</v>
      </c>
      <c r="I895">
        <v>0</v>
      </c>
    </row>
    <row r="896" spans="1:9">
      <c r="A896">
        <v>4</v>
      </c>
      <c r="B896" t="s">
        <v>658</v>
      </c>
      <c r="C896" t="s">
        <v>67</v>
      </c>
      <c r="D896" t="s">
        <v>622</v>
      </c>
      <c r="E896" t="s">
        <v>221</v>
      </c>
      <c r="F896" t="s">
        <v>623</v>
      </c>
      <c r="G896">
        <v>0</v>
      </c>
      <c r="H896" t="s">
        <v>624</v>
      </c>
      <c r="I896">
        <v>11.899571600713326</v>
      </c>
    </row>
    <row r="897" spans="1:9">
      <c r="A897">
        <v>2</v>
      </c>
      <c r="B897" t="s">
        <v>658</v>
      </c>
      <c r="C897" t="s">
        <v>287</v>
      </c>
      <c r="D897" t="s">
        <v>618</v>
      </c>
      <c r="E897">
        <v>0.19672131147540986</v>
      </c>
    </row>
    <row r="898" spans="1:9">
      <c r="A898">
        <v>3</v>
      </c>
      <c r="B898" t="s">
        <v>658</v>
      </c>
      <c r="C898" t="s">
        <v>287</v>
      </c>
      <c r="D898" t="s">
        <v>619</v>
      </c>
      <c r="E898">
        <v>0</v>
      </c>
      <c r="F898" t="s">
        <v>620</v>
      </c>
      <c r="H898" t="s">
        <v>621</v>
      </c>
      <c r="I898">
        <v>0</v>
      </c>
    </row>
    <row r="899" spans="1:9">
      <c r="A899">
        <v>4</v>
      </c>
      <c r="B899" t="s">
        <v>658</v>
      </c>
      <c r="C899" t="s">
        <v>287</v>
      </c>
      <c r="D899" t="s">
        <v>622</v>
      </c>
      <c r="E899" t="s">
        <v>242</v>
      </c>
      <c r="F899" t="s">
        <v>623</v>
      </c>
      <c r="G899">
        <v>0</v>
      </c>
      <c r="H899" t="s">
        <v>624</v>
      </c>
      <c r="I899">
        <v>0.48952469204615129</v>
      </c>
    </row>
    <row r="900" spans="1:9">
      <c r="A900">
        <v>2</v>
      </c>
      <c r="B900" t="s">
        <v>658</v>
      </c>
      <c r="C900" t="s">
        <v>319</v>
      </c>
      <c r="D900" t="s">
        <v>618</v>
      </c>
      <c r="E900">
        <v>9.836065573770493E-2</v>
      </c>
    </row>
    <row r="901" spans="1:9">
      <c r="A901">
        <v>3</v>
      </c>
      <c r="B901" t="s">
        <v>658</v>
      </c>
      <c r="C901" t="s">
        <v>319</v>
      </c>
      <c r="D901" t="s">
        <v>619</v>
      </c>
      <c r="E901">
        <v>0</v>
      </c>
      <c r="F901" t="s">
        <v>620</v>
      </c>
      <c r="H901" t="s">
        <v>621</v>
      </c>
      <c r="I901">
        <v>0</v>
      </c>
    </row>
    <row r="902" spans="1:9">
      <c r="A902">
        <v>4</v>
      </c>
      <c r="B902" t="s">
        <v>658</v>
      </c>
      <c r="C902" t="s">
        <v>319</v>
      </c>
      <c r="D902" t="s">
        <v>622</v>
      </c>
      <c r="E902" t="s">
        <v>218</v>
      </c>
      <c r="F902" t="s">
        <v>623</v>
      </c>
      <c r="G902">
        <v>0</v>
      </c>
      <c r="H902" t="s">
        <v>624</v>
      </c>
      <c r="I902">
        <v>20.738951036126902</v>
      </c>
    </row>
    <row r="903" spans="1:9">
      <c r="A903">
        <v>2</v>
      </c>
      <c r="B903" t="s">
        <v>658</v>
      </c>
      <c r="C903" t="s">
        <v>389</v>
      </c>
      <c r="D903" t="s">
        <v>618</v>
      </c>
      <c r="E903">
        <v>9.836065573770493E-2</v>
      </c>
    </row>
    <row r="904" spans="1:9">
      <c r="A904">
        <v>2</v>
      </c>
      <c r="B904" t="s">
        <v>658</v>
      </c>
      <c r="C904" t="s">
        <v>289</v>
      </c>
      <c r="D904" t="s">
        <v>618</v>
      </c>
      <c r="E904">
        <v>9.836065573770493E-2</v>
      </c>
    </row>
    <row r="905" spans="1:9">
      <c r="A905">
        <v>3</v>
      </c>
      <c r="B905" t="s">
        <v>658</v>
      </c>
      <c r="C905" t="s">
        <v>289</v>
      </c>
      <c r="D905" t="s">
        <v>619</v>
      </c>
      <c r="E905">
        <v>0</v>
      </c>
      <c r="F905" t="s">
        <v>620</v>
      </c>
      <c r="H905" t="s">
        <v>621</v>
      </c>
      <c r="I905">
        <v>0</v>
      </c>
    </row>
    <row r="906" spans="1:9">
      <c r="A906">
        <v>4</v>
      </c>
      <c r="B906" t="s">
        <v>658</v>
      </c>
      <c r="C906" t="s">
        <v>289</v>
      </c>
      <c r="D906" t="s">
        <v>622</v>
      </c>
      <c r="E906" t="s">
        <v>149</v>
      </c>
      <c r="F906" t="s">
        <v>623</v>
      </c>
      <c r="G906">
        <v>0</v>
      </c>
      <c r="H906" t="s">
        <v>624</v>
      </c>
      <c r="I906">
        <v>13.205728150604759</v>
      </c>
    </row>
    <row r="907" spans="1:9">
      <c r="A907">
        <v>2</v>
      </c>
      <c r="B907" t="s">
        <v>658</v>
      </c>
      <c r="C907" t="s">
        <v>342</v>
      </c>
      <c r="D907" t="s">
        <v>618</v>
      </c>
      <c r="E907">
        <v>4.9180327868852465E-2</v>
      </c>
    </row>
    <row r="908" spans="1:9">
      <c r="A908">
        <v>3</v>
      </c>
      <c r="B908" t="s">
        <v>658</v>
      </c>
      <c r="C908" t="s">
        <v>342</v>
      </c>
      <c r="D908" t="s">
        <v>619</v>
      </c>
      <c r="E908">
        <v>0</v>
      </c>
      <c r="F908" t="s">
        <v>620</v>
      </c>
      <c r="H908" t="s">
        <v>621</v>
      </c>
      <c r="I908">
        <v>0</v>
      </c>
    </row>
    <row r="909" spans="1:9">
      <c r="A909">
        <v>4</v>
      </c>
      <c r="B909" t="s">
        <v>658</v>
      </c>
      <c r="C909" t="s">
        <v>342</v>
      </c>
      <c r="D909" t="s">
        <v>622</v>
      </c>
      <c r="E909" t="s">
        <v>244</v>
      </c>
      <c r="F909" t="s">
        <v>623</v>
      </c>
      <c r="G909">
        <v>0</v>
      </c>
      <c r="H909" t="s">
        <v>624</v>
      </c>
      <c r="I909">
        <v>0</v>
      </c>
    </row>
    <row r="910" spans="1:9">
      <c r="A910">
        <v>2</v>
      </c>
      <c r="B910" t="s">
        <v>658</v>
      </c>
      <c r="C910" t="s">
        <v>305</v>
      </c>
      <c r="D910" t="s">
        <v>618</v>
      </c>
      <c r="E910">
        <v>4.9180327868852465E-2</v>
      </c>
    </row>
    <row r="911" spans="1:9">
      <c r="A911">
        <v>3</v>
      </c>
      <c r="B911" t="s">
        <v>658</v>
      </c>
      <c r="C911" t="s">
        <v>305</v>
      </c>
      <c r="D911" t="s">
        <v>619</v>
      </c>
      <c r="E911">
        <v>0</v>
      </c>
      <c r="F911" t="s">
        <v>620</v>
      </c>
      <c r="H911" t="s">
        <v>621</v>
      </c>
      <c r="I911">
        <v>0</v>
      </c>
    </row>
    <row r="912" spans="1:9">
      <c r="A912">
        <v>4</v>
      </c>
      <c r="B912" t="s">
        <v>658</v>
      </c>
      <c r="C912" t="s">
        <v>305</v>
      </c>
      <c r="D912" t="s">
        <v>622</v>
      </c>
      <c r="E912" t="s">
        <v>176</v>
      </c>
      <c r="F912" t="s">
        <v>623</v>
      </c>
      <c r="G912">
        <v>0</v>
      </c>
      <c r="H912" t="s">
        <v>624</v>
      </c>
      <c r="I912">
        <v>262.7270518258087</v>
      </c>
    </row>
    <row r="913" spans="1:9">
      <c r="A913">
        <v>2</v>
      </c>
      <c r="B913" t="s">
        <v>658</v>
      </c>
      <c r="C913" t="s">
        <v>284</v>
      </c>
      <c r="D913" t="s">
        <v>618</v>
      </c>
      <c r="E913">
        <v>4.9180327868852465E-2</v>
      </c>
    </row>
    <row r="914" spans="1:9">
      <c r="A914">
        <v>3</v>
      </c>
      <c r="B914" t="s">
        <v>658</v>
      </c>
      <c r="C914" t="s">
        <v>284</v>
      </c>
      <c r="D914" t="s">
        <v>619</v>
      </c>
      <c r="E914">
        <v>0</v>
      </c>
      <c r="F914" t="s">
        <v>620</v>
      </c>
      <c r="H914" t="s">
        <v>621</v>
      </c>
      <c r="I914">
        <v>0</v>
      </c>
    </row>
    <row r="915" spans="1:9">
      <c r="A915">
        <v>4</v>
      </c>
      <c r="B915" t="s">
        <v>658</v>
      </c>
      <c r="C915" t="s">
        <v>284</v>
      </c>
      <c r="D915" t="s">
        <v>622</v>
      </c>
      <c r="E915" t="s">
        <v>151</v>
      </c>
      <c r="F915" t="s">
        <v>623</v>
      </c>
      <c r="G915">
        <v>0</v>
      </c>
      <c r="H915" t="s">
        <v>624</v>
      </c>
      <c r="I915">
        <v>57.471816171699686</v>
      </c>
    </row>
    <row r="916" spans="1:9">
      <c r="A916">
        <v>2</v>
      </c>
      <c r="B916" t="s">
        <v>658</v>
      </c>
      <c r="C916" t="s">
        <v>326</v>
      </c>
      <c r="D916" t="s">
        <v>618</v>
      </c>
      <c r="E916">
        <v>4.9180327868852465E-2</v>
      </c>
    </row>
    <row r="917" spans="1:9">
      <c r="A917">
        <v>3</v>
      </c>
      <c r="B917" t="s">
        <v>658</v>
      </c>
      <c r="C917" t="s">
        <v>326</v>
      </c>
      <c r="D917" t="s">
        <v>619</v>
      </c>
      <c r="E917">
        <v>0</v>
      </c>
      <c r="F917" t="s">
        <v>620</v>
      </c>
      <c r="H917" t="s">
        <v>621</v>
      </c>
      <c r="I917">
        <v>0</v>
      </c>
    </row>
    <row r="918" spans="1:9">
      <c r="A918">
        <v>4</v>
      </c>
      <c r="B918" t="s">
        <v>658</v>
      </c>
      <c r="C918" t="s">
        <v>326</v>
      </c>
      <c r="D918" t="s">
        <v>622</v>
      </c>
      <c r="E918" t="s">
        <v>219</v>
      </c>
      <c r="F918" t="s">
        <v>623</v>
      </c>
      <c r="G918">
        <v>0</v>
      </c>
      <c r="H918" t="s">
        <v>624</v>
      </c>
      <c r="I918">
        <v>0.5524861878453039</v>
      </c>
    </row>
    <row r="919" spans="1:9">
      <c r="A919">
        <v>2</v>
      </c>
      <c r="B919" t="s">
        <v>658</v>
      </c>
      <c r="C919" t="s">
        <v>344</v>
      </c>
      <c r="D919" t="s">
        <v>618</v>
      </c>
      <c r="E919">
        <v>4.9180327868852465E-2</v>
      </c>
    </row>
    <row r="920" spans="1:9">
      <c r="A920">
        <v>2</v>
      </c>
      <c r="B920" t="s">
        <v>658</v>
      </c>
      <c r="C920" t="s">
        <v>390</v>
      </c>
      <c r="D920" t="s">
        <v>618</v>
      </c>
      <c r="E920">
        <v>4.9180327868852465E-2</v>
      </c>
    </row>
    <row r="921" spans="1:9">
      <c r="A921">
        <v>3</v>
      </c>
      <c r="B921" t="s">
        <v>658</v>
      </c>
      <c r="C921" t="s">
        <v>390</v>
      </c>
      <c r="D921" t="s">
        <v>619</v>
      </c>
      <c r="E921">
        <v>0</v>
      </c>
      <c r="F921" t="s">
        <v>620</v>
      </c>
      <c r="H921" t="s">
        <v>621</v>
      </c>
      <c r="I921">
        <v>0</v>
      </c>
    </row>
    <row r="922" spans="1:9">
      <c r="A922">
        <v>4</v>
      </c>
      <c r="B922" t="s">
        <v>658</v>
      </c>
      <c r="C922" t="s">
        <v>390</v>
      </c>
      <c r="D922" t="s">
        <v>622</v>
      </c>
      <c r="E922" t="s">
        <v>203</v>
      </c>
      <c r="F922" t="s">
        <v>623</v>
      </c>
      <c r="G922">
        <v>0</v>
      </c>
      <c r="H922" t="s">
        <v>624</v>
      </c>
      <c r="I922">
        <v>0</v>
      </c>
    </row>
    <row r="923" spans="1:9">
      <c r="A923">
        <v>2</v>
      </c>
      <c r="B923" t="s">
        <v>658</v>
      </c>
      <c r="C923" t="s">
        <v>316</v>
      </c>
      <c r="D923" t="s">
        <v>618</v>
      </c>
      <c r="E923">
        <v>4.9180327868852465E-2</v>
      </c>
    </row>
    <row r="924" spans="1:9">
      <c r="A924">
        <v>3</v>
      </c>
      <c r="B924" t="s">
        <v>658</v>
      </c>
      <c r="C924" t="s">
        <v>316</v>
      </c>
      <c r="D924" t="s">
        <v>619</v>
      </c>
      <c r="E924">
        <v>0</v>
      </c>
      <c r="F924" t="s">
        <v>620</v>
      </c>
      <c r="H924" t="s">
        <v>621</v>
      </c>
      <c r="I924">
        <v>0</v>
      </c>
    </row>
    <row r="925" spans="1:9">
      <c r="A925">
        <v>4</v>
      </c>
      <c r="B925" t="s">
        <v>658</v>
      </c>
      <c r="C925" t="s">
        <v>316</v>
      </c>
      <c r="D925" t="s">
        <v>622</v>
      </c>
      <c r="E925" t="s">
        <v>261</v>
      </c>
      <c r="F925" t="s">
        <v>623</v>
      </c>
      <c r="G925">
        <v>0</v>
      </c>
      <c r="H925" t="s">
        <v>624</v>
      </c>
      <c r="I925">
        <v>2.9005524861878449</v>
      </c>
    </row>
    <row r="926" spans="1:9">
      <c r="A926">
        <v>2</v>
      </c>
      <c r="B926" t="s">
        <v>658</v>
      </c>
      <c r="C926" t="s">
        <v>330</v>
      </c>
      <c r="D926" t="s">
        <v>618</v>
      </c>
      <c r="E926">
        <v>1.6393442622950821E-2</v>
      </c>
    </row>
    <row r="927" spans="1:9">
      <c r="A927">
        <v>2</v>
      </c>
      <c r="B927" t="s">
        <v>658</v>
      </c>
      <c r="C927" t="s">
        <v>633</v>
      </c>
      <c r="D927" t="s">
        <v>618</v>
      </c>
      <c r="E927">
        <v>9.836065573770493E-2</v>
      </c>
    </row>
    <row r="928" spans="1:9">
      <c r="A928">
        <v>1</v>
      </c>
      <c r="B928" t="s">
        <v>632</v>
      </c>
      <c r="D928" t="s">
        <v>616</v>
      </c>
      <c r="E928">
        <v>1</v>
      </c>
      <c r="F928" t="s">
        <v>617</v>
      </c>
      <c r="G928">
        <v>25</v>
      </c>
    </row>
    <row r="929" spans="1:9">
      <c r="A929">
        <v>2</v>
      </c>
      <c r="B929" t="s">
        <v>632</v>
      </c>
      <c r="C929" t="s">
        <v>377</v>
      </c>
      <c r="D929" t="s">
        <v>618</v>
      </c>
      <c r="E929">
        <v>0.95</v>
      </c>
    </row>
    <row r="930" spans="1:9">
      <c r="A930">
        <v>3</v>
      </c>
      <c r="B930" t="s">
        <v>632</v>
      </c>
      <c r="C930" t="s">
        <v>377</v>
      </c>
      <c r="D930" t="s">
        <v>619</v>
      </c>
      <c r="E930">
        <v>25</v>
      </c>
      <c r="F930" t="s">
        <v>620</v>
      </c>
      <c r="H930" t="s">
        <v>621</v>
      </c>
      <c r="I930">
        <v>23.75</v>
      </c>
    </row>
    <row r="931" spans="1:9">
      <c r="A931">
        <v>2</v>
      </c>
      <c r="B931" t="s">
        <v>632</v>
      </c>
      <c r="C931" t="s">
        <v>378</v>
      </c>
      <c r="D931" t="s">
        <v>618</v>
      </c>
      <c r="E931">
        <v>3.5714285714285713E-3</v>
      </c>
    </row>
    <row r="932" spans="1:9">
      <c r="A932">
        <v>2</v>
      </c>
      <c r="B932" t="s">
        <v>632</v>
      </c>
      <c r="C932" t="s">
        <v>379</v>
      </c>
      <c r="D932" t="s">
        <v>618</v>
      </c>
      <c r="E932">
        <v>3.5714285714285713E-3</v>
      </c>
    </row>
    <row r="933" spans="1:9">
      <c r="A933">
        <v>2</v>
      </c>
      <c r="B933" t="s">
        <v>632</v>
      </c>
      <c r="C933" t="s">
        <v>392</v>
      </c>
      <c r="D933" t="s">
        <v>618</v>
      </c>
      <c r="E933">
        <v>3.5714285714285713E-3</v>
      </c>
    </row>
    <row r="934" spans="1:9">
      <c r="A934">
        <v>2</v>
      </c>
      <c r="B934" t="s">
        <v>632</v>
      </c>
      <c r="C934" t="s">
        <v>393</v>
      </c>
      <c r="D934" t="s">
        <v>618</v>
      </c>
      <c r="E934">
        <v>3.5714285714285713E-3</v>
      </c>
    </row>
    <row r="935" spans="1:9">
      <c r="A935">
        <v>2</v>
      </c>
      <c r="B935" t="s">
        <v>632</v>
      </c>
      <c r="C935" t="s">
        <v>394</v>
      </c>
      <c r="D935" t="s">
        <v>618</v>
      </c>
      <c r="E935">
        <v>3.5714285714285713E-3</v>
      </c>
    </row>
    <row r="936" spans="1:9">
      <c r="A936">
        <v>2</v>
      </c>
      <c r="B936" t="s">
        <v>632</v>
      </c>
      <c r="C936" t="s">
        <v>395</v>
      </c>
      <c r="D936" t="s">
        <v>618</v>
      </c>
      <c r="E936">
        <v>3.5714285714285713E-3</v>
      </c>
    </row>
    <row r="937" spans="1:9">
      <c r="A937">
        <v>2</v>
      </c>
      <c r="B937" t="s">
        <v>632</v>
      </c>
      <c r="C937" t="s">
        <v>396</v>
      </c>
      <c r="D937" t="s">
        <v>618</v>
      </c>
      <c r="E937">
        <v>3.5714285714285713E-3</v>
      </c>
    </row>
    <row r="938" spans="1:9">
      <c r="A938">
        <v>2</v>
      </c>
      <c r="B938" t="s">
        <v>632</v>
      </c>
      <c r="C938" t="s">
        <v>397</v>
      </c>
      <c r="D938" t="s">
        <v>618</v>
      </c>
      <c r="E938">
        <v>3.5714285714285713E-3</v>
      </c>
    </row>
    <row r="939" spans="1:9">
      <c r="A939">
        <v>2</v>
      </c>
      <c r="B939" t="s">
        <v>632</v>
      </c>
      <c r="C939" t="s">
        <v>398</v>
      </c>
      <c r="D939" t="s">
        <v>618</v>
      </c>
      <c r="E939">
        <v>3.5714285714285713E-3</v>
      </c>
    </row>
    <row r="940" spans="1:9">
      <c r="A940">
        <v>2</v>
      </c>
      <c r="B940" t="s">
        <v>632</v>
      </c>
      <c r="C940" t="s">
        <v>399</v>
      </c>
      <c r="D940" t="s">
        <v>618</v>
      </c>
      <c r="E940">
        <v>3.5714285714285713E-3</v>
      </c>
    </row>
    <row r="941" spans="1:9">
      <c r="A941">
        <v>2</v>
      </c>
      <c r="B941" t="s">
        <v>632</v>
      </c>
      <c r="C941" t="s">
        <v>380</v>
      </c>
      <c r="D941" t="s">
        <v>618</v>
      </c>
      <c r="E941">
        <v>3.5714285714285713E-3</v>
      </c>
    </row>
    <row r="942" spans="1:9">
      <c r="A942">
        <v>2</v>
      </c>
      <c r="B942" t="s">
        <v>632</v>
      </c>
      <c r="C942" t="s">
        <v>400</v>
      </c>
      <c r="D942" t="s">
        <v>618</v>
      </c>
      <c r="E942">
        <v>3.5714285714285713E-3</v>
      </c>
    </row>
    <row r="943" spans="1:9">
      <c r="A943">
        <v>2</v>
      </c>
      <c r="B943" t="s">
        <v>632</v>
      </c>
      <c r="C943" t="s">
        <v>401</v>
      </c>
      <c r="D943" t="s">
        <v>618</v>
      </c>
      <c r="E943">
        <v>3.5714285714285713E-3</v>
      </c>
    </row>
    <row r="944" spans="1:9">
      <c r="A944">
        <v>2</v>
      </c>
      <c r="B944" t="s">
        <v>632</v>
      </c>
      <c r="C944" t="s">
        <v>402</v>
      </c>
      <c r="D944" t="s">
        <v>618</v>
      </c>
      <c r="E944">
        <v>3.5714285714285713E-3</v>
      </c>
    </row>
    <row r="946" spans="1:9">
      <c r="A946">
        <v>2</v>
      </c>
      <c r="B946" t="s">
        <v>659</v>
      </c>
      <c r="C946" t="s">
        <v>309</v>
      </c>
      <c r="D946" t="s">
        <v>618</v>
      </c>
      <c r="E946">
        <v>5.0505050505050504E-2</v>
      </c>
    </row>
    <row r="947" spans="1:9">
      <c r="A947">
        <v>3</v>
      </c>
      <c r="B947" t="s">
        <v>659</v>
      </c>
      <c r="C947" t="s">
        <v>309</v>
      </c>
      <c r="D947" t="s">
        <v>619</v>
      </c>
      <c r="E947">
        <v>0</v>
      </c>
      <c r="F947" t="s">
        <v>620</v>
      </c>
      <c r="H947" t="s">
        <v>621</v>
      </c>
      <c r="I947">
        <v>0</v>
      </c>
    </row>
    <row r="948" spans="1:9">
      <c r="A948">
        <v>4</v>
      </c>
      <c r="B948" t="s">
        <v>659</v>
      </c>
      <c r="C948" t="s">
        <v>309</v>
      </c>
      <c r="D948" t="s">
        <v>622</v>
      </c>
      <c r="E948" t="s">
        <v>221</v>
      </c>
      <c r="F948" t="s">
        <v>623</v>
      </c>
      <c r="G948">
        <v>0</v>
      </c>
      <c r="H948" t="s">
        <v>624</v>
      </c>
      <c r="I948">
        <v>11.899571600713326</v>
      </c>
    </row>
    <row r="949" spans="1:9">
      <c r="A949">
        <v>2</v>
      </c>
      <c r="B949" t="s">
        <v>659</v>
      </c>
      <c r="C949" t="s">
        <v>299</v>
      </c>
      <c r="D949" t="s">
        <v>618</v>
      </c>
      <c r="E949">
        <v>0.25252525252525254</v>
      </c>
    </row>
    <row r="950" spans="1:9">
      <c r="A950">
        <v>3</v>
      </c>
      <c r="B950" t="s">
        <v>659</v>
      </c>
      <c r="C950" t="s">
        <v>299</v>
      </c>
      <c r="D950" t="s">
        <v>619</v>
      </c>
      <c r="E950">
        <v>0</v>
      </c>
      <c r="F950" t="s">
        <v>620</v>
      </c>
      <c r="H950" t="s">
        <v>621</v>
      </c>
      <c r="I950">
        <v>0</v>
      </c>
    </row>
    <row r="951" spans="1:9">
      <c r="A951">
        <v>4</v>
      </c>
      <c r="B951" t="s">
        <v>659</v>
      </c>
      <c r="C951" t="s">
        <v>299</v>
      </c>
      <c r="D951" t="s">
        <v>622</v>
      </c>
      <c r="E951" t="s">
        <v>168</v>
      </c>
      <c r="F951" t="s">
        <v>623</v>
      </c>
      <c r="G951">
        <v>0</v>
      </c>
      <c r="H951" t="s">
        <v>624</v>
      </c>
      <c r="I951">
        <v>23.796837550861156</v>
      </c>
    </row>
    <row r="952" spans="1:9">
      <c r="A952">
        <v>2</v>
      </c>
      <c r="B952" t="s">
        <v>659</v>
      </c>
      <c r="C952" t="s">
        <v>405</v>
      </c>
      <c r="D952" t="s">
        <v>618</v>
      </c>
      <c r="E952">
        <v>0.30303030303030304</v>
      </c>
    </row>
    <row r="953" spans="1:9">
      <c r="A953">
        <v>3</v>
      </c>
      <c r="B953" t="s">
        <v>659</v>
      </c>
      <c r="C953" t="s">
        <v>405</v>
      </c>
      <c r="D953" t="s">
        <v>619</v>
      </c>
      <c r="E953">
        <v>0</v>
      </c>
      <c r="F953" t="s">
        <v>620</v>
      </c>
      <c r="H953" t="s">
        <v>621</v>
      </c>
      <c r="I953">
        <v>0</v>
      </c>
    </row>
    <row r="954" spans="1:9">
      <c r="A954">
        <v>4</v>
      </c>
      <c r="B954" t="s">
        <v>659</v>
      </c>
      <c r="C954" t="s">
        <v>405</v>
      </c>
      <c r="D954" t="s">
        <v>622</v>
      </c>
      <c r="E954" t="s">
        <v>132</v>
      </c>
      <c r="F954" t="s">
        <v>623</v>
      </c>
      <c r="G954">
        <v>0</v>
      </c>
      <c r="H954" t="s">
        <v>624</v>
      </c>
      <c r="I954">
        <v>0</v>
      </c>
    </row>
    <row r="955" spans="1:9">
      <c r="A955">
        <v>2</v>
      </c>
      <c r="B955" t="s">
        <v>659</v>
      </c>
      <c r="C955" t="s">
        <v>406</v>
      </c>
      <c r="D955" t="s">
        <v>618</v>
      </c>
      <c r="E955">
        <v>0.10101010101010101</v>
      </c>
    </row>
    <row r="956" spans="1:9">
      <c r="A956">
        <v>3</v>
      </c>
      <c r="B956" t="s">
        <v>659</v>
      </c>
      <c r="C956" t="s">
        <v>406</v>
      </c>
      <c r="D956" t="s">
        <v>619</v>
      </c>
      <c r="E956">
        <v>0</v>
      </c>
      <c r="F956" t="s">
        <v>620</v>
      </c>
      <c r="H956" t="s">
        <v>621</v>
      </c>
      <c r="I956">
        <v>0</v>
      </c>
    </row>
    <row r="957" spans="1:9">
      <c r="A957">
        <v>2</v>
      </c>
      <c r="B957" t="s">
        <v>659</v>
      </c>
      <c r="C957" t="s">
        <v>319</v>
      </c>
      <c r="D957" t="s">
        <v>618</v>
      </c>
      <c r="E957">
        <v>7.0707070707070704E-2</v>
      </c>
    </row>
    <row r="958" spans="1:9">
      <c r="A958">
        <v>3</v>
      </c>
      <c r="B958" t="s">
        <v>659</v>
      </c>
      <c r="C958" t="s">
        <v>319</v>
      </c>
      <c r="D958" t="s">
        <v>619</v>
      </c>
      <c r="E958">
        <v>0</v>
      </c>
      <c r="F958" t="s">
        <v>620</v>
      </c>
      <c r="H958" t="s">
        <v>621</v>
      </c>
      <c r="I958">
        <v>0</v>
      </c>
    </row>
    <row r="959" spans="1:9">
      <c r="A959">
        <v>4</v>
      </c>
      <c r="B959" t="s">
        <v>659</v>
      </c>
      <c r="C959" t="s">
        <v>319</v>
      </c>
      <c r="D959" t="s">
        <v>622</v>
      </c>
      <c r="E959" t="s">
        <v>218</v>
      </c>
      <c r="F959" t="s">
        <v>623</v>
      </c>
      <c r="G959">
        <v>0</v>
      </c>
      <c r="H959" t="s">
        <v>624</v>
      </c>
      <c r="I959">
        <v>20.738951036126902</v>
      </c>
    </row>
    <row r="960" spans="1:9">
      <c r="A960">
        <v>2</v>
      </c>
      <c r="B960" t="s">
        <v>659</v>
      </c>
      <c r="C960" t="s">
        <v>303</v>
      </c>
      <c r="D960" t="s">
        <v>618</v>
      </c>
      <c r="E960">
        <v>5.0505050505050504E-2</v>
      </c>
    </row>
    <row r="961" spans="1:9">
      <c r="A961">
        <v>3</v>
      </c>
      <c r="B961" t="s">
        <v>659</v>
      </c>
      <c r="C961" t="s">
        <v>303</v>
      </c>
      <c r="D961" t="s">
        <v>619</v>
      </c>
      <c r="E961">
        <v>0</v>
      </c>
      <c r="F961" t="s">
        <v>620</v>
      </c>
      <c r="H961" t="s">
        <v>621</v>
      </c>
      <c r="I961">
        <v>0</v>
      </c>
    </row>
    <row r="962" spans="1:9">
      <c r="A962">
        <v>4</v>
      </c>
      <c r="B962" t="s">
        <v>659</v>
      </c>
      <c r="C962" t="s">
        <v>303</v>
      </c>
      <c r="D962" t="s">
        <v>622</v>
      </c>
      <c r="E962" t="s">
        <v>252</v>
      </c>
      <c r="F962" t="s">
        <v>623</v>
      </c>
      <c r="G962">
        <v>0</v>
      </c>
      <c r="H962" t="s">
        <v>624</v>
      </c>
      <c r="I962">
        <v>73.504279906409025</v>
      </c>
    </row>
    <row r="963" spans="1:9">
      <c r="A963">
        <v>2</v>
      </c>
      <c r="B963" t="s">
        <v>659</v>
      </c>
      <c r="C963" t="s">
        <v>287</v>
      </c>
      <c r="D963" t="s">
        <v>618</v>
      </c>
      <c r="E963">
        <v>3.0303030303030304E-2</v>
      </c>
    </row>
    <row r="964" spans="1:9">
      <c r="A964">
        <v>3</v>
      </c>
      <c r="B964" t="s">
        <v>659</v>
      </c>
      <c r="C964" t="s">
        <v>287</v>
      </c>
      <c r="D964" t="s">
        <v>619</v>
      </c>
      <c r="E964">
        <v>0</v>
      </c>
      <c r="F964" t="s">
        <v>620</v>
      </c>
      <c r="H964" t="s">
        <v>621</v>
      </c>
      <c r="I964">
        <v>0</v>
      </c>
    </row>
    <row r="965" spans="1:9">
      <c r="A965">
        <v>4</v>
      </c>
      <c r="B965" t="s">
        <v>659</v>
      </c>
      <c r="C965" t="s">
        <v>287</v>
      </c>
      <c r="D965" t="s">
        <v>622</v>
      </c>
      <c r="E965" t="s">
        <v>242</v>
      </c>
      <c r="F965" t="s">
        <v>623</v>
      </c>
      <c r="G965">
        <v>0</v>
      </c>
      <c r="H965" t="s">
        <v>624</v>
      </c>
      <c r="I965">
        <v>0.48952469204615129</v>
      </c>
    </row>
    <row r="966" spans="1:9">
      <c r="A966">
        <v>2</v>
      </c>
      <c r="B966" t="s">
        <v>659</v>
      </c>
      <c r="C966" t="s">
        <v>325</v>
      </c>
      <c r="D966" t="s">
        <v>618</v>
      </c>
      <c r="E966">
        <v>4.0404040404040407E-2</v>
      </c>
    </row>
    <row r="967" spans="1:9">
      <c r="A967">
        <v>3</v>
      </c>
      <c r="B967" t="s">
        <v>659</v>
      </c>
      <c r="C967" t="s">
        <v>325</v>
      </c>
      <c r="D967" t="s">
        <v>619</v>
      </c>
      <c r="E967">
        <v>0</v>
      </c>
      <c r="F967" t="s">
        <v>620</v>
      </c>
      <c r="H967" t="s">
        <v>621</v>
      </c>
      <c r="I967">
        <v>0</v>
      </c>
    </row>
    <row r="968" spans="1:9">
      <c r="A968">
        <v>4</v>
      </c>
      <c r="B968" t="s">
        <v>659</v>
      </c>
      <c r="C968" t="s">
        <v>325</v>
      </c>
      <c r="D968" t="s">
        <v>622</v>
      </c>
      <c r="E968" t="s">
        <v>226</v>
      </c>
      <c r="F968" t="s">
        <v>623</v>
      </c>
      <c r="G968">
        <v>0</v>
      </c>
      <c r="H968" t="s">
        <v>624</v>
      </c>
      <c r="I968">
        <v>0</v>
      </c>
    </row>
    <row r="969" spans="1:9">
      <c r="A969">
        <v>2</v>
      </c>
      <c r="B969" t="s">
        <v>659</v>
      </c>
      <c r="C969" t="s">
        <v>633</v>
      </c>
      <c r="D969" t="s">
        <v>618</v>
      </c>
      <c r="E969">
        <v>0.10101010101010101</v>
      </c>
    </row>
    <row r="970" spans="1:9">
      <c r="A970">
        <v>1</v>
      </c>
      <c r="B970" t="s">
        <v>642</v>
      </c>
      <c r="D970" t="s">
        <v>616</v>
      </c>
      <c r="E970">
        <v>1</v>
      </c>
      <c r="F970" t="s">
        <v>617</v>
      </c>
      <c r="G970">
        <v>12.5</v>
      </c>
    </row>
    <row r="971" spans="1:9">
      <c r="A971">
        <v>2</v>
      </c>
      <c r="B971" t="s">
        <v>642</v>
      </c>
      <c r="C971" t="s">
        <v>339</v>
      </c>
      <c r="D971" t="s">
        <v>618</v>
      </c>
      <c r="E971">
        <v>4.4776119402985072E-2</v>
      </c>
    </row>
    <row r="972" spans="1:9">
      <c r="A972">
        <v>3</v>
      </c>
      <c r="B972" t="s">
        <v>642</v>
      </c>
      <c r="C972" t="s">
        <v>339</v>
      </c>
      <c r="D972" t="s">
        <v>619</v>
      </c>
      <c r="E972">
        <v>12.5</v>
      </c>
      <c r="F972" t="s">
        <v>620</v>
      </c>
      <c r="H972" t="s">
        <v>621</v>
      </c>
      <c r="I972">
        <v>0.55970149253731338</v>
      </c>
    </row>
    <row r="973" spans="1:9">
      <c r="A973">
        <v>4</v>
      </c>
      <c r="B973" t="s">
        <v>642</v>
      </c>
      <c r="C973" t="s">
        <v>339</v>
      </c>
      <c r="D973" t="s">
        <v>622</v>
      </c>
      <c r="E973" t="s">
        <v>119</v>
      </c>
      <c r="F973" t="s">
        <v>623</v>
      </c>
      <c r="G973">
        <v>0.55970149253731338</v>
      </c>
      <c r="H973" t="s">
        <v>624</v>
      </c>
      <c r="I973">
        <v>3.5122047017799325</v>
      </c>
    </row>
    <row r="974" spans="1:9">
      <c r="A974">
        <v>2</v>
      </c>
      <c r="B974" t="s">
        <v>642</v>
      </c>
      <c r="C974" t="s">
        <v>325</v>
      </c>
      <c r="D974" t="s">
        <v>618</v>
      </c>
      <c r="E974">
        <v>0.74626865671641796</v>
      </c>
    </row>
    <row r="975" spans="1:9">
      <c r="A975">
        <v>3</v>
      </c>
      <c r="B975" t="s">
        <v>642</v>
      </c>
      <c r="C975" t="s">
        <v>325</v>
      </c>
      <c r="D975" t="s">
        <v>619</v>
      </c>
      <c r="E975">
        <v>12.5</v>
      </c>
      <c r="F975" t="s">
        <v>620</v>
      </c>
      <c r="H975" t="s">
        <v>621</v>
      </c>
      <c r="I975">
        <v>9.3283582089552244</v>
      </c>
    </row>
    <row r="976" spans="1:9">
      <c r="A976">
        <v>4</v>
      </c>
      <c r="B976" t="s">
        <v>642</v>
      </c>
      <c r="C976" t="s">
        <v>325</v>
      </c>
      <c r="D976" t="s">
        <v>622</v>
      </c>
      <c r="E976" t="s">
        <v>226</v>
      </c>
      <c r="F976" t="s">
        <v>623</v>
      </c>
      <c r="G976">
        <v>9.3283582089552244</v>
      </c>
      <c r="H976" t="s">
        <v>624</v>
      </c>
      <c r="I976">
        <v>9.3283582089552244</v>
      </c>
    </row>
    <row r="977" spans="1:9">
      <c r="A977">
        <v>2</v>
      </c>
      <c r="B977" t="s">
        <v>642</v>
      </c>
      <c r="C977" t="s">
        <v>303</v>
      </c>
      <c r="D977" t="s">
        <v>618</v>
      </c>
      <c r="E977">
        <v>7.4626865671641784E-2</v>
      </c>
    </row>
    <row r="978" spans="1:9">
      <c r="A978">
        <v>3</v>
      </c>
      <c r="B978" t="s">
        <v>642</v>
      </c>
      <c r="C978" t="s">
        <v>303</v>
      </c>
      <c r="D978" t="s">
        <v>619</v>
      </c>
      <c r="E978">
        <v>12.5</v>
      </c>
      <c r="F978" t="s">
        <v>620</v>
      </c>
      <c r="H978" t="s">
        <v>621</v>
      </c>
      <c r="I978">
        <v>0.93283582089552231</v>
      </c>
    </row>
    <row r="979" spans="1:9">
      <c r="A979">
        <v>4</v>
      </c>
      <c r="B979" t="s">
        <v>642</v>
      </c>
      <c r="C979" t="s">
        <v>303</v>
      </c>
      <c r="D979" t="s">
        <v>622</v>
      </c>
      <c r="E979" t="s">
        <v>252</v>
      </c>
      <c r="F979" t="s">
        <v>623</v>
      </c>
      <c r="G979">
        <v>0.93283582089552231</v>
      </c>
      <c r="H979" t="s">
        <v>624</v>
      </c>
      <c r="I979">
        <v>74.437115727304544</v>
      </c>
    </row>
    <row r="980" spans="1:9">
      <c r="A980">
        <v>2</v>
      </c>
      <c r="B980" t="s">
        <v>642</v>
      </c>
      <c r="C980" t="s">
        <v>358</v>
      </c>
      <c r="D980" t="s">
        <v>618</v>
      </c>
      <c r="E980">
        <v>4.4776119402985072E-2</v>
      </c>
    </row>
    <row r="981" spans="1:9">
      <c r="A981">
        <v>3</v>
      </c>
      <c r="B981" t="s">
        <v>642</v>
      </c>
      <c r="C981" t="s">
        <v>358</v>
      </c>
      <c r="D981" t="s">
        <v>619</v>
      </c>
      <c r="E981">
        <v>12.5</v>
      </c>
      <c r="F981" t="s">
        <v>620</v>
      </c>
      <c r="H981" t="s">
        <v>621</v>
      </c>
      <c r="I981">
        <v>0.55970149253731338</v>
      </c>
    </row>
    <row r="982" spans="1:9">
      <c r="A982">
        <v>4</v>
      </c>
      <c r="B982" t="s">
        <v>642</v>
      </c>
      <c r="C982" t="s">
        <v>358</v>
      </c>
      <c r="D982" t="s">
        <v>622</v>
      </c>
      <c r="E982" t="s">
        <v>263</v>
      </c>
      <c r="F982" t="s">
        <v>623</v>
      </c>
      <c r="G982">
        <v>0.55970149253731338</v>
      </c>
      <c r="H982" t="s">
        <v>624</v>
      </c>
      <c r="I982">
        <v>95.366671492061855</v>
      </c>
    </row>
    <row r="983" spans="1:9">
      <c r="A983">
        <v>2</v>
      </c>
      <c r="B983" t="s">
        <v>642</v>
      </c>
      <c r="C983" t="s">
        <v>357</v>
      </c>
      <c r="D983" t="s">
        <v>618</v>
      </c>
      <c r="E983">
        <v>8.9552238805970144E-2</v>
      </c>
    </row>
    <row r="984" spans="1:9">
      <c r="A984">
        <v>3</v>
      </c>
      <c r="B984" t="s">
        <v>642</v>
      </c>
      <c r="C984" t="s">
        <v>357</v>
      </c>
      <c r="D984" t="s">
        <v>619</v>
      </c>
      <c r="E984">
        <v>12.5</v>
      </c>
      <c r="F984" t="s">
        <v>620</v>
      </c>
      <c r="H984" t="s">
        <v>621</v>
      </c>
      <c r="I984">
        <v>1.1194029850746268</v>
      </c>
    </row>
    <row r="985" spans="1:9">
      <c r="A985">
        <v>4</v>
      </c>
      <c r="B985" t="s">
        <v>642</v>
      </c>
      <c r="C985" t="s">
        <v>357</v>
      </c>
      <c r="D985" t="s">
        <v>622</v>
      </c>
      <c r="E985" t="s">
        <v>218</v>
      </c>
      <c r="F985" t="s">
        <v>623</v>
      </c>
      <c r="G985">
        <v>1.1194029850746268</v>
      </c>
      <c r="H985" t="s">
        <v>624</v>
      </c>
      <c r="I985">
        <v>21.858354021201528</v>
      </c>
    </row>
    <row r="986" spans="1:9">
      <c r="A986">
        <v>1</v>
      </c>
      <c r="B986" t="s">
        <v>643</v>
      </c>
      <c r="D986" t="s">
        <v>616</v>
      </c>
      <c r="E986">
        <v>1</v>
      </c>
      <c r="F986" t="s">
        <v>617</v>
      </c>
      <c r="G986">
        <v>25</v>
      </c>
    </row>
    <row r="987" spans="1:9">
      <c r="A987">
        <v>2</v>
      </c>
      <c r="B987" t="s">
        <v>643</v>
      </c>
      <c r="C987" t="s">
        <v>407</v>
      </c>
      <c r="D987" t="s">
        <v>618</v>
      </c>
      <c r="E987">
        <v>0.70921985815602839</v>
      </c>
    </row>
    <row r="988" spans="1:9">
      <c r="A988">
        <v>3</v>
      </c>
      <c r="B988" t="s">
        <v>643</v>
      </c>
      <c r="C988" t="s">
        <v>407</v>
      </c>
      <c r="D988" t="s">
        <v>619</v>
      </c>
      <c r="E988">
        <v>25</v>
      </c>
      <c r="F988" t="s">
        <v>620</v>
      </c>
      <c r="H988" t="s">
        <v>621</v>
      </c>
      <c r="I988">
        <v>17.730496453900709</v>
      </c>
    </row>
    <row r="989" spans="1:9">
      <c r="A989">
        <v>4</v>
      </c>
      <c r="B989" t="s">
        <v>643</v>
      </c>
      <c r="C989" t="s">
        <v>407</v>
      </c>
      <c r="D989" t="s">
        <v>622</v>
      </c>
      <c r="E989" t="s">
        <v>231</v>
      </c>
      <c r="F989" t="s">
        <v>623</v>
      </c>
      <c r="G989">
        <v>17.730496453900709</v>
      </c>
      <c r="H989" t="s">
        <v>624</v>
      </c>
      <c r="I989">
        <v>17.730496453900709</v>
      </c>
    </row>
    <row r="990" spans="1:9">
      <c r="A990">
        <v>2</v>
      </c>
      <c r="B990" t="s">
        <v>643</v>
      </c>
      <c r="C990" t="s">
        <v>303</v>
      </c>
      <c r="D990" t="s">
        <v>618</v>
      </c>
      <c r="E990">
        <v>7.0921985815602842E-2</v>
      </c>
    </row>
    <row r="991" spans="1:9">
      <c r="A991">
        <v>3</v>
      </c>
      <c r="B991" t="s">
        <v>643</v>
      </c>
      <c r="C991" t="s">
        <v>303</v>
      </c>
      <c r="D991" t="s">
        <v>619</v>
      </c>
      <c r="E991">
        <v>25</v>
      </c>
      <c r="F991" t="s">
        <v>620</v>
      </c>
      <c r="H991" t="s">
        <v>621</v>
      </c>
      <c r="I991">
        <v>1.773049645390071</v>
      </c>
    </row>
    <row r="992" spans="1:9">
      <c r="A992">
        <v>4</v>
      </c>
      <c r="B992" t="s">
        <v>643</v>
      </c>
      <c r="C992" t="s">
        <v>303</v>
      </c>
      <c r="D992" t="s">
        <v>622</v>
      </c>
      <c r="E992" t="s">
        <v>252</v>
      </c>
      <c r="F992" t="s">
        <v>623</v>
      </c>
      <c r="G992">
        <v>1.773049645390071</v>
      </c>
      <c r="H992" t="s">
        <v>624</v>
      </c>
      <c r="I992">
        <v>76.210165372694618</v>
      </c>
    </row>
    <row r="993" spans="1:9">
      <c r="A993">
        <v>2</v>
      </c>
      <c r="B993" t="s">
        <v>643</v>
      </c>
      <c r="C993" t="s">
        <v>358</v>
      </c>
      <c r="D993" t="s">
        <v>618</v>
      </c>
      <c r="E993">
        <v>4.2553191489361701E-2</v>
      </c>
    </row>
    <row r="994" spans="1:9">
      <c r="A994">
        <v>3</v>
      </c>
      <c r="B994" t="s">
        <v>643</v>
      </c>
      <c r="C994" t="s">
        <v>358</v>
      </c>
      <c r="D994" t="s">
        <v>619</v>
      </c>
      <c r="E994">
        <v>25</v>
      </c>
      <c r="F994" t="s">
        <v>620</v>
      </c>
      <c r="H994" t="s">
        <v>621</v>
      </c>
      <c r="I994">
        <v>1.0638297872340425</v>
      </c>
    </row>
    <row r="995" spans="1:9">
      <c r="A995">
        <v>4</v>
      </c>
      <c r="B995" t="s">
        <v>643</v>
      </c>
      <c r="C995" t="s">
        <v>358</v>
      </c>
      <c r="D995" t="s">
        <v>622</v>
      </c>
      <c r="E995" t="s">
        <v>263</v>
      </c>
      <c r="F995" t="s">
        <v>623</v>
      </c>
      <c r="G995">
        <v>1.0638297872340425</v>
      </c>
      <c r="H995" t="s">
        <v>624</v>
      </c>
      <c r="I995">
        <v>96.430501279295896</v>
      </c>
    </row>
    <row r="996" spans="1:9">
      <c r="A996">
        <v>2</v>
      </c>
      <c r="B996" t="s">
        <v>643</v>
      </c>
      <c r="C996" t="s">
        <v>381</v>
      </c>
      <c r="D996" t="s">
        <v>618</v>
      </c>
      <c r="E996">
        <v>9.2198581560283682E-2</v>
      </c>
    </row>
    <row r="997" spans="1:9">
      <c r="A997">
        <v>3</v>
      </c>
      <c r="B997" t="s">
        <v>643</v>
      </c>
      <c r="C997" t="s">
        <v>381</v>
      </c>
      <c r="D997" t="s">
        <v>619</v>
      </c>
      <c r="E997">
        <v>25</v>
      </c>
      <c r="F997" t="s">
        <v>620</v>
      </c>
      <c r="H997" t="s">
        <v>621</v>
      </c>
      <c r="I997">
        <v>2.3049645390070919</v>
      </c>
    </row>
    <row r="998" spans="1:9">
      <c r="A998">
        <v>4</v>
      </c>
      <c r="B998" t="s">
        <v>643</v>
      </c>
      <c r="C998" t="s">
        <v>381</v>
      </c>
      <c r="D998" t="s">
        <v>622</v>
      </c>
      <c r="E998" t="s">
        <v>128</v>
      </c>
      <c r="F998" t="s">
        <v>623</v>
      </c>
      <c r="G998">
        <v>2.3049645390070919</v>
      </c>
      <c r="H998" t="s">
        <v>624</v>
      </c>
      <c r="I998">
        <v>2.3049645390070919</v>
      </c>
    </row>
    <row r="999" spans="1:9">
      <c r="A999">
        <v>2</v>
      </c>
      <c r="B999" t="s">
        <v>643</v>
      </c>
      <c r="C999" t="s">
        <v>357</v>
      </c>
      <c r="D999" t="s">
        <v>618</v>
      </c>
      <c r="E999">
        <v>8.5106382978723402E-2</v>
      </c>
    </row>
    <row r="1000" spans="1:9">
      <c r="A1000">
        <v>3</v>
      </c>
      <c r="B1000" t="s">
        <v>643</v>
      </c>
      <c r="C1000" t="s">
        <v>357</v>
      </c>
      <c r="D1000" t="s">
        <v>619</v>
      </c>
      <c r="E1000">
        <v>25</v>
      </c>
      <c r="F1000" t="s">
        <v>620</v>
      </c>
      <c r="H1000" t="s">
        <v>621</v>
      </c>
      <c r="I1000">
        <v>2.1276595744680851</v>
      </c>
    </row>
    <row r="1001" spans="1:9">
      <c r="A1001">
        <v>4</v>
      </c>
      <c r="B1001" t="s">
        <v>643</v>
      </c>
      <c r="C1001" t="s">
        <v>357</v>
      </c>
      <c r="D1001" t="s">
        <v>622</v>
      </c>
      <c r="E1001" t="s">
        <v>218</v>
      </c>
      <c r="F1001" t="s">
        <v>623</v>
      </c>
      <c r="G1001">
        <v>2.1276595744680851</v>
      </c>
      <c r="H1001" t="s">
        <v>624</v>
      </c>
      <c r="I1001">
        <v>23.986013595669611</v>
      </c>
    </row>
    <row r="1002" spans="1:9">
      <c r="A1002">
        <v>2</v>
      </c>
      <c r="B1002" t="s">
        <v>643</v>
      </c>
      <c r="C1002" t="s">
        <v>359</v>
      </c>
      <c r="D1002" t="s">
        <v>618</v>
      </c>
      <c r="E1002">
        <v>0</v>
      </c>
    </row>
    <row r="1003" spans="1:9">
      <c r="A1003">
        <v>3</v>
      </c>
      <c r="B1003" t="s">
        <v>643</v>
      </c>
      <c r="C1003" t="s">
        <v>359</v>
      </c>
      <c r="D1003" t="s">
        <v>619</v>
      </c>
      <c r="E1003">
        <v>25</v>
      </c>
      <c r="F1003" t="s">
        <v>620</v>
      </c>
      <c r="H1003" t="s">
        <v>621</v>
      </c>
      <c r="I1003">
        <v>0</v>
      </c>
    </row>
    <row r="1004" spans="1:9">
      <c r="A1004">
        <v>4</v>
      </c>
      <c r="B1004" t="s">
        <v>643</v>
      </c>
      <c r="C1004" t="s">
        <v>359</v>
      </c>
      <c r="D1004" t="s">
        <v>622</v>
      </c>
      <c r="E1004" t="s">
        <v>165</v>
      </c>
      <c r="F1004" t="s">
        <v>623</v>
      </c>
      <c r="G1004">
        <v>0</v>
      </c>
      <c r="H1004" t="s">
        <v>624</v>
      </c>
      <c r="I1004">
        <v>22.14377406931964</v>
      </c>
    </row>
    <row r="1005" spans="1:9">
      <c r="A1005">
        <v>1</v>
      </c>
      <c r="B1005" t="s">
        <v>644</v>
      </c>
      <c r="D1005" t="s">
        <v>616</v>
      </c>
      <c r="E1005">
        <v>1</v>
      </c>
      <c r="F1005" t="s">
        <v>617</v>
      </c>
      <c r="G1005">
        <v>5</v>
      </c>
    </row>
    <row r="1006" spans="1:9">
      <c r="A1006">
        <v>2</v>
      </c>
      <c r="B1006" t="s">
        <v>644</v>
      </c>
      <c r="C1006" t="s">
        <v>339</v>
      </c>
      <c r="D1006" t="s">
        <v>618</v>
      </c>
      <c r="E1006">
        <v>4.2253521126760563E-2</v>
      </c>
    </row>
    <row r="1007" spans="1:9">
      <c r="A1007">
        <v>3</v>
      </c>
      <c r="B1007" t="s">
        <v>644</v>
      </c>
      <c r="C1007" t="s">
        <v>339</v>
      </c>
      <c r="D1007" t="s">
        <v>619</v>
      </c>
      <c r="E1007">
        <v>5</v>
      </c>
      <c r="F1007" t="s">
        <v>620</v>
      </c>
      <c r="H1007" t="s">
        <v>621</v>
      </c>
      <c r="I1007">
        <v>0.21126760563380281</v>
      </c>
    </row>
    <row r="1008" spans="1:9">
      <c r="A1008">
        <v>4</v>
      </c>
      <c r="B1008" t="s">
        <v>644</v>
      </c>
      <c r="C1008" t="s">
        <v>339</v>
      </c>
      <c r="D1008" t="s">
        <v>622</v>
      </c>
      <c r="E1008" t="s">
        <v>119</v>
      </c>
      <c r="F1008" t="s">
        <v>623</v>
      </c>
      <c r="G1008">
        <v>0.21126760563380281</v>
      </c>
      <c r="H1008" t="s">
        <v>624</v>
      </c>
      <c r="I1008">
        <v>3.7234723074137355</v>
      </c>
    </row>
    <row r="1009" spans="1:9">
      <c r="A1009">
        <v>2</v>
      </c>
      <c r="B1009" t="s">
        <v>644</v>
      </c>
      <c r="C1009" t="s">
        <v>383</v>
      </c>
      <c r="D1009" t="s">
        <v>618</v>
      </c>
      <c r="E1009">
        <v>0.70422535211267601</v>
      </c>
    </row>
    <row r="1010" spans="1:9">
      <c r="A1010">
        <v>3</v>
      </c>
      <c r="B1010" t="s">
        <v>644</v>
      </c>
      <c r="C1010" t="s">
        <v>383</v>
      </c>
      <c r="D1010" t="s">
        <v>619</v>
      </c>
      <c r="E1010">
        <v>5</v>
      </c>
      <c r="F1010" t="s">
        <v>620</v>
      </c>
      <c r="H1010" t="s">
        <v>621</v>
      </c>
      <c r="I1010">
        <v>3.52112676056338</v>
      </c>
    </row>
    <row r="1011" spans="1:9">
      <c r="A1011">
        <v>4</v>
      </c>
      <c r="B1011" t="s">
        <v>644</v>
      </c>
      <c r="C1011" t="s">
        <v>383</v>
      </c>
      <c r="D1011" t="s">
        <v>622</v>
      </c>
      <c r="E1011" t="s">
        <v>204</v>
      </c>
      <c r="F1011" t="s">
        <v>623</v>
      </c>
      <c r="G1011">
        <v>3.52112676056338</v>
      </c>
      <c r="H1011" t="s">
        <v>624</v>
      </c>
      <c r="I1011">
        <v>3.5372211811642384</v>
      </c>
    </row>
    <row r="1012" spans="1:9">
      <c r="A1012">
        <v>2</v>
      </c>
      <c r="B1012" t="s">
        <v>644</v>
      </c>
      <c r="C1012" t="s">
        <v>357</v>
      </c>
      <c r="D1012" t="s">
        <v>618</v>
      </c>
      <c r="E1012">
        <v>7.0422535211267609E-2</v>
      </c>
    </row>
    <row r="1013" spans="1:9">
      <c r="A1013">
        <v>3</v>
      </c>
      <c r="B1013" t="s">
        <v>644</v>
      </c>
      <c r="C1013" t="s">
        <v>357</v>
      </c>
      <c r="D1013" t="s">
        <v>619</v>
      </c>
      <c r="E1013">
        <v>5</v>
      </c>
      <c r="F1013" t="s">
        <v>620</v>
      </c>
      <c r="H1013" t="s">
        <v>621</v>
      </c>
      <c r="I1013">
        <v>0.35211267605633806</v>
      </c>
    </row>
    <row r="1014" spans="1:9">
      <c r="A1014">
        <v>4</v>
      </c>
      <c r="B1014" t="s">
        <v>644</v>
      </c>
      <c r="C1014" t="s">
        <v>357</v>
      </c>
      <c r="D1014" t="s">
        <v>622</v>
      </c>
      <c r="E1014" t="s">
        <v>218</v>
      </c>
      <c r="F1014" t="s">
        <v>623</v>
      </c>
      <c r="G1014">
        <v>0.35211267605633806</v>
      </c>
      <c r="H1014" t="s">
        <v>624</v>
      </c>
      <c r="I1014">
        <v>24.338126271725951</v>
      </c>
    </row>
    <row r="1015" spans="1:9">
      <c r="A1015">
        <v>2</v>
      </c>
      <c r="B1015" t="s">
        <v>644</v>
      </c>
      <c r="C1015" t="s">
        <v>303</v>
      </c>
      <c r="D1015" t="s">
        <v>618</v>
      </c>
      <c r="E1015">
        <v>7.0422535211267609E-2</v>
      </c>
    </row>
    <row r="1016" spans="1:9">
      <c r="A1016">
        <v>3</v>
      </c>
      <c r="B1016" t="s">
        <v>644</v>
      </c>
      <c r="C1016" t="s">
        <v>303</v>
      </c>
      <c r="D1016" t="s">
        <v>619</v>
      </c>
      <c r="E1016">
        <v>5</v>
      </c>
      <c r="F1016" t="s">
        <v>620</v>
      </c>
      <c r="H1016" t="s">
        <v>621</v>
      </c>
      <c r="I1016">
        <v>0.35211267605633806</v>
      </c>
    </row>
    <row r="1017" spans="1:9">
      <c r="A1017">
        <v>4</v>
      </c>
      <c r="B1017" t="s">
        <v>644</v>
      </c>
      <c r="C1017" t="s">
        <v>303</v>
      </c>
      <c r="D1017" t="s">
        <v>622</v>
      </c>
      <c r="E1017" t="s">
        <v>252</v>
      </c>
      <c r="F1017" t="s">
        <v>623</v>
      </c>
      <c r="G1017">
        <v>0.35211267605633806</v>
      </c>
      <c r="H1017" t="s">
        <v>624</v>
      </c>
      <c r="I1017">
        <v>76.562278048750954</v>
      </c>
    </row>
    <row r="1018" spans="1:9">
      <c r="A1018">
        <v>2</v>
      </c>
      <c r="B1018" t="s">
        <v>644</v>
      </c>
      <c r="C1018" t="s">
        <v>358</v>
      </c>
      <c r="D1018" t="s">
        <v>618</v>
      </c>
      <c r="E1018">
        <v>4.2253521126760563E-2</v>
      </c>
    </row>
    <row r="1019" spans="1:9">
      <c r="A1019">
        <v>3</v>
      </c>
      <c r="B1019" t="s">
        <v>644</v>
      </c>
      <c r="C1019" t="s">
        <v>358</v>
      </c>
      <c r="D1019" t="s">
        <v>619</v>
      </c>
      <c r="E1019">
        <v>5</v>
      </c>
      <c r="F1019" t="s">
        <v>620</v>
      </c>
      <c r="H1019" t="s">
        <v>621</v>
      </c>
      <c r="I1019">
        <v>0.21126760563380281</v>
      </c>
    </row>
    <row r="1020" spans="1:9">
      <c r="A1020">
        <v>4</v>
      </c>
      <c r="B1020" t="s">
        <v>644</v>
      </c>
      <c r="C1020" t="s">
        <v>358</v>
      </c>
      <c r="D1020" t="s">
        <v>622</v>
      </c>
      <c r="E1020" t="s">
        <v>263</v>
      </c>
      <c r="F1020" t="s">
        <v>623</v>
      </c>
      <c r="G1020">
        <v>0.21126760563380281</v>
      </c>
      <c r="H1020" t="s">
        <v>624</v>
      </c>
      <c r="I1020">
        <v>96.641768884929704</v>
      </c>
    </row>
    <row r="1022" spans="1:9">
      <c r="A1022">
        <v>3</v>
      </c>
      <c r="B1022" t="s">
        <v>644</v>
      </c>
      <c r="C1022" t="s">
        <v>359</v>
      </c>
      <c r="D1022" t="s">
        <v>619</v>
      </c>
      <c r="E1022">
        <v>5</v>
      </c>
      <c r="F1022" t="s">
        <v>620</v>
      </c>
      <c r="H1022" t="s">
        <v>621</v>
      </c>
      <c r="I1022">
        <v>0.35211267605633806</v>
      </c>
    </row>
    <row r="1023" spans="1:9">
      <c r="A1023">
        <v>4</v>
      </c>
      <c r="B1023" t="s">
        <v>644</v>
      </c>
      <c r="C1023" t="s">
        <v>359</v>
      </c>
      <c r="D1023" t="s">
        <v>622</v>
      </c>
      <c r="E1023" t="s">
        <v>165</v>
      </c>
      <c r="F1023" t="s">
        <v>623</v>
      </c>
      <c r="G1023">
        <v>0.35211267605633806</v>
      </c>
      <c r="H1023" t="s">
        <v>624</v>
      </c>
      <c r="I1023">
        <v>22.49588674537598</v>
      </c>
    </row>
    <row r="1024" spans="1:9">
      <c r="A1024">
        <v>1</v>
      </c>
      <c r="B1024" t="s">
        <v>648</v>
      </c>
      <c r="D1024" t="s">
        <v>616</v>
      </c>
      <c r="E1024">
        <v>1</v>
      </c>
      <c r="F1024" t="s">
        <v>617</v>
      </c>
      <c r="G1024">
        <v>2</v>
      </c>
    </row>
    <row r="1025" spans="1:9">
      <c r="A1025">
        <v>2</v>
      </c>
      <c r="B1025" t="s">
        <v>648</v>
      </c>
      <c r="C1025" t="s">
        <v>339</v>
      </c>
      <c r="D1025" t="s">
        <v>618</v>
      </c>
      <c r="E1025">
        <v>4.2253521126760563E-2</v>
      </c>
    </row>
    <row r="1026" spans="1:9">
      <c r="A1026">
        <v>3</v>
      </c>
      <c r="B1026" t="s">
        <v>648</v>
      </c>
      <c r="C1026" t="s">
        <v>339</v>
      </c>
      <c r="D1026" t="s">
        <v>619</v>
      </c>
      <c r="E1026">
        <v>2</v>
      </c>
      <c r="F1026" t="s">
        <v>620</v>
      </c>
      <c r="H1026" t="s">
        <v>621</v>
      </c>
      <c r="I1026">
        <v>8.4507042253521125E-2</v>
      </c>
    </row>
    <row r="1027" spans="1:9">
      <c r="A1027">
        <v>4</v>
      </c>
      <c r="B1027" t="s">
        <v>648</v>
      </c>
      <c r="C1027" t="s">
        <v>339</v>
      </c>
      <c r="D1027" t="s">
        <v>622</v>
      </c>
      <c r="E1027" t="s">
        <v>119</v>
      </c>
      <c r="F1027" t="s">
        <v>623</v>
      </c>
      <c r="G1027">
        <v>8.4507042253521125E-2</v>
      </c>
      <c r="H1027" t="s">
        <v>624</v>
      </c>
      <c r="I1027">
        <v>3.8079793496672565</v>
      </c>
    </row>
    <row r="1028" spans="1:9">
      <c r="A1028">
        <v>2</v>
      </c>
      <c r="B1028" t="s">
        <v>648</v>
      </c>
      <c r="C1028" t="s">
        <v>408</v>
      </c>
      <c r="D1028" t="s">
        <v>618</v>
      </c>
      <c r="E1028">
        <v>0.63380281690140849</v>
      </c>
    </row>
    <row r="1029" spans="1:9">
      <c r="A1029">
        <v>3</v>
      </c>
      <c r="B1029" t="s">
        <v>648</v>
      </c>
      <c r="C1029" t="s">
        <v>408</v>
      </c>
      <c r="D1029" t="s">
        <v>619</v>
      </c>
      <c r="E1029">
        <v>2</v>
      </c>
      <c r="F1029" t="s">
        <v>620</v>
      </c>
      <c r="H1029" t="s">
        <v>621</v>
      </c>
      <c r="I1029">
        <v>1.267605633802817</v>
      </c>
    </row>
    <row r="1030" spans="1:9">
      <c r="A1030">
        <v>4</v>
      </c>
      <c r="B1030" t="s">
        <v>648</v>
      </c>
      <c r="C1030" t="s">
        <v>408</v>
      </c>
      <c r="D1030" t="s">
        <v>622</v>
      </c>
      <c r="E1030" t="s">
        <v>229</v>
      </c>
      <c r="F1030" t="s">
        <v>623</v>
      </c>
      <c r="G1030">
        <v>1.267605633802817</v>
      </c>
      <c r="H1030" t="s">
        <v>624</v>
      </c>
      <c r="I1030">
        <v>1.267605633802817</v>
      </c>
    </row>
    <row r="1031" spans="1:9">
      <c r="A1031">
        <v>2</v>
      </c>
      <c r="B1031" t="s">
        <v>648</v>
      </c>
      <c r="C1031" t="s">
        <v>409</v>
      </c>
      <c r="D1031" t="s">
        <v>618</v>
      </c>
      <c r="E1031">
        <v>7.0422535211267609E-2</v>
      </c>
    </row>
    <row r="1032" spans="1:9">
      <c r="A1032">
        <v>3</v>
      </c>
      <c r="B1032" t="s">
        <v>648</v>
      </c>
      <c r="C1032" t="s">
        <v>409</v>
      </c>
      <c r="D1032" t="s">
        <v>619</v>
      </c>
      <c r="E1032">
        <v>2</v>
      </c>
      <c r="F1032" t="s">
        <v>620</v>
      </c>
      <c r="H1032" t="s">
        <v>621</v>
      </c>
      <c r="I1032">
        <v>0.14084507042253522</v>
      </c>
    </row>
    <row r="1033" spans="1:9">
      <c r="A1033">
        <v>4</v>
      </c>
      <c r="B1033" t="s">
        <v>648</v>
      </c>
      <c r="C1033" t="s">
        <v>409</v>
      </c>
      <c r="D1033" t="s">
        <v>622</v>
      </c>
      <c r="E1033" t="s">
        <v>234</v>
      </c>
      <c r="F1033" t="s">
        <v>623</v>
      </c>
      <c r="G1033">
        <v>0.14084507042253522</v>
      </c>
      <c r="H1033" t="s">
        <v>624</v>
      </c>
      <c r="I1033">
        <v>0.14084507042253522</v>
      </c>
    </row>
    <row r="1034" spans="1:9">
      <c r="A1034">
        <v>2</v>
      </c>
      <c r="B1034" t="s">
        <v>648</v>
      </c>
      <c r="C1034" t="s">
        <v>357</v>
      </c>
      <c r="D1034" t="s">
        <v>618</v>
      </c>
      <c r="E1034">
        <v>7.0422535211267609E-2</v>
      </c>
    </row>
    <row r="1035" spans="1:9">
      <c r="A1035">
        <v>3</v>
      </c>
      <c r="B1035" t="s">
        <v>648</v>
      </c>
      <c r="C1035" t="s">
        <v>357</v>
      </c>
      <c r="D1035" t="s">
        <v>619</v>
      </c>
      <c r="E1035">
        <v>2</v>
      </c>
      <c r="F1035" t="s">
        <v>620</v>
      </c>
      <c r="H1035" t="s">
        <v>621</v>
      </c>
      <c r="I1035">
        <v>0.14084507042253522</v>
      </c>
    </row>
    <row r="1036" spans="1:9">
      <c r="A1036">
        <v>4</v>
      </c>
      <c r="B1036" t="s">
        <v>648</v>
      </c>
      <c r="C1036" t="s">
        <v>357</v>
      </c>
      <c r="D1036" t="s">
        <v>622</v>
      </c>
      <c r="E1036" t="s">
        <v>218</v>
      </c>
      <c r="F1036" t="s">
        <v>623</v>
      </c>
      <c r="G1036">
        <v>0.14084507042253522</v>
      </c>
      <c r="H1036" t="s">
        <v>624</v>
      </c>
      <c r="I1036">
        <v>24.478971342148487</v>
      </c>
    </row>
    <row r="1037" spans="1:9">
      <c r="A1037">
        <v>2</v>
      </c>
      <c r="B1037" t="s">
        <v>648</v>
      </c>
      <c r="C1037" t="s">
        <v>303</v>
      </c>
      <c r="D1037" t="s">
        <v>618</v>
      </c>
      <c r="E1037">
        <v>7.0422535211267609E-2</v>
      </c>
    </row>
    <row r="1038" spans="1:9">
      <c r="A1038">
        <v>3</v>
      </c>
      <c r="B1038" t="s">
        <v>648</v>
      </c>
      <c r="C1038" t="s">
        <v>303</v>
      </c>
      <c r="D1038" t="s">
        <v>619</v>
      </c>
      <c r="E1038">
        <v>2</v>
      </c>
      <c r="F1038" t="s">
        <v>620</v>
      </c>
      <c r="H1038" t="s">
        <v>621</v>
      </c>
      <c r="I1038">
        <v>0.14084507042253522</v>
      </c>
    </row>
    <row r="1039" spans="1:9">
      <c r="A1039">
        <v>4</v>
      </c>
      <c r="B1039" t="s">
        <v>648</v>
      </c>
      <c r="C1039" t="s">
        <v>303</v>
      </c>
      <c r="D1039" t="s">
        <v>622</v>
      </c>
      <c r="E1039" t="s">
        <v>252</v>
      </c>
      <c r="F1039" t="s">
        <v>623</v>
      </c>
      <c r="G1039">
        <v>0.14084507042253522</v>
      </c>
      <c r="H1039" t="s">
        <v>624</v>
      </c>
      <c r="I1039">
        <v>76.703123119173483</v>
      </c>
    </row>
    <row r="1040" spans="1:9">
      <c r="A1040">
        <v>2</v>
      </c>
      <c r="B1040" t="s">
        <v>648</v>
      </c>
      <c r="C1040" t="s">
        <v>359</v>
      </c>
      <c r="D1040" t="s">
        <v>618</v>
      </c>
      <c r="E1040">
        <v>7.0422535211267609E-2</v>
      </c>
    </row>
    <row r="1041" spans="1:9">
      <c r="A1041">
        <v>3</v>
      </c>
      <c r="B1041" t="s">
        <v>648</v>
      </c>
      <c r="C1041" t="s">
        <v>359</v>
      </c>
      <c r="D1041" t="s">
        <v>619</v>
      </c>
      <c r="E1041">
        <v>2</v>
      </c>
      <c r="F1041" t="s">
        <v>620</v>
      </c>
      <c r="H1041" t="s">
        <v>621</v>
      </c>
      <c r="I1041">
        <v>0.14084507042253522</v>
      </c>
    </row>
    <row r="1042" spans="1:9">
      <c r="A1042">
        <v>4</v>
      </c>
      <c r="B1042" t="s">
        <v>648</v>
      </c>
      <c r="C1042" t="s">
        <v>359</v>
      </c>
      <c r="D1042" t="s">
        <v>622</v>
      </c>
      <c r="E1042" t="s">
        <v>165</v>
      </c>
      <c r="F1042" t="s">
        <v>623</v>
      </c>
      <c r="G1042">
        <v>0.14084507042253522</v>
      </c>
      <c r="H1042" t="s">
        <v>624</v>
      </c>
      <c r="I1042">
        <v>22.636731815798516</v>
      </c>
    </row>
    <row r="1043" spans="1:9">
      <c r="A1043">
        <v>2</v>
      </c>
      <c r="B1043" t="s">
        <v>648</v>
      </c>
      <c r="C1043" t="s">
        <v>358</v>
      </c>
      <c r="D1043" t="s">
        <v>618</v>
      </c>
      <c r="E1043">
        <v>4.2253521126760563E-2</v>
      </c>
    </row>
    <row r="1044" spans="1:9">
      <c r="A1044">
        <v>3</v>
      </c>
      <c r="B1044" t="s">
        <v>648</v>
      </c>
      <c r="C1044" t="s">
        <v>358</v>
      </c>
      <c r="D1044" t="s">
        <v>619</v>
      </c>
      <c r="E1044">
        <v>2</v>
      </c>
      <c r="F1044" t="s">
        <v>620</v>
      </c>
      <c r="H1044" t="s">
        <v>621</v>
      </c>
      <c r="I1044">
        <v>8.4507042253521125E-2</v>
      </c>
    </row>
    <row r="1045" spans="1:9">
      <c r="A1045">
        <v>4</v>
      </c>
      <c r="B1045" t="s">
        <v>648</v>
      </c>
      <c r="C1045" t="s">
        <v>358</v>
      </c>
      <c r="D1045" t="s">
        <v>622</v>
      </c>
      <c r="E1045" t="s">
        <v>263</v>
      </c>
      <c r="F1045" t="s">
        <v>623</v>
      </c>
      <c r="G1045">
        <v>8.4507042253521125E-2</v>
      </c>
      <c r="H1045" t="s">
        <v>624</v>
      </c>
      <c r="I1045">
        <v>96.726275927183224</v>
      </c>
    </row>
    <row r="1046" spans="1:9">
      <c r="A1046">
        <v>1</v>
      </c>
      <c r="B1046" t="s">
        <v>660</v>
      </c>
      <c r="D1046" t="s">
        <v>616</v>
      </c>
      <c r="E1046">
        <v>1</v>
      </c>
      <c r="F1046" t="s">
        <v>617</v>
      </c>
      <c r="G1046">
        <v>0</v>
      </c>
    </row>
    <row r="1047" spans="1:9">
      <c r="A1047">
        <v>2</v>
      </c>
      <c r="B1047" t="s">
        <v>660</v>
      </c>
      <c r="C1047" t="s">
        <v>289</v>
      </c>
      <c r="D1047" t="s">
        <v>618</v>
      </c>
      <c r="E1047">
        <v>0.58651026392961869</v>
      </c>
    </row>
    <row r="1048" spans="1:9">
      <c r="A1048">
        <v>3</v>
      </c>
      <c r="B1048" t="s">
        <v>660</v>
      </c>
      <c r="C1048" t="s">
        <v>289</v>
      </c>
      <c r="D1048" t="s">
        <v>619</v>
      </c>
      <c r="E1048">
        <v>0</v>
      </c>
      <c r="F1048" t="s">
        <v>620</v>
      </c>
      <c r="H1048" t="s">
        <v>621</v>
      </c>
      <c r="I1048">
        <v>0</v>
      </c>
    </row>
    <row r="1049" spans="1:9">
      <c r="A1049">
        <v>4</v>
      </c>
      <c r="B1049" t="s">
        <v>660</v>
      </c>
      <c r="C1049" t="s">
        <v>289</v>
      </c>
      <c r="D1049" t="s">
        <v>622</v>
      </c>
      <c r="E1049" t="s">
        <v>149</v>
      </c>
      <c r="F1049" t="s">
        <v>623</v>
      </c>
      <c r="G1049">
        <v>0</v>
      </c>
      <c r="H1049" t="s">
        <v>624</v>
      </c>
      <c r="I1049">
        <v>13.205728150604759</v>
      </c>
    </row>
    <row r="1050" spans="1:9">
      <c r="A1050">
        <v>2</v>
      </c>
      <c r="B1050" t="s">
        <v>660</v>
      </c>
      <c r="C1050" t="s">
        <v>297</v>
      </c>
      <c r="D1050" t="s">
        <v>618</v>
      </c>
      <c r="E1050">
        <v>0.14662756598240467</v>
      </c>
    </row>
    <row r="1051" spans="1:9">
      <c r="A1051">
        <v>3</v>
      </c>
      <c r="B1051" t="s">
        <v>660</v>
      </c>
      <c r="C1051" t="s">
        <v>297</v>
      </c>
      <c r="D1051" t="s">
        <v>619</v>
      </c>
      <c r="E1051">
        <v>0</v>
      </c>
      <c r="F1051" t="s">
        <v>620</v>
      </c>
      <c r="H1051" t="s">
        <v>621</v>
      </c>
      <c r="I1051">
        <v>0</v>
      </c>
    </row>
    <row r="1052" spans="1:9">
      <c r="A1052">
        <v>4</v>
      </c>
      <c r="B1052" t="s">
        <v>660</v>
      </c>
      <c r="C1052" t="s">
        <v>297</v>
      </c>
      <c r="D1052" t="s">
        <v>622</v>
      </c>
      <c r="E1052" t="s">
        <v>136</v>
      </c>
      <c r="F1052" t="s">
        <v>623</v>
      </c>
      <c r="G1052">
        <v>0</v>
      </c>
      <c r="H1052" t="s">
        <v>624</v>
      </c>
      <c r="I1052">
        <v>0</v>
      </c>
    </row>
    <row r="1053" spans="1:9">
      <c r="A1053">
        <v>2</v>
      </c>
      <c r="B1053" t="s">
        <v>660</v>
      </c>
      <c r="C1053" t="s">
        <v>320</v>
      </c>
      <c r="D1053" t="s">
        <v>618</v>
      </c>
      <c r="E1053">
        <v>2.9325513196480937E-2</v>
      </c>
    </row>
    <row r="1054" spans="1:9">
      <c r="A1054">
        <v>3</v>
      </c>
      <c r="B1054" t="s">
        <v>660</v>
      </c>
      <c r="C1054" t="s">
        <v>320</v>
      </c>
      <c r="D1054" t="s">
        <v>619</v>
      </c>
      <c r="E1054">
        <v>0</v>
      </c>
      <c r="F1054" t="s">
        <v>620</v>
      </c>
      <c r="H1054" t="s">
        <v>621</v>
      </c>
      <c r="I1054">
        <v>0</v>
      </c>
    </row>
    <row r="1055" spans="1:9">
      <c r="A1055">
        <v>4</v>
      </c>
      <c r="B1055" t="s">
        <v>660</v>
      </c>
      <c r="C1055" t="s">
        <v>320</v>
      </c>
      <c r="D1055" t="s">
        <v>622</v>
      </c>
      <c r="E1055" t="s">
        <v>233</v>
      </c>
      <c r="F1055" t="s">
        <v>623</v>
      </c>
      <c r="G1055">
        <v>0</v>
      </c>
      <c r="H1055" t="s">
        <v>624</v>
      </c>
      <c r="I1055">
        <v>0.3571428571428571</v>
      </c>
    </row>
    <row r="1056" spans="1:9">
      <c r="A1056">
        <v>2</v>
      </c>
      <c r="B1056" t="s">
        <v>660</v>
      </c>
      <c r="C1056" t="s">
        <v>287</v>
      </c>
      <c r="D1056" t="s">
        <v>618</v>
      </c>
      <c r="E1056">
        <v>1.4662756598240468E-2</v>
      </c>
    </row>
    <row r="1057" spans="1:9">
      <c r="A1057">
        <v>3</v>
      </c>
      <c r="B1057" t="s">
        <v>660</v>
      </c>
      <c r="C1057" t="s">
        <v>287</v>
      </c>
      <c r="D1057" t="s">
        <v>619</v>
      </c>
      <c r="E1057">
        <v>0</v>
      </c>
      <c r="F1057" t="s">
        <v>620</v>
      </c>
      <c r="H1057" t="s">
        <v>621</v>
      </c>
      <c r="I1057">
        <v>0</v>
      </c>
    </row>
    <row r="1058" spans="1:9">
      <c r="A1058">
        <v>4</v>
      </c>
      <c r="B1058" t="s">
        <v>660</v>
      </c>
      <c r="C1058" t="s">
        <v>287</v>
      </c>
      <c r="D1058" t="s">
        <v>622</v>
      </c>
      <c r="E1058" t="s">
        <v>242</v>
      </c>
      <c r="F1058" t="s">
        <v>623</v>
      </c>
      <c r="G1058">
        <v>0</v>
      </c>
      <c r="H1058" t="s">
        <v>624</v>
      </c>
      <c r="I1058">
        <v>0.48952469204615129</v>
      </c>
    </row>
    <row r="1059" spans="1:9">
      <c r="A1059">
        <v>2</v>
      </c>
      <c r="B1059" t="s">
        <v>660</v>
      </c>
      <c r="C1059" t="s">
        <v>317</v>
      </c>
      <c r="D1059" t="s">
        <v>618</v>
      </c>
      <c r="E1059">
        <v>1.4662756598240468E-2</v>
      </c>
    </row>
    <row r="1060" spans="1:9">
      <c r="A1060">
        <v>3</v>
      </c>
      <c r="B1060" t="s">
        <v>660</v>
      </c>
      <c r="C1060" t="s">
        <v>317</v>
      </c>
      <c r="D1060" t="s">
        <v>619</v>
      </c>
      <c r="E1060">
        <v>0</v>
      </c>
      <c r="F1060" t="s">
        <v>620</v>
      </c>
      <c r="H1060" t="s">
        <v>621</v>
      </c>
      <c r="I1060">
        <v>0</v>
      </c>
    </row>
    <row r="1061" spans="1:9">
      <c r="A1061">
        <v>4</v>
      </c>
      <c r="B1061" t="s">
        <v>660</v>
      </c>
      <c r="C1061" t="s">
        <v>317</v>
      </c>
      <c r="D1061" t="s">
        <v>622</v>
      </c>
      <c r="E1061" t="s">
        <v>163</v>
      </c>
      <c r="F1061" t="s">
        <v>623</v>
      </c>
      <c r="G1061">
        <v>0</v>
      </c>
      <c r="H1061" t="s">
        <v>624</v>
      </c>
      <c r="I1061">
        <v>0</v>
      </c>
    </row>
    <row r="1062" spans="1:9">
      <c r="A1062">
        <v>2</v>
      </c>
      <c r="B1062" t="s">
        <v>660</v>
      </c>
      <c r="C1062" t="s">
        <v>280</v>
      </c>
      <c r="D1062" t="s">
        <v>618</v>
      </c>
      <c r="E1062">
        <v>1.4662756598240468E-2</v>
      </c>
    </row>
    <row r="1063" spans="1:9">
      <c r="A1063">
        <v>3</v>
      </c>
      <c r="B1063" t="s">
        <v>660</v>
      </c>
      <c r="C1063" t="s">
        <v>280</v>
      </c>
      <c r="D1063" t="s">
        <v>619</v>
      </c>
      <c r="E1063">
        <v>0</v>
      </c>
      <c r="F1063" t="s">
        <v>620</v>
      </c>
      <c r="H1063" t="s">
        <v>621</v>
      </c>
      <c r="I1063">
        <v>0</v>
      </c>
    </row>
    <row r="1064" spans="1:9">
      <c r="A1064">
        <v>4</v>
      </c>
      <c r="B1064" t="s">
        <v>660</v>
      </c>
      <c r="C1064" t="s">
        <v>280</v>
      </c>
      <c r="D1064" t="s">
        <v>622</v>
      </c>
      <c r="E1064" t="s">
        <v>223</v>
      </c>
      <c r="F1064" t="s">
        <v>623</v>
      </c>
      <c r="G1064">
        <v>0</v>
      </c>
      <c r="H1064" t="s">
        <v>624</v>
      </c>
      <c r="I1064">
        <v>0</v>
      </c>
    </row>
    <row r="1065" spans="1:9">
      <c r="A1065">
        <v>2</v>
      </c>
      <c r="B1065" t="s">
        <v>660</v>
      </c>
      <c r="C1065" t="s">
        <v>299</v>
      </c>
      <c r="D1065" t="s">
        <v>618</v>
      </c>
      <c r="E1065">
        <v>1.4662756598240468E-2</v>
      </c>
    </row>
    <row r="1066" spans="1:9">
      <c r="A1066">
        <v>3</v>
      </c>
      <c r="B1066" t="s">
        <v>660</v>
      </c>
      <c r="C1066" t="s">
        <v>299</v>
      </c>
      <c r="D1066" t="s">
        <v>619</v>
      </c>
      <c r="E1066">
        <v>0</v>
      </c>
      <c r="F1066" t="s">
        <v>620</v>
      </c>
      <c r="H1066" t="s">
        <v>621</v>
      </c>
      <c r="I1066">
        <v>0</v>
      </c>
    </row>
    <row r="1067" spans="1:9">
      <c r="A1067">
        <v>4</v>
      </c>
      <c r="B1067" t="s">
        <v>660</v>
      </c>
      <c r="C1067" t="s">
        <v>299</v>
      </c>
      <c r="D1067" t="s">
        <v>622</v>
      </c>
      <c r="E1067" t="s">
        <v>168</v>
      </c>
      <c r="F1067" t="s">
        <v>623</v>
      </c>
      <c r="G1067">
        <v>0</v>
      </c>
      <c r="H1067" t="s">
        <v>624</v>
      </c>
      <c r="I1067">
        <v>23.796837550861156</v>
      </c>
    </row>
    <row r="1068" spans="1:9">
      <c r="A1068">
        <v>2</v>
      </c>
      <c r="B1068" t="s">
        <v>660</v>
      </c>
      <c r="C1068" t="s">
        <v>295</v>
      </c>
      <c r="D1068" t="s">
        <v>618</v>
      </c>
      <c r="E1068">
        <v>1.4662756598240468E-2</v>
      </c>
    </row>
    <row r="1069" spans="1:9">
      <c r="A1069">
        <v>3</v>
      </c>
      <c r="B1069" t="s">
        <v>660</v>
      </c>
      <c r="C1069" t="s">
        <v>295</v>
      </c>
      <c r="D1069" t="s">
        <v>619</v>
      </c>
      <c r="E1069">
        <v>0</v>
      </c>
      <c r="F1069" t="s">
        <v>620</v>
      </c>
      <c r="H1069" t="s">
        <v>621</v>
      </c>
      <c r="I1069">
        <v>0</v>
      </c>
    </row>
    <row r="1070" spans="1:9">
      <c r="A1070">
        <v>4</v>
      </c>
      <c r="B1070" t="s">
        <v>660</v>
      </c>
      <c r="C1070" t="s">
        <v>295</v>
      </c>
      <c r="D1070" t="s">
        <v>622</v>
      </c>
      <c r="E1070" t="s">
        <v>207</v>
      </c>
      <c r="F1070" t="s">
        <v>623</v>
      </c>
      <c r="G1070">
        <v>0</v>
      </c>
      <c r="H1070" t="s">
        <v>624</v>
      </c>
      <c r="I1070">
        <v>0</v>
      </c>
    </row>
    <row r="1071" spans="1:9">
      <c r="A1071">
        <v>2</v>
      </c>
      <c r="B1071" t="s">
        <v>660</v>
      </c>
      <c r="C1071" t="s">
        <v>303</v>
      </c>
      <c r="D1071" t="s">
        <v>618</v>
      </c>
      <c r="E1071">
        <v>7.3313782991202336E-2</v>
      </c>
    </row>
    <row r="1072" spans="1:9">
      <c r="A1072">
        <v>3</v>
      </c>
      <c r="B1072" t="s">
        <v>660</v>
      </c>
      <c r="C1072" t="s">
        <v>303</v>
      </c>
      <c r="D1072" t="s">
        <v>619</v>
      </c>
      <c r="E1072">
        <v>0</v>
      </c>
      <c r="F1072" t="s">
        <v>620</v>
      </c>
      <c r="H1072" t="s">
        <v>621</v>
      </c>
      <c r="I1072">
        <v>0</v>
      </c>
    </row>
    <row r="1073" spans="1:9">
      <c r="A1073">
        <v>4</v>
      </c>
      <c r="B1073" t="s">
        <v>660</v>
      </c>
      <c r="C1073" t="s">
        <v>303</v>
      </c>
      <c r="D1073" t="s">
        <v>622</v>
      </c>
      <c r="E1073" t="s">
        <v>252</v>
      </c>
      <c r="F1073" t="s">
        <v>623</v>
      </c>
      <c r="G1073">
        <v>0</v>
      </c>
      <c r="H1073" t="s">
        <v>624</v>
      </c>
      <c r="I1073">
        <v>76.703123119173483</v>
      </c>
    </row>
    <row r="1074" spans="1:9">
      <c r="A1074">
        <v>2</v>
      </c>
      <c r="B1074" t="s">
        <v>660</v>
      </c>
      <c r="C1074" t="s">
        <v>410</v>
      </c>
      <c r="D1074" t="s">
        <v>618</v>
      </c>
      <c r="E1074">
        <v>2.9325513196480938E-3</v>
      </c>
    </row>
    <row r="1075" spans="1:9">
      <c r="A1075">
        <v>3</v>
      </c>
      <c r="B1075" t="s">
        <v>660</v>
      </c>
      <c r="C1075" t="s">
        <v>410</v>
      </c>
      <c r="D1075" t="s">
        <v>619</v>
      </c>
      <c r="E1075">
        <v>0</v>
      </c>
      <c r="F1075" t="s">
        <v>620</v>
      </c>
      <c r="H1075" t="s">
        <v>621</v>
      </c>
      <c r="I1075">
        <v>0</v>
      </c>
    </row>
    <row r="1076" spans="1:9">
      <c r="A1076">
        <v>4</v>
      </c>
      <c r="B1076" t="s">
        <v>660</v>
      </c>
      <c r="C1076" t="s">
        <v>410</v>
      </c>
      <c r="D1076" t="s">
        <v>622</v>
      </c>
      <c r="E1076" t="s">
        <v>246</v>
      </c>
      <c r="F1076" t="s">
        <v>623</v>
      </c>
      <c r="G1076">
        <v>0</v>
      </c>
      <c r="H1076" t="s">
        <v>624</v>
      </c>
      <c r="I1076">
        <v>0</v>
      </c>
    </row>
    <row r="1077" spans="1:9">
      <c r="A1077">
        <v>2</v>
      </c>
      <c r="B1077" t="s">
        <v>660</v>
      </c>
      <c r="C1077" t="s">
        <v>633</v>
      </c>
      <c r="D1077" t="s">
        <v>618</v>
      </c>
      <c r="E1077">
        <v>8.7976539589442806E-2</v>
      </c>
    </row>
    <row r="1078" spans="1:9">
      <c r="A1078">
        <v>1</v>
      </c>
      <c r="B1078" t="s">
        <v>661</v>
      </c>
      <c r="D1078" t="s">
        <v>616</v>
      </c>
      <c r="E1078">
        <v>1</v>
      </c>
      <c r="F1078" t="s">
        <v>617</v>
      </c>
      <c r="G1078">
        <v>0</v>
      </c>
    </row>
    <row r="1079" spans="1:9">
      <c r="A1079">
        <v>2</v>
      </c>
      <c r="B1079" t="s">
        <v>661</v>
      </c>
      <c r="C1079" t="s">
        <v>339</v>
      </c>
      <c r="D1079" t="s">
        <v>618</v>
      </c>
      <c r="E1079">
        <v>0.47565118912797283</v>
      </c>
    </row>
    <row r="1080" spans="1:9">
      <c r="A1080">
        <v>3</v>
      </c>
      <c r="B1080" t="s">
        <v>661</v>
      </c>
      <c r="C1080" t="s">
        <v>339</v>
      </c>
      <c r="D1080" t="s">
        <v>619</v>
      </c>
      <c r="E1080">
        <v>0</v>
      </c>
      <c r="F1080" t="s">
        <v>620</v>
      </c>
      <c r="H1080" t="s">
        <v>621</v>
      </c>
      <c r="I1080">
        <v>0</v>
      </c>
    </row>
    <row r="1081" spans="1:9">
      <c r="A1081">
        <v>4</v>
      </c>
      <c r="B1081" t="s">
        <v>661</v>
      </c>
      <c r="C1081" t="s">
        <v>339</v>
      </c>
      <c r="D1081" t="s">
        <v>622</v>
      </c>
      <c r="E1081" t="s">
        <v>119</v>
      </c>
      <c r="F1081" t="s">
        <v>623</v>
      </c>
      <c r="G1081">
        <v>0</v>
      </c>
      <c r="H1081" t="s">
        <v>624</v>
      </c>
      <c r="I1081">
        <v>3.8079793496672565</v>
      </c>
    </row>
    <row r="1082" spans="1:9">
      <c r="A1082">
        <v>2</v>
      </c>
      <c r="B1082" t="s">
        <v>661</v>
      </c>
      <c r="C1082" t="s">
        <v>341</v>
      </c>
      <c r="D1082" t="s">
        <v>618</v>
      </c>
      <c r="E1082">
        <v>0.36240090600226504</v>
      </c>
    </row>
    <row r="1083" spans="1:9">
      <c r="A1083">
        <v>3</v>
      </c>
      <c r="B1083" t="s">
        <v>661</v>
      </c>
      <c r="C1083" t="s">
        <v>341</v>
      </c>
      <c r="D1083" t="s">
        <v>619</v>
      </c>
      <c r="E1083">
        <v>0</v>
      </c>
      <c r="F1083" t="s">
        <v>620</v>
      </c>
      <c r="H1083" t="s">
        <v>621</v>
      </c>
      <c r="I1083">
        <v>0</v>
      </c>
    </row>
    <row r="1084" spans="1:9">
      <c r="A1084">
        <v>4</v>
      </c>
      <c r="B1084" t="s">
        <v>661</v>
      </c>
      <c r="C1084" t="s">
        <v>341</v>
      </c>
      <c r="D1084" t="s">
        <v>622</v>
      </c>
      <c r="E1084" t="s">
        <v>192</v>
      </c>
      <c r="F1084" t="s">
        <v>623</v>
      </c>
      <c r="G1084">
        <v>0</v>
      </c>
      <c r="H1084" t="s">
        <v>624</v>
      </c>
      <c r="I1084">
        <v>0</v>
      </c>
    </row>
    <row r="1085" spans="1:9">
      <c r="A1085">
        <v>2</v>
      </c>
      <c r="B1085" t="s">
        <v>661</v>
      </c>
      <c r="C1085" t="s">
        <v>289</v>
      </c>
      <c r="D1085" t="s">
        <v>618</v>
      </c>
      <c r="E1085">
        <v>5.4360135900339751E-2</v>
      </c>
    </row>
    <row r="1086" spans="1:9">
      <c r="A1086">
        <v>3</v>
      </c>
      <c r="B1086" t="s">
        <v>661</v>
      </c>
      <c r="C1086" t="s">
        <v>289</v>
      </c>
      <c r="D1086" t="s">
        <v>619</v>
      </c>
      <c r="E1086">
        <v>0</v>
      </c>
      <c r="F1086" t="s">
        <v>620</v>
      </c>
      <c r="H1086" t="s">
        <v>621</v>
      </c>
      <c r="I1086">
        <v>0</v>
      </c>
    </row>
    <row r="1087" spans="1:9">
      <c r="A1087">
        <v>4</v>
      </c>
      <c r="B1087" t="s">
        <v>661</v>
      </c>
      <c r="C1087" t="s">
        <v>289</v>
      </c>
      <c r="D1087" t="s">
        <v>622</v>
      </c>
      <c r="E1087" t="s">
        <v>149</v>
      </c>
      <c r="F1087" t="s">
        <v>623</v>
      </c>
      <c r="G1087">
        <v>0</v>
      </c>
      <c r="H1087" t="s">
        <v>624</v>
      </c>
      <c r="I1087">
        <v>13.205728150604759</v>
      </c>
    </row>
    <row r="1088" spans="1:9">
      <c r="A1088">
        <v>2</v>
      </c>
      <c r="B1088" t="s">
        <v>661</v>
      </c>
      <c r="C1088" t="s">
        <v>314</v>
      </c>
      <c r="D1088" t="s">
        <v>618</v>
      </c>
      <c r="E1088">
        <v>2.2650056625141565E-2</v>
      </c>
    </row>
    <row r="1089" spans="1:9">
      <c r="A1089">
        <v>2</v>
      </c>
      <c r="B1089" t="s">
        <v>661</v>
      </c>
      <c r="C1089" t="s">
        <v>303</v>
      </c>
      <c r="D1089" t="s">
        <v>618</v>
      </c>
      <c r="E1089">
        <v>8.4937712344280866E-2</v>
      </c>
    </row>
    <row r="1090" spans="1:9">
      <c r="A1090">
        <v>3</v>
      </c>
      <c r="B1090" t="s">
        <v>661</v>
      </c>
      <c r="C1090" t="s">
        <v>303</v>
      </c>
      <c r="D1090" t="s">
        <v>619</v>
      </c>
      <c r="E1090">
        <v>0</v>
      </c>
      <c r="F1090" t="s">
        <v>620</v>
      </c>
      <c r="H1090" t="s">
        <v>621</v>
      </c>
      <c r="I1090">
        <v>0</v>
      </c>
    </row>
    <row r="1091" spans="1:9">
      <c r="A1091">
        <v>4</v>
      </c>
      <c r="B1091" t="s">
        <v>661</v>
      </c>
      <c r="C1091" t="s">
        <v>303</v>
      </c>
      <c r="D1091" t="s">
        <v>622</v>
      </c>
      <c r="E1091" t="s">
        <v>252</v>
      </c>
      <c r="F1091" t="s">
        <v>623</v>
      </c>
      <c r="G1091">
        <v>0</v>
      </c>
      <c r="H1091" t="s">
        <v>624</v>
      </c>
      <c r="I1091">
        <v>76.703123119173483</v>
      </c>
    </row>
    <row r="1092" spans="1:9">
      <c r="A1092">
        <v>1</v>
      </c>
      <c r="B1092" t="s">
        <v>662</v>
      </c>
      <c r="D1092" t="s">
        <v>616</v>
      </c>
      <c r="E1092">
        <v>1</v>
      </c>
      <c r="F1092" t="s">
        <v>617</v>
      </c>
      <c r="G1092">
        <v>0</v>
      </c>
    </row>
    <row r="1093" spans="1:9">
      <c r="A1093">
        <v>2</v>
      </c>
      <c r="B1093" t="s">
        <v>662</v>
      </c>
      <c r="C1093" t="s">
        <v>355</v>
      </c>
      <c r="D1093" t="s">
        <v>618</v>
      </c>
      <c r="E1093">
        <v>0.125</v>
      </c>
    </row>
    <row r="1094" spans="1:9">
      <c r="A1094">
        <v>3</v>
      </c>
      <c r="B1094" t="s">
        <v>662</v>
      </c>
      <c r="C1094" t="s">
        <v>355</v>
      </c>
      <c r="D1094" t="s">
        <v>619</v>
      </c>
      <c r="E1094">
        <v>0</v>
      </c>
      <c r="F1094" t="s">
        <v>620</v>
      </c>
      <c r="H1094" t="s">
        <v>621</v>
      </c>
      <c r="I1094">
        <v>0</v>
      </c>
    </row>
    <row r="1095" spans="1:9">
      <c r="A1095">
        <v>4</v>
      </c>
      <c r="B1095" t="s">
        <v>662</v>
      </c>
      <c r="C1095" t="s">
        <v>355</v>
      </c>
      <c r="D1095" t="s">
        <v>622</v>
      </c>
      <c r="E1095" t="s">
        <v>240</v>
      </c>
      <c r="F1095" t="s">
        <v>623</v>
      </c>
      <c r="G1095">
        <v>0</v>
      </c>
      <c r="H1095" t="s">
        <v>624</v>
      </c>
      <c r="I1095">
        <v>0.35430038510911427</v>
      </c>
    </row>
    <row r="1096" spans="1:9">
      <c r="A1096">
        <v>2</v>
      </c>
      <c r="B1096" t="s">
        <v>662</v>
      </c>
      <c r="C1096" t="s">
        <v>374</v>
      </c>
      <c r="D1096" t="s">
        <v>618</v>
      </c>
      <c r="E1096">
        <v>0.125</v>
      </c>
    </row>
    <row r="1097" spans="1:9">
      <c r="A1097">
        <v>3</v>
      </c>
      <c r="B1097" t="s">
        <v>662</v>
      </c>
      <c r="C1097" t="s">
        <v>374</v>
      </c>
      <c r="D1097" t="s">
        <v>619</v>
      </c>
      <c r="E1097">
        <v>0</v>
      </c>
      <c r="F1097" t="s">
        <v>620</v>
      </c>
      <c r="H1097" t="s">
        <v>621</v>
      </c>
      <c r="I1097">
        <v>0</v>
      </c>
    </row>
    <row r="1098" spans="1:9">
      <c r="A1098">
        <v>4</v>
      </c>
      <c r="B1098" t="s">
        <v>662</v>
      </c>
      <c r="C1098" t="s">
        <v>374</v>
      </c>
      <c r="D1098" t="s">
        <v>622</v>
      </c>
      <c r="E1098" t="s">
        <v>239</v>
      </c>
      <c r="F1098" t="s">
        <v>623</v>
      </c>
      <c r="G1098">
        <v>0</v>
      </c>
      <c r="H1098" t="s">
        <v>624</v>
      </c>
      <c r="I1098">
        <v>0</v>
      </c>
    </row>
    <row r="1099" spans="1:9">
      <c r="A1099">
        <v>2</v>
      </c>
      <c r="B1099" t="s">
        <v>662</v>
      </c>
      <c r="C1099" t="s">
        <v>329</v>
      </c>
      <c r="D1099" t="s">
        <v>618</v>
      </c>
      <c r="E1099">
        <v>0.5</v>
      </c>
    </row>
    <row r="1100" spans="1:9">
      <c r="A1100">
        <v>3</v>
      </c>
      <c r="B1100" t="s">
        <v>662</v>
      </c>
      <c r="C1100" t="s">
        <v>329</v>
      </c>
      <c r="D1100" t="s">
        <v>619</v>
      </c>
      <c r="E1100">
        <v>0</v>
      </c>
      <c r="F1100" t="s">
        <v>620</v>
      </c>
      <c r="H1100" t="s">
        <v>621</v>
      </c>
      <c r="I1100">
        <v>0</v>
      </c>
    </row>
    <row r="1101" spans="1:9">
      <c r="A1101">
        <v>4</v>
      </c>
      <c r="B1101" t="s">
        <v>662</v>
      </c>
      <c r="C1101" t="s">
        <v>329</v>
      </c>
      <c r="D1101" t="s">
        <v>622</v>
      </c>
      <c r="E1101" t="s">
        <v>204</v>
      </c>
      <c r="F1101" t="s">
        <v>623</v>
      </c>
      <c r="G1101">
        <v>0</v>
      </c>
      <c r="H1101" t="s">
        <v>624</v>
      </c>
      <c r="I1101">
        <v>3.5372211811642384</v>
      </c>
    </row>
    <row r="1102" spans="1:9">
      <c r="A1102">
        <v>2</v>
      </c>
      <c r="B1102" t="s">
        <v>662</v>
      </c>
      <c r="C1102" t="s">
        <v>303</v>
      </c>
      <c r="D1102" t="s">
        <v>618</v>
      </c>
      <c r="E1102">
        <v>0.25</v>
      </c>
    </row>
    <row r="1103" spans="1:9">
      <c r="A1103">
        <v>3</v>
      </c>
      <c r="B1103" t="s">
        <v>662</v>
      </c>
      <c r="C1103" t="s">
        <v>303</v>
      </c>
      <c r="D1103" t="s">
        <v>619</v>
      </c>
      <c r="E1103">
        <v>0</v>
      </c>
      <c r="F1103" t="s">
        <v>620</v>
      </c>
      <c r="H1103" t="s">
        <v>621</v>
      </c>
      <c r="I1103">
        <v>0</v>
      </c>
    </row>
    <row r="1104" spans="1:9">
      <c r="A1104">
        <v>4</v>
      </c>
      <c r="B1104" t="s">
        <v>662</v>
      </c>
      <c r="C1104" t="s">
        <v>303</v>
      </c>
      <c r="D1104" t="s">
        <v>622</v>
      </c>
      <c r="E1104" t="s">
        <v>252</v>
      </c>
      <c r="F1104" t="s">
        <v>623</v>
      </c>
      <c r="G1104">
        <v>0</v>
      </c>
      <c r="H1104" t="s">
        <v>624</v>
      </c>
      <c r="I1104">
        <v>76.703123119173483</v>
      </c>
    </row>
    <row r="1105" spans="1:9">
      <c r="A1105">
        <v>1</v>
      </c>
      <c r="B1105" t="s">
        <v>663</v>
      </c>
      <c r="D1105" t="s">
        <v>616</v>
      </c>
      <c r="E1105">
        <v>1</v>
      </c>
      <c r="F1105" t="s">
        <v>617</v>
      </c>
      <c r="G1105">
        <v>0</v>
      </c>
    </row>
    <row r="1106" spans="1:9">
      <c r="A1106">
        <v>2</v>
      </c>
      <c r="B1106" t="s">
        <v>663</v>
      </c>
      <c r="C1106" t="s">
        <v>290</v>
      </c>
      <c r="D1106" t="s">
        <v>618</v>
      </c>
      <c r="E1106">
        <v>0.25641025641025639</v>
      </c>
    </row>
    <row r="1107" spans="1:9">
      <c r="A1107">
        <v>3</v>
      </c>
      <c r="B1107" t="s">
        <v>663</v>
      </c>
      <c r="C1107" t="s">
        <v>290</v>
      </c>
      <c r="D1107" t="s">
        <v>619</v>
      </c>
      <c r="E1107">
        <v>0</v>
      </c>
      <c r="F1107" t="s">
        <v>620</v>
      </c>
      <c r="H1107" t="s">
        <v>621</v>
      </c>
      <c r="I1107">
        <v>0</v>
      </c>
    </row>
    <row r="1108" spans="1:9">
      <c r="A1108">
        <v>4</v>
      </c>
      <c r="B1108" t="s">
        <v>663</v>
      </c>
      <c r="C1108" t="s">
        <v>290</v>
      </c>
      <c r="D1108" t="s">
        <v>622</v>
      </c>
      <c r="E1108" t="s">
        <v>151</v>
      </c>
      <c r="F1108" t="s">
        <v>623</v>
      </c>
      <c r="G1108">
        <v>0</v>
      </c>
      <c r="H1108" t="s">
        <v>624</v>
      </c>
      <c r="I1108">
        <v>57.471816171699686</v>
      </c>
    </row>
    <row r="1109" spans="1:9">
      <c r="A1109">
        <v>2</v>
      </c>
      <c r="B1109" t="s">
        <v>663</v>
      </c>
      <c r="C1109" t="s">
        <v>411</v>
      </c>
      <c r="D1109" t="s">
        <v>618</v>
      </c>
      <c r="E1109">
        <v>0.20512820512820512</v>
      </c>
    </row>
    <row r="1110" spans="1:9">
      <c r="A1110">
        <v>3</v>
      </c>
      <c r="B1110" t="s">
        <v>663</v>
      </c>
      <c r="C1110" t="s">
        <v>411</v>
      </c>
      <c r="D1110" t="s">
        <v>619</v>
      </c>
      <c r="E1110">
        <v>0</v>
      </c>
      <c r="F1110" t="s">
        <v>620</v>
      </c>
      <c r="H1110" t="s">
        <v>621</v>
      </c>
      <c r="I1110">
        <v>0</v>
      </c>
    </row>
    <row r="1111" spans="1:9">
      <c r="A1111">
        <v>4</v>
      </c>
      <c r="B1111" t="s">
        <v>663</v>
      </c>
      <c r="C1111" t="s">
        <v>411</v>
      </c>
      <c r="D1111" t="s">
        <v>622</v>
      </c>
      <c r="E1111" t="s">
        <v>148</v>
      </c>
      <c r="F1111" t="s">
        <v>623</v>
      </c>
      <c r="G1111">
        <v>0</v>
      </c>
      <c r="H1111" t="s">
        <v>624</v>
      </c>
      <c r="I1111">
        <v>0</v>
      </c>
    </row>
    <row r="1112" spans="1:9">
      <c r="A1112">
        <v>2</v>
      </c>
      <c r="B1112" t="s">
        <v>663</v>
      </c>
      <c r="C1112" t="s">
        <v>304</v>
      </c>
      <c r="D1112" t="s">
        <v>618</v>
      </c>
      <c r="E1112">
        <v>5.128205128205128E-2</v>
      </c>
    </row>
    <row r="1113" spans="1:9">
      <c r="A1113">
        <v>3</v>
      </c>
      <c r="B1113" t="s">
        <v>663</v>
      </c>
      <c r="C1113" t="s">
        <v>304</v>
      </c>
      <c r="D1113" t="s">
        <v>619</v>
      </c>
      <c r="E1113">
        <v>0</v>
      </c>
      <c r="F1113" t="s">
        <v>620</v>
      </c>
      <c r="H1113" t="s">
        <v>621</v>
      </c>
      <c r="I1113">
        <v>0</v>
      </c>
    </row>
    <row r="1114" spans="1:9">
      <c r="A1114">
        <v>4</v>
      </c>
      <c r="B1114" t="s">
        <v>663</v>
      </c>
      <c r="C1114" t="s">
        <v>304</v>
      </c>
      <c r="D1114" t="s">
        <v>622</v>
      </c>
      <c r="E1114" t="s">
        <v>155</v>
      </c>
      <c r="F1114" t="s">
        <v>623</v>
      </c>
      <c r="G1114">
        <v>0</v>
      </c>
      <c r="H1114" t="s">
        <v>624</v>
      </c>
      <c r="I1114">
        <v>20.73352586254947</v>
      </c>
    </row>
    <row r="1115" spans="1:9">
      <c r="A1115">
        <v>2</v>
      </c>
      <c r="B1115" t="s">
        <v>663</v>
      </c>
      <c r="C1115" t="s">
        <v>313</v>
      </c>
      <c r="D1115" t="s">
        <v>618</v>
      </c>
      <c r="E1115">
        <v>5.128205128205128E-2</v>
      </c>
    </row>
    <row r="1116" spans="1:9">
      <c r="A1116">
        <v>3</v>
      </c>
      <c r="B1116" t="s">
        <v>663</v>
      </c>
      <c r="C1116" t="s">
        <v>313</v>
      </c>
      <c r="D1116" t="s">
        <v>619</v>
      </c>
      <c r="E1116">
        <v>0</v>
      </c>
      <c r="F1116" t="s">
        <v>620</v>
      </c>
      <c r="H1116" t="s">
        <v>621</v>
      </c>
      <c r="I1116">
        <v>0</v>
      </c>
    </row>
    <row r="1117" spans="1:9">
      <c r="A1117">
        <v>4</v>
      </c>
      <c r="B1117" t="s">
        <v>663</v>
      </c>
      <c r="C1117" t="s">
        <v>313</v>
      </c>
      <c r="D1117" t="s">
        <v>622</v>
      </c>
      <c r="E1117" t="s">
        <v>158</v>
      </c>
      <c r="F1117" t="s">
        <v>623</v>
      </c>
      <c r="G1117">
        <v>0</v>
      </c>
      <c r="H1117" t="s">
        <v>624</v>
      </c>
      <c r="I1117">
        <v>0.3214285714285714</v>
      </c>
    </row>
    <row r="1118" spans="1:9">
      <c r="A1118">
        <v>2</v>
      </c>
      <c r="B1118" t="s">
        <v>663</v>
      </c>
      <c r="C1118" t="s">
        <v>299</v>
      </c>
      <c r="D1118" t="s">
        <v>618</v>
      </c>
      <c r="E1118">
        <v>5.128205128205128E-2</v>
      </c>
    </row>
    <row r="1119" spans="1:9">
      <c r="A1119">
        <v>3</v>
      </c>
      <c r="B1119" t="s">
        <v>663</v>
      </c>
      <c r="C1119" t="s">
        <v>299</v>
      </c>
      <c r="D1119" t="s">
        <v>619</v>
      </c>
      <c r="E1119">
        <v>0</v>
      </c>
      <c r="F1119" t="s">
        <v>620</v>
      </c>
      <c r="H1119" t="s">
        <v>621</v>
      </c>
      <c r="I1119">
        <v>0</v>
      </c>
    </row>
    <row r="1120" spans="1:9">
      <c r="A1120">
        <v>4</v>
      </c>
      <c r="B1120" t="s">
        <v>663</v>
      </c>
      <c r="C1120" t="s">
        <v>299</v>
      </c>
      <c r="D1120" t="s">
        <v>622</v>
      </c>
      <c r="E1120" t="s">
        <v>168</v>
      </c>
      <c r="F1120" t="s">
        <v>623</v>
      </c>
      <c r="G1120">
        <v>0</v>
      </c>
      <c r="H1120" t="s">
        <v>624</v>
      </c>
      <c r="I1120">
        <v>23.796837550861156</v>
      </c>
    </row>
    <row r="1121" spans="1:9">
      <c r="A1121">
        <v>2</v>
      </c>
      <c r="B1121" t="s">
        <v>663</v>
      </c>
      <c r="C1121" t="s">
        <v>285</v>
      </c>
      <c r="D1121" t="s">
        <v>618</v>
      </c>
      <c r="E1121">
        <v>2.564102564102564E-2</v>
      </c>
    </row>
    <row r="1122" spans="1:9">
      <c r="A1122">
        <v>3</v>
      </c>
      <c r="B1122" t="s">
        <v>663</v>
      </c>
      <c r="C1122" t="s">
        <v>285</v>
      </c>
      <c r="D1122" t="s">
        <v>619</v>
      </c>
      <c r="E1122">
        <v>0</v>
      </c>
      <c r="F1122" t="s">
        <v>620</v>
      </c>
      <c r="H1122" t="s">
        <v>621</v>
      </c>
      <c r="I1122">
        <v>0</v>
      </c>
    </row>
    <row r="1123" spans="1:9">
      <c r="A1123">
        <v>4</v>
      </c>
      <c r="B1123" t="s">
        <v>663</v>
      </c>
      <c r="C1123" t="s">
        <v>285</v>
      </c>
      <c r="D1123" t="s">
        <v>622</v>
      </c>
      <c r="E1123" t="s">
        <v>129</v>
      </c>
      <c r="F1123" t="s">
        <v>623</v>
      </c>
      <c r="G1123">
        <v>0</v>
      </c>
      <c r="H1123" t="s">
        <v>624</v>
      </c>
      <c r="I1123">
        <v>5.3648068669527905E-2</v>
      </c>
    </row>
    <row r="1124" spans="1:9">
      <c r="A1124">
        <v>2</v>
      </c>
      <c r="B1124" t="s">
        <v>663</v>
      </c>
      <c r="C1124" t="s">
        <v>288</v>
      </c>
      <c r="D1124" t="s">
        <v>618</v>
      </c>
      <c r="E1124">
        <v>2.564102564102564E-2</v>
      </c>
    </row>
    <row r="1125" spans="1:9">
      <c r="A1125">
        <v>3</v>
      </c>
      <c r="B1125" t="s">
        <v>663</v>
      </c>
      <c r="C1125" t="s">
        <v>288</v>
      </c>
      <c r="D1125" t="s">
        <v>619</v>
      </c>
      <c r="E1125">
        <v>0</v>
      </c>
      <c r="F1125" t="s">
        <v>620</v>
      </c>
      <c r="H1125" t="s">
        <v>621</v>
      </c>
      <c r="I1125">
        <v>0</v>
      </c>
    </row>
    <row r="1126" spans="1:9">
      <c r="A1126">
        <v>4</v>
      </c>
      <c r="B1126" t="s">
        <v>663</v>
      </c>
      <c r="C1126" t="s">
        <v>288</v>
      </c>
      <c r="D1126" t="s">
        <v>622</v>
      </c>
      <c r="E1126" t="s">
        <v>145</v>
      </c>
      <c r="F1126" t="s">
        <v>623</v>
      </c>
      <c r="G1126">
        <v>0</v>
      </c>
      <c r="H1126" t="s">
        <v>624</v>
      </c>
      <c r="I1126">
        <v>2.6824034334763953E-2</v>
      </c>
    </row>
    <row r="1127" spans="1:9">
      <c r="A1127">
        <v>2</v>
      </c>
      <c r="B1127" t="s">
        <v>663</v>
      </c>
      <c r="C1127" t="s">
        <v>287</v>
      </c>
      <c r="D1127" t="s">
        <v>618</v>
      </c>
      <c r="E1127">
        <v>2.564102564102564E-2</v>
      </c>
    </row>
    <row r="1128" spans="1:9">
      <c r="A1128">
        <v>3</v>
      </c>
      <c r="B1128" t="s">
        <v>663</v>
      </c>
      <c r="C1128" t="s">
        <v>287</v>
      </c>
      <c r="D1128" t="s">
        <v>619</v>
      </c>
      <c r="E1128">
        <v>0</v>
      </c>
      <c r="F1128" t="s">
        <v>620</v>
      </c>
      <c r="H1128" t="s">
        <v>621</v>
      </c>
      <c r="I1128">
        <v>0</v>
      </c>
    </row>
    <row r="1129" spans="1:9">
      <c r="A1129">
        <v>4</v>
      </c>
      <c r="B1129" t="s">
        <v>663</v>
      </c>
      <c r="C1129" t="s">
        <v>287</v>
      </c>
      <c r="D1129" t="s">
        <v>622</v>
      </c>
      <c r="E1129" t="s">
        <v>242</v>
      </c>
      <c r="F1129" t="s">
        <v>623</v>
      </c>
      <c r="G1129">
        <v>0</v>
      </c>
      <c r="H1129" t="s">
        <v>624</v>
      </c>
      <c r="I1129">
        <v>0.48952469204615129</v>
      </c>
    </row>
    <row r="1130" spans="1:9">
      <c r="A1130">
        <v>2</v>
      </c>
      <c r="B1130" t="s">
        <v>663</v>
      </c>
      <c r="C1130" t="s">
        <v>283</v>
      </c>
      <c r="D1130" t="s">
        <v>618</v>
      </c>
      <c r="E1130">
        <v>5.128205128205128E-2</v>
      </c>
    </row>
    <row r="1131" spans="1:9">
      <c r="A1131">
        <v>3</v>
      </c>
      <c r="B1131" t="s">
        <v>663</v>
      </c>
      <c r="C1131" t="s">
        <v>283</v>
      </c>
      <c r="D1131" t="s">
        <v>619</v>
      </c>
      <c r="E1131">
        <v>0</v>
      </c>
      <c r="F1131" t="s">
        <v>620</v>
      </c>
      <c r="H1131" t="s">
        <v>621</v>
      </c>
      <c r="I1131">
        <v>0</v>
      </c>
    </row>
    <row r="1132" spans="1:9">
      <c r="A1132">
        <v>4</v>
      </c>
      <c r="B1132" t="s">
        <v>663</v>
      </c>
      <c r="C1132" t="s">
        <v>283</v>
      </c>
      <c r="D1132" t="s">
        <v>622</v>
      </c>
      <c r="E1132" t="s">
        <v>170</v>
      </c>
      <c r="F1132" t="s">
        <v>623</v>
      </c>
      <c r="G1132">
        <v>0</v>
      </c>
      <c r="H1132" t="s">
        <v>624</v>
      </c>
      <c r="I1132">
        <v>4.2918454935622331E-2</v>
      </c>
    </row>
    <row r="1133" spans="1:9">
      <c r="A1133">
        <v>2</v>
      </c>
      <c r="B1133" t="s">
        <v>663</v>
      </c>
      <c r="C1133" t="s">
        <v>325</v>
      </c>
      <c r="D1133" t="s">
        <v>618</v>
      </c>
      <c r="E1133">
        <v>5.128205128205128E-2</v>
      </c>
    </row>
    <row r="1134" spans="1:9">
      <c r="A1134">
        <v>3</v>
      </c>
      <c r="B1134" t="s">
        <v>663</v>
      </c>
      <c r="C1134" t="s">
        <v>325</v>
      </c>
      <c r="D1134" t="s">
        <v>619</v>
      </c>
      <c r="E1134">
        <v>0</v>
      </c>
      <c r="F1134" t="s">
        <v>620</v>
      </c>
      <c r="H1134" t="s">
        <v>621</v>
      </c>
      <c r="I1134">
        <v>0</v>
      </c>
    </row>
    <row r="1135" spans="1:9">
      <c r="A1135">
        <v>4</v>
      </c>
      <c r="B1135" t="s">
        <v>663</v>
      </c>
      <c r="C1135" t="s">
        <v>325</v>
      </c>
      <c r="D1135" t="s">
        <v>622</v>
      </c>
      <c r="E1135" t="s">
        <v>226</v>
      </c>
      <c r="F1135" t="s">
        <v>623</v>
      </c>
      <c r="G1135">
        <v>0</v>
      </c>
      <c r="H1135" t="s">
        <v>624</v>
      </c>
      <c r="I1135">
        <v>9.3283582089552244</v>
      </c>
    </row>
    <row r="1136" spans="1:9">
      <c r="A1136">
        <v>2</v>
      </c>
      <c r="B1136" t="s">
        <v>663</v>
      </c>
      <c r="C1136" t="s">
        <v>305</v>
      </c>
      <c r="D1136" t="s">
        <v>618</v>
      </c>
      <c r="E1136">
        <v>0.10256410256410256</v>
      </c>
    </row>
    <row r="1137" spans="1:9">
      <c r="A1137">
        <v>3</v>
      </c>
      <c r="B1137" t="s">
        <v>663</v>
      </c>
      <c r="C1137" t="s">
        <v>305</v>
      </c>
      <c r="D1137" t="s">
        <v>619</v>
      </c>
      <c r="E1137">
        <v>0</v>
      </c>
      <c r="F1137" t="s">
        <v>620</v>
      </c>
      <c r="H1137" t="s">
        <v>621</v>
      </c>
      <c r="I1137">
        <v>0</v>
      </c>
    </row>
    <row r="1138" spans="1:9">
      <c r="A1138">
        <v>4</v>
      </c>
      <c r="B1138" t="s">
        <v>663</v>
      </c>
      <c r="C1138" t="s">
        <v>305</v>
      </c>
      <c r="D1138" t="s">
        <v>622</v>
      </c>
      <c r="E1138" t="s">
        <v>176</v>
      </c>
      <c r="F1138" t="s">
        <v>623</v>
      </c>
      <c r="G1138">
        <v>0</v>
      </c>
      <c r="H1138" t="s">
        <v>624</v>
      </c>
      <c r="I1138">
        <v>262.7270518258087</v>
      </c>
    </row>
    <row r="1139" spans="1:9">
      <c r="A1139">
        <v>2</v>
      </c>
      <c r="B1139" t="s">
        <v>663</v>
      </c>
      <c r="C1139" t="s">
        <v>412</v>
      </c>
      <c r="D1139" t="s">
        <v>618</v>
      </c>
      <c r="E1139">
        <v>0.10256410256410256</v>
      </c>
    </row>
    <row r="1140" spans="1:9">
      <c r="A1140">
        <v>3</v>
      </c>
      <c r="B1140" t="s">
        <v>663</v>
      </c>
      <c r="C1140" t="s">
        <v>412</v>
      </c>
      <c r="D1140" t="s">
        <v>619</v>
      </c>
      <c r="E1140">
        <v>0</v>
      </c>
      <c r="F1140" t="s">
        <v>620</v>
      </c>
      <c r="H1140" t="s">
        <v>621</v>
      </c>
      <c r="I1140">
        <v>0</v>
      </c>
    </row>
    <row r="1141" spans="1:9">
      <c r="A1141">
        <v>4</v>
      </c>
      <c r="B1141" t="s">
        <v>663</v>
      </c>
      <c r="C1141" t="s">
        <v>412</v>
      </c>
      <c r="D1141" t="s">
        <v>622</v>
      </c>
      <c r="E1141" t="s">
        <v>162</v>
      </c>
      <c r="F1141" t="s">
        <v>623</v>
      </c>
      <c r="G1141">
        <v>0</v>
      </c>
      <c r="H1141" t="s">
        <v>624</v>
      </c>
      <c r="I1141">
        <v>0</v>
      </c>
    </row>
    <row r="1142" spans="1:9">
      <c r="A1142">
        <v>1</v>
      </c>
      <c r="B1142" t="s">
        <v>647</v>
      </c>
      <c r="D1142" t="s">
        <v>616</v>
      </c>
      <c r="E1142">
        <v>1</v>
      </c>
      <c r="F1142" t="s">
        <v>617</v>
      </c>
      <c r="G1142">
        <v>0</v>
      </c>
    </row>
    <row r="1143" spans="1:9">
      <c r="A1143">
        <v>2</v>
      </c>
      <c r="B1143" t="s">
        <v>647</v>
      </c>
      <c r="C1143" t="s">
        <v>290</v>
      </c>
      <c r="D1143" t="s">
        <v>618</v>
      </c>
      <c r="E1143">
        <v>0.22222222222222221</v>
      </c>
    </row>
    <row r="1144" spans="1:9">
      <c r="A1144">
        <v>3</v>
      </c>
      <c r="B1144" t="s">
        <v>647</v>
      </c>
      <c r="C1144" t="s">
        <v>290</v>
      </c>
      <c r="D1144" t="s">
        <v>619</v>
      </c>
      <c r="E1144">
        <v>0</v>
      </c>
      <c r="F1144" t="s">
        <v>620</v>
      </c>
      <c r="H1144" t="s">
        <v>621</v>
      </c>
      <c r="I1144">
        <v>0</v>
      </c>
    </row>
    <row r="1145" spans="1:9">
      <c r="A1145">
        <v>4</v>
      </c>
      <c r="B1145" t="s">
        <v>647</v>
      </c>
      <c r="C1145" t="s">
        <v>290</v>
      </c>
      <c r="D1145" t="s">
        <v>622</v>
      </c>
      <c r="E1145" t="s">
        <v>151</v>
      </c>
      <c r="F1145" t="s">
        <v>623</v>
      </c>
      <c r="G1145">
        <v>0</v>
      </c>
      <c r="H1145" t="s">
        <v>624</v>
      </c>
      <c r="I1145">
        <v>57.471816171699686</v>
      </c>
    </row>
    <row r="1146" spans="1:9">
      <c r="A1146">
        <v>2</v>
      </c>
      <c r="B1146" t="s">
        <v>647</v>
      </c>
      <c r="C1146" t="s">
        <v>303</v>
      </c>
      <c r="D1146" t="s">
        <v>618</v>
      </c>
      <c r="E1146">
        <v>0.1111111111111111</v>
      </c>
    </row>
    <row r="1147" spans="1:9">
      <c r="A1147">
        <v>3</v>
      </c>
      <c r="B1147" t="s">
        <v>647</v>
      </c>
      <c r="C1147" t="s">
        <v>303</v>
      </c>
      <c r="D1147" t="s">
        <v>619</v>
      </c>
      <c r="E1147">
        <v>0</v>
      </c>
      <c r="F1147" t="s">
        <v>620</v>
      </c>
      <c r="H1147" t="s">
        <v>621</v>
      </c>
      <c r="I1147">
        <v>0</v>
      </c>
    </row>
    <row r="1148" spans="1:9">
      <c r="A1148">
        <v>4</v>
      </c>
      <c r="B1148" t="s">
        <v>647</v>
      </c>
      <c r="C1148" t="s">
        <v>303</v>
      </c>
      <c r="D1148" t="s">
        <v>622</v>
      </c>
      <c r="E1148" t="s">
        <v>252</v>
      </c>
      <c r="F1148" t="s">
        <v>623</v>
      </c>
      <c r="G1148">
        <v>0</v>
      </c>
      <c r="H1148" t="s">
        <v>624</v>
      </c>
      <c r="I1148">
        <v>76.703123119173483</v>
      </c>
    </row>
    <row r="1149" spans="1:9">
      <c r="A1149">
        <v>2</v>
      </c>
      <c r="B1149" t="s">
        <v>647</v>
      </c>
      <c r="C1149" t="s">
        <v>376</v>
      </c>
      <c r="D1149" t="s">
        <v>618</v>
      </c>
      <c r="E1149">
        <v>0.22222222222222221</v>
      </c>
    </row>
    <row r="1150" spans="1:9">
      <c r="A1150">
        <v>3</v>
      </c>
      <c r="B1150" t="s">
        <v>647</v>
      </c>
      <c r="C1150" t="s">
        <v>376</v>
      </c>
      <c r="D1150" t="s">
        <v>619</v>
      </c>
      <c r="E1150">
        <v>0</v>
      </c>
      <c r="F1150" t="s">
        <v>620</v>
      </c>
      <c r="H1150" t="s">
        <v>621</v>
      </c>
      <c r="I1150">
        <v>0</v>
      </c>
    </row>
    <row r="1151" spans="1:9">
      <c r="A1151">
        <v>4</v>
      </c>
      <c r="B1151" t="s">
        <v>647</v>
      </c>
      <c r="C1151" t="s">
        <v>376</v>
      </c>
      <c r="D1151" t="s">
        <v>622</v>
      </c>
      <c r="E1151" t="s">
        <v>254</v>
      </c>
      <c r="F1151" t="s">
        <v>623</v>
      </c>
      <c r="G1151">
        <v>0</v>
      </c>
      <c r="H1151" t="s">
        <v>624</v>
      </c>
      <c r="I1151">
        <v>0</v>
      </c>
    </row>
    <row r="1152" spans="1:9">
      <c r="A1152">
        <v>2</v>
      </c>
      <c r="B1152" t="s">
        <v>647</v>
      </c>
      <c r="C1152" t="s">
        <v>326</v>
      </c>
      <c r="D1152" t="s">
        <v>618</v>
      </c>
      <c r="E1152">
        <v>0.22222222222222221</v>
      </c>
    </row>
    <row r="1153" spans="1:9">
      <c r="A1153">
        <v>3</v>
      </c>
      <c r="B1153" t="s">
        <v>647</v>
      </c>
      <c r="C1153" t="s">
        <v>326</v>
      </c>
      <c r="D1153" t="s">
        <v>619</v>
      </c>
      <c r="E1153">
        <v>0</v>
      </c>
      <c r="F1153" t="s">
        <v>620</v>
      </c>
      <c r="H1153" t="s">
        <v>621</v>
      </c>
      <c r="I1153">
        <v>0</v>
      </c>
    </row>
    <row r="1154" spans="1:9">
      <c r="A1154">
        <v>4</v>
      </c>
      <c r="B1154" t="s">
        <v>647</v>
      </c>
      <c r="C1154" t="s">
        <v>326</v>
      </c>
      <c r="D1154" t="s">
        <v>622</v>
      </c>
      <c r="E1154" t="s">
        <v>219</v>
      </c>
      <c r="F1154" t="s">
        <v>623</v>
      </c>
      <c r="G1154">
        <v>0</v>
      </c>
      <c r="H1154" t="s">
        <v>624</v>
      </c>
      <c r="I1154">
        <v>0.5524861878453039</v>
      </c>
    </row>
    <row r="1155" spans="1:9">
      <c r="A1155">
        <v>2</v>
      </c>
      <c r="B1155" t="s">
        <v>647</v>
      </c>
      <c r="C1155" t="s">
        <v>371</v>
      </c>
      <c r="D1155" t="s">
        <v>618</v>
      </c>
      <c r="E1155">
        <v>0.22222222222222221</v>
      </c>
    </row>
    <row r="1156" spans="1:9">
      <c r="A1156">
        <v>3</v>
      </c>
      <c r="B1156" t="s">
        <v>647</v>
      </c>
      <c r="C1156" t="s">
        <v>371</v>
      </c>
      <c r="D1156" t="s">
        <v>619</v>
      </c>
      <c r="E1156">
        <v>0</v>
      </c>
      <c r="F1156" t="s">
        <v>620</v>
      </c>
      <c r="H1156" t="s">
        <v>621</v>
      </c>
      <c r="I1156">
        <v>0</v>
      </c>
    </row>
    <row r="1157" spans="1:9">
      <c r="A1157">
        <v>4</v>
      </c>
      <c r="B1157" t="s">
        <v>647</v>
      </c>
      <c r="C1157" t="s">
        <v>371</v>
      </c>
      <c r="D1157" t="s">
        <v>622</v>
      </c>
      <c r="E1157" t="s">
        <v>259</v>
      </c>
      <c r="F1157" t="s">
        <v>623</v>
      </c>
      <c r="G1157">
        <v>0</v>
      </c>
      <c r="H1157" t="s">
        <v>624</v>
      </c>
      <c r="I1157">
        <v>0</v>
      </c>
    </row>
    <row r="1158" spans="1:9">
      <c r="A1158">
        <v>1</v>
      </c>
      <c r="B1158" t="s">
        <v>664</v>
      </c>
      <c r="D1158" t="s">
        <v>616</v>
      </c>
      <c r="E1158">
        <v>1</v>
      </c>
      <c r="F1158" t="s">
        <v>617</v>
      </c>
      <c r="G1158">
        <v>0</v>
      </c>
    </row>
    <row r="1159" spans="1:9">
      <c r="A1159">
        <v>2</v>
      </c>
      <c r="B1159" t="s">
        <v>664</v>
      </c>
      <c r="C1159" t="s">
        <v>339</v>
      </c>
      <c r="D1159" t="s">
        <v>618</v>
      </c>
      <c r="E1159">
        <v>5.7553956834532377E-2</v>
      </c>
    </row>
    <row r="1160" spans="1:9">
      <c r="A1160">
        <v>3</v>
      </c>
      <c r="B1160" t="s">
        <v>664</v>
      </c>
      <c r="C1160" t="s">
        <v>339</v>
      </c>
      <c r="D1160" t="s">
        <v>619</v>
      </c>
      <c r="E1160">
        <v>0</v>
      </c>
      <c r="F1160" t="s">
        <v>620</v>
      </c>
      <c r="H1160" t="s">
        <v>621</v>
      </c>
      <c r="I1160">
        <v>0</v>
      </c>
    </row>
    <row r="1161" spans="1:9">
      <c r="A1161">
        <v>4</v>
      </c>
      <c r="B1161" t="s">
        <v>664</v>
      </c>
      <c r="C1161" t="s">
        <v>339</v>
      </c>
      <c r="D1161" t="s">
        <v>622</v>
      </c>
      <c r="E1161" t="s">
        <v>119</v>
      </c>
      <c r="F1161" t="s">
        <v>623</v>
      </c>
      <c r="G1161">
        <v>0</v>
      </c>
      <c r="H1161" t="s">
        <v>624</v>
      </c>
      <c r="I1161">
        <v>3.8079793496672565</v>
      </c>
    </row>
    <row r="1162" spans="1:9">
      <c r="A1162">
        <v>2</v>
      </c>
      <c r="B1162" t="s">
        <v>664</v>
      </c>
      <c r="C1162" t="s">
        <v>283</v>
      </c>
      <c r="D1162" t="s">
        <v>618</v>
      </c>
      <c r="E1162">
        <v>1.0071942446043166E-2</v>
      </c>
    </row>
    <row r="1163" spans="1:9">
      <c r="A1163">
        <v>3</v>
      </c>
      <c r="B1163" t="s">
        <v>664</v>
      </c>
      <c r="C1163" t="s">
        <v>283</v>
      </c>
      <c r="D1163" t="s">
        <v>619</v>
      </c>
      <c r="E1163">
        <v>0</v>
      </c>
      <c r="F1163" t="s">
        <v>620</v>
      </c>
      <c r="H1163" t="s">
        <v>621</v>
      </c>
      <c r="I1163">
        <v>0</v>
      </c>
    </row>
    <row r="1164" spans="1:9">
      <c r="A1164">
        <v>4</v>
      </c>
      <c r="B1164" t="s">
        <v>664</v>
      </c>
      <c r="C1164" t="s">
        <v>283</v>
      </c>
      <c r="D1164" t="s">
        <v>622</v>
      </c>
      <c r="E1164" t="s">
        <v>170</v>
      </c>
      <c r="F1164" t="s">
        <v>623</v>
      </c>
      <c r="G1164">
        <v>0</v>
      </c>
      <c r="H1164" t="s">
        <v>624</v>
      </c>
      <c r="I1164">
        <v>4.2918454935622331E-2</v>
      </c>
    </row>
    <row r="1165" spans="1:9">
      <c r="A1165">
        <v>2</v>
      </c>
      <c r="B1165" t="s">
        <v>664</v>
      </c>
      <c r="C1165" t="s">
        <v>289</v>
      </c>
      <c r="D1165" t="s">
        <v>618</v>
      </c>
      <c r="E1165">
        <v>1.1510791366906475E-2</v>
      </c>
    </row>
    <row r="1166" spans="1:9">
      <c r="A1166">
        <v>3</v>
      </c>
      <c r="B1166" t="s">
        <v>664</v>
      </c>
      <c r="C1166" t="s">
        <v>289</v>
      </c>
      <c r="D1166" t="s">
        <v>619</v>
      </c>
      <c r="E1166">
        <v>0</v>
      </c>
      <c r="F1166" t="s">
        <v>620</v>
      </c>
      <c r="H1166" t="s">
        <v>621</v>
      </c>
      <c r="I1166">
        <v>0</v>
      </c>
    </row>
    <row r="1167" spans="1:9">
      <c r="A1167">
        <v>4</v>
      </c>
      <c r="B1167" t="s">
        <v>664</v>
      </c>
      <c r="C1167" t="s">
        <v>289</v>
      </c>
      <c r="D1167" t="s">
        <v>622</v>
      </c>
      <c r="E1167" t="s">
        <v>149</v>
      </c>
      <c r="F1167" t="s">
        <v>623</v>
      </c>
      <c r="G1167">
        <v>0</v>
      </c>
      <c r="H1167" t="s">
        <v>624</v>
      </c>
      <c r="I1167">
        <v>13.205728150604759</v>
      </c>
    </row>
    <row r="1168" spans="1:9">
      <c r="A1168">
        <v>2</v>
      </c>
      <c r="B1168" t="s">
        <v>664</v>
      </c>
      <c r="C1168" t="s">
        <v>290</v>
      </c>
      <c r="D1168" t="s">
        <v>618</v>
      </c>
      <c r="E1168">
        <v>4.7961630695443642E-3</v>
      </c>
    </row>
    <row r="1169" spans="1:9">
      <c r="A1169">
        <v>3</v>
      </c>
      <c r="B1169" t="s">
        <v>664</v>
      </c>
      <c r="C1169" t="s">
        <v>290</v>
      </c>
      <c r="D1169" t="s">
        <v>619</v>
      </c>
      <c r="E1169">
        <v>0</v>
      </c>
      <c r="F1169" t="s">
        <v>620</v>
      </c>
      <c r="H1169" t="s">
        <v>621</v>
      </c>
      <c r="I1169">
        <v>0</v>
      </c>
    </row>
    <row r="1170" spans="1:9">
      <c r="A1170">
        <v>4</v>
      </c>
      <c r="B1170" t="s">
        <v>664</v>
      </c>
      <c r="C1170" t="s">
        <v>290</v>
      </c>
      <c r="D1170" t="s">
        <v>622</v>
      </c>
      <c r="E1170" t="s">
        <v>151</v>
      </c>
      <c r="F1170" t="s">
        <v>623</v>
      </c>
      <c r="G1170">
        <v>0</v>
      </c>
      <c r="H1170" t="s">
        <v>624</v>
      </c>
      <c r="I1170">
        <v>57.471816171699686</v>
      </c>
    </row>
    <row r="1171" spans="1:9">
      <c r="A1171">
        <v>2</v>
      </c>
      <c r="B1171" t="s">
        <v>664</v>
      </c>
      <c r="C1171" t="s">
        <v>413</v>
      </c>
      <c r="D1171" t="s">
        <v>618</v>
      </c>
      <c r="E1171">
        <v>0.14388489208633093</v>
      </c>
    </row>
    <row r="1172" spans="1:9">
      <c r="A1172">
        <v>3</v>
      </c>
      <c r="B1172" t="s">
        <v>664</v>
      </c>
      <c r="C1172" t="s">
        <v>413</v>
      </c>
      <c r="D1172" t="s">
        <v>619</v>
      </c>
      <c r="E1172">
        <v>0</v>
      </c>
      <c r="F1172" t="s">
        <v>620</v>
      </c>
      <c r="H1172" t="s">
        <v>621</v>
      </c>
      <c r="I1172">
        <v>0</v>
      </c>
    </row>
    <row r="1173" spans="1:9">
      <c r="A1173">
        <v>4</v>
      </c>
      <c r="B1173" t="s">
        <v>664</v>
      </c>
      <c r="C1173" t="s">
        <v>413</v>
      </c>
      <c r="D1173" t="s">
        <v>622</v>
      </c>
      <c r="E1173" t="s">
        <v>236</v>
      </c>
      <c r="F1173" t="s">
        <v>623</v>
      </c>
      <c r="G1173">
        <v>0</v>
      </c>
      <c r="H1173" t="s">
        <v>624</v>
      </c>
      <c r="I1173">
        <v>0</v>
      </c>
    </row>
    <row r="1174" spans="1:9">
      <c r="A1174">
        <v>2</v>
      </c>
      <c r="B1174" t="s">
        <v>664</v>
      </c>
      <c r="C1174" t="s">
        <v>411</v>
      </c>
      <c r="D1174" t="s">
        <v>618</v>
      </c>
      <c r="E1174">
        <v>0.23980815347721823</v>
      </c>
    </row>
    <row r="1175" spans="1:9">
      <c r="A1175">
        <v>3</v>
      </c>
      <c r="B1175" t="s">
        <v>664</v>
      </c>
      <c r="C1175" t="s">
        <v>411</v>
      </c>
      <c r="D1175" t="s">
        <v>619</v>
      </c>
      <c r="E1175">
        <v>0</v>
      </c>
      <c r="F1175" t="s">
        <v>620</v>
      </c>
      <c r="H1175" t="s">
        <v>621</v>
      </c>
      <c r="I1175">
        <v>0</v>
      </c>
    </row>
    <row r="1176" spans="1:9">
      <c r="A1176">
        <v>4</v>
      </c>
      <c r="B1176" t="s">
        <v>664</v>
      </c>
      <c r="C1176" t="s">
        <v>411</v>
      </c>
      <c r="D1176" t="s">
        <v>622</v>
      </c>
      <c r="E1176" t="s">
        <v>148</v>
      </c>
      <c r="F1176" t="s">
        <v>623</v>
      </c>
      <c r="G1176">
        <v>0</v>
      </c>
      <c r="H1176" t="s">
        <v>624</v>
      </c>
      <c r="I1176">
        <v>0</v>
      </c>
    </row>
    <row r="1177" spans="1:9">
      <c r="A1177">
        <v>2</v>
      </c>
      <c r="B1177" t="s">
        <v>664</v>
      </c>
      <c r="C1177" t="s">
        <v>327</v>
      </c>
      <c r="D1177" t="s">
        <v>618</v>
      </c>
      <c r="E1177">
        <v>0.23980815347721823</v>
      </c>
    </row>
    <row r="1178" spans="1:9">
      <c r="A1178">
        <v>3</v>
      </c>
      <c r="B1178" t="s">
        <v>664</v>
      </c>
      <c r="C1178" t="s">
        <v>327</v>
      </c>
      <c r="D1178" t="s">
        <v>619</v>
      </c>
      <c r="E1178">
        <v>0</v>
      </c>
      <c r="F1178" t="s">
        <v>620</v>
      </c>
      <c r="H1178" t="s">
        <v>621</v>
      </c>
      <c r="I1178">
        <v>0</v>
      </c>
    </row>
    <row r="1179" spans="1:9">
      <c r="A1179">
        <v>4</v>
      </c>
      <c r="B1179" t="s">
        <v>664</v>
      </c>
      <c r="C1179" t="s">
        <v>327</v>
      </c>
      <c r="D1179" t="s">
        <v>622</v>
      </c>
      <c r="E1179" t="s">
        <v>222</v>
      </c>
      <c r="F1179" t="s">
        <v>623</v>
      </c>
      <c r="G1179">
        <v>0</v>
      </c>
      <c r="H1179" t="s">
        <v>624</v>
      </c>
      <c r="I1179">
        <v>0</v>
      </c>
    </row>
    <row r="1180" spans="1:9">
      <c r="A1180">
        <v>2</v>
      </c>
      <c r="B1180" t="s">
        <v>664</v>
      </c>
      <c r="C1180" t="s">
        <v>341</v>
      </c>
      <c r="D1180" t="s">
        <v>618</v>
      </c>
      <c r="E1180">
        <v>7.6738609112709827E-2</v>
      </c>
    </row>
    <row r="1181" spans="1:9">
      <c r="A1181">
        <v>3</v>
      </c>
      <c r="B1181" t="s">
        <v>664</v>
      </c>
      <c r="C1181" t="s">
        <v>341</v>
      </c>
      <c r="D1181" t="s">
        <v>619</v>
      </c>
      <c r="E1181">
        <v>0</v>
      </c>
      <c r="F1181" t="s">
        <v>620</v>
      </c>
      <c r="H1181" t="s">
        <v>621</v>
      </c>
      <c r="I1181">
        <v>0</v>
      </c>
    </row>
    <row r="1182" spans="1:9">
      <c r="A1182">
        <v>4</v>
      </c>
      <c r="B1182" t="s">
        <v>664</v>
      </c>
      <c r="C1182" t="s">
        <v>341</v>
      </c>
      <c r="D1182" t="s">
        <v>622</v>
      </c>
      <c r="E1182" t="s">
        <v>192</v>
      </c>
      <c r="F1182" t="s">
        <v>623</v>
      </c>
      <c r="G1182">
        <v>0</v>
      </c>
      <c r="H1182" t="s">
        <v>624</v>
      </c>
      <c r="I1182">
        <v>0</v>
      </c>
    </row>
    <row r="1183" spans="1:9">
      <c r="A1183">
        <v>2</v>
      </c>
      <c r="B1183" t="s">
        <v>664</v>
      </c>
      <c r="C1183" t="s">
        <v>382</v>
      </c>
      <c r="D1183" t="s">
        <v>618</v>
      </c>
      <c r="E1183">
        <v>0.21582733812949639</v>
      </c>
    </row>
    <row r="1184" spans="1:9">
      <c r="A1184">
        <v>3</v>
      </c>
      <c r="B1184" t="s">
        <v>664</v>
      </c>
      <c r="C1184" t="s">
        <v>382</v>
      </c>
      <c r="D1184" t="s">
        <v>619</v>
      </c>
      <c r="E1184">
        <v>0</v>
      </c>
      <c r="F1184" t="s">
        <v>620</v>
      </c>
      <c r="H1184" t="s">
        <v>621</v>
      </c>
      <c r="I1184">
        <v>0</v>
      </c>
    </row>
    <row r="1185" spans="1:9">
      <c r="A1185">
        <v>4</v>
      </c>
      <c r="B1185" t="s">
        <v>664</v>
      </c>
      <c r="C1185" t="s">
        <v>382</v>
      </c>
      <c r="D1185" t="s">
        <v>622</v>
      </c>
      <c r="E1185" t="s">
        <v>141</v>
      </c>
      <c r="F1185" t="s">
        <v>623</v>
      </c>
      <c r="G1185">
        <v>0</v>
      </c>
      <c r="H1185" t="s">
        <v>624</v>
      </c>
      <c r="I1185">
        <v>0</v>
      </c>
    </row>
    <row r="1186" spans="1:9">
      <c r="A1186">
        <v>3</v>
      </c>
      <c r="B1186" t="s">
        <v>649</v>
      </c>
      <c r="C1186" t="s">
        <v>665</v>
      </c>
      <c r="D1186" t="s">
        <v>619</v>
      </c>
      <c r="E1186">
        <v>0</v>
      </c>
      <c r="F1186" t="s">
        <v>620</v>
      </c>
      <c r="G1186">
        <v>90</v>
      </c>
      <c r="H1186" t="s">
        <v>621</v>
      </c>
      <c r="I1186">
        <v>0</v>
      </c>
    </row>
    <row r="1187" spans="1:9">
      <c r="A1187">
        <v>4</v>
      </c>
      <c r="B1187" t="s">
        <v>649</v>
      </c>
      <c r="C1187" t="s">
        <v>665</v>
      </c>
      <c r="D1187" t="s">
        <v>622</v>
      </c>
      <c r="E1187" t="s">
        <v>153</v>
      </c>
      <c r="F1187" t="s">
        <v>623</v>
      </c>
      <c r="G1187">
        <v>0</v>
      </c>
      <c r="H1187" t="s">
        <v>624</v>
      </c>
      <c r="I1187">
        <v>0</v>
      </c>
    </row>
    <row r="1188" spans="1:9">
      <c r="A1188">
        <v>2</v>
      </c>
      <c r="B1188" t="s">
        <v>649</v>
      </c>
      <c r="C1188" t="s">
        <v>242</v>
      </c>
      <c r="D1188" t="s">
        <v>618</v>
      </c>
      <c r="E1188">
        <v>0.23809523809523808</v>
      </c>
    </row>
    <row r="1189" spans="1:9">
      <c r="A1189">
        <v>3</v>
      </c>
      <c r="B1189" t="s">
        <v>649</v>
      </c>
      <c r="C1189" t="s">
        <v>242</v>
      </c>
      <c r="D1189" t="s">
        <v>619</v>
      </c>
      <c r="E1189">
        <v>0</v>
      </c>
      <c r="F1189" t="s">
        <v>620</v>
      </c>
      <c r="G1189">
        <v>100</v>
      </c>
      <c r="H1189" t="s">
        <v>621</v>
      </c>
      <c r="I1189">
        <v>0</v>
      </c>
    </row>
    <row r="1190" spans="1:9">
      <c r="A1190">
        <v>4</v>
      </c>
      <c r="B1190" t="s">
        <v>649</v>
      </c>
      <c r="C1190" t="s">
        <v>242</v>
      </c>
      <c r="D1190" t="s">
        <v>622</v>
      </c>
      <c r="E1190" t="s">
        <v>242</v>
      </c>
      <c r="F1190" t="s">
        <v>623</v>
      </c>
      <c r="G1190">
        <v>0</v>
      </c>
      <c r="H1190" t="s">
        <v>624</v>
      </c>
      <c r="I1190">
        <v>55</v>
      </c>
    </row>
    <row r="1191" spans="1:9">
      <c r="A1191">
        <v>2</v>
      </c>
      <c r="B1191" t="s">
        <v>649</v>
      </c>
      <c r="C1191" t="s">
        <v>202</v>
      </c>
      <c r="D1191" t="s">
        <v>618</v>
      </c>
      <c r="E1191">
        <v>6.6666666666666666E-2</v>
      </c>
    </row>
    <row r="1192" spans="1:9">
      <c r="A1192">
        <v>3</v>
      </c>
      <c r="B1192" t="s">
        <v>649</v>
      </c>
      <c r="C1192" t="s">
        <v>202</v>
      </c>
      <c r="D1192" t="s">
        <v>619</v>
      </c>
      <c r="E1192">
        <v>0</v>
      </c>
      <c r="F1192" t="s">
        <v>620</v>
      </c>
      <c r="G1192">
        <v>10</v>
      </c>
      <c r="H1192" t="s">
        <v>621</v>
      </c>
      <c r="I1192">
        <v>0</v>
      </c>
    </row>
    <row r="1193" spans="1:9">
      <c r="A1193">
        <v>4</v>
      </c>
      <c r="B1193" t="s">
        <v>649</v>
      </c>
      <c r="C1193" t="s">
        <v>202</v>
      </c>
      <c r="D1193" t="s">
        <v>622</v>
      </c>
      <c r="E1193" t="s">
        <v>202</v>
      </c>
      <c r="F1193" t="s">
        <v>623</v>
      </c>
      <c r="G1193">
        <v>0</v>
      </c>
      <c r="H1193" t="s">
        <v>624</v>
      </c>
      <c r="I1193">
        <v>0</v>
      </c>
    </row>
    <row r="1194" spans="1:9">
      <c r="A1194">
        <v>2</v>
      </c>
      <c r="B1194" t="s">
        <v>649</v>
      </c>
      <c r="C1194" t="s">
        <v>145</v>
      </c>
      <c r="D1194" t="s">
        <v>618</v>
      </c>
      <c r="E1194">
        <v>9.5238095238095233E-2</v>
      </c>
    </row>
    <row r="1195" spans="1:9">
      <c r="A1195">
        <v>3</v>
      </c>
      <c r="B1195" t="s">
        <v>649</v>
      </c>
      <c r="C1195" t="s">
        <v>145</v>
      </c>
      <c r="D1195" t="s">
        <v>619</v>
      </c>
      <c r="E1195">
        <v>0</v>
      </c>
      <c r="F1195" t="s">
        <v>620</v>
      </c>
      <c r="G1195">
        <v>100</v>
      </c>
      <c r="H1195" t="s">
        <v>621</v>
      </c>
      <c r="I1195">
        <v>0</v>
      </c>
    </row>
    <row r="1196" spans="1:9">
      <c r="A1196">
        <v>4</v>
      </c>
      <c r="B1196" t="s">
        <v>649</v>
      </c>
      <c r="C1196" t="s">
        <v>145</v>
      </c>
      <c r="D1196" t="s">
        <v>622</v>
      </c>
      <c r="E1196" t="s">
        <v>145</v>
      </c>
      <c r="F1196" t="s">
        <v>623</v>
      </c>
      <c r="G1196">
        <v>0</v>
      </c>
      <c r="H1196" t="s">
        <v>624</v>
      </c>
      <c r="I1196">
        <v>12.5</v>
      </c>
    </row>
    <row r="1197" spans="1:9">
      <c r="A1197">
        <v>2</v>
      </c>
      <c r="B1197" t="s">
        <v>649</v>
      </c>
      <c r="C1197" t="s">
        <v>211</v>
      </c>
      <c r="D1197" t="s">
        <v>618</v>
      </c>
      <c r="E1197">
        <v>2.8571428571428571E-2</v>
      </c>
    </row>
    <row r="1198" spans="1:9">
      <c r="A1198">
        <v>3</v>
      </c>
      <c r="B1198" t="s">
        <v>649</v>
      </c>
      <c r="C1198" t="s">
        <v>211</v>
      </c>
      <c r="D1198" t="s">
        <v>619</v>
      </c>
      <c r="E1198">
        <v>0</v>
      </c>
      <c r="F1198" t="s">
        <v>620</v>
      </c>
      <c r="G1198">
        <v>85</v>
      </c>
      <c r="H1198" t="s">
        <v>621</v>
      </c>
      <c r="I1198">
        <v>0</v>
      </c>
    </row>
    <row r="1199" spans="1:9">
      <c r="A1199">
        <v>4</v>
      </c>
      <c r="B1199" t="s">
        <v>649</v>
      </c>
      <c r="C1199" t="s">
        <v>211</v>
      </c>
      <c r="D1199" t="s">
        <v>622</v>
      </c>
      <c r="E1199" t="s">
        <v>211</v>
      </c>
      <c r="F1199" t="s">
        <v>623</v>
      </c>
      <c r="G1199">
        <v>0</v>
      </c>
      <c r="H1199" t="s">
        <v>624</v>
      </c>
      <c r="I1199">
        <v>0</v>
      </c>
    </row>
    <row r="1200" spans="1:9">
      <c r="A1200">
        <v>1</v>
      </c>
      <c r="B1200" t="s">
        <v>632</v>
      </c>
      <c r="D1200" t="s">
        <v>616</v>
      </c>
      <c r="E1200">
        <v>1</v>
      </c>
      <c r="F1200" t="s">
        <v>617</v>
      </c>
      <c r="G1200">
        <v>25</v>
      </c>
    </row>
    <row r="1201" spans="1:9">
      <c r="A1201">
        <v>2</v>
      </c>
      <c r="B1201" t="s">
        <v>632</v>
      </c>
      <c r="C1201" t="s">
        <v>666</v>
      </c>
      <c r="D1201" t="s">
        <v>618</v>
      </c>
      <c r="E1201">
        <v>0.95</v>
      </c>
    </row>
    <row r="1202" spans="1:9">
      <c r="A1202">
        <v>3</v>
      </c>
      <c r="B1202" t="s">
        <v>632</v>
      </c>
      <c r="C1202" t="s">
        <v>666</v>
      </c>
      <c r="D1202" t="s">
        <v>619</v>
      </c>
      <c r="E1202">
        <v>25</v>
      </c>
      <c r="F1202" t="s">
        <v>620</v>
      </c>
      <c r="G1202">
        <v>100</v>
      </c>
      <c r="H1202" t="s">
        <v>621</v>
      </c>
      <c r="I1202">
        <v>25</v>
      </c>
    </row>
    <row r="1203" spans="1:9">
      <c r="A1203">
        <v>2</v>
      </c>
      <c r="B1203" t="s">
        <v>632</v>
      </c>
      <c r="C1203" t="s">
        <v>378</v>
      </c>
      <c r="D1203" t="s">
        <v>618</v>
      </c>
      <c r="E1203">
        <v>3.3333333333333335E-3</v>
      </c>
    </row>
    <row r="1204" spans="1:9">
      <c r="A1204">
        <v>3</v>
      </c>
      <c r="B1204" t="s">
        <v>632</v>
      </c>
      <c r="C1204" t="s">
        <v>378</v>
      </c>
      <c r="D1204" t="s">
        <v>619</v>
      </c>
      <c r="E1204">
        <v>25</v>
      </c>
      <c r="F1204" t="s">
        <v>620</v>
      </c>
      <c r="G1204">
        <v>3</v>
      </c>
      <c r="H1204" t="s">
        <v>621</v>
      </c>
      <c r="I1204">
        <v>833.33333333333337</v>
      </c>
    </row>
    <row r="1205" spans="1:9">
      <c r="A1205">
        <v>4</v>
      </c>
      <c r="B1205" t="s">
        <v>632</v>
      </c>
      <c r="C1205" t="s">
        <v>378</v>
      </c>
      <c r="D1205" t="s">
        <v>622</v>
      </c>
      <c r="E1205" t="s">
        <v>210</v>
      </c>
      <c r="F1205" t="s">
        <v>623</v>
      </c>
      <c r="G1205">
        <v>833.33333333333337</v>
      </c>
      <c r="H1205" t="s">
        <v>624</v>
      </c>
      <c r="I1205">
        <v>833.33333333333337</v>
      </c>
    </row>
    <row r="1206" spans="1:9">
      <c r="A1206">
        <v>2</v>
      </c>
      <c r="B1206" t="s">
        <v>632</v>
      </c>
      <c r="C1206" t="s">
        <v>379</v>
      </c>
      <c r="D1206" t="s">
        <v>618</v>
      </c>
      <c r="E1206">
        <v>3.3333333333333335E-3</v>
      </c>
    </row>
    <row r="1207" spans="1:9">
      <c r="A1207">
        <v>3</v>
      </c>
      <c r="B1207" t="s">
        <v>632</v>
      </c>
      <c r="C1207" t="s">
        <v>379</v>
      </c>
      <c r="D1207" t="s">
        <v>619</v>
      </c>
      <c r="E1207">
        <v>25</v>
      </c>
      <c r="F1207" t="s">
        <v>620</v>
      </c>
      <c r="G1207">
        <v>3</v>
      </c>
      <c r="H1207" t="s">
        <v>621</v>
      </c>
      <c r="I1207">
        <v>833.33333333333337</v>
      </c>
    </row>
    <row r="1208" spans="1:9">
      <c r="A1208">
        <v>4</v>
      </c>
      <c r="B1208" t="s">
        <v>632</v>
      </c>
      <c r="C1208" t="s">
        <v>379</v>
      </c>
      <c r="D1208" t="s">
        <v>622</v>
      </c>
      <c r="E1208" t="s">
        <v>205</v>
      </c>
      <c r="F1208" t="s">
        <v>623</v>
      </c>
      <c r="G1208">
        <v>833.33333333333337</v>
      </c>
      <c r="H1208" t="s">
        <v>624</v>
      </c>
      <c r="I1208">
        <v>833.33333333333337</v>
      </c>
    </row>
    <row r="1209" spans="1:9">
      <c r="A1209">
        <v>2</v>
      </c>
      <c r="B1209" t="s">
        <v>632</v>
      </c>
      <c r="C1209" t="s">
        <v>392</v>
      </c>
      <c r="D1209" t="s">
        <v>618</v>
      </c>
      <c r="E1209">
        <v>3.3333333333333335E-3</v>
      </c>
    </row>
    <row r="1210" spans="1:9">
      <c r="A1210">
        <v>3</v>
      </c>
      <c r="B1210" t="s">
        <v>632</v>
      </c>
      <c r="C1210" t="s">
        <v>392</v>
      </c>
      <c r="D1210" t="s">
        <v>619</v>
      </c>
      <c r="E1210">
        <v>25</v>
      </c>
      <c r="F1210" t="s">
        <v>620</v>
      </c>
      <c r="G1210">
        <v>3</v>
      </c>
      <c r="H1210" t="s">
        <v>621</v>
      </c>
      <c r="I1210">
        <v>833.33333333333337</v>
      </c>
    </row>
    <row r="1211" spans="1:9">
      <c r="A1211">
        <v>4</v>
      </c>
      <c r="B1211" t="s">
        <v>632</v>
      </c>
      <c r="C1211" t="s">
        <v>392</v>
      </c>
      <c r="D1211" t="s">
        <v>622</v>
      </c>
      <c r="E1211" t="s">
        <v>260</v>
      </c>
      <c r="F1211" t="s">
        <v>623</v>
      </c>
      <c r="G1211">
        <v>833.33333333333337</v>
      </c>
      <c r="H1211" t="s">
        <v>624</v>
      </c>
      <c r="I1211">
        <v>833.33333333333337</v>
      </c>
    </row>
    <row r="1212" spans="1:9">
      <c r="A1212">
        <v>2</v>
      </c>
      <c r="B1212" t="s">
        <v>632</v>
      </c>
      <c r="C1212" t="s">
        <v>667</v>
      </c>
      <c r="D1212" t="s">
        <v>618</v>
      </c>
      <c r="E1212">
        <v>3.3333333333333335E-3</v>
      </c>
    </row>
    <row r="1213" spans="1:9">
      <c r="A1213">
        <v>3</v>
      </c>
      <c r="B1213" t="s">
        <v>632</v>
      </c>
      <c r="C1213" t="s">
        <v>667</v>
      </c>
      <c r="D1213" t="s">
        <v>619</v>
      </c>
      <c r="E1213">
        <v>25</v>
      </c>
      <c r="F1213" t="s">
        <v>620</v>
      </c>
      <c r="G1213">
        <v>3</v>
      </c>
      <c r="H1213" t="s">
        <v>621</v>
      </c>
      <c r="I1213">
        <v>833.33333333333337</v>
      </c>
    </row>
    <row r="1214" spans="1:9">
      <c r="A1214">
        <v>4</v>
      </c>
      <c r="B1214" t="s">
        <v>632</v>
      </c>
      <c r="C1214" t="s">
        <v>667</v>
      </c>
      <c r="D1214" t="s">
        <v>622</v>
      </c>
      <c r="E1214" t="s">
        <v>134</v>
      </c>
      <c r="F1214" t="s">
        <v>623</v>
      </c>
      <c r="G1214">
        <v>833.33333333333337</v>
      </c>
      <c r="H1214" t="s">
        <v>624</v>
      </c>
      <c r="I1214">
        <v>833.33333333333337</v>
      </c>
    </row>
    <row r="1215" spans="1:9">
      <c r="A1215">
        <v>2</v>
      </c>
      <c r="B1215" t="s">
        <v>632</v>
      </c>
      <c r="C1215" t="s">
        <v>394</v>
      </c>
      <c r="D1215" t="s">
        <v>618</v>
      </c>
      <c r="E1215">
        <v>3.3333333333333335E-3</v>
      </c>
    </row>
    <row r="1216" spans="1:9">
      <c r="A1216">
        <v>3</v>
      </c>
      <c r="B1216" t="s">
        <v>632</v>
      </c>
      <c r="C1216" t="s">
        <v>394</v>
      </c>
      <c r="D1216" t="s">
        <v>619</v>
      </c>
      <c r="E1216">
        <v>25</v>
      </c>
      <c r="F1216" t="s">
        <v>620</v>
      </c>
      <c r="G1216">
        <v>3</v>
      </c>
      <c r="H1216" t="s">
        <v>621</v>
      </c>
      <c r="I1216">
        <v>833.33333333333337</v>
      </c>
    </row>
    <row r="1217" spans="1:9">
      <c r="A1217">
        <v>4</v>
      </c>
      <c r="B1217" t="s">
        <v>632</v>
      </c>
      <c r="C1217" t="s">
        <v>394</v>
      </c>
      <c r="D1217" t="s">
        <v>622</v>
      </c>
      <c r="E1217" t="s">
        <v>130</v>
      </c>
      <c r="F1217" t="s">
        <v>623</v>
      </c>
      <c r="G1217">
        <v>833.33333333333337</v>
      </c>
      <c r="H1217" t="s">
        <v>624</v>
      </c>
      <c r="I1217">
        <v>833.33333333333337</v>
      </c>
    </row>
    <row r="1218" spans="1:9">
      <c r="A1218">
        <v>2</v>
      </c>
      <c r="B1218" t="s">
        <v>632</v>
      </c>
      <c r="C1218" t="s">
        <v>668</v>
      </c>
      <c r="D1218" t="s">
        <v>618</v>
      </c>
      <c r="E1218">
        <v>3.3333333333333335E-3</v>
      </c>
    </row>
  </sheetData>
  <autoFilter ref="A1:I1218" xr:uid="{1E3FC02D-873A-A94F-AFD2-9953FEA883B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Produit</vt:lpstr>
      <vt:lpstr>Ingredients</vt:lpstr>
      <vt:lpstr>Recette Epice</vt:lpstr>
      <vt:lpstr>Production</vt:lpstr>
      <vt:lpstr>Conditionnement</vt:lpstr>
      <vt:lpstr>Concurence</vt:lpstr>
      <vt:lpstr>Temporaire</vt:lpstr>
      <vt:lpstr>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Merlin PERROT</dc:creator>
  <cp:keywords/>
  <dc:description/>
  <cp:lastModifiedBy>Merlin Perrot-Legler</cp:lastModifiedBy>
  <cp:revision/>
  <dcterms:created xsi:type="dcterms:W3CDTF">2024-02-18T18:19:11Z</dcterms:created>
  <dcterms:modified xsi:type="dcterms:W3CDTF">2025-05-21T15:31:59Z</dcterms:modified>
  <cp:category/>
  <cp:contentStatus/>
</cp:coreProperties>
</file>